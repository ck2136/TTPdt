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ck\Dropbox\Research\Huy\TTP\Code\"/>
    </mc:Choice>
  </mc:AlternateContent>
  <bookViews>
    <workbookView minimized="1" xWindow="0" yWindow="0" windowWidth="19200" windowHeight="10905" activeTab="6"/>
  </bookViews>
  <sheets>
    <sheet name="Title" sheetId="1" r:id="rId1"/>
    <sheet name="Results" sheetId="3" r:id="rId2"/>
    <sheet name="Parameters" sheetId="2" r:id="rId3"/>
    <sheet name="Costs" sheetId="13" r:id="rId4"/>
    <sheet name="CPI" sheetId="17" state="hidden" r:id="rId5"/>
    <sheet name="LifeT" sheetId="15" state="hidden" r:id="rId6"/>
    <sheet name="1way" sheetId="18" r:id="rId7"/>
    <sheet name="CE plane" sheetId="5" r:id="rId8"/>
    <sheet name="CEA curves" sheetId="7" r:id="rId9"/>
    <sheet name="MC Results" sheetId="8" r:id="rId10"/>
    <sheet name="A - ADAMTS13so" sheetId="9" r:id="rId11"/>
    <sheet name="B-ADAMTS13ih" sheetId="14" r:id="rId12"/>
    <sheet name="C - PSSO" sheetId="11" r:id="rId13"/>
    <sheet name="D - PSIH" sheetId="16" r:id="rId14"/>
  </sheets>
  <externalReferences>
    <externalReference r:id="rId15"/>
  </externalReferences>
  <definedNames>
    <definedName name="_____pH2">[1]Parameters!$B$19</definedName>
    <definedName name="____PA12">[1]Parameters!$B$105</definedName>
    <definedName name="____PA14">[1]Parameters!$B$106</definedName>
    <definedName name="____PA18">[1]Parameters!$B$107</definedName>
    <definedName name="____PA26">[1]Parameters!$B$108</definedName>
    <definedName name="____PA6">[1]Parameters!$B$103</definedName>
    <definedName name="____pH2">[1]Parameters!$B$19</definedName>
    <definedName name="____PPI10">[1]Parameters!$B$97</definedName>
    <definedName name="____PPI18">[1]Parameters!$B$98</definedName>
    <definedName name="____PPI2">[1]Parameters!$B$95</definedName>
    <definedName name="____PPI26">[1]Parameters!$B$99</definedName>
    <definedName name="____PPI8">[1]Parameters!$B$96</definedName>
    <definedName name="____SWH2">[1]Parameters!$B$39</definedName>
    <definedName name="____xR1">[1]Parameters!$B$111</definedName>
    <definedName name="____xR2">[1]Parameters!$B$112</definedName>
    <definedName name="___PA12">[1]Parameters!$B$105</definedName>
    <definedName name="___PA14">[1]Parameters!$B$106</definedName>
    <definedName name="___PA18">[1]Parameters!$B$107</definedName>
    <definedName name="___PA26">[1]Parameters!$B$108</definedName>
    <definedName name="___PA6">[1]Parameters!$B$103</definedName>
    <definedName name="___pH2">[1]Parameters!$B$19</definedName>
    <definedName name="___PPI10">[1]Parameters!$B$97</definedName>
    <definedName name="___PPI18">[1]Parameters!$B$98</definedName>
    <definedName name="___PPI2">[1]Parameters!$B$95</definedName>
    <definedName name="___PPI26">[1]Parameters!$B$99</definedName>
    <definedName name="___PPI8">[1]Parameters!$B$96</definedName>
    <definedName name="___SWH2">[1]Parameters!$B$39</definedName>
    <definedName name="___xR1">[1]Parameters!$B$111</definedName>
    <definedName name="___xR2">[1]Parameters!$B$112</definedName>
    <definedName name="__PA12">[1]Parameters!$B$105</definedName>
    <definedName name="__PA14">[1]Parameters!$B$106</definedName>
    <definedName name="__PA18">[1]Parameters!$B$107</definedName>
    <definedName name="__PA26">[1]Parameters!$B$108</definedName>
    <definedName name="__PA6">[1]Parameters!$B$103</definedName>
    <definedName name="__pH2">[1]Parameters!$B$19</definedName>
    <definedName name="__PPI10">[1]Parameters!$B$97</definedName>
    <definedName name="__PPI18">[1]Parameters!$B$98</definedName>
    <definedName name="__PPI2">[1]Parameters!$B$95</definedName>
    <definedName name="__PPI26">[1]Parameters!$B$99</definedName>
    <definedName name="__PPI8">[1]Parameters!$B$96</definedName>
    <definedName name="__SWH2">[1]Parameters!$B$39</definedName>
    <definedName name="__xR1">[1]Parameters!$B$111</definedName>
    <definedName name="__xR2">[1]Parameters!$B$112</definedName>
    <definedName name="_PA12">[1]Parameters!$B$105</definedName>
    <definedName name="_PA14">[1]Parameters!$B$106</definedName>
    <definedName name="_PA18">[1]Parameters!$B$107</definedName>
    <definedName name="_PA26">[1]Parameters!$B$108</definedName>
    <definedName name="_PA6">[1]Parameters!$B$103</definedName>
    <definedName name="_pH2">Parameters!$B$20</definedName>
    <definedName name="_PPI10">[1]Parameters!$B$97</definedName>
    <definedName name="_PPI18">[1]Parameters!$B$98</definedName>
    <definedName name="_PPI2">[1]Parameters!$B$95</definedName>
    <definedName name="_PPI26">[1]Parameters!$B$99</definedName>
    <definedName name="_PPI8">[1]Parameters!$B$96</definedName>
    <definedName name="_SWH2">[1]Parameters!$B$39</definedName>
    <definedName name="_xR1">[1]Parameters!$B$111</definedName>
    <definedName name="_xR2">[1]Parameters!$B$112</definedName>
    <definedName name="age">Parameters!$B$4</definedName>
    <definedName name="BS" localSheetId="10">[1]Parameters!$B$67</definedName>
    <definedName name="BS" localSheetId="9">[1]Parameters!$B$67</definedName>
    <definedName name="BS">Parameters!#REF!</definedName>
    <definedName name="cATSih">Parameters!$B$48</definedName>
    <definedName name="cATSso">Parameters!$B$49</definedName>
    <definedName name="cBL">Parameters!$B$62</definedName>
    <definedName name="cCATH">Parameters!$B$60</definedName>
    <definedName name="cInf">Parameters!$B$59</definedName>
    <definedName name="CIS" localSheetId="10">[1]Parameters!$B$55</definedName>
    <definedName name="CIS" localSheetId="9">[1]Parameters!$B$55</definedName>
    <definedName name="CIS">Parameters!#REF!</definedName>
    <definedName name="cPS">Parameters!$B$56</definedName>
    <definedName name="CST" localSheetId="10">[1]Parameters!$B$65</definedName>
    <definedName name="CST" localSheetId="9">[1]Parameters!$B$65</definedName>
    <definedName name="CST">Parameters!#REF!</definedName>
    <definedName name="cTPE3d">Parameters!$B$80</definedName>
    <definedName name="cVETH">Parameters!$B$61</definedName>
    <definedName name="DDH2RA8">[1]Parameters!$B$94</definedName>
    <definedName name="DDPPI8">[1]Parameters!$B$102</definedName>
    <definedName name="ECG" localSheetId="10">[1]Parameters!$B$66</definedName>
    <definedName name="ECG" localSheetId="9">[1]Parameters!$B$66</definedName>
    <definedName name="ECG">Parameters!#REF!</definedName>
    <definedName name="Fee" localSheetId="10">[1]Parameters!$B$53</definedName>
    <definedName name="Fee" localSheetId="9">[1]Parameters!$B$53</definedName>
    <definedName name="Fee">Parameters!$B$47</definedName>
    <definedName name="GEPA" localSheetId="10">[1]Parameters!$B$62</definedName>
    <definedName name="GEPA" localSheetId="9">[1]Parameters!$B$62</definedName>
    <definedName name="GEPA">Parameters!#REF!</definedName>
    <definedName name="GERA" localSheetId="10">[1]Parameters!$B$61</definedName>
    <definedName name="GERA" localSheetId="9">[1]Parameters!$B$61</definedName>
    <definedName name="GERA">Parameters!$B$53</definedName>
    <definedName name="GPGA">[1]Parameters!$B$58</definedName>
    <definedName name="GPGER1" localSheetId="10">[1]Parameters!$B$109</definedName>
    <definedName name="GPGER1" localSheetId="9">[1]Parameters!$B$109</definedName>
    <definedName name="GPGER1">Parameters!#REF!</definedName>
    <definedName name="GPGER2" localSheetId="10">[1]Parameters!$B$110</definedName>
    <definedName name="GPGER2" localSheetId="9">[1]Parameters!$B$110</definedName>
    <definedName name="GPGER2">Parameters!#REF!</definedName>
    <definedName name="GPMA" localSheetId="10">[1]Parameters!$B$60</definedName>
    <definedName name="GPMA" localSheetId="9">[1]Parameters!$B$60</definedName>
    <definedName name="GPMA">Parameters!$B$52</definedName>
    <definedName name="GPRA" localSheetId="10">[1]Parameters!$B$59</definedName>
    <definedName name="GPRA" localSheetId="9">[1]Parameters!$B$59</definedName>
    <definedName name="GPRA">Parameters!$B$51</definedName>
    <definedName name="H2RA" localSheetId="10">[1]Parameters!$B$54</definedName>
    <definedName name="H2RA" localSheetId="9">[1]Parameters!$B$54</definedName>
    <definedName name="H2RA">Parameters!$B$49</definedName>
    <definedName name="H2RA10">[1]Parameters!$B$91</definedName>
    <definedName name="H2RA18">[1]Parameters!$B$92</definedName>
    <definedName name="H2RA26">[1]Parameters!$B$93</definedName>
    <definedName name="H2RA8">[1]Parameters!$B$90</definedName>
    <definedName name="H2RADD" localSheetId="10">[1]Parameters!$B$89</definedName>
    <definedName name="H2RADD" localSheetId="9">[1]Parameters!$B$89</definedName>
    <definedName name="H2RADD">Parameters!$B$80</definedName>
    <definedName name="hDDH2" localSheetId="10">[1]Parameters!$B$13</definedName>
    <definedName name="hDDH2" localSheetId="9">[1]Parameters!$B$13</definedName>
    <definedName name="hDDH2">Parameters!$B$14</definedName>
    <definedName name="hDDPPI" localSheetId="10">[1]Parameters!$B$15</definedName>
    <definedName name="hDDPPI" localSheetId="9">[1]Parameters!$B$15</definedName>
    <definedName name="hDDPPI">Parameters!$B$16</definedName>
    <definedName name="hH2_" localSheetId="10">[1]Parameters!$B$12</definedName>
    <definedName name="hH2_" localSheetId="9">[1]Parameters!$B$12</definedName>
    <definedName name="hH2_">Parameters!$B$13</definedName>
    <definedName name="hPA" localSheetId="10">[1]Parameters!$B$11</definedName>
    <definedName name="hPA" localSheetId="9">[1]Parameters!$B$11</definedName>
    <definedName name="hPA">Parameters!$B$12</definedName>
    <definedName name="hPPI" localSheetId="10">[1]Parameters!$B$14</definedName>
    <definedName name="hPPI" localSheetId="9">[1]Parameters!$B$14</definedName>
    <definedName name="hPPI">Parameters!$B$15</definedName>
    <definedName name="HR2A18">[1]Parameters!$B$92</definedName>
    <definedName name="HR2A26">[1]Parameters!$B$93</definedName>
    <definedName name="LDPPI" localSheetId="10">[1]Parameters!$B$57</definedName>
    <definedName name="LDPPI" localSheetId="9">[1]Parameters!$B$57</definedName>
    <definedName name="LDPPI">Parameters!#REF!</definedName>
    <definedName name="LDPPI18">[1]Parameters!$B$100</definedName>
    <definedName name="LDPPI26">[1]Parameters!$B$101</definedName>
    <definedName name="lifetable">LifeT!$A$4:$J$104</definedName>
    <definedName name="nCSTR2" localSheetId="10">[1]Parameters!$B$82</definedName>
    <definedName name="nCSTR2" localSheetId="9">[1]Parameters!$B$82</definedName>
    <definedName name="nCSTR2">Parameters!#REF!</definedName>
    <definedName name="nECGR1" localSheetId="10">[1]Parameters!$B$76</definedName>
    <definedName name="nECGR1" localSheetId="9">[1]Parameters!$B$76</definedName>
    <definedName name="nECGR1">Parameters!$B$71</definedName>
    <definedName name="nECGR2" localSheetId="10">[1]Parameters!$B$83</definedName>
    <definedName name="nECGR2" localSheetId="9">[1]Parameters!$B$83</definedName>
    <definedName name="nECGR2">Parameters!#REF!</definedName>
    <definedName name="NF">[1]Parameters!$B$68</definedName>
    <definedName name="nGER2" localSheetId="10">[1]Parameters!$B$80</definedName>
    <definedName name="nGER2" localSheetId="9">[1]Parameters!$B$80</definedName>
    <definedName name="nGER2">Parameters!#REF!</definedName>
    <definedName name="nGPR2" localSheetId="10">[1]Parameters!$B$79</definedName>
    <definedName name="nGPR2" localSheetId="9">[1]Parameters!$B$79</definedName>
    <definedName name="nGPR2">Parameters!#REF!</definedName>
    <definedName name="nUGIER1" localSheetId="10">[1]Parameters!$B$77</definedName>
    <definedName name="nUGIER1" localSheetId="9">[1]Parameters!$B$77</definedName>
    <definedName name="nUGIER1">Parameters!$B$72</definedName>
    <definedName name="nUGIER2" localSheetId="10">[1]Parameters!$B$84</definedName>
    <definedName name="nUGIER2" localSheetId="9">[1]Parameters!$B$84</definedName>
    <definedName name="nUGIER2">Parameters!#REF!</definedName>
    <definedName name="nUGISR1" localSheetId="10">[1]Parameters!$B$78</definedName>
    <definedName name="nUGISR1" localSheetId="9">[1]Parameters!$B$78</definedName>
    <definedName name="nUGISR1">Parameters!#REF!</definedName>
    <definedName name="nUGISR2" localSheetId="10">[1]Parameters!$B$85</definedName>
    <definedName name="nUGISR2" localSheetId="9">[1]Parameters!$B$85</definedName>
    <definedName name="nUGISR2">Parameters!#REF!</definedName>
    <definedName name="p06H2">[1]Parameters!$B$27</definedName>
    <definedName name="p06LDPPI">[1]Parameters!$B$29</definedName>
    <definedName name="p06PA">[1]Parameters!$B$26</definedName>
    <definedName name="p06PL">[1]Parameters!$B$25</definedName>
    <definedName name="p06PPI">[1]Parameters!$B$28</definedName>
    <definedName name="p06SU">[1]Parameters!$B$30</definedName>
    <definedName name="p612H2">[1]Parameters!$B$33</definedName>
    <definedName name="p612LDPPI">[1]Parameters!$B$35</definedName>
    <definedName name="p612PA">[1]Parameters!$B$32</definedName>
    <definedName name="p612PL">[1]Parameters!$B$31</definedName>
    <definedName name="p612PPI">[1]Parameters!$B$34</definedName>
    <definedName name="pBL">Parameters!$B$42</definedName>
    <definedName name="pCATH">Parameters!$B$40</definedName>
    <definedName name="pDDH2" localSheetId="10">[1]Parameters!$B$20</definedName>
    <definedName name="pDDH2" localSheetId="9">[1]Parameters!$B$20</definedName>
    <definedName name="pDDH2">Parameters!$B$21</definedName>
    <definedName name="pDDPPI" localSheetId="10">[1]Parameters!$B$22</definedName>
    <definedName name="pDDPPI" localSheetId="9">[1]Parameters!$B$22</definedName>
    <definedName name="pDDPPI">Parameters!$B$23</definedName>
    <definedName name="pDeath">Parameters!$B$26</definedName>
    <definedName name="pDeathcomp">Parameters!$B$38</definedName>
    <definedName name="pDeathGP">Parameters!$B$34</definedName>
    <definedName name="pDeathNoTPE">Parameters!$B$28</definedName>
    <definedName name="pDeathNoTTP">Parameters!$B$30</definedName>
    <definedName name="pDeathnoTTPafterTPE">Parameters!$B$32</definedName>
    <definedName name="pInf">Parameters!$B$39</definedName>
    <definedName name="pPA" localSheetId="10">[1]Parameters!$B$18</definedName>
    <definedName name="pPA" localSheetId="9">[1]Parameters!$B$18</definedName>
    <definedName name="pPA">Parameters!$B$19</definedName>
    <definedName name="PPI" localSheetId="10">[1]Parameters!$B$56</definedName>
    <definedName name="PPI" localSheetId="9">[1]Parameters!$B$56</definedName>
    <definedName name="PPI">Parameters!#REF!</definedName>
    <definedName name="pPPI" localSheetId="10">[1]Parameters!$B$21</definedName>
    <definedName name="pPPI" localSheetId="9">[1]Parameters!$B$21</definedName>
    <definedName name="pPPI">Parameters!$B$22</definedName>
    <definedName name="prevTTP">Parameters!$B$12</definedName>
    <definedName name="_xlnm.Print_Area" localSheetId="10">'A - ADAMTS13so'!$1:$1048576</definedName>
    <definedName name="prob" localSheetId="10">[1]Parameters!$B$3</definedName>
    <definedName name="prob" localSheetId="9">[1]Parameters!$B$3</definedName>
    <definedName name="prob">Parameters!$B$3</definedName>
    <definedName name="pSurv">Parameters!$B$27</definedName>
    <definedName name="pVETH">Parameters!$B$41</definedName>
    <definedName name="Rc_">'[1]MC Results'!$U$2</definedName>
    <definedName name="SensADAM">Parameters!$B$13</definedName>
    <definedName name="SensPL">Parameters!$B$15</definedName>
    <definedName name="specADAM">Parameters!$B$14</definedName>
    <definedName name="specPL">Parameters!$B$16</definedName>
    <definedName name="SWDDH2">[1]Parameters!$B$40</definedName>
    <definedName name="SWDDH2E" localSheetId="10">[1]Parameters!$B$48</definedName>
    <definedName name="SWDDH2E" localSheetId="9">[1]Parameters!$B$48</definedName>
    <definedName name="SWDDH2E">Parameters!#REF!</definedName>
    <definedName name="SWDDPPI">[1]Parameters!$B$42</definedName>
    <definedName name="SWDDPPIE" localSheetId="10">[1]Parameters!$B$50</definedName>
    <definedName name="SWDDPPIE" localSheetId="9">[1]Parameters!$B$50</definedName>
    <definedName name="SWDDPPIE">Parameters!#REF!</definedName>
    <definedName name="SWH2E" localSheetId="10">[1]Parameters!$B$47</definedName>
    <definedName name="SWH2E" localSheetId="9">[1]Parameters!$B$47</definedName>
    <definedName name="SWH2E">Parameters!#REF!</definedName>
    <definedName name="SWNH12">[1]Parameters!$B$44</definedName>
    <definedName name="SWNH8">[1]Parameters!$B$45</definedName>
    <definedName name="SWPA">[1]Parameters!$B$38</definedName>
    <definedName name="SWPAE" localSheetId="10">[1]Parameters!$B$46</definedName>
    <definedName name="SWPAE" localSheetId="9">[1]Parameters!$B$46</definedName>
    <definedName name="SWPAE">Parameters!#REF!</definedName>
    <definedName name="SWPPI">[1]Parameters!$B$41</definedName>
    <definedName name="SWPPIE" localSheetId="10">[1]Parameters!$B$49</definedName>
    <definedName name="SWPPIE" localSheetId="9">[1]Parameters!$B$49</definedName>
    <definedName name="SWPPIE">Parameters!#REF!</definedName>
    <definedName name="SWSU">[1]Parameters!$B$43</definedName>
    <definedName name="UGIE" localSheetId="10">[1]Parameters!$B$63</definedName>
    <definedName name="UGIE" localSheetId="9">[1]Parameters!$B$63</definedName>
    <definedName name="UGIE">Parameters!#REF!</definedName>
    <definedName name="UGIS" localSheetId="10">[1]Parameters!$B$64</definedName>
    <definedName name="UGIS" localSheetId="9">[1]Parameters!$B$64</definedName>
    <definedName name="UGIS">Parameters!#REF!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" i="2" l="1"/>
  <c r="G48" i="2" l="1"/>
  <c r="L14" i="2" l="1"/>
  <c r="B14" i="2" s="1"/>
  <c r="L13" i="2"/>
  <c r="B13" i="2" s="1"/>
  <c r="L15" i="2"/>
  <c r="B15" i="2" s="1"/>
  <c r="L16" i="2"/>
  <c r="B16" i="2" s="1"/>
  <c r="H12" i="2"/>
  <c r="D12" i="2" s="1"/>
  <c r="B32" i="2"/>
  <c r="B33" i="2" s="1"/>
  <c r="F32" i="2"/>
  <c r="G32" i="2" s="1"/>
  <c r="D33" i="2"/>
  <c r="D6" i="18"/>
  <c r="L5" i="18" s="1"/>
  <c r="P9" i="18" s="1"/>
  <c r="D7" i="18"/>
  <c r="L12" i="18" s="1"/>
  <c r="P14" i="18" s="1"/>
  <c r="D8" i="18"/>
  <c r="L19" i="18" s="1"/>
  <c r="P22" i="18" s="1"/>
  <c r="D9" i="18"/>
  <c r="D10" i="18"/>
  <c r="D11" i="18"/>
  <c r="L6" i="18" s="1"/>
  <c r="P6" i="18" s="1"/>
  <c r="D12" i="18"/>
  <c r="L13" i="18" s="1"/>
  <c r="P15" i="18" s="1"/>
  <c r="D13" i="18"/>
  <c r="L20" i="18" s="1"/>
  <c r="P20" i="18" s="1"/>
  <c r="D14" i="18"/>
  <c r="D15" i="18"/>
  <c r="D16" i="18"/>
  <c r="L7" i="18" s="1"/>
  <c r="P8" i="18" s="1"/>
  <c r="D17" i="18"/>
  <c r="L14" i="18" s="1"/>
  <c r="P13" i="18" s="1"/>
  <c r="D18" i="18"/>
  <c r="D19" i="18"/>
  <c r="D20" i="18"/>
  <c r="D21" i="18"/>
  <c r="L8" i="18" s="1"/>
  <c r="P7" i="18" s="1"/>
  <c r="D22" i="18"/>
  <c r="L15" i="18" s="1"/>
  <c r="P16" i="18" s="1"/>
  <c r="D23" i="18"/>
  <c r="L22" i="18" s="1"/>
  <c r="P19" i="18" s="1"/>
  <c r="D24" i="18"/>
  <c r="D25" i="18"/>
  <c r="D26" i="18"/>
  <c r="L9" i="18" s="1"/>
  <c r="P5" i="18" s="1"/>
  <c r="D27" i="18"/>
  <c r="L16" i="18" s="1"/>
  <c r="P12" i="18" s="1"/>
  <c r="D28" i="18"/>
  <c r="L23" i="18" s="1"/>
  <c r="P21" i="18" s="1"/>
  <c r="D5" i="18"/>
  <c r="C6" i="18"/>
  <c r="K5" i="18" s="1"/>
  <c r="O9" i="18" s="1"/>
  <c r="C7" i="18"/>
  <c r="K12" i="18" s="1"/>
  <c r="O14" i="18" s="1"/>
  <c r="C8" i="18"/>
  <c r="K19" i="18" s="1"/>
  <c r="O22" i="18" s="1"/>
  <c r="C9" i="18"/>
  <c r="C10" i="18"/>
  <c r="C11" i="18"/>
  <c r="K6" i="18" s="1"/>
  <c r="O6" i="18" s="1"/>
  <c r="C12" i="18"/>
  <c r="K13" i="18" s="1"/>
  <c r="O15" i="18" s="1"/>
  <c r="C13" i="18"/>
  <c r="K20" i="18" s="1"/>
  <c r="O20" i="18" s="1"/>
  <c r="C14" i="18"/>
  <c r="C15" i="18"/>
  <c r="C16" i="18"/>
  <c r="K7" i="18" s="1"/>
  <c r="O8" i="18" s="1"/>
  <c r="C17" i="18"/>
  <c r="K14" i="18" s="1"/>
  <c r="O13" i="18" s="1"/>
  <c r="C18" i="18"/>
  <c r="K21" i="18" s="1"/>
  <c r="O23" i="18" s="1"/>
  <c r="C19" i="18"/>
  <c r="C20" i="18"/>
  <c r="C21" i="18"/>
  <c r="K8" i="18" s="1"/>
  <c r="O7" i="18" s="1"/>
  <c r="C22" i="18"/>
  <c r="K15" i="18" s="1"/>
  <c r="O16" i="18" s="1"/>
  <c r="C23" i="18"/>
  <c r="K22" i="18" s="1"/>
  <c r="O19" i="18" s="1"/>
  <c r="C24" i="18"/>
  <c r="C25" i="18"/>
  <c r="C26" i="18"/>
  <c r="K9" i="18" s="1"/>
  <c r="O5" i="18" s="1"/>
  <c r="C27" i="18"/>
  <c r="K16" i="18" s="1"/>
  <c r="O12" i="18" s="1"/>
  <c r="C28" i="18"/>
  <c r="K23" i="18" s="1"/>
  <c r="O21" i="18" s="1"/>
  <c r="C5" i="18"/>
  <c r="L28" i="2"/>
  <c r="B28" i="2" s="1"/>
  <c r="O99" i="16" s="1"/>
  <c r="O93" i="16" s="1"/>
  <c r="J1009" i="8"/>
  <c r="H9" i="3" s="1"/>
  <c r="D1009" i="8"/>
  <c r="H6" i="3" s="1"/>
  <c r="E1009" i="8"/>
  <c r="I7" i="3" s="1"/>
  <c r="F1009" i="8"/>
  <c r="H7" i="3" s="1"/>
  <c r="G1009" i="8"/>
  <c r="I8" i="3" s="1"/>
  <c r="H1009" i="8"/>
  <c r="H8" i="3" s="1"/>
  <c r="I1009" i="8"/>
  <c r="I9" i="3" s="1"/>
  <c r="C1009" i="8"/>
  <c r="I6" i="3" s="1"/>
  <c r="S41" i="18"/>
  <c r="S37" i="18"/>
  <c r="S29" i="18"/>
  <c r="S33" i="18"/>
  <c r="S45" i="18"/>
  <c r="S44" i="18"/>
  <c r="S32" i="18"/>
  <c r="S36" i="18"/>
  <c r="S40" i="18"/>
  <c r="S28" i="18"/>
  <c r="S35" i="18"/>
  <c r="S39" i="18"/>
  <c r="S43" i="18"/>
  <c r="S31" i="18"/>
  <c r="S27" i="18"/>
  <c r="L21" i="18"/>
  <c r="P23" i="18" s="1"/>
  <c r="G2" i="13"/>
  <c r="I6" i="13"/>
  <c r="G12" i="13" s="1"/>
  <c r="D62" i="2" s="1"/>
  <c r="E62" i="2" s="1"/>
  <c r="G11" i="13"/>
  <c r="G10" i="13"/>
  <c r="G9" i="13"/>
  <c r="D59" i="2" s="1"/>
  <c r="E59" i="2" s="1"/>
  <c r="G5" i="13"/>
  <c r="G4" i="13"/>
  <c r="J16" i="17"/>
  <c r="A16" i="17"/>
  <c r="A18" i="17" s="1"/>
  <c r="J15" i="17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52" i="2"/>
  <c r="D55" i="2"/>
  <c r="E55" i="2" s="1"/>
  <c r="F55" i="2" s="1"/>
  <c r="C12" i="13"/>
  <c r="D61" i="2"/>
  <c r="E61" i="2" s="1"/>
  <c r="C11" i="13"/>
  <c r="D60" i="2"/>
  <c r="E60" i="2" s="1"/>
  <c r="F60" i="2" s="1"/>
  <c r="C10" i="13"/>
  <c r="C9" i="13"/>
  <c r="C8" i="13"/>
  <c r="D54" i="2"/>
  <c r="D53" i="2"/>
  <c r="E53" i="2" s="1"/>
  <c r="D51" i="2"/>
  <c r="L6" i="13"/>
  <c r="E21" i="3"/>
  <c r="E22" i="3"/>
  <c r="E23" i="3"/>
  <c r="E20" i="3"/>
  <c r="F21" i="3"/>
  <c r="E49" i="2"/>
  <c r="E51" i="2"/>
  <c r="E52" i="2"/>
  <c r="E54" i="2"/>
  <c r="E56" i="2"/>
  <c r="F56" i="2" s="1"/>
  <c r="E48" i="2"/>
  <c r="E13" i="2"/>
  <c r="E14" i="2" s="1"/>
  <c r="F23" i="3"/>
  <c r="F22" i="3"/>
  <c r="F30" i="2"/>
  <c r="K30" i="2"/>
  <c r="B56" i="2"/>
  <c r="G30" i="2"/>
  <c r="D122" i="2"/>
  <c r="C122" i="2"/>
  <c r="AE180" i="16"/>
  <c r="AE174" i="16"/>
  <c r="AE98" i="16"/>
  <c r="AE92" i="16"/>
  <c r="U41" i="9"/>
  <c r="U32" i="9"/>
  <c r="O1007" i="8"/>
  <c r="N1007" i="8"/>
  <c r="M1007" i="8"/>
  <c r="L1007" i="8"/>
  <c r="O1006" i="8"/>
  <c r="N1006" i="8"/>
  <c r="M1006" i="8"/>
  <c r="L1006" i="8"/>
  <c r="O1005" i="8"/>
  <c r="N1005" i="8"/>
  <c r="M1005" i="8"/>
  <c r="L1005" i="8"/>
  <c r="O1004" i="8"/>
  <c r="N1004" i="8"/>
  <c r="M1004" i="8"/>
  <c r="L1004" i="8"/>
  <c r="O1003" i="8"/>
  <c r="N1003" i="8"/>
  <c r="M1003" i="8"/>
  <c r="L1003" i="8"/>
  <c r="O1002" i="8"/>
  <c r="N1002" i="8"/>
  <c r="M1002" i="8"/>
  <c r="L1002" i="8"/>
  <c r="O1001" i="8"/>
  <c r="N1001" i="8"/>
  <c r="M1001" i="8"/>
  <c r="L1001" i="8"/>
  <c r="O1000" i="8"/>
  <c r="N1000" i="8"/>
  <c r="M1000" i="8"/>
  <c r="L1000" i="8"/>
  <c r="O999" i="8"/>
  <c r="N999" i="8"/>
  <c r="M999" i="8"/>
  <c r="L999" i="8"/>
  <c r="O998" i="8"/>
  <c r="N998" i="8"/>
  <c r="M998" i="8"/>
  <c r="L998" i="8"/>
  <c r="O997" i="8"/>
  <c r="N997" i="8"/>
  <c r="M997" i="8"/>
  <c r="L997" i="8"/>
  <c r="O996" i="8"/>
  <c r="N996" i="8"/>
  <c r="M996" i="8"/>
  <c r="L996" i="8"/>
  <c r="O995" i="8"/>
  <c r="N995" i="8"/>
  <c r="M995" i="8"/>
  <c r="L995" i="8"/>
  <c r="O994" i="8"/>
  <c r="N994" i="8"/>
  <c r="M994" i="8"/>
  <c r="L994" i="8"/>
  <c r="O993" i="8"/>
  <c r="N993" i="8"/>
  <c r="M993" i="8"/>
  <c r="L993" i="8"/>
  <c r="O992" i="8"/>
  <c r="N992" i="8"/>
  <c r="M992" i="8"/>
  <c r="L992" i="8"/>
  <c r="O991" i="8"/>
  <c r="N991" i="8"/>
  <c r="M991" i="8"/>
  <c r="L991" i="8"/>
  <c r="O990" i="8"/>
  <c r="N990" i="8"/>
  <c r="M990" i="8"/>
  <c r="L990" i="8"/>
  <c r="O989" i="8"/>
  <c r="N989" i="8"/>
  <c r="M989" i="8"/>
  <c r="L989" i="8"/>
  <c r="O988" i="8"/>
  <c r="N988" i="8"/>
  <c r="M988" i="8"/>
  <c r="L988" i="8"/>
  <c r="O987" i="8"/>
  <c r="N987" i="8"/>
  <c r="M987" i="8"/>
  <c r="L987" i="8"/>
  <c r="O986" i="8"/>
  <c r="N986" i="8"/>
  <c r="M986" i="8"/>
  <c r="L986" i="8"/>
  <c r="O985" i="8"/>
  <c r="N985" i="8"/>
  <c r="M985" i="8"/>
  <c r="L985" i="8"/>
  <c r="O984" i="8"/>
  <c r="N984" i="8"/>
  <c r="M984" i="8"/>
  <c r="L984" i="8"/>
  <c r="O983" i="8"/>
  <c r="N983" i="8"/>
  <c r="M983" i="8"/>
  <c r="L983" i="8"/>
  <c r="O982" i="8"/>
  <c r="N982" i="8"/>
  <c r="M982" i="8"/>
  <c r="L982" i="8"/>
  <c r="O981" i="8"/>
  <c r="N981" i="8"/>
  <c r="M981" i="8"/>
  <c r="L981" i="8"/>
  <c r="O980" i="8"/>
  <c r="N980" i="8"/>
  <c r="M980" i="8"/>
  <c r="L980" i="8"/>
  <c r="O979" i="8"/>
  <c r="N979" i="8"/>
  <c r="M979" i="8"/>
  <c r="L979" i="8"/>
  <c r="O978" i="8"/>
  <c r="N978" i="8"/>
  <c r="M978" i="8"/>
  <c r="L978" i="8"/>
  <c r="O977" i="8"/>
  <c r="N977" i="8"/>
  <c r="M977" i="8"/>
  <c r="L977" i="8"/>
  <c r="O976" i="8"/>
  <c r="N976" i="8"/>
  <c r="M976" i="8"/>
  <c r="L976" i="8"/>
  <c r="O975" i="8"/>
  <c r="N975" i="8"/>
  <c r="M975" i="8"/>
  <c r="L975" i="8"/>
  <c r="O974" i="8"/>
  <c r="N974" i="8"/>
  <c r="M974" i="8"/>
  <c r="L974" i="8"/>
  <c r="O973" i="8"/>
  <c r="N973" i="8"/>
  <c r="M973" i="8"/>
  <c r="L973" i="8"/>
  <c r="O972" i="8"/>
  <c r="N972" i="8"/>
  <c r="M972" i="8"/>
  <c r="L972" i="8"/>
  <c r="O971" i="8"/>
  <c r="N971" i="8"/>
  <c r="M971" i="8"/>
  <c r="L971" i="8"/>
  <c r="O970" i="8"/>
  <c r="N970" i="8"/>
  <c r="M970" i="8"/>
  <c r="L970" i="8"/>
  <c r="O969" i="8"/>
  <c r="N969" i="8"/>
  <c r="M969" i="8"/>
  <c r="L969" i="8"/>
  <c r="O968" i="8"/>
  <c r="N968" i="8"/>
  <c r="M968" i="8"/>
  <c r="L968" i="8"/>
  <c r="O967" i="8"/>
  <c r="N967" i="8"/>
  <c r="M967" i="8"/>
  <c r="L967" i="8"/>
  <c r="O966" i="8"/>
  <c r="N966" i="8"/>
  <c r="M966" i="8"/>
  <c r="L966" i="8"/>
  <c r="O965" i="8"/>
  <c r="N965" i="8"/>
  <c r="M965" i="8"/>
  <c r="L965" i="8"/>
  <c r="O964" i="8"/>
  <c r="N964" i="8"/>
  <c r="M964" i="8"/>
  <c r="L964" i="8"/>
  <c r="O963" i="8"/>
  <c r="N963" i="8"/>
  <c r="M963" i="8"/>
  <c r="L963" i="8"/>
  <c r="O962" i="8"/>
  <c r="N962" i="8"/>
  <c r="M962" i="8"/>
  <c r="L962" i="8"/>
  <c r="O961" i="8"/>
  <c r="N961" i="8"/>
  <c r="M961" i="8"/>
  <c r="L961" i="8"/>
  <c r="O960" i="8"/>
  <c r="N960" i="8"/>
  <c r="M960" i="8"/>
  <c r="L960" i="8"/>
  <c r="O959" i="8"/>
  <c r="N959" i="8"/>
  <c r="M959" i="8"/>
  <c r="L959" i="8"/>
  <c r="O958" i="8"/>
  <c r="N958" i="8"/>
  <c r="M958" i="8"/>
  <c r="L958" i="8"/>
  <c r="O957" i="8"/>
  <c r="N957" i="8"/>
  <c r="M957" i="8"/>
  <c r="L957" i="8"/>
  <c r="O956" i="8"/>
  <c r="N956" i="8"/>
  <c r="M956" i="8"/>
  <c r="L956" i="8"/>
  <c r="O955" i="8"/>
  <c r="N955" i="8"/>
  <c r="M955" i="8"/>
  <c r="L955" i="8"/>
  <c r="O954" i="8"/>
  <c r="N954" i="8"/>
  <c r="M954" i="8"/>
  <c r="L954" i="8"/>
  <c r="O953" i="8"/>
  <c r="N953" i="8"/>
  <c r="M953" i="8"/>
  <c r="L953" i="8"/>
  <c r="O952" i="8"/>
  <c r="N952" i="8"/>
  <c r="M952" i="8"/>
  <c r="L952" i="8"/>
  <c r="O951" i="8"/>
  <c r="N951" i="8"/>
  <c r="M951" i="8"/>
  <c r="L951" i="8"/>
  <c r="O950" i="8"/>
  <c r="N950" i="8"/>
  <c r="M950" i="8"/>
  <c r="L950" i="8"/>
  <c r="O949" i="8"/>
  <c r="N949" i="8"/>
  <c r="M949" i="8"/>
  <c r="L949" i="8"/>
  <c r="O948" i="8"/>
  <c r="N948" i="8"/>
  <c r="M948" i="8"/>
  <c r="S948" i="8"/>
  <c r="L948" i="8"/>
  <c r="Q948" i="8" s="1"/>
  <c r="O947" i="8"/>
  <c r="N947" i="8"/>
  <c r="M947" i="8"/>
  <c r="L947" i="8"/>
  <c r="O946" i="8"/>
  <c r="N946" i="8"/>
  <c r="M946" i="8"/>
  <c r="L946" i="8"/>
  <c r="O945" i="8"/>
  <c r="N945" i="8"/>
  <c r="M945" i="8"/>
  <c r="L945" i="8"/>
  <c r="O944" i="8"/>
  <c r="N944" i="8"/>
  <c r="M944" i="8"/>
  <c r="L944" i="8"/>
  <c r="O943" i="8"/>
  <c r="N943" i="8"/>
  <c r="M943" i="8"/>
  <c r="L943" i="8"/>
  <c r="O942" i="8"/>
  <c r="N942" i="8"/>
  <c r="M942" i="8"/>
  <c r="L942" i="8"/>
  <c r="O941" i="8"/>
  <c r="N941" i="8"/>
  <c r="M941" i="8"/>
  <c r="L941" i="8"/>
  <c r="O940" i="8"/>
  <c r="N940" i="8"/>
  <c r="M940" i="8"/>
  <c r="L940" i="8"/>
  <c r="O939" i="8"/>
  <c r="N939" i="8"/>
  <c r="M939" i="8"/>
  <c r="L939" i="8"/>
  <c r="O938" i="8"/>
  <c r="N938" i="8"/>
  <c r="M938" i="8"/>
  <c r="L938" i="8"/>
  <c r="O937" i="8"/>
  <c r="N937" i="8"/>
  <c r="M937" i="8"/>
  <c r="L937" i="8"/>
  <c r="O936" i="8"/>
  <c r="N936" i="8"/>
  <c r="M936" i="8"/>
  <c r="L936" i="8"/>
  <c r="O935" i="8"/>
  <c r="N935" i="8"/>
  <c r="M935" i="8"/>
  <c r="L935" i="8"/>
  <c r="O934" i="8"/>
  <c r="N934" i="8"/>
  <c r="M934" i="8"/>
  <c r="L934" i="8"/>
  <c r="O933" i="8"/>
  <c r="N933" i="8"/>
  <c r="M933" i="8"/>
  <c r="L933" i="8"/>
  <c r="O932" i="8"/>
  <c r="N932" i="8"/>
  <c r="M932" i="8"/>
  <c r="L932" i="8"/>
  <c r="O931" i="8"/>
  <c r="N931" i="8"/>
  <c r="M931" i="8"/>
  <c r="L931" i="8"/>
  <c r="O930" i="8"/>
  <c r="N930" i="8"/>
  <c r="M930" i="8"/>
  <c r="L930" i="8"/>
  <c r="O929" i="8"/>
  <c r="N929" i="8"/>
  <c r="M929" i="8"/>
  <c r="L929" i="8"/>
  <c r="O928" i="8"/>
  <c r="N928" i="8"/>
  <c r="M928" i="8"/>
  <c r="L928" i="8"/>
  <c r="O927" i="8"/>
  <c r="N927" i="8"/>
  <c r="M927" i="8"/>
  <c r="L927" i="8"/>
  <c r="O926" i="8"/>
  <c r="N926" i="8"/>
  <c r="M926" i="8"/>
  <c r="L926" i="8"/>
  <c r="O925" i="8"/>
  <c r="N925" i="8"/>
  <c r="M925" i="8"/>
  <c r="L925" i="8"/>
  <c r="O924" i="8"/>
  <c r="N924" i="8"/>
  <c r="M924" i="8"/>
  <c r="L924" i="8"/>
  <c r="O923" i="8"/>
  <c r="N923" i="8"/>
  <c r="M923" i="8"/>
  <c r="L923" i="8"/>
  <c r="O922" i="8"/>
  <c r="N922" i="8"/>
  <c r="M922" i="8"/>
  <c r="L922" i="8"/>
  <c r="O921" i="8"/>
  <c r="N921" i="8"/>
  <c r="M921" i="8"/>
  <c r="L921" i="8"/>
  <c r="O920" i="8"/>
  <c r="N920" i="8"/>
  <c r="M920" i="8"/>
  <c r="L920" i="8"/>
  <c r="O919" i="8"/>
  <c r="N919" i="8"/>
  <c r="M919" i="8"/>
  <c r="L919" i="8"/>
  <c r="O918" i="8"/>
  <c r="N918" i="8"/>
  <c r="M918" i="8"/>
  <c r="L918" i="8"/>
  <c r="O917" i="8"/>
  <c r="N917" i="8"/>
  <c r="M917" i="8"/>
  <c r="L917" i="8"/>
  <c r="O916" i="8"/>
  <c r="N916" i="8"/>
  <c r="M916" i="8"/>
  <c r="L916" i="8"/>
  <c r="O915" i="8"/>
  <c r="N915" i="8"/>
  <c r="M915" i="8"/>
  <c r="L915" i="8"/>
  <c r="O914" i="8"/>
  <c r="N914" i="8"/>
  <c r="M914" i="8"/>
  <c r="L914" i="8"/>
  <c r="O913" i="8"/>
  <c r="N913" i="8"/>
  <c r="S913" i="8" s="1"/>
  <c r="M913" i="8"/>
  <c r="Q913" i="8" s="1"/>
  <c r="L913" i="8"/>
  <c r="O912" i="8"/>
  <c r="N912" i="8"/>
  <c r="M912" i="8"/>
  <c r="L912" i="8"/>
  <c r="O911" i="8"/>
  <c r="N911" i="8"/>
  <c r="M911" i="8"/>
  <c r="L911" i="8"/>
  <c r="O910" i="8"/>
  <c r="N910" i="8"/>
  <c r="M910" i="8"/>
  <c r="L910" i="8"/>
  <c r="O909" i="8"/>
  <c r="N909" i="8"/>
  <c r="M909" i="8"/>
  <c r="L909" i="8"/>
  <c r="O908" i="8"/>
  <c r="N908" i="8"/>
  <c r="M908" i="8"/>
  <c r="L908" i="8"/>
  <c r="O907" i="8"/>
  <c r="N907" i="8"/>
  <c r="M907" i="8"/>
  <c r="L907" i="8"/>
  <c r="O906" i="8"/>
  <c r="N906" i="8"/>
  <c r="M906" i="8"/>
  <c r="L906" i="8"/>
  <c r="O905" i="8"/>
  <c r="N905" i="8"/>
  <c r="M905" i="8"/>
  <c r="L905" i="8"/>
  <c r="O904" i="8"/>
  <c r="N904" i="8"/>
  <c r="M904" i="8"/>
  <c r="L904" i="8"/>
  <c r="O903" i="8"/>
  <c r="N903" i="8"/>
  <c r="M903" i="8"/>
  <c r="S903" i="8"/>
  <c r="L903" i="8"/>
  <c r="O902" i="8"/>
  <c r="N902" i="8"/>
  <c r="M902" i="8"/>
  <c r="L902" i="8"/>
  <c r="O901" i="8"/>
  <c r="N901" i="8"/>
  <c r="M901" i="8"/>
  <c r="L901" i="8"/>
  <c r="O900" i="8"/>
  <c r="N900" i="8"/>
  <c r="M900" i="8"/>
  <c r="L900" i="8"/>
  <c r="O899" i="8"/>
  <c r="N899" i="8"/>
  <c r="M899" i="8"/>
  <c r="L899" i="8"/>
  <c r="O898" i="8"/>
  <c r="N898" i="8"/>
  <c r="M898" i="8"/>
  <c r="L898" i="8"/>
  <c r="O897" i="8"/>
  <c r="N897" i="8"/>
  <c r="M897" i="8"/>
  <c r="L897" i="8"/>
  <c r="O896" i="8"/>
  <c r="N896" i="8"/>
  <c r="M896" i="8"/>
  <c r="L896" i="8"/>
  <c r="O895" i="8"/>
  <c r="N895" i="8"/>
  <c r="M895" i="8"/>
  <c r="L895" i="8"/>
  <c r="O894" i="8"/>
  <c r="N894" i="8"/>
  <c r="M894" i="8"/>
  <c r="L894" i="8"/>
  <c r="O893" i="8"/>
  <c r="N893" i="8"/>
  <c r="M893" i="8"/>
  <c r="L893" i="8"/>
  <c r="O892" i="8"/>
  <c r="N892" i="8"/>
  <c r="M892" i="8"/>
  <c r="L892" i="8"/>
  <c r="O891" i="8"/>
  <c r="N891" i="8"/>
  <c r="M891" i="8"/>
  <c r="L891" i="8"/>
  <c r="O890" i="8"/>
  <c r="N890" i="8"/>
  <c r="M890" i="8"/>
  <c r="L890" i="8"/>
  <c r="O889" i="8"/>
  <c r="N889" i="8"/>
  <c r="M889" i="8"/>
  <c r="L889" i="8"/>
  <c r="O888" i="8"/>
  <c r="N888" i="8"/>
  <c r="M888" i="8"/>
  <c r="L888" i="8"/>
  <c r="O887" i="8"/>
  <c r="N887" i="8"/>
  <c r="M887" i="8"/>
  <c r="L887" i="8"/>
  <c r="O886" i="8"/>
  <c r="N886" i="8"/>
  <c r="M886" i="8"/>
  <c r="L886" i="8"/>
  <c r="O885" i="8"/>
  <c r="N885" i="8"/>
  <c r="M885" i="8"/>
  <c r="L885" i="8"/>
  <c r="O884" i="8"/>
  <c r="N884" i="8"/>
  <c r="M884" i="8"/>
  <c r="L884" i="8"/>
  <c r="O883" i="8"/>
  <c r="N883" i="8"/>
  <c r="M883" i="8"/>
  <c r="L883" i="8"/>
  <c r="O882" i="8"/>
  <c r="N882" i="8"/>
  <c r="M882" i="8"/>
  <c r="L882" i="8"/>
  <c r="O881" i="8"/>
  <c r="N881" i="8"/>
  <c r="M881" i="8"/>
  <c r="L881" i="8"/>
  <c r="O880" i="8"/>
  <c r="N880" i="8"/>
  <c r="M880" i="8"/>
  <c r="L880" i="8"/>
  <c r="O879" i="8"/>
  <c r="N879" i="8"/>
  <c r="M879" i="8"/>
  <c r="L879" i="8"/>
  <c r="O878" i="8"/>
  <c r="N878" i="8"/>
  <c r="M878" i="8"/>
  <c r="L878" i="8"/>
  <c r="O877" i="8"/>
  <c r="N877" i="8"/>
  <c r="M877" i="8"/>
  <c r="L877" i="8"/>
  <c r="O876" i="8"/>
  <c r="N876" i="8"/>
  <c r="M876" i="8"/>
  <c r="L876" i="8"/>
  <c r="O875" i="8"/>
  <c r="N875" i="8"/>
  <c r="M875" i="8"/>
  <c r="L875" i="8"/>
  <c r="O874" i="8"/>
  <c r="N874" i="8"/>
  <c r="M874" i="8"/>
  <c r="L874" i="8"/>
  <c r="O873" i="8"/>
  <c r="N873" i="8"/>
  <c r="M873" i="8"/>
  <c r="L873" i="8"/>
  <c r="O872" i="8"/>
  <c r="N872" i="8"/>
  <c r="M872" i="8"/>
  <c r="L872" i="8"/>
  <c r="O871" i="8"/>
  <c r="N871" i="8"/>
  <c r="M871" i="8"/>
  <c r="L871" i="8"/>
  <c r="O870" i="8"/>
  <c r="N870" i="8"/>
  <c r="M870" i="8"/>
  <c r="L870" i="8"/>
  <c r="O869" i="8"/>
  <c r="N869" i="8"/>
  <c r="M869" i="8"/>
  <c r="L869" i="8"/>
  <c r="O868" i="8"/>
  <c r="N868" i="8"/>
  <c r="M868" i="8"/>
  <c r="L868" i="8"/>
  <c r="O867" i="8"/>
  <c r="N867" i="8"/>
  <c r="M867" i="8"/>
  <c r="L867" i="8"/>
  <c r="O866" i="8"/>
  <c r="N866" i="8"/>
  <c r="M866" i="8"/>
  <c r="L866" i="8"/>
  <c r="O865" i="8"/>
  <c r="N865" i="8"/>
  <c r="M865" i="8"/>
  <c r="L865" i="8"/>
  <c r="O864" i="8"/>
  <c r="N864" i="8"/>
  <c r="M864" i="8"/>
  <c r="L864" i="8"/>
  <c r="O863" i="8"/>
  <c r="N863" i="8"/>
  <c r="M863" i="8"/>
  <c r="L863" i="8"/>
  <c r="O862" i="8"/>
  <c r="N862" i="8"/>
  <c r="M862" i="8"/>
  <c r="L862" i="8"/>
  <c r="O861" i="8"/>
  <c r="N861" i="8"/>
  <c r="M861" i="8"/>
  <c r="L861" i="8"/>
  <c r="O860" i="8"/>
  <c r="N860" i="8"/>
  <c r="M860" i="8"/>
  <c r="L860" i="8"/>
  <c r="O859" i="8"/>
  <c r="N859" i="8"/>
  <c r="M859" i="8"/>
  <c r="S859" i="8"/>
  <c r="L859" i="8"/>
  <c r="Q859" i="8" s="1"/>
  <c r="O858" i="8"/>
  <c r="N858" i="8"/>
  <c r="M858" i="8"/>
  <c r="L858" i="8"/>
  <c r="O857" i="8"/>
  <c r="N857" i="8"/>
  <c r="M857" i="8"/>
  <c r="L857" i="8"/>
  <c r="O856" i="8"/>
  <c r="N856" i="8"/>
  <c r="M856" i="8"/>
  <c r="L856" i="8"/>
  <c r="O855" i="8"/>
  <c r="N855" i="8"/>
  <c r="M855" i="8"/>
  <c r="L855" i="8"/>
  <c r="O854" i="8"/>
  <c r="N854" i="8"/>
  <c r="M854" i="8"/>
  <c r="L854" i="8"/>
  <c r="O853" i="8"/>
  <c r="N853" i="8"/>
  <c r="M853" i="8"/>
  <c r="L853" i="8"/>
  <c r="O852" i="8"/>
  <c r="N852" i="8"/>
  <c r="S852" i="8" s="1"/>
  <c r="M852" i="8"/>
  <c r="L852" i="8"/>
  <c r="Q852" i="8" s="1"/>
  <c r="O851" i="8"/>
  <c r="N851" i="8"/>
  <c r="M851" i="8"/>
  <c r="L851" i="8"/>
  <c r="O850" i="8"/>
  <c r="N850" i="8"/>
  <c r="M850" i="8"/>
  <c r="L850" i="8"/>
  <c r="O849" i="8"/>
  <c r="N849" i="8"/>
  <c r="M849" i="8"/>
  <c r="L849" i="8"/>
  <c r="O848" i="8"/>
  <c r="N848" i="8"/>
  <c r="M848" i="8"/>
  <c r="L848" i="8"/>
  <c r="O847" i="8"/>
  <c r="N847" i="8"/>
  <c r="M847" i="8"/>
  <c r="L847" i="8"/>
  <c r="O846" i="8"/>
  <c r="N846" i="8"/>
  <c r="M846" i="8"/>
  <c r="L846" i="8"/>
  <c r="O845" i="8"/>
  <c r="N845" i="8"/>
  <c r="M845" i="8"/>
  <c r="L845" i="8"/>
  <c r="O844" i="8"/>
  <c r="N844" i="8"/>
  <c r="M844" i="8"/>
  <c r="L844" i="8"/>
  <c r="O843" i="8"/>
  <c r="N843" i="8"/>
  <c r="M843" i="8"/>
  <c r="L843" i="8"/>
  <c r="O842" i="8"/>
  <c r="N842" i="8"/>
  <c r="M842" i="8"/>
  <c r="L842" i="8"/>
  <c r="O841" i="8"/>
  <c r="N841" i="8"/>
  <c r="M841" i="8"/>
  <c r="L841" i="8"/>
  <c r="O840" i="8"/>
  <c r="N840" i="8"/>
  <c r="M840" i="8"/>
  <c r="L840" i="8"/>
  <c r="O839" i="8"/>
  <c r="N839" i="8"/>
  <c r="M839" i="8"/>
  <c r="L839" i="8"/>
  <c r="O838" i="8"/>
  <c r="N838" i="8"/>
  <c r="M838" i="8"/>
  <c r="L838" i="8"/>
  <c r="O837" i="8"/>
  <c r="N837" i="8"/>
  <c r="M837" i="8"/>
  <c r="L837" i="8"/>
  <c r="O836" i="8"/>
  <c r="N836" i="8"/>
  <c r="M836" i="8"/>
  <c r="L836" i="8"/>
  <c r="O835" i="8"/>
  <c r="N835" i="8"/>
  <c r="M835" i="8"/>
  <c r="L835" i="8"/>
  <c r="O834" i="8"/>
  <c r="N834" i="8"/>
  <c r="M834" i="8"/>
  <c r="S834" i="8" s="1"/>
  <c r="L834" i="8"/>
  <c r="O833" i="8"/>
  <c r="N833" i="8"/>
  <c r="M833" i="8"/>
  <c r="L833" i="8"/>
  <c r="O832" i="8"/>
  <c r="N832" i="8"/>
  <c r="M832" i="8"/>
  <c r="L832" i="8"/>
  <c r="O831" i="8"/>
  <c r="N831" i="8"/>
  <c r="M831" i="8"/>
  <c r="L831" i="8"/>
  <c r="O830" i="8"/>
  <c r="N830" i="8"/>
  <c r="M830" i="8"/>
  <c r="L830" i="8"/>
  <c r="O829" i="8"/>
  <c r="N829" i="8"/>
  <c r="M829" i="8"/>
  <c r="L829" i="8"/>
  <c r="O828" i="8"/>
  <c r="N828" i="8"/>
  <c r="M828" i="8"/>
  <c r="L828" i="8"/>
  <c r="O827" i="8"/>
  <c r="N827" i="8"/>
  <c r="M827" i="8"/>
  <c r="L827" i="8"/>
  <c r="Q827" i="8"/>
  <c r="O826" i="8"/>
  <c r="N826" i="8"/>
  <c r="M826" i="8"/>
  <c r="L826" i="8"/>
  <c r="O825" i="8"/>
  <c r="N825" i="8"/>
  <c r="M825" i="8"/>
  <c r="L825" i="8"/>
  <c r="O824" i="8"/>
  <c r="N824" i="8"/>
  <c r="M824" i="8"/>
  <c r="L824" i="8"/>
  <c r="O823" i="8"/>
  <c r="N823" i="8"/>
  <c r="M823" i="8"/>
  <c r="L823" i="8"/>
  <c r="O822" i="8"/>
  <c r="N822" i="8"/>
  <c r="M822" i="8"/>
  <c r="L822" i="8"/>
  <c r="O821" i="8"/>
  <c r="N821" i="8"/>
  <c r="M821" i="8"/>
  <c r="L821" i="8"/>
  <c r="O820" i="8"/>
  <c r="N820" i="8"/>
  <c r="M820" i="8"/>
  <c r="L820" i="8"/>
  <c r="O819" i="8"/>
  <c r="N819" i="8"/>
  <c r="M819" i="8"/>
  <c r="L819" i="8"/>
  <c r="O818" i="8"/>
  <c r="N818" i="8"/>
  <c r="M818" i="8"/>
  <c r="L818" i="8"/>
  <c r="S818" i="8" s="1"/>
  <c r="O817" i="8"/>
  <c r="N817" i="8"/>
  <c r="M817" i="8"/>
  <c r="S817" i="8" s="1"/>
  <c r="L817" i="8"/>
  <c r="O816" i="8"/>
  <c r="N816" i="8"/>
  <c r="M816" i="8"/>
  <c r="L816" i="8"/>
  <c r="O815" i="8"/>
  <c r="N815" i="8"/>
  <c r="M815" i="8"/>
  <c r="L815" i="8"/>
  <c r="O814" i="8"/>
  <c r="N814" i="8"/>
  <c r="M814" i="8"/>
  <c r="L814" i="8"/>
  <c r="O813" i="8"/>
  <c r="N813" i="8"/>
  <c r="M813" i="8"/>
  <c r="L813" i="8"/>
  <c r="O812" i="8"/>
  <c r="N812" i="8"/>
  <c r="M812" i="8"/>
  <c r="L812" i="8"/>
  <c r="O811" i="8"/>
  <c r="N811" i="8"/>
  <c r="M811" i="8"/>
  <c r="L811" i="8"/>
  <c r="O810" i="8"/>
  <c r="N810" i="8"/>
  <c r="S810" i="8" s="1"/>
  <c r="M810" i="8"/>
  <c r="L810" i="8"/>
  <c r="Q810" i="8" s="1"/>
  <c r="O809" i="8"/>
  <c r="N809" i="8"/>
  <c r="M809" i="8"/>
  <c r="L809" i="8"/>
  <c r="O808" i="8"/>
  <c r="N808" i="8"/>
  <c r="M808" i="8"/>
  <c r="L808" i="8"/>
  <c r="O807" i="8"/>
  <c r="N807" i="8"/>
  <c r="M807" i="8"/>
  <c r="L807" i="8"/>
  <c r="O806" i="8"/>
  <c r="N806" i="8"/>
  <c r="M806" i="8"/>
  <c r="L806" i="8"/>
  <c r="O805" i="8"/>
  <c r="N805" i="8"/>
  <c r="M805" i="8"/>
  <c r="L805" i="8"/>
  <c r="O804" i="8"/>
  <c r="N804" i="8"/>
  <c r="M804" i="8"/>
  <c r="L804" i="8"/>
  <c r="O803" i="8"/>
  <c r="N803" i="8"/>
  <c r="M803" i="8"/>
  <c r="L803" i="8"/>
  <c r="O802" i="8"/>
  <c r="N802" i="8"/>
  <c r="M802" i="8"/>
  <c r="L802" i="8"/>
  <c r="O801" i="8"/>
  <c r="N801" i="8"/>
  <c r="M801" i="8"/>
  <c r="L801" i="8"/>
  <c r="O800" i="8"/>
  <c r="N800" i="8"/>
  <c r="M800" i="8"/>
  <c r="L800" i="8"/>
  <c r="O799" i="8"/>
  <c r="N799" i="8"/>
  <c r="M799" i="8"/>
  <c r="L799" i="8"/>
  <c r="O798" i="8"/>
  <c r="N798" i="8"/>
  <c r="M798" i="8"/>
  <c r="L798" i="8"/>
  <c r="O797" i="8"/>
  <c r="N797" i="8"/>
  <c r="M797" i="8"/>
  <c r="L797" i="8"/>
  <c r="O796" i="8"/>
  <c r="N796" i="8"/>
  <c r="M796" i="8"/>
  <c r="L796" i="8"/>
  <c r="O795" i="8"/>
  <c r="N795" i="8"/>
  <c r="M795" i="8"/>
  <c r="L795" i="8"/>
  <c r="O794" i="8"/>
  <c r="N794" i="8"/>
  <c r="M794" i="8"/>
  <c r="L794" i="8"/>
  <c r="O793" i="8"/>
  <c r="N793" i="8"/>
  <c r="M793" i="8"/>
  <c r="L793" i="8"/>
  <c r="O792" i="8"/>
  <c r="N792" i="8"/>
  <c r="M792" i="8"/>
  <c r="L792" i="8"/>
  <c r="O791" i="8"/>
  <c r="N791" i="8"/>
  <c r="M791" i="8"/>
  <c r="L791" i="8"/>
  <c r="O790" i="8"/>
  <c r="N790" i="8"/>
  <c r="M790" i="8"/>
  <c r="L790" i="8"/>
  <c r="O789" i="8"/>
  <c r="N789" i="8"/>
  <c r="M789" i="8"/>
  <c r="L789" i="8"/>
  <c r="O788" i="8"/>
  <c r="N788" i="8"/>
  <c r="M788" i="8"/>
  <c r="L788" i="8"/>
  <c r="O787" i="8"/>
  <c r="N787" i="8"/>
  <c r="M787" i="8"/>
  <c r="L787" i="8"/>
  <c r="O786" i="8"/>
  <c r="N786" i="8"/>
  <c r="M786" i="8"/>
  <c r="L786" i="8"/>
  <c r="O785" i="8"/>
  <c r="N785" i="8"/>
  <c r="M785" i="8"/>
  <c r="L785" i="8"/>
  <c r="O784" i="8"/>
  <c r="N784" i="8"/>
  <c r="M784" i="8"/>
  <c r="L784" i="8"/>
  <c r="O783" i="8"/>
  <c r="N783" i="8"/>
  <c r="M783" i="8"/>
  <c r="L783" i="8"/>
  <c r="O782" i="8"/>
  <c r="N782" i="8"/>
  <c r="M782" i="8"/>
  <c r="L782" i="8"/>
  <c r="O781" i="8"/>
  <c r="N781" i="8"/>
  <c r="M781" i="8"/>
  <c r="L781" i="8"/>
  <c r="O780" i="8"/>
  <c r="N780" i="8"/>
  <c r="M780" i="8"/>
  <c r="L780" i="8"/>
  <c r="O779" i="8"/>
  <c r="N779" i="8"/>
  <c r="M779" i="8"/>
  <c r="L779" i="8"/>
  <c r="O778" i="8"/>
  <c r="N778" i="8"/>
  <c r="M778" i="8"/>
  <c r="L778" i="8"/>
  <c r="O777" i="8"/>
  <c r="N777" i="8"/>
  <c r="M777" i="8"/>
  <c r="L777" i="8"/>
  <c r="O776" i="8"/>
  <c r="N776" i="8"/>
  <c r="M776" i="8"/>
  <c r="L776" i="8"/>
  <c r="O775" i="8"/>
  <c r="N775" i="8"/>
  <c r="M775" i="8"/>
  <c r="L775" i="8"/>
  <c r="O774" i="8"/>
  <c r="N774" i="8"/>
  <c r="M774" i="8"/>
  <c r="L774" i="8"/>
  <c r="O773" i="8"/>
  <c r="N773" i="8"/>
  <c r="M773" i="8"/>
  <c r="L773" i="8"/>
  <c r="O772" i="8"/>
  <c r="N772" i="8"/>
  <c r="M772" i="8"/>
  <c r="L772" i="8"/>
  <c r="O771" i="8"/>
  <c r="N771" i="8"/>
  <c r="M771" i="8"/>
  <c r="L771" i="8"/>
  <c r="O770" i="8"/>
  <c r="N770" i="8"/>
  <c r="M770" i="8"/>
  <c r="L770" i="8"/>
  <c r="O769" i="8"/>
  <c r="N769" i="8"/>
  <c r="M769" i="8"/>
  <c r="L769" i="8"/>
  <c r="O768" i="8"/>
  <c r="N768" i="8"/>
  <c r="M768" i="8"/>
  <c r="L768" i="8"/>
  <c r="O767" i="8"/>
  <c r="N767" i="8"/>
  <c r="M767" i="8"/>
  <c r="L767" i="8"/>
  <c r="O766" i="8"/>
  <c r="N766" i="8"/>
  <c r="M766" i="8"/>
  <c r="L766" i="8"/>
  <c r="O765" i="8"/>
  <c r="N765" i="8"/>
  <c r="M765" i="8"/>
  <c r="L765" i="8"/>
  <c r="O764" i="8"/>
  <c r="N764" i="8"/>
  <c r="M764" i="8"/>
  <c r="L764" i="8"/>
  <c r="O763" i="8"/>
  <c r="N763" i="8"/>
  <c r="M763" i="8"/>
  <c r="L763" i="8"/>
  <c r="O762" i="8"/>
  <c r="N762" i="8"/>
  <c r="M762" i="8"/>
  <c r="L762" i="8"/>
  <c r="O761" i="8"/>
  <c r="N761" i="8"/>
  <c r="S761" i="8" s="1"/>
  <c r="M761" i="8"/>
  <c r="Q761" i="8" s="1"/>
  <c r="L761" i="8"/>
  <c r="O760" i="8"/>
  <c r="N760" i="8"/>
  <c r="M760" i="8"/>
  <c r="L760" i="8"/>
  <c r="O759" i="8"/>
  <c r="N759" i="8"/>
  <c r="M759" i="8"/>
  <c r="L759" i="8"/>
  <c r="O758" i="8"/>
  <c r="N758" i="8"/>
  <c r="M758" i="8"/>
  <c r="L758" i="8"/>
  <c r="O757" i="8"/>
  <c r="N757" i="8"/>
  <c r="M757" i="8"/>
  <c r="L757" i="8"/>
  <c r="O756" i="8"/>
  <c r="N756" i="8"/>
  <c r="M756" i="8"/>
  <c r="L756" i="8"/>
  <c r="O755" i="8"/>
  <c r="N755" i="8"/>
  <c r="M755" i="8"/>
  <c r="L755" i="8"/>
  <c r="O754" i="8"/>
  <c r="N754" i="8"/>
  <c r="M754" i="8"/>
  <c r="L754" i="8"/>
  <c r="O753" i="8"/>
  <c r="N753" i="8"/>
  <c r="M753" i="8"/>
  <c r="L753" i="8"/>
  <c r="Q753" i="8"/>
  <c r="O752" i="8"/>
  <c r="N752" i="8"/>
  <c r="M752" i="8"/>
  <c r="S752" i="8"/>
  <c r="L752" i="8"/>
  <c r="Q752" i="8" s="1"/>
  <c r="O751" i="8"/>
  <c r="N751" i="8"/>
  <c r="M751" i="8"/>
  <c r="L751" i="8"/>
  <c r="O750" i="8"/>
  <c r="N750" i="8"/>
  <c r="M750" i="8"/>
  <c r="L750" i="8"/>
  <c r="O749" i="8"/>
  <c r="N749" i="8"/>
  <c r="M749" i="8"/>
  <c r="L749" i="8"/>
  <c r="O748" i="8"/>
  <c r="N748" i="8"/>
  <c r="M748" i="8"/>
  <c r="L748" i="8"/>
  <c r="O747" i="8"/>
  <c r="N747" i="8"/>
  <c r="M747" i="8"/>
  <c r="L747" i="8"/>
  <c r="O746" i="8"/>
  <c r="N746" i="8"/>
  <c r="M746" i="8"/>
  <c r="L746" i="8"/>
  <c r="O745" i="8"/>
  <c r="N745" i="8"/>
  <c r="M745" i="8"/>
  <c r="L745" i="8"/>
  <c r="O744" i="8"/>
  <c r="N744" i="8"/>
  <c r="M744" i="8"/>
  <c r="L744" i="8"/>
  <c r="O743" i="8"/>
  <c r="N743" i="8"/>
  <c r="M743" i="8"/>
  <c r="L743" i="8"/>
  <c r="O742" i="8"/>
  <c r="N742" i="8"/>
  <c r="M742" i="8"/>
  <c r="L742" i="8"/>
  <c r="O741" i="8"/>
  <c r="N741" i="8"/>
  <c r="S741" i="8" s="1"/>
  <c r="M741" i="8"/>
  <c r="L741" i="8"/>
  <c r="Q741" i="8" s="1"/>
  <c r="O740" i="8"/>
  <c r="N740" i="8"/>
  <c r="M740" i="8"/>
  <c r="L740" i="8"/>
  <c r="O739" i="8"/>
  <c r="N739" i="8"/>
  <c r="M739" i="8"/>
  <c r="L739" i="8"/>
  <c r="O738" i="8"/>
  <c r="N738" i="8"/>
  <c r="M738" i="8"/>
  <c r="L738" i="8"/>
  <c r="O737" i="8"/>
  <c r="N737" i="8"/>
  <c r="M737" i="8"/>
  <c r="S737" i="8" s="1"/>
  <c r="L737" i="8"/>
  <c r="O736" i="8"/>
  <c r="N736" i="8"/>
  <c r="M736" i="8"/>
  <c r="L736" i="8"/>
  <c r="O735" i="8"/>
  <c r="N735" i="8"/>
  <c r="M735" i="8"/>
  <c r="L735" i="8"/>
  <c r="O734" i="8"/>
  <c r="N734" i="8"/>
  <c r="S734" i="8" s="1"/>
  <c r="M734" i="8"/>
  <c r="L734" i="8"/>
  <c r="O733" i="8"/>
  <c r="N733" i="8"/>
  <c r="M733" i="8"/>
  <c r="L733" i="8"/>
  <c r="O732" i="8"/>
  <c r="N732" i="8"/>
  <c r="M732" i="8"/>
  <c r="S732" i="8"/>
  <c r="L732" i="8"/>
  <c r="O731" i="8"/>
  <c r="N731" i="8"/>
  <c r="M731" i="8"/>
  <c r="L731" i="8"/>
  <c r="R731" i="8" s="1"/>
  <c r="O730" i="8"/>
  <c r="N730" i="8"/>
  <c r="M730" i="8"/>
  <c r="L730" i="8"/>
  <c r="O729" i="8"/>
  <c r="N729" i="8"/>
  <c r="M729" i="8"/>
  <c r="S729" i="8"/>
  <c r="L729" i="8"/>
  <c r="O728" i="8"/>
  <c r="N728" i="8"/>
  <c r="M728" i="8"/>
  <c r="L728" i="8"/>
  <c r="O727" i="8"/>
  <c r="N727" i="8"/>
  <c r="M727" i="8"/>
  <c r="T727" i="8" s="1"/>
  <c r="L727" i="8"/>
  <c r="O726" i="8"/>
  <c r="N726" i="8"/>
  <c r="M726" i="8"/>
  <c r="Q726" i="8" s="1"/>
  <c r="L726" i="8"/>
  <c r="O725" i="8"/>
  <c r="N725" i="8"/>
  <c r="M725" i="8"/>
  <c r="L725" i="8"/>
  <c r="O724" i="8"/>
  <c r="N724" i="8"/>
  <c r="M724" i="8"/>
  <c r="L724" i="8"/>
  <c r="O723" i="8"/>
  <c r="N723" i="8"/>
  <c r="M723" i="8"/>
  <c r="L723" i="8"/>
  <c r="O722" i="8"/>
  <c r="N722" i="8"/>
  <c r="M722" i="8"/>
  <c r="L722" i="8"/>
  <c r="O721" i="8"/>
  <c r="N721" i="8"/>
  <c r="M721" i="8"/>
  <c r="L721" i="8"/>
  <c r="O720" i="8"/>
  <c r="N720" i="8"/>
  <c r="M720" i="8"/>
  <c r="L720" i="8"/>
  <c r="O719" i="8"/>
  <c r="N719" i="8"/>
  <c r="M719" i="8"/>
  <c r="L719" i="8"/>
  <c r="O718" i="8"/>
  <c r="N718" i="8"/>
  <c r="M718" i="8"/>
  <c r="S718" i="8"/>
  <c r="L718" i="8"/>
  <c r="Q718" i="8" s="1"/>
  <c r="O717" i="8"/>
  <c r="N717" i="8"/>
  <c r="M717" i="8"/>
  <c r="L717" i="8"/>
  <c r="O716" i="8"/>
  <c r="N716" i="8"/>
  <c r="M716" i="8"/>
  <c r="L716" i="8"/>
  <c r="O715" i="8"/>
  <c r="N715" i="8"/>
  <c r="M715" i="8"/>
  <c r="L715" i="8"/>
  <c r="O714" i="8"/>
  <c r="N714" i="8"/>
  <c r="M714" i="8"/>
  <c r="L714" i="8"/>
  <c r="O713" i="8"/>
  <c r="N713" i="8"/>
  <c r="M713" i="8"/>
  <c r="L713" i="8"/>
  <c r="O712" i="8"/>
  <c r="N712" i="8"/>
  <c r="M712" i="8"/>
  <c r="L712" i="8"/>
  <c r="O711" i="8"/>
  <c r="N711" i="8"/>
  <c r="M711" i="8"/>
  <c r="L711" i="8"/>
  <c r="O710" i="8"/>
  <c r="N710" i="8"/>
  <c r="M710" i="8"/>
  <c r="L710" i="8"/>
  <c r="O709" i="8"/>
  <c r="N709" i="8"/>
  <c r="M709" i="8"/>
  <c r="L709" i="8"/>
  <c r="O708" i="8"/>
  <c r="N708" i="8"/>
  <c r="M708" i="8"/>
  <c r="L708" i="8"/>
  <c r="O707" i="8"/>
  <c r="N707" i="8"/>
  <c r="M707" i="8"/>
  <c r="L707" i="8"/>
  <c r="O706" i="8"/>
  <c r="N706" i="8"/>
  <c r="M706" i="8"/>
  <c r="L706" i="8"/>
  <c r="O705" i="8"/>
  <c r="N705" i="8"/>
  <c r="M705" i="8"/>
  <c r="L705" i="8"/>
  <c r="O704" i="8"/>
  <c r="N704" i="8"/>
  <c r="M704" i="8"/>
  <c r="L704" i="8"/>
  <c r="O703" i="8"/>
  <c r="N703" i="8"/>
  <c r="M703" i="8"/>
  <c r="L703" i="8"/>
  <c r="O702" i="8"/>
  <c r="N702" i="8"/>
  <c r="M702" i="8"/>
  <c r="L702" i="8"/>
  <c r="O701" i="8"/>
  <c r="N701" i="8"/>
  <c r="M701" i="8"/>
  <c r="L701" i="8"/>
  <c r="O700" i="8"/>
  <c r="N700" i="8"/>
  <c r="M700" i="8"/>
  <c r="L700" i="8"/>
  <c r="O699" i="8"/>
  <c r="N699" i="8"/>
  <c r="M699" i="8"/>
  <c r="L699" i="8"/>
  <c r="O698" i="8"/>
  <c r="N698" i="8"/>
  <c r="M698" i="8"/>
  <c r="L698" i="8"/>
  <c r="O697" i="8"/>
  <c r="N697" i="8"/>
  <c r="M697" i="8"/>
  <c r="L697" i="8"/>
  <c r="O696" i="8"/>
  <c r="N696" i="8"/>
  <c r="M696" i="8"/>
  <c r="L696" i="8"/>
  <c r="O695" i="8"/>
  <c r="N695" i="8"/>
  <c r="M695" i="8"/>
  <c r="L695" i="8"/>
  <c r="O694" i="8"/>
  <c r="N694" i="8"/>
  <c r="M694" i="8"/>
  <c r="L694" i="8"/>
  <c r="O693" i="8"/>
  <c r="N693" i="8"/>
  <c r="M693" i="8"/>
  <c r="L693" i="8"/>
  <c r="O692" i="8"/>
  <c r="N692" i="8"/>
  <c r="M692" i="8"/>
  <c r="L692" i="8"/>
  <c r="O691" i="8"/>
  <c r="N691" i="8"/>
  <c r="M691" i="8"/>
  <c r="L691" i="8"/>
  <c r="Q691" i="8"/>
  <c r="O690" i="8"/>
  <c r="N690" i="8"/>
  <c r="M690" i="8"/>
  <c r="L690" i="8"/>
  <c r="O689" i="8"/>
  <c r="N689" i="8"/>
  <c r="M689" i="8"/>
  <c r="L689" i="8"/>
  <c r="O688" i="8"/>
  <c r="N688" i="8"/>
  <c r="M688" i="8"/>
  <c r="L688" i="8"/>
  <c r="O687" i="8"/>
  <c r="N687" i="8"/>
  <c r="M687" i="8"/>
  <c r="L687" i="8"/>
  <c r="O686" i="8"/>
  <c r="N686" i="8"/>
  <c r="M686" i="8"/>
  <c r="L686" i="8"/>
  <c r="O685" i="8"/>
  <c r="N685" i="8"/>
  <c r="M685" i="8"/>
  <c r="L685" i="8"/>
  <c r="O684" i="8"/>
  <c r="N684" i="8"/>
  <c r="M684" i="8"/>
  <c r="L684" i="8"/>
  <c r="O683" i="8"/>
  <c r="N683" i="8"/>
  <c r="M683" i="8"/>
  <c r="L683" i="8"/>
  <c r="O682" i="8"/>
  <c r="N682" i="8"/>
  <c r="M682" i="8"/>
  <c r="S682" i="8"/>
  <c r="L682" i="8"/>
  <c r="O681" i="8"/>
  <c r="N681" i="8"/>
  <c r="M681" i="8"/>
  <c r="L681" i="8"/>
  <c r="O680" i="8"/>
  <c r="N680" i="8"/>
  <c r="M680" i="8"/>
  <c r="L680" i="8"/>
  <c r="O679" i="8"/>
  <c r="N679" i="8"/>
  <c r="M679" i="8"/>
  <c r="L679" i="8"/>
  <c r="O678" i="8"/>
  <c r="N678" i="8"/>
  <c r="M678" i="8"/>
  <c r="L678" i="8"/>
  <c r="O677" i="8"/>
  <c r="N677" i="8"/>
  <c r="M677" i="8"/>
  <c r="L677" i="8"/>
  <c r="O676" i="8"/>
  <c r="N676" i="8"/>
  <c r="M676" i="8"/>
  <c r="S676" i="8" s="1"/>
  <c r="L676" i="8"/>
  <c r="O675" i="8"/>
  <c r="N675" i="8"/>
  <c r="S675" i="8" s="1"/>
  <c r="M675" i="8"/>
  <c r="L675" i="8"/>
  <c r="O674" i="8"/>
  <c r="N674" i="8"/>
  <c r="M674" i="8"/>
  <c r="L674" i="8"/>
  <c r="O673" i="8"/>
  <c r="N673" i="8"/>
  <c r="M673" i="8"/>
  <c r="L673" i="8"/>
  <c r="O672" i="8"/>
  <c r="N672" i="8"/>
  <c r="M672" i="8"/>
  <c r="L672" i="8"/>
  <c r="O671" i="8"/>
  <c r="N671" i="8"/>
  <c r="M671" i="8"/>
  <c r="L671" i="8"/>
  <c r="O670" i="8"/>
  <c r="N670" i="8"/>
  <c r="M670" i="8"/>
  <c r="L670" i="8"/>
  <c r="O669" i="8"/>
  <c r="N669" i="8"/>
  <c r="M669" i="8"/>
  <c r="L669" i="8"/>
  <c r="O668" i="8"/>
  <c r="N668" i="8"/>
  <c r="M668" i="8"/>
  <c r="L668" i="8"/>
  <c r="O667" i="8"/>
  <c r="N667" i="8"/>
  <c r="M667" i="8"/>
  <c r="L667" i="8"/>
  <c r="O666" i="8"/>
  <c r="N666" i="8"/>
  <c r="M666" i="8"/>
  <c r="L666" i="8"/>
  <c r="O665" i="8"/>
  <c r="N665" i="8"/>
  <c r="M665" i="8"/>
  <c r="L665" i="8"/>
  <c r="O664" i="8"/>
  <c r="N664" i="8"/>
  <c r="M664" i="8"/>
  <c r="L664" i="8"/>
  <c r="O663" i="8"/>
  <c r="N663" i="8"/>
  <c r="M663" i="8"/>
  <c r="L663" i="8"/>
  <c r="O662" i="8"/>
  <c r="N662" i="8"/>
  <c r="M662" i="8"/>
  <c r="L662" i="8"/>
  <c r="O661" i="8"/>
  <c r="N661" i="8"/>
  <c r="M661" i="8"/>
  <c r="L661" i="8"/>
  <c r="O660" i="8"/>
  <c r="N660" i="8"/>
  <c r="M660" i="8"/>
  <c r="L660" i="8"/>
  <c r="O659" i="8"/>
  <c r="N659" i="8"/>
  <c r="M659" i="8"/>
  <c r="L659" i="8"/>
  <c r="Q659" i="8"/>
  <c r="O658" i="8"/>
  <c r="N658" i="8"/>
  <c r="M658" i="8"/>
  <c r="L658" i="8"/>
  <c r="O657" i="8"/>
  <c r="N657" i="8"/>
  <c r="M657" i="8"/>
  <c r="L657" i="8"/>
  <c r="Q657" i="8"/>
  <c r="O656" i="8"/>
  <c r="N656" i="8"/>
  <c r="M656" i="8"/>
  <c r="L656" i="8"/>
  <c r="O655" i="8"/>
  <c r="N655" i="8"/>
  <c r="M655" i="8"/>
  <c r="S655" i="8"/>
  <c r="L655" i="8"/>
  <c r="Q655" i="8" s="1"/>
  <c r="O654" i="8"/>
  <c r="N654" i="8"/>
  <c r="M654" i="8"/>
  <c r="L654" i="8"/>
  <c r="O653" i="8"/>
  <c r="N653" i="8"/>
  <c r="M653" i="8"/>
  <c r="L653" i="8"/>
  <c r="O652" i="8"/>
  <c r="N652" i="8"/>
  <c r="M652" i="8"/>
  <c r="L652" i="8"/>
  <c r="O651" i="8"/>
  <c r="N651" i="8"/>
  <c r="S651" i="8" s="1"/>
  <c r="M651" i="8"/>
  <c r="L651" i="8"/>
  <c r="O650" i="8"/>
  <c r="N650" i="8"/>
  <c r="M650" i="8"/>
  <c r="L650" i="8"/>
  <c r="O649" i="8"/>
  <c r="N649" i="8"/>
  <c r="M649" i="8"/>
  <c r="L649" i="8"/>
  <c r="O648" i="8"/>
  <c r="N648" i="8"/>
  <c r="M648" i="8"/>
  <c r="L648" i="8"/>
  <c r="O647" i="8"/>
  <c r="N647" i="8"/>
  <c r="M647" i="8"/>
  <c r="L647" i="8"/>
  <c r="O646" i="8"/>
  <c r="N646" i="8"/>
  <c r="M646" i="8"/>
  <c r="L646" i="8"/>
  <c r="O645" i="8"/>
  <c r="N645" i="8"/>
  <c r="M645" i="8"/>
  <c r="L645" i="8"/>
  <c r="O644" i="8"/>
  <c r="N644" i="8"/>
  <c r="M644" i="8"/>
  <c r="S644" i="8"/>
  <c r="L644" i="8"/>
  <c r="O643" i="8"/>
  <c r="N643" i="8"/>
  <c r="M643" i="8"/>
  <c r="L643" i="8"/>
  <c r="O642" i="8"/>
  <c r="N642" i="8"/>
  <c r="M642" i="8"/>
  <c r="L642" i="8"/>
  <c r="O641" i="8"/>
  <c r="N641" i="8"/>
  <c r="M641" i="8"/>
  <c r="L641" i="8"/>
  <c r="O640" i="8"/>
  <c r="N640" i="8"/>
  <c r="M640" i="8"/>
  <c r="L640" i="8"/>
  <c r="O639" i="8"/>
  <c r="N639" i="8"/>
  <c r="M639" i="8"/>
  <c r="L639" i="8"/>
  <c r="O638" i="8"/>
  <c r="N638" i="8"/>
  <c r="M638" i="8"/>
  <c r="L638" i="8"/>
  <c r="O637" i="8"/>
  <c r="N637" i="8"/>
  <c r="M637" i="8"/>
  <c r="L637" i="8"/>
  <c r="O636" i="8"/>
  <c r="N636" i="8"/>
  <c r="M636" i="8"/>
  <c r="L636" i="8"/>
  <c r="O635" i="8"/>
  <c r="N635" i="8"/>
  <c r="M635" i="8"/>
  <c r="L635" i="8"/>
  <c r="O634" i="8"/>
  <c r="N634" i="8"/>
  <c r="M634" i="8"/>
  <c r="L634" i="8"/>
  <c r="O633" i="8"/>
  <c r="N633" i="8"/>
  <c r="M633" i="8"/>
  <c r="S633" i="8" s="1"/>
  <c r="L633" i="8"/>
  <c r="O632" i="8"/>
  <c r="N632" i="8"/>
  <c r="M632" i="8"/>
  <c r="L632" i="8"/>
  <c r="O631" i="8"/>
  <c r="N631" i="8"/>
  <c r="M631" i="8"/>
  <c r="L631" i="8"/>
  <c r="O630" i="8"/>
  <c r="N630" i="8"/>
  <c r="M630" i="8"/>
  <c r="L630" i="8"/>
  <c r="O629" i="8"/>
  <c r="N629" i="8"/>
  <c r="S629" i="8" s="1"/>
  <c r="M629" i="8"/>
  <c r="L629" i="8"/>
  <c r="Q629" i="8"/>
  <c r="O628" i="8"/>
  <c r="N628" i="8"/>
  <c r="M628" i="8"/>
  <c r="L628" i="8"/>
  <c r="O627" i="8"/>
  <c r="N627" i="8"/>
  <c r="M627" i="8"/>
  <c r="L627" i="8"/>
  <c r="O626" i="8"/>
  <c r="N626" i="8"/>
  <c r="M626" i="8"/>
  <c r="L626" i="8"/>
  <c r="O625" i="8"/>
  <c r="N625" i="8"/>
  <c r="M625" i="8"/>
  <c r="S625" i="8"/>
  <c r="L625" i="8"/>
  <c r="O624" i="8"/>
  <c r="N624" i="8"/>
  <c r="M624" i="8"/>
  <c r="L624" i="8"/>
  <c r="O623" i="8"/>
  <c r="N623" i="8"/>
  <c r="M623" i="8"/>
  <c r="S623" i="8" s="1"/>
  <c r="L623" i="8"/>
  <c r="O622" i="8"/>
  <c r="N622" i="8"/>
  <c r="M622" i="8"/>
  <c r="L622" i="8"/>
  <c r="O621" i="8"/>
  <c r="N621" i="8"/>
  <c r="S621" i="8" s="1"/>
  <c r="M621" i="8"/>
  <c r="L621" i="8"/>
  <c r="O620" i="8"/>
  <c r="N620" i="8"/>
  <c r="M620" i="8"/>
  <c r="L620" i="8"/>
  <c r="O619" i="8"/>
  <c r="N619" i="8"/>
  <c r="M619" i="8"/>
  <c r="L619" i="8"/>
  <c r="O618" i="8"/>
  <c r="N618" i="8"/>
  <c r="M618" i="8"/>
  <c r="L618" i="8"/>
  <c r="O617" i="8"/>
  <c r="N617" i="8"/>
  <c r="M617" i="8"/>
  <c r="L617" i="8"/>
  <c r="O616" i="8"/>
  <c r="N616" i="8"/>
  <c r="M616" i="8"/>
  <c r="S616" i="8"/>
  <c r="L616" i="8"/>
  <c r="O615" i="8"/>
  <c r="N615" i="8"/>
  <c r="M615" i="8"/>
  <c r="L615" i="8"/>
  <c r="O614" i="8"/>
  <c r="N614" i="8"/>
  <c r="M614" i="8"/>
  <c r="S614" i="8" s="1"/>
  <c r="L614" i="8"/>
  <c r="O613" i="8"/>
  <c r="N613" i="8"/>
  <c r="M613" i="8"/>
  <c r="L613" i="8"/>
  <c r="O612" i="8"/>
  <c r="N612" i="8"/>
  <c r="M612" i="8"/>
  <c r="L612" i="8"/>
  <c r="O611" i="8"/>
  <c r="N611" i="8"/>
  <c r="S611" i="8" s="1"/>
  <c r="M611" i="8"/>
  <c r="L611" i="8"/>
  <c r="O610" i="8"/>
  <c r="N610" i="8"/>
  <c r="M610" i="8"/>
  <c r="L610" i="8"/>
  <c r="O609" i="8"/>
  <c r="N609" i="8"/>
  <c r="S609" i="8" s="1"/>
  <c r="M609" i="8"/>
  <c r="L609" i="8"/>
  <c r="Q609" i="8" s="1"/>
  <c r="O608" i="8"/>
  <c r="N608" i="8"/>
  <c r="M608" i="8"/>
  <c r="L608" i="8"/>
  <c r="O607" i="8"/>
  <c r="N607" i="8"/>
  <c r="M607" i="8"/>
  <c r="L607" i="8"/>
  <c r="O606" i="8"/>
  <c r="N606" i="8"/>
  <c r="M606" i="8"/>
  <c r="L606" i="8"/>
  <c r="O605" i="8"/>
  <c r="N605" i="8"/>
  <c r="M605" i="8"/>
  <c r="L605" i="8"/>
  <c r="O604" i="8"/>
  <c r="N604" i="8"/>
  <c r="M604" i="8"/>
  <c r="L604" i="8"/>
  <c r="O603" i="8"/>
  <c r="N603" i="8"/>
  <c r="M603" i="8"/>
  <c r="L603" i="8"/>
  <c r="O602" i="8"/>
  <c r="N602" i="8"/>
  <c r="M602" i="8"/>
  <c r="L602" i="8"/>
  <c r="O601" i="8"/>
  <c r="N601" i="8"/>
  <c r="M601" i="8"/>
  <c r="L601" i="8"/>
  <c r="O600" i="8"/>
  <c r="N600" i="8"/>
  <c r="M600" i="8"/>
  <c r="L600" i="8"/>
  <c r="O599" i="8"/>
  <c r="N599" i="8"/>
  <c r="M599" i="8"/>
  <c r="L599" i="8"/>
  <c r="O598" i="8"/>
  <c r="N598" i="8"/>
  <c r="M598" i="8"/>
  <c r="S598" i="8" s="1"/>
  <c r="L598" i="8"/>
  <c r="O597" i="8"/>
  <c r="N597" i="8"/>
  <c r="M597" i="8"/>
  <c r="S597" i="8" s="1"/>
  <c r="L597" i="8"/>
  <c r="O596" i="8"/>
  <c r="N596" i="8"/>
  <c r="M596" i="8"/>
  <c r="L596" i="8"/>
  <c r="O595" i="8"/>
  <c r="N595" i="8"/>
  <c r="M595" i="8"/>
  <c r="L595" i="8"/>
  <c r="O594" i="8"/>
  <c r="N594" i="8"/>
  <c r="M594" i="8"/>
  <c r="L594" i="8"/>
  <c r="O593" i="8"/>
  <c r="N593" i="8"/>
  <c r="M593" i="8"/>
  <c r="L593" i="8"/>
  <c r="O592" i="8"/>
  <c r="N592" i="8"/>
  <c r="M592" i="8"/>
  <c r="L592" i="8"/>
  <c r="O591" i="8"/>
  <c r="N591" i="8"/>
  <c r="M591" i="8"/>
  <c r="L591" i="8"/>
  <c r="O590" i="8"/>
  <c r="N590" i="8"/>
  <c r="M590" i="8"/>
  <c r="L590" i="8"/>
  <c r="O589" i="8"/>
  <c r="N589" i="8"/>
  <c r="M589" i="8"/>
  <c r="L589" i="8"/>
  <c r="O588" i="8"/>
  <c r="N588" i="8"/>
  <c r="M588" i="8"/>
  <c r="L588" i="8"/>
  <c r="O587" i="8"/>
  <c r="N587" i="8"/>
  <c r="M587" i="8"/>
  <c r="L587" i="8"/>
  <c r="O586" i="8"/>
  <c r="N586" i="8"/>
  <c r="M586" i="8"/>
  <c r="L586" i="8"/>
  <c r="O585" i="8"/>
  <c r="N585" i="8"/>
  <c r="M585" i="8"/>
  <c r="L585" i="8"/>
  <c r="O584" i="8"/>
  <c r="N584" i="8"/>
  <c r="M584" i="8"/>
  <c r="L584" i="8"/>
  <c r="O583" i="8"/>
  <c r="N583" i="8"/>
  <c r="M583" i="8"/>
  <c r="L583" i="8"/>
  <c r="O582" i="8"/>
  <c r="N582" i="8"/>
  <c r="M582" i="8"/>
  <c r="L582" i="8"/>
  <c r="O581" i="8"/>
  <c r="N581" i="8"/>
  <c r="M581" i="8"/>
  <c r="L581" i="8"/>
  <c r="O580" i="8"/>
  <c r="N580" i="8"/>
  <c r="M580" i="8"/>
  <c r="L580" i="8"/>
  <c r="O579" i="8"/>
  <c r="N579" i="8"/>
  <c r="M579" i="8"/>
  <c r="L579" i="8"/>
  <c r="O578" i="8"/>
  <c r="N578" i="8"/>
  <c r="M578" i="8"/>
  <c r="L578" i="8"/>
  <c r="O577" i="8"/>
  <c r="N577" i="8"/>
  <c r="M577" i="8"/>
  <c r="L577" i="8"/>
  <c r="O576" i="8"/>
  <c r="N576" i="8"/>
  <c r="M576" i="8"/>
  <c r="L576" i="8"/>
  <c r="O575" i="8"/>
  <c r="N575" i="8"/>
  <c r="S575" i="8" s="1"/>
  <c r="M575" i="8"/>
  <c r="Q575" i="8" s="1"/>
  <c r="L575" i="8"/>
  <c r="O574" i="8"/>
  <c r="N574" i="8"/>
  <c r="M574" i="8"/>
  <c r="L574" i="8"/>
  <c r="O573" i="8"/>
  <c r="N573" i="8"/>
  <c r="M573" i="8"/>
  <c r="S573" i="8"/>
  <c r="L573" i="8"/>
  <c r="Q573" i="8" s="1"/>
  <c r="O572" i="8"/>
  <c r="N572" i="8"/>
  <c r="M572" i="8"/>
  <c r="L572" i="8"/>
  <c r="O571" i="8"/>
  <c r="N571" i="8"/>
  <c r="M571" i="8"/>
  <c r="L571" i="8"/>
  <c r="O570" i="8"/>
  <c r="N570" i="8"/>
  <c r="M570" i="8"/>
  <c r="L570" i="8"/>
  <c r="O569" i="8"/>
  <c r="N569" i="8"/>
  <c r="M569" i="8"/>
  <c r="L569" i="8"/>
  <c r="O568" i="8"/>
  <c r="N568" i="8"/>
  <c r="M568" i="8"/>
  <c r="L568" i="8"/>
  <c r="O567" i="8"/>
  <c r="N567" i="8"/>
  <c r="M567" i="8"/>
  <c r="L567" i="8"/>
  <c r="O566" i="8"/>
  <c r="N566" i="8"/>
  <c r="M566" i="8"/>
  <c r="L566" i="8"/>
  <c r="O565" i="8"/>
  <c r="N565" i="8"/>
  <c r="M565" i="8"/>
  <c r="L565" i="8"/>
  <c r="O564" i="8"/>
  <c r="N564" i="8"/>
  <c r="S564" i="8" s="1"/>
  <c r="M564" i="8"/>
  <c r="L564" i="8"/>
  <c r="O563" i="8"/>
  <c r="N563" i="8"/>
  <c r="M563" i="8"/>
  <c r="L563" i="8"/>
  <c r="Q563" i="8"/>
  <c r="O562" i="8"/>
  <c r="N562" i="8"/>
  <c r="M562" i="8"/>
  <c r="L562" i="8"/>
  <c r="O561" i="8"/>
  <c r="N561" i="8"/>
  <c r="M561" i="8"/>
  <c r="L561" i="8"/>
  <c r="O560" i="8"/>
  <c r="N560" i="8"/>
  <c r="M560" i="8"/>
  <c r="L560" i="8"/>
  <c r="O559" i="8"/>
  <c r="N559" i="8"/>
  <c r="M559" i="8"/>
  <c r="L559" i="8"/>
  <c r="O558" i="8"/>
  <c r="N558" i="8"/>
  <c r="M558" i="8"/>
  <c r="L558" i="8"/>
  <c r="O557" i="8"/>
  <c r="N557" i="8"/>
  <c r="M557" i="8"/>
  <c r="L557" i="8"/>
  <c r="O556" i="8"/>
  <c r="N556" i="8"/>
  <c r="M556" i="8"/>
  <c r="L556" i="8"/>
  <c r="O555" i="8"/>
  <c r="N555" i="8"/>
  <c r="M555" i="8"/>
  <c r="S555" i="8"/>
  <c r="L555" i="8"/>
  <c r="Q555" i="8" s="1"/>
  <c r="O554" i="8"/>
  <c r="N554" i="8"/>
  <c r="M554" i="8"/>
  <c r="L554" i="8"/>
  <c r="O553" i="8"/>
  <c r="N553" i="8"/>
  <c r="M553" i="8"/>
  <c r="L553" i="8"/>
  <c r="O552" i="8"/>
  <c r="N552" i="8"/>
  <c r="M552" i="8"/>
  <c r="L552" i="8"/>
  <c r="O551" i="8"/>
  <c r="N551" i="8"/>
  <c r="S551" i="8" s="1"/>
  <c r="M551" i="8"/>
  <c r="Q551" i="8" s="1"/>
  <c r="L551" i="8"/>
  <c r="O550" i="8"/>
  <c r="N550" i="8"/>
  <c r="M550" i="8"/>
  <c r="L550" i="8"/>
  <c r="O549" i="8"/>
  <c r="N549" i="8"/>
  <c r="M549" i="8"/>
  <c r="L549" i="8"/>
  <c r="O548" i="8"/>
  <c r="N548" i="8"/>
  <c r="M548" i="8"/>
  <c r="L548" i="8"/>
  <c r="O547" i="8"/>
  <c r="N547" i="8"/>
  <c r="M547" i="8"/>
  <c r="L547" i="8"/>
  <c r="O546" i="8"/>
  <c r="N546" i="8"/>
  <c r="M546" i="8"/>
  <c r="L546" i="8"/>
  <c r="O545" i="8"/>
  <c r="N545" i="8"/>
  <c r="M545" i="8"/>
  <c r="L545" i="8"/>
  <c r="O544" i="8"/>
  <c r="N544" i="8"/>
  <c r="M544" i="8"/>
  <c r="L544" i="8"/>
  <c r="O543" i="8"/>
  <c r="N543" i="8"/>
  <c r="M543" i="8"/>
  <c r="L543" i="8"/>
  <c r="O542" i="8"/>
  <c r="N542" i="8"/>
  <c r="M542" i="8"/>
  <c r="L542" i="8"/>
  <c r="O541" i="8"/>
  <c r="N541" i="8"/>
  <c r="M541" i="8"/>
  <c r="L541" i="8"/>
  <c r="O540" i="8"/>
  <c r="N540" i="8"/>
  <c r="M540" i="8"/>
  <c r="L540" i="8"/>
  <c r="O539" i="8"/>
  <c r="N539" i="8"/>
  <c r="M539" i="8"/>
  <c r="L539" i="8"/>
  <c r="O538" i="8"/>
  <c r="N538" i="8"/>
  <c r="M538" i="8"/>
  <c r="L538" i="8"/>
  <c r="O537" i="8"/>
  <c r="N537" i="8"/>
  <c r="M537" i="8"/>
  <c r="L537" i="8"/>
  <c r="O536" i="8"/>
  <c r="N536" i="8"/>
  <c r="M536" i="8"/>
  <c r="L536" i="8"/>
  <c r="O535" i="8"/>
  <c r="N535" i="8"/>
  <c r="M535" i="8"/>
  <c r="L535" i="8"/>
  <c r="O534" i="8"/>
  <c r="N534" i="8"/>
  <c r="M534" i="8"/>
  <c r="L534" i="8"/>
  <c r="Q534" i="8" s="1"/>
  <c r="S534" i="8"/>
  <c r="O533" i="8"/>
  <c r="N533" i="8"/>
  <c r="M533" i="8"/>
  <c r="L533" i="8"/>
  <c r="Q533" i="8" s="1"/>
  <c r="O532" i="8"/>
  <c r="N532" i="8"/>
  <c r="M532" i="8"/>
  <c r="L532" i="8"/>
  <c r="O531" i="8"/>
  <c r="N531" i="8"/>
  <c r="M531" i="8"/>
  <c r="L531" i="8"/>
  <c r="O530" i="8"/>
  <c r="N530" i="8"/>
  <c r="S530" i="8" s="1"/>
  <c r="M530" i="8"/>
  <c r="L530" i="8"/>
  <c r="O529" i="8"/>
  <c r="N529" i="8"/>
  <c r="M529" i="8"/>
  <c r="L529" i="8"/>
  <c r="O528" i="8"/>
  <c r="N528" i="8"/>
  <c r="M528" i="8"/>
  <c r="L528" i="8"/>
  <c r="O527" i="8"/>
  <c r="N527" i="8"/>
  <c r="M527" i="8"/>
  <c r="S527" i="8" s="1"/>
  <c r="L527" i="8"/>
  <c r="O526" i="8"/>
  <c r="N526" i="8"/>
  <c r="M526" i="8"/>
  <c r="L526" i="8"/>
  <c r="O525" i="8"/>
  <c r="N525" i="8"/>
  <c r="M525" i="8"/>
  <c r="L525" i="8"/>
  <c r="O524" i="8"/>
  <c r="N524" i="8"/>
  <c r="M524" i="8"/>
  <c r="L524" i="8"/>
  <c r="O523" i="8"/>
  <c r="N523" i="8"/>
  <c r="M523" i="8"/>
  <c r="L523" i="8"/>
  <c r="O522" i="8"/>
  <c r="N522" i="8"/>
  <c r="M522" i="8"/>
  <c r="L522" i="8"/>
  <c r="O521" i="8"/>
  <c r="N521" i="8"/>
  <c r="M521" i="8"/>
  <c r="L521" i="8"/>
  <c r="O520" i="8"/>
  <c r="N520" i="8"/>
  <c r="M520" i="8"/>
  <c r="L520" i="8"/>
  <c r="O519" i="8"/>
  <c r="N519" i="8"/>
  <c r="M519" i="8"/>
  <c r="L519" i="8"/>
  <c r="O518" i="8"/>
  <c r="N518" i="8"/>
  <c r="M518" i="8"/>
  <c r="L518" i="8"/>
  <c r="O517" i="8"/>
  <c r="N517" i="8"/>
  <c r="M517" i="8"/>
  <c r="L517" i="8"/>
  <c r="O516" i="8"/>
  <c r="N516" i="8"/>
  <c r="M516" i="8"/>
  <c r="L516" i="8"/>
  <c r="O515" i="8"/>
  <c r="N515" i="8"/>
  <c r="S515" i="8" s="1"/>
  <c r="M515" i="8"/>
  <c r="Q515" i="8" s="1"/>
  <c r="L515" i="8"/>
  <c r="O514" i="8"/>
  <c r="N514" i="8"/>
  <c r="M514" i="8"/>
  <c r="L514" i="8"/>
  <c r="O513" i="8"/>
  <c r="N513" i="8"/>
  <c r="M513" i="8"/>
  <c r="L513" i="8"/>
  <c r="O512" i="8"/>
  <c r="N512" i="8"/>
  <c r="M512" i="8"/>
  <c r="L512" i="8"/>
  <c r="O511" i="8"/>
  <c r="N511" i="8"/>
  <c r="M511" i="8"/>
  <c r="L511" i="8"/>
  <c r="O510" i="8"/>
  <c r="N510" i="8"/>
  <c r="M510" i="8"/>
  <c r="L510" i="8"/>
  <c r="O509" i="8"/>
  <c r="N509" i="8"/>
  <c r="M509" i="8"/>
  <c r="L509" i="8"/>
  <c r="Q509" i="8"/>
  <c r="O508" i="8"/>
  <c r="N508" i="8"/>
  <c r="M508" i="8"/>
  <c r="L508" i="8"/>
  <c r="O507" i="8"/>
  <c r="N507" i="8"/>
  <c r="M507" i="8"/>
  <c r="S507" i="8"/>
  <c r="L507" i="8"/>
  <c r="O506" i="8"/>
  <c r="N506" i="8"/>
  <c r="M506" i="8"/>
  <c r="L506" i="8"/>
  <c r="O505" i="8"/>
  <c r="N505" i="8"/>
  <c r="M505" i="8"/>
  <c r="L505" i="8"/>
  <c r="O504" i="8"/>
  <c r="N504" i="8"/>
  <c r="M504" i="8"/>
  <c r="L504" i="8"/>
  <c r="O503" i="8"/>
  <c r="N503" i="8"/>
  <c r="M503" i="8"/>
  <c r="L503" i="8"/>
  <c r="O502" i="8"/>
  <c r="N502" i="8"/>
  <c r="M502" i="8"/>
  <c r="L502" i="8"/>
  <c r="O501" i="8"/>
  <c r="N501" i="8"/>
  <c r="M501" i="8"/>
  <c r="L501" i="8"/>
  <c r="O500" i="8"/>
  <c r="N500" i="8"/>
  <c r="M500" i="8"/>
  <c r="L500" i="8"/>
  <c r="O499" i="8"/>
  <c r="N499" i="8"/>
  <c r="M499" i="8"/>
  <c r="L499" i="8"/>
  <c r="O498" i="8"/>
  <c r="N498" i="8"/>
  <c r="M498" i="8"/>
  <c r="L498" i="8"/>
  <c r="O497" i="8"/>
  <c r="N497" i="8"/>
  <c r="M497" i="8"/>
  <c r="L497" i="8"/>
  <c r="O496" i="8"/>
  <c r="N496" i="8"/>
  <c r="M496" i="8"/>
  <c r="L496" i="8"/>
  <c r="O495" i="8"/>
  <c r="N495" i="8"/>
  <c r="S495" i="8" s="1"/>
  <c r="M495" i="8"/>
  <c r="L495" i="8"/>
  <c r="Q495" i="8" s="1"/>
  <c r="O494" i="8"/>
  <c r="N494" i="8"/>
  <c r="M494" i="8"/>
  <c r="L494" i="8"/>
  <c r="O493" i="8"/>
  <c r="N493" i="8"/>
  <c r="M493" i="8"/>
  <c r="S493" i="8" s="1"/>
  <c r="L493" i="8"/>
  <c r="O492" i="8"/>
  <c r="N492" i="8"/>
  <c r="M492" i="8"/>
  <c r="L492" i="8"/>
  <c r="O491" i="8"/>
  <c r="N491" i="8"/>
  <c r="M491" i="8"/>
  <c r="L491" i="8"/>
  <c r="O490" i="8"/>
  <c r="N490" i="8"/>
  <c r="M490" i="8"/>
  <c r="L490" i="8"/>
  <c r="O489" i="8"/>
  <c r="N489" i="8"/>
  <c r="M489" i="8"/>
  <c r="L489" i="8"/>
  <c r="O488" i="8"/>
  <c r="N488" i="8"/>
  <c r="M488" i="8"/>
  <c r="L488" i="8"/>
  <c r="O487" i="8"/>
  <c r="N487" i="8"/>
  <c r="S487" i="8" s="1"/>
  <c r="M487" i="8"/>
  <c r="L487" i="8"/>
  <c r="Q487" i="8"/>
  <c r="O486" i="8"/>
  <c r="N486" i="8"/>
  <c r="M486" i="8"/>
  <c r="L486" i="8"/>
  <c r="O485" i="8"/>
  <c r="N485" i="8"/>
  <c r="M485" i="8"/>
  <c r="L485" i="8"/>
  <c r="O484" i="8"/>
  <c r="N484" i="8"/>
  <c r="M484" i="8"/>
  <c r="L484" i="8"/>
  <c r="O483" i="8"/>
  <c r="N483" i="8"/>
  <c r="M483" i="8"/>
  <c r="S483" i="8"/>
  <c r="L483" i="8"/>
  <c r="Q483" i="8" s="1"/>
  <c r="O482" i="8"/>
  <c r="N482" i="8"/>
  <c r="M482" i="8"/>
  <c r="L482" i="8"/>
  <c r="O481" i="8"/>
  <c r="N481" i="8"/>
  <c r="M481" i="8"/>
  <c r="Q481" i="8" s="1"/>
  <c r="L481" i="8"/>
  <c r="O480" i="8"/>
  <c r="N480" i="8"/>
  <c r="M480" i="8"/>
  <c r="L480" i="8"/>
  <c r="O479" i="8"/>
  <c r="N479" i="8"/>
  <c r="M479" i="8"/>
  <c r="S479" i="8"/>
  <c r="L479" i="8"/>
  <c r="O478" i="8"/>
  <c r="N478" i="8"/>
  <c r="M478" i="8"/>
  <c r="L478" i="8"/>
  <c r="Q478" i="8" s="1"/>
  <c r="O477" i="8"/>
  <c r="N477" i="8"/>
  <c r="M477" i="8"/>
  <c r="L477" i="8"/>
  <c r="O476" i="8"/>
  <c r="N476" i="8"/>
  <c r="M476" i="8"/>
  <c r="L476" i="8"/>
  <c r="O475" i="8"/>
  <c r="N475" i="8"/>
  <c r="M475" i="8"/>
  <c r="L475" i="8"/>
  <c r="O474" i="8"/>
  <c r="N474" i="8"/>
  <c r="M474" i="8"/>
  <c r="L474" i="8"/>
  <c r="O473" i="8"/>
  <c r="N473" i="8"/>
  <c r="M473" i="8"/>
  <c r="L473" i="8"/>
  <c r="O472" i="8"/>
  <c r="N472" i="8"/>
  <c r="M472" i="8"/>
  <c r="L472" i="8"/>
  <c r="O471" i="8"/>
  <c r="N471" i="8"/>
  <c r="S471" i="8" s="1"/>
  <c r="M471" i="8"/>
  <c r="L471" i="8"/>
  <c r="Q471" i="8"/>
  <c r="O470" i="8"/>
  <c r="N470" i="8"/>
  <c r="M470" i="8"/>
  <c r="S470" i="8"/>
  <c r="L470" i="8"/>
  <c r="O469" i="8"/>
  <c r="N469" i="8"/>
  <c r="M469" i="8"/>
  <c r="L469" i="8"/>
  <c r="O468" i="8"/>
  <c r="N468" i="8"/>
  <c r="M468" i="8"/>
  <c r="L468" i="8"/>
  <c r="O467" i="8"/>
  <c r="N467" i="8"/>
  <c r="M467" i="8"/>
  <c r="L467" i="8"/>
  <c r="O466" i="8"/>
  <c r="N466" i="8"/>
  <c r="M466" i="8"/>
  <c r="L466" i="8"/>
  <c r="O465" i="8"/>
  <c r="N465" i="8"/>
  <c r="M465" i="8"/>
  <c r="L465" i="8"/>
  <c r="O464" i="8"/>
  <c r="N464" i="8"/>
  <c r="M464" i="8"/>
  <c r="Q464" i="8" s="1"/>
  <c r="L464" i="8"/>
  <c r="O463" i="8"/>
  <c r="N463" i="8"/>
  <c r="M463" i="8"/>
  <c r="L463" i="8"/>
  <c r="O462" i="8"/>
  <c r="N462" i="8"/>
  <c r="M462" i="8"/>
  <c r="L462" i="8"/>
  <c r="O461" i="8"/>
  <c r="N461" i="8"/>
  <c r="M461" i="8"/>
  <c r="S461" i="8" s="1"/>
  <c r="L461" i="8"/>
  <c r="O460" i="8"/>
  <c r="N460" i="8"/>
  <c r="M460" i="8"/>
  <c r="L460" i="8"/>
  <c r="O459" i="8"/>
  <c r="N459" i="8"/>
  <c r="M459" i="8"/>
  <c r="L459" i="8"/>
  <c r="O458" i="8"/>
  <c r="N458" i="8"/>
  <c r="M458" i="8"/>
  <c r="L458" i="8"/>
  <c r="O457" i="8"/>
  <c r="N457" i="8"/>
  <c r="M457" i="8"/>
  <c r="L457" i="8"/>
  <c r="O456" i="8"/>
  <c r="N456" i="8"/>
  <c r="M456" i="8"/>
  <c r="L456" i="8"/>
  <c r="O455" i="8"/>
  <c r="N455" i="8"/>
  <c r="M455" i="8"/>
  <c r="L455" i="8"/>
  <c r="O454" i="8"/>
  <c r="N454" i="8"/>
  <c r="M454" i="8"/>
  <c r="L454" i="8"/>
  <c r="O453" i="8"/>
  <c r="N453" i="8"/>
  <c r="M453" i="8"/>
  <c r="L453" i="8"/>
  <c r="O452" i="8"/>
  <c r="N452" i="8"/>
  <c r="M452" i="8"/>
  <c r="L452" i="8"/>
  <c r="O451" i="8"/>
  <c r="N451" i="8"/>
  <c r="M451" i="8"/>
  <c r="L451" i="8"/>
  <c r="O450" i="8"/>
  <c r="N450" i="8"/>
  <c r="S450" i="8" s="1"/>
  <c r="M450" i="8"/>
  <c r="L450" i="8"/>
  <c r="O449" i="8"/>
  <c r="N449" i="8"/>
  <c r="M449" i="8"/>
  <c r="L449" i="8"/>
  <c r="O448" i="8"/>
  <c r="N448" i="8"/>
  <c r="M448" i="8"/>
  <c r="L448" i="8"/>
  <c r="O447" i="8"/>
  <c r="N447" i="8"/>
  <c r="M447" i="8"/>
  <c r="L447" i="8"/>
  <c r="O446" i="8"/>
  <c r="N446" i="8"/>
  <c r="M446" i="8"/>
  <c r="L446" i="8"/>
  <c r="Q446" i="8"/>
  <c r="O445" i="8"/>
  <c r="N445" i="8"/>
  <c r="M445" i="8"/>
  <c r="L445" i="8"/>
  <c r="O444" i="8"/>
  <c r="N444" i="8"/>
  <c r="M444" i="8"/>
  <c r="L444" i="8"/>
  <c r="O443" i="8"/>
  <c r="N443" i="8"/>
  <c r="M443" i="8"/>
  <c r="L443" i="8"/>
  <c r="O442" i="8"/>
  <c r="N442" i="8"/>
  <c r="M442" i="8"/>
  <c r="L442" i="8"/>
  <c r="O441" i="8"/>
  <c r="N441" i="8"/>
  <c r="M441" i="8"/>
  <c r="L441" i="8"/>
  <c r="O440" i="8"/>
  <c r="N440" i="8"/>
  <c r="M440" i="8"/>
  <c r="S440" i="8"/>
  <c r="L440" i="8"/>
  <c r="Q440" i="8" s="1"/>
  <c r="O439" i="8"/>
  <c r="N439" i="8"/>
  <c r="M439" i="8"/>
  <c r="L439" i="8"/>
  <c r="O438" i="8"/>
  <c r="N438" i="8"/>
  <c r="M438" i="8"/>
  <c r="L438" i="8"/>
  <c r="O437" i="8"/>
  <c r="N437" i="8"/>
  <c r="M437" i="8"/>
  <c r="L437" i="8"/>
  <c r="O436" i="8"/>
  <c r="N436" i="8"/>
  <c r="M436" i="8"/>
  <c r="L436" i="8"/>
  <c r="O435" i="8"/>
  <c r="N435" i="8"/>
  <c r="M435" i="8"/>
  <c r="L435" i="8"/>
  <c r="O434" i="8"/>
  <c r="N434" i="8"/>
  <c r="M434" i="8"/>
  <c r="L434" i="8"/>
  <c r="O433" i="8"/>
  <c r="N433" i="8"/>
  <c r="M433" i="8"/>
  <c r="L433" i="8"/>
  <c r="O432" i="8"/>
  <c r="N432" i="8"/>
  <c r="M432" i="8"/>
  <c r="L432" i="8"/>
  <c r="O431" i="8"/>
  <c r="N431" i="8"/>
  <c r="M431" i="8"/>
  <c r="L431" i="8"/>
  <c r="O430" i="8"/>
  <c r="N430" i="8"/>
  <c r="M430" i="8"/>
  <c r="L430" i="8"/>
  <c r="Q430" i="8" s="1"/>
  <c r="O429" i="8"/>
  <c r="N429" i="8"/>
  <c r="M429" i="8"/>
  <c r="L429" i="8"/>
  <c r="O428" i="8"/>
  <c r="N428" i="8"/>
  <c r="M428" i="8"/>
  <c r="L428" i="8"/>
  <c r="O427" i="8"/>
  <c r="N427" i="8"/>
  <c r="M427" i="8"/>
  <c r="L427" i="8"/>
  <c r="O426" i="8"/>
  <c r="N426" i="8"/>
  <c r="M426" i="8"/>
  <c r="L426" i="8"/>
  <c r="O425" i="8"/>
  <c r="N425" i="8"/>
  <c r="M425" i="8"/>
  <c r="L425" i="8"/>
  <c r="Q425" i="8"/>
  <c r="O424" i="8"/>
  <c r="N424" i="8"/>
  <c r="M424" i="8"/>
  <c r="L424" i="8"/>
  <c r="O423" i="8"/>
  <c r="N423" i="8"/>
  <c r="M423" i="8"/>
  <c r="L423" i="8"/>
  <c r="O422" i="8"/>
  <c r="N422" i="8"/>
  <c r="M422" i="8"/>
  <c r="L422" i="8"/>
  <c r="O421" i="8"/>
  <c r="N421" i="8"/>
  <c r="M421" i="8"/>
  <c r="L421" i="8"/>
  <c r="O420" i="8"/>
  <c r="N420" i="8"/>
  <c r="M420" i="8"/>
  <c r="L420" i="8"/>
  <c r="O419" i="8"/>
  <c r="N419" i="8"/>
  <c r="M419" i="8"/>
  <c r="S419" i="8"/>
  <c r="L419" i="8"/>
  <c r="Q419" i="8" s="1"/>
  <c r="O418" i="8"/>
  <c r="N418" i="8"/>
  <c r="M418" i="8"/>
  <c r="L418" i="8"/>
  <c r="O417" i="8"/>
  <c r="N417" i="8"/>
  <c r="M417" i="8"/>
  <c r="L417" i="8"/>
  <c r="O416" i="8"/>
  <c r="N416" i="8"/>
  <c r="M416" i="8"/>
  <c r="L416" i="8"/>
  <c r="O415" i="8"/>
  <c r="N415" i="8"/>
  <c r="M415" i="8"/>
  <c r="L415" i="8"/>
  <c r="O414" i="8"/>
  <c r="N414" i="8"/>
  <c r="S414" i="8" s="1"/>
  <c r="M414" i="8"/>
  <c r="L414" i="8"/>
  <c r="O413" i="8"/>
  <c r="N413" i="8"/>
  <c r="M413" i="8"/>
  <c r="L413" i="8"/>
  <c r="O412" i="8"/>
  <c r="N412" i="8"/>
  <c r="S412" i="8" s="1"/>
  <c r="M412" i="8"/>
  <c r="L412" i="8"/>
  <c r="Q412" i="8"/>
  <c r="O411" i="8"/>
  <c r="N411" i="8"/>
  <c r="M411" i="8"/>
  <c r="L411" i="8"/>
  <c r="O410" i="8"/>
  <c r="N410" i="8"/>
  <c r="M410" i="8"/>
  <c r="L410" i="8"/>
  <c r="O409" i="8"/>
  <c r="N409" i="8"/>
  <c r="M409" i="8"/>
  <c r="L409" i="8"/>
  <c r="O408" i="8"/>
  <c r="N408" i="8"/>
  <c r="M408" i="8"/>
  <c r="L408" i="8"/>
  <c r="O407" i="8"/>
  <c r="N407" i="8"/>
  <c r="M407" i="8"/>
  <c r="L407" i="8"/>
  <c r="O406" i="8"/>
  <c r="N406" i="8"/>
  <c r="M406" i="8"/>
  <c r="S406" i="8"/>
  <c r="L406" i="8"/>
  <c r="Q406" i="8" s="1"/>
  <c r="O405" i="8"/>
  <c r="N405" i="8"/>
  <c r="M405" i="8"/>
  <c r="L405" i="8"/>
  <c r="O404" i="8"/>
  <c r="N404" i="8"/>
  <c r="M404" i="8"/>
  <c r="L404" i="8"/>
  <c r="O403" i="8"/>
  <c r="N403" i="8"/>
  <c r="M403" i="8"/>
  <c r="L403" i="8"/>
  <c r="O402" i="8"/>
  <c r="N402" i="8"/>
  <c r="M402" i="8"/>
  <c r="L402" i="8"/>
  <c r="O401" i="8"/>
  <c r="N401" i="8"/>
  <c r="M401" i="8"/>
  <c r="L401" i="8"/>
  <c r="O400" i="8"/>
  <c r="N400" i="8"/>
  <c r="M400" i="8"/>
  <c r="L400" i="8"/>
  <c r="O399" i="8"/>
  <c r="N399" i="8"/>
  <c r="M399" i="8"/>
  <c r="L399" i="8"/>
  <c r="O398" i="8"/>
  <c r="N398" i="8"/>
  <c r="M398" i="8"/>
  <c r="L398" i="8"/>
  <c r="O397" i="8"/>
  <c r="N397" i="8"/>
  <c r="M397" i="8"/>
  <c r="L397" i="8"/>
  <c r="O396" i="8"/>
  <c r="N396" i="8"/>
  <c r="M396" i="8"/>
  <c r="L396" i="8"/>
  <c r="O395" i="8"/>
  <c r="N395" i="8"/>
  <c r="M395" i="8"/>
  <c r="L395" i="8"/>
  <c r="O394" i="8"/>
  <c r="N394" i="8"/>
  <c r="M394" i="8"/>
  <c r="L394" i="8"/>
  <c r="O393" i="8"/>
  <c r="N393" i="8"/>
  <c r="M393" i="8"/>
  <c r="L393" i="8"/>
  <c r="O392" i="8"/>
  <c r="N392" i="8"/>
  <c r="M392" i="8"/>
  <c r="L392" i="8"/>
  <c r="O391" i="8"/>
  <c r="N391" i="8"/>
  <c r="M391" i="8"/>
  <c r="L391" i="8"/>
  <c r="O390" i="8"/>
  <c r="N390" i="8"/>
  <c r="M390" i="8"/>
  <c r="L390" i="8"/>
  <c r="O389" i="8"/>
  <c r="N389" i="8"/>
  <c r="M389" i="8"/>
  <c r="L389" i="8"/>
  <c r="O388" i="8"/>
  <c r="N388" i="8"/>
  <c r="M388" i="8"/>
  <c r="L388" i="8"/>
  <c r="O387" i="8"/>
  <c r="N387" i="8"/>
  <c r="M387" i="8"/>
  <c r="L387" i="8"/>
  <c r="O386" i="8"/>
  <c r="N386" i="8"/>
  <c r="M386" i="8"/>
  <c r="L386" i="8"/>
  <c r="O385" i="8"/>
  <c r="N385" i="8"/>
  <c r="M385" i="8"/>
  <c r="L385" i="8"/>
  <c r="O384" i="8"/>
  <c r="N384" i="8"/>
  <c r="M384" i="8"/>
  <c r="L384" i="8"/>
  <c r="O383" i="8"/>
  <c r="N383" i="8"/>
  <c r="M383" i="8"/>
  <c r="L383" i="8"/>
  <c r="O382" i="8"/>
  <c r="N382" i="8"/>
  <c r="M382" i="8"/>
  <c r="L382" i="8"/>
  <c r="O381" i="8"/>
  <c r="N381" i="8"/>
  <c r="M381" i="8"/>
  <c r="L381" i="8"/>
  <c r="O380" i="8"/>
  <c r="N380" i="8"/>
  <c r="S380" i="8" s="1"/>
  <c r="M380" i="8"/>
  <c r="L380" i="8"/>
  <c r="Q380" i="8" s="1"/>
  <c r="O379" i="8"/>
  <c r="N379" i="8"/>
  <c r="M379" i="8"/>
  <c r="S379" i="8" s="1"/>
  <c r="L379" i="8"/>
  <c r="O378" i="8"/>
  <c r="N378" i="8"/>
  <c r="M378" i="8"/>
  <c r="L378" i="8"/>
  <c r="O377" i="8"/>
  <c r="N377" i="8"/>
  <c r="M377" i="8"/>
  <c r="L377" i="8"/>
  <c r="O376" i="8"/>
  <c r="N376" i="8"/>
  <c r="M376" i="8"/>
  <c r="L376" i="8"/>
  <c r="O375" i="8"/>
  <c r="N375" i="8"/>
  <c r="M375" i="8"/>
  <c r="L375" i="8"/>
  <c r="O374" i="8"/>
  <c r="N374" i="8"/>
  <c r="M374" i="8"/>
  <c r="L374" i="8"/>
  <c r="O373" i="8"/>
  <c r="N373" i="8"/>
  <c r="M373" i="8"/>
  <c r="L373" i="8"/>
  <c r="O372" i="8"/>
  <c r="N372" i="8"/>
  <c r="M372" i="8"/>
  <c r="L372" i="8"/>
  <c r="O371" i="8"/>
  <c r="N371" i="8"/>
  <c r="M371" i="8"/>
  <c r="L371" i="8"/>
  <c r="O370" i="8"/>
  <c r="N370" i="8"/>
  <c r="M370" i="8"/>
  <c r="L370" i="8"/>
  <c r="O369" i="8"/>
  <c r="N369" i="8"/>
  <c r="M369" i="8"/>
  <c r="L369" i="8"/>
  <c r="O368" i="8"/>
  <c r="N368" i="8"/>
  <c r="M368" i="8"/>
  <c r="L368" i="8"/>
  <c r="O367" i="8"/>
  <c r="N367" i="8"/>
  <c r="M367" i="8"/>
  <c r="L367" i="8"/>
  <c r="O366" i="8"/>
  <c r="N366" i="8"/>
  <c r="M366" i="8"/>
  <c r="L366" i="8"/>
  <c r="O365" i="8"/>
  <c r="N365" i="8"/>
  <c r="M365" i="8"/>
  <c r="L365" i="8"/>
  <c r="Q365" i="8"/>
  <c r="O364" i="8"/>
  <c r="N364" i="8"/>
  <c r="M364" i="8"/>
  <c r="L364" i="8"/>
  <c r="O363" i="8"/>
  <c r="N363" i="8"/>
  <c r="M363" i="8"/>
  <c r="L363" i="8"/>
  <c r="O362" i="8"/>
  <c r="N362" i="8"/>
  <c r="M362" i="8"/>
  <c r="L362" i="8"/>
  <c r="O361" i="8"/>
  <c r="N361" i="8"/>
  <c r="M361" i="8"/>
  <c r="L361" i="8"/>
  <c r="O360" i="8"/>
  <c r="N360" i="8"/>
  <c r="M360" i="8"/>
  <c r="S360" i="8"/>
  <c r="L360" i="8"/>
  <c r="Q360" i="8" s="1"/>
  <c r="O359" i="8"/>
  <c r="N359" i="8"/>
  <c r="M359" i="8"/>
  <c r="L359" i="8"/>
  <c r="O358" i="8"/>
  <c r="N358" i="8"/>
  <c r="M358" i="8"/>
  <c r="L358" i="8"/>
  <c r="O357" i="8"/>
  <c r="N357" i="8"/>
  <c r="M357" i="8"/>
  <c r="L357" i="8"/>
  <c r="O356" i="8"/>
  <c r="N356" i="8"/>
  <c r="M356" i="8"/>
  <c r="L356" i="8"/>
  <c r="Q356" i="8"/>
  <c r="O355" i="8"/>
  <c r="N355" i="8"/>
  <c r="M355" i="8"/>
  <c r="L355" i="8"/>
  <c r="O354" i="8"/>
  <c r="N354" i="8"/>
  <c r="M354" i="8"/>
  <c r="L354" i="8"/>
  <c r="O353" i="8"/>
  <c r="N353" i="8"/>
  <c r="M353" i="8"/>
  <c r="L353" i="8"/>
  <c r="O352" i="8"/>
  <c r="N352" i="8"/>
  <c r="M352" i="8"/>
  <c r="L352" i="8"/>
  <c r="O351" i="8"/>
  <c r="N351" i="8"/>
  <c r="M351" i="8"/>
  <c r="L351" i="8"/>
  <c r="O350" i="8"/>
  <c r="N350" i="8"/>
  <c r="M350" i="8"/>
  <c r="L350" i="8"/>
  <c r="O349" i="8"/>
  <c r="N349" i="8"/>
  <c r="M349" i="8"/>
  <c r="L349" i="8"/>
  <c r="O348" i="8"/>
  <c r="N348" i="8"/>
  <c r="M348" i="8"/>
  <c r="L348" i="8"/>
  <c r="O347" i="8"/>
  <c r="N347" i="8"/>
  <c r="M347" i="8"/>
  <c r="L347" i="8"/>
  <c r="O346" i="8"/>
  <c r="N346" i="8"/>
  <c r="M346" i="8"/>
  <c r="S346" i="8"/>
  <c r="L346" i="8"/>
  <c r="Q346" i="8" s="1"/>
  <c r="O345" i="8"/>
  <c r="N345" i="8"/>
  <c r="M345" i="8"/>
  <c r="L345" i="8"/>
  <c r="O344" i="8"/>
  <c r="N344" i="8"/>
  <c r="M344" i="8"/>
  <c r="L344" i="8"/>
  <c r="O343" i="8"/>
  <c r="N343" i="8"/>
  <c r="S343" i="8" s="1"/>
  <c r="M343" i="8"/>
  <c r="L343" i="8"/>
  <c r="O342" i="8"/>
  <c r="N342" i="8"/>
  <c r="M342" i="8"/>
  <c r="L342" i="8"/>
  <c r="O341" i="8"/>
  <c r="N341" i="8"/>
  <c r="M341" i="8"/>
  <c r="L341" i="8"/>
  <c r="O340" i="8"/>
  <c r="N340" i="8"/>
  <c r="M340" i="8"/>
  <c r="S340" i="8"/>
  <c r="L340" i="8"/>
  <c r="Q340" i="8" s="1"/>
  <c r="O339" i="8"/>
  <c r="N339" i="8"/>
  <c r="M339" i="8"/>
  <c r="L339" i="8"/>
  <c r="O338" i="8"/>
  <c r="N338" i="8"/>
  <c r="M338" i="8"/>
  <c r="L338" i="8"/>
  <c r="O337" i="8"/>
  <c r="N337" i="8"/>
  <c r="M337" i="8"/>
  <c r="L337" i="8"/>
  <c r="O336" i="8"/>
  <c r="N336" i="8"/>
  <c r="M336" i="8"/>
  <c r="L336" i="8"/>
  <c r="O335" i="8"/>
  <c r="N335" i="8"/>
  <c r="M335" i="8"/>
  <c r="L335" i="8"/>
  <c r="O334" i="8"/>
  <c r="N334" i="8"/>
  <c r="S334" i="8" s="1"/>
  <c r="M334" i="8"/>
  <c r="L334" i="8"/>
  <c r="O333" i="8"/>
  <c r="N333" i="8"/>
  <c r="M333" i="8"/>
  <c r="L333" i="8"/>
  <c r="O332" i="8"/>
  <c r="N332" i="8"/>
  <c r="M332" i="8"/>
  <c r="L332" i="8"/>
  <c r="O331" i="8"/>
  <c r="N331" i="8"/>
  <c r="M331" i="8"/>
  <c r="L331" i="8"/>
  <c r="O330" i="8"/>
  <c r="N330" i="8"/>
  <c r="M330" i="8"/>
  <c r="L330" i="8"/>
  <c r="O329" i="8"/>
  <c r="T329" i="8" s="1"/>
  <c r="N329" i="8"/>
  <c r="S329" i="8" s="1"/>
  <c r="M329" i="8"/>
  <c r="L329" i="8"/>
  <c r="Q329" i="8"/>
  <c r="O328" i="8"/>
  <c r="N328" i="8"/>
  <c r="M328" i="8"/>
  <c r="S328" i="8"/>
  <c r="L328" i="8"/>
  <c r="Q328" i="8" s="1"/>
  <c r="O327" i="8"/>
  <c r="N327" i="8"/>
  <c r="S327" i="8" s="1"/>
  <c r="M327" i="8"/>
  <c r="L327" i="8"/>
  <c r="Q327" i="8" s="1"/>
  <c r="O326" i="8"/>
  <c r="N326" i="8"/>
  <c r="M326" i="8"/>
  <c r="L326" i="8"/>
  <c r="O325" i="8"/>
  <c r="N325" i="8"/>
  <c r="M325" i="8"/>
  <c r="L325" i="8"/>
  <c r="O324" i="8"/>
  <c r="N324" i="8"/>
  <c r="M324" i="8"/>
  <c r="L324" i="8"/>
  <c r="O323" i="8"/>
  <c r="N323" i="8"/>
  <c r="M323" i="8"/>
  <c r="L323" i="8"/>
  <c r="O322" i="8"/>
  <c r="N322" i="8"/>
  <c r="M322" i="8"/>
  <c r="L322" i="8"/>
  <c r="O321" i="8"/>
  <c r="N321" i="8"/>
  <c r="M321" i="8"/>
  <c r="L321" i="8"/>
  <c r="O320" i="8"/>
  <c r="N320" i="8"/>
  <c r="M320" i="8"/>
  <c r="L320" i="8"/>
  <c r="O319" i="8"/>
  <c r="N319" i="8"/>
  <c r="M319" i="8"/>
  <c r="L319" i="8"/>
  <c r="O318" i="8"/>
  <c r="N318" i="8"/>
  <c r="M318" i="8"/>
  <c r="L318" i="8"/>
  <c r="O317" i="8"/>
  <c r="N317" i="8"/>
  <c r="M317" i="8"/>
  <c r="L317" i="8"/>
  <c r="O316" i="8"/>
  <c r="N316" i="8"/>
  <c r="M316" i="8"/>
  <c r="L316" i="8"/>
  <c r="O315" i="8"/>
  <c r="N315" i="8"/>
  <c r="M315" i="8"/>
  <c r="L315" i="8"/>
  <c r="O314" i="8"/>
  <c r="N314" i="8"/>
  <c r="M314" i="8"/>
  <c r="L314" i="8"/>
  <c r="O313" i="8"/>
  <c r="N313" i="8"/>
  <c r="M313" i="8"/>
  <c r="L313" i="8"/>
  <c r="O312" i="8"/>
  <c r="N312" i="8"/>
  <c r="M312" i="8"/>
  <c r="L312" i="8"/>
  <c r="O311" i="8"/>
  <c r="N311" i="8"/>
  <c r="M311" i="8"/>
  <c r="L311" i="8"/>
  <c r="O310" i="8"/>
  <c r="N310" i="8"/>
  <c r="M310" i="8"/>
  <c r="L310" i="8"/>
  <c r="O309" i="8"/>
  <c r="N309" i="8"/>
  <c r="M309" i="8"/>
  <c r="L309" i="8"/>
  <c r="O308" i="8"/>
  <c r="N308" i="8"/>
  <c r="M308" i="8"/>
  <c r="L308" i="8"/>
  <c r="O307" i="8"/>
  <c r="N307" i="8"/>
  <c r="M307" i="8"/>
  <c r="L307" i="8"/>
  <c r="O306" i="8"/>
  <c r="N306" i="8"/>
  <c r="S306" i="8" s="1"/>
  <c r="M306" i="8"/>
  <c r="Q306" i="8" s="1"/>
  <c r="L306" i="8"/>
  <c r="O305" i="8"/>
  <c r="N305" i="8"/>
  <c r="M305" i="8"/>
  <c r="S305" i="8"/>
  <c r="L305" i="8"/>
  <c r="Q305" i="8" s="1"/>
  <c r="O304" i="8"/>
  <c r="N304" i="8"/>
  <c r="M304" i="8"/>
  <c r="S304" i="8"/>
  <c r="L304" i="8"/>
  <c r="Q304" i="8" s="1"/>
  <c r="O303" i="8"/>
  <c r="N303" i="8"/>
  <c r="M303" i="8"/>
  <c r="L303" i="8"/>
  <c r="O302" i="8"/>
  <c r="N302" i="8"/>
  <c r="M302" i="8"/>
  <c r="L302" i="8"/>
  <c r="O301" i="8"/>
  <c r="N301" i="8"/>
  <c r="S301" i="8" s="1"/>
  <c r="M301" i="8"/>
  <c r="L301" i="8"/>
  <c r="O300" i="8"/>
  <c r="N300" i="8"/>
  <c r="M300" i="8"/>
  <c r="L300" i="8"/>
  <c r="O299" i="8"/>
  <c r="N299" i="8"/>
  <c r="M299" i="8"/>
  <c r="L299" i="8"/>
  <c r="O298" i="8"/>
  <c r="N298" i="8"/>
  <c r="M298" i="8"/>
  <c r="L298" i="8"/>
  <c r="O297" i="8"/>
  <c r="N297" i="8"/>
  <c r="M297" i="8"/>
  <c r="L297" i="8"/>
  <c r="O296" i="8"/>
  <c r="N296" i="8"/>
  <c r="M296" i="8"/>
  <c r="L296" i="8"/>
  <c r="O295" i="8"/>
  <c r="N295" i="8"/>
  <c r="M295" i="8"/>
  <c r="L295" i="8"/>
  <c r="O294" i="8"/>
  <c r="N294" i="8"/>
  <c r="M294" i="8"/>
  <c r="L294" i="8"/>
  <c r="O293" i="8"/>
  <c r="N293" i="8"/>
  <c r="M293" i="8"/>
  <c r="L293" i="8"/>
  <c r="O292" i="8"/>
  <c r="N292" i="8"/>
  <c r="M292" i="8"/>
  <c r="S292" i="8"/>
  <c r="L292" i="8"/>
  <c r="O291" i="8"/>
  <c r="N291" i="8"/>
  <c r="M291" i="8"/>
  <c r="L291" i="8"/>
  <c r="O290" i="8"/>
  <c r="N290" i="8"/>
  <c r="M290" i="8"/>
  <c r="L290" i="8"/>
  <c r="O289" i="8"/>
  <c r="N289" i="8"/>
  <c r="M289" i="8"/>
  <c r="S289" i="8" s="1"/>
  <c r="L289" i="8"/>
  <c r="O288" i="8"/>
  <c r="N288" i="8"/>
  <c r="M288" i="8"/>
  <c r="L288" i="8"/>
  <c r="O287" i="8"/>
  <c r="N287" i="8"/>
  <c r="M287" i="8"/>
  <c r="L287" i="8"/>
  <c r="O286" i="8"/>
  <c r="N286" i="8"/>
  <c r="M286" i="8"/>
  <c r="L286" i="8"/>
  <c r="O285" i="8"/>
  <c r="N285" i="8"/>
  <c r="M285" i="8"/>
  <c r="L285" i="8"/>
  <c r="O284" i="8"/>
  <c r="N284" i="8"/>
  <c r="M284" i="8"/>
  <c r="L284" i="8"/>
  <c r="O283" i="8"/>
  <c r="N283" i="8"/>
  <c r="M283" i="8"/>
  <c r="L283" i="8"/>
  <c r="O282" i="8"/>
  <c r="N282" i="8"/>
  <c r="M282" i="8"/>
  <c r="L282" i="8"/>
  <c r="O281" i="8"/>
  <c r="N281" i="8"/>
  <c r="M281" i="8"/>
  <c r="L281" i="8"/>
  <c r="O280" i="8"/>
  <c r="N280" i="8"/>
  <c r="M280" i="8"/>
  <c r="L280" i="8"/>
  <c r="O279" i="8"/>
  <c r="N279" i="8"/>
  <c r="S279" i="8" s="1"/>
  <c r="M279" i="8"/>
  <c r="L279" i="8"/>
  <c r="Q279" i="8"/>
  <c r="O278" i="8"/>
  <c r="N278" i="8"/>
  <c r="M278" i="8"/>
  <c r="S278" i="8"/>
  <c r="L278" i="8"/>
  <c r="O277" i="8"/>
  <c r="N277" i="8"/>
  <c r="M277" i="8"/>
  <c r="L277" i="8"/>
  <c r="O276" i="8"/>
  <c r="N276" i="8"/>
  <c r="M276" i="8"/>
  <c r="L276" i="8"/>
  <c r="O275" i="8"/>
  <c r="N275" i="8"/>
  <c r="M275" i="8"/>
  <c r="L275" i="8"/>
  <c r="O274" i="8"/>
  <c r="N274" i="8"/>
  <c r="M274" i="8"/>
  <c r="L274" i="8"/>
  <c r="O273" i="8"/>
  <c r="N273" i="8"/>
  <c r="M273" i="8"/>
  <c r="L273" i="8"/>
  <c r="O272" i="8"/>
  <c r="N272" i="8"/>
  <c r="M272" i="8"/>
  <c r="L272" i="8"/>
  <c r="O271" i="8"/>
  <c r="N271" i="8"/>
  <c r="M271" i="8"/>
  <c r="L271" i="8"/>
  <c r="O270" i="8"/>
  <c r="N270" i="8"/>
  <c r="M270" i="8"/>
  <c r="L270" i="8"/>
  <c r="O269" i="8"/>
  <c r="N269" i="8"/>
  <c r="M269" i="8"/>
  <c r="L269" i="8"/>
  <c r="Q269" i="8" s="1"/>
  <c r="O268" i="8"/>
  <c r="N268" i="8"/>
  <c r="M268" i="8"/>
  <c r="L268" i="8"/>
  <c r="O267" i="8"/>
  <c r="N267" i="8"/>
  <c r="M267" i="8"/>
  <c r="L267" i="8"/>
  <c r="O266" i="8"/>
  <c r="N266" i="8"/>
  <c r="M266" i="8"/>
  <c r="L266" i="8"/>
  <c r="O265" i="8"/>
  <c r="N265" i="8"/>
  <c r="M265" i="8"/>
  <c r="S265" i="8" s="1"/>
  <c r="L265" i="8"/>
  <c r="Q265" i="8" s="1"/>
  <c r="O264" i="8"/>
  <c r="N264" i="8"/>
  <c r="M264" i="8"/>
  <c r="L264" i="8"/>
  <c r="O263" i="8"/>
  <c r="N263" i="8"/>
  <c r="M263" i="8"/>
  <c r="L263" i="8"/>
  <c r="O262" i="8"/>
  <c r="N262" i="8"/>
  <c r="S262" i="8" s="1"/>
  <c r="M262" i="8"/>
  <c r="L262" i="8"/>
  <c r="Q262" i="8" s="1"/>
  <c r="O261" i="8"/>
  <c r="N261" i="8"/>
  <c r="M261" i="8"/>
  <c r="L261" i="8"/>
  <c r="O260" i="8"/>
  <c r="N260" i="8"/>
  <c r="M260" i="8"/>
  <c r="L260" i="8"/>
  <c r="O259" i="8"/>
  <c r="N259" i="8"/>
  <c r="M259" i="8"/>
  <c r="L259" i="8"/>
  <c r="O258" i="8"/>
  <c r="N258" i="8"/>
  <c r="M258" i="8"/>
  <c r="Q258" i="8" s="1"/>
  <c r="L258" i="8"/>
  <c r="O257" i="8"/>
  <c r="N257" i="8"/>
  <c r="M257" i="8"/>
  <c r="S257" i="8"/>
  <c r="L257" i="8"/>
  <c r="O256" i="8"/>
  <c r="N256" i="8"/>
  <c r="M256" i="8"/>
  <c r="L256" i="8"/>
  <c r="O255" i="8"/>
  <c r="N255" i="8"/>
  <c r="M255" i="8"/>
  <c r="L255" i="8"/>
  <c r="O254" i="8"/>
  <c r="N254" i="8"/>
  <c r="M254" i="8"/>
  <c r="L254" i="8"/>
  <c r="O253" i="8"/>
  <c r="N253" i="8"/>
  <c r="M253" i="8"/>
  <c r="L253" i="8"/>
  <c r="O252" i="8"/>
  <c r="N252" i="8"/>
  <c r="M252" i="8"/>
  <c r="L252" i="8"/>
  <c r="O251" i="8"/>
  <c r="N251" i="8"/>
  <c r="S251" i="8" s="1"/>
  <c r="M251" i="8"/>
  <c r="L251" i="8"/>
  <c r="Q251" i="8"/>
  <c r="O250" i="8"/>
  <c r="N250" i="8"/>
  <c r="M250" i="8"/>
  <c r="L250" i="8"/>
  <c r="Q250" i="8" s="1"/>
  <c r="O249" i="8"/>
  <c r="N249" i="8"/>
  <c r="M249" i="8"/>
  <c r="L249" i="8"/>
  <c r="O248" i="8"/>
  <c r="N248" i="8"/>
  <c r="M248" i="8"/>
  <c r="L248" i="8"/>
  <c r="O247" i="8"/>
  <c r="N247" i="8"/>
  <c r="M247" i="8"/>
  <c r="L247" i="8"/>
  <c r="O246" i="8"/>
  <c r="N246" i="8"/>
  <c r="M246" i="8"/>
  <c r="L246" i="8"/>
  <c r="O245" i="8"/>
  <c r="N245" i="8"/>
  <c r="M245" i="8"/>
  <c r="L245" i="8"/>
  <c r="O244" i="8"/>
  <c r="N244" i="8"/>
  <c r="M244" i="8"/>
  <c r="S244" i="8"/>
  <c r="L244" i="8"/>
  <c r="Q244" i="8" s="1"/>
  <c r="O243" i="8"/>
  <c r="N243" i="8"/>
  <c r="S243" i="8" s="1"/>
  <c r="M243" i="8"/>
  <c r="L243" i="8"/>
  <c r="O242" i="8"/>
  <c r="N242" i="8"/>
  <c r="M242" i="8"/>
  <c r="L242" i="8"/>
  <c r="S242" i="8"/>
  <c r="O241" i="8"/>
  <c r="N241" i="8"/>
  <c r="M241" i="8"/>
  <c r="L241" i="8"/>
  <c r="R241" i="8" s="1"/>
  <c r="O240" i="8"/>
  <c r="N240" i="8"/>
  <c r="M240" i="8"/>
  <c r="L240" i="8"/>
  <c r="Q240" i="8" s="1"/>
  <c r="O239" i="8"/>
  <c r="N239" i="8"/>
  <c r="M239" i="8"/>
  <c r="L239" i="8"/>
  <c r="O238" i="8"/>
  <c r="N238" i="8"/>
  <c r="M238" i="8"/>
  <c r="L238" i="8"/>
  <c r="O237" i="8"/>
  <c r="N237" i="8"/>
  <c r="M237" i="8"/>
  <c r="R237" i="8" s="1"/>
  <c r="L237" i="8"/>
  <c r="O236" i="8"/>
  <c r="N236" i="8"/>
  <c r="M236" i="8"/>
  <c r="S236" i="8" s="1"/>
  <c r="L236" i="8"/>
  <c r="O235" i="8"/>
  <c r="N235" i="8"/>
  <c r="M235" i="8"/>
  <c r="L235" i="8"/>
  <c r="O234" i="8"/>
  <c r="N234" i="8"/>
  <c r="S234" i="8" s="1"/>
  <c r="M234" i="8"/>
  <c r="L234" i="8"/>
  <c r="O233" i="8"/>
  <c r="N233" i="8"/>
  <c r="M233" i="8"/>
  <c r="L233" i="8"/>
  <c r="O232" i="8"/>
  <c r="N232" i="8"/>
  <c r="M232" i="8"/>
  <c r="L232" i="8"/>
  <c r="O231" i="8"/>
  <c r="N231" i="8"/>
  <c r="M231" i="8"/>
  <c r="L231" i="8"/>
  <c r="Q231" i="8" s="1"/>
  <c r="O230" i="8"/>
  <c r="N230" i="8"/>
  <c r="M230" i="8"/>
  <c r="L230" i="8"/>
  <c r="O229" i="8"/>
  <c r="N229" i="8"/>
  <c r="M229" i="8"/>
  <c r="L229" i="8"/>
  <c r="O228" i="8"/>
  <c r="N228" i="8"/>
  <c r="M228" i="8"/>
  <c r="L228" i="8"/>
  <c r="O227" i="8"/>
  <c r="N227" i="8"/>
  <c r="M227" i="8"/>
  <c r="L227" i="8"/>
  <c r="O226" i="8"/>
  <c r="N226" i="8"/>
  <c r="M226" i="8"/>
  <c r="L226" i="8"/>
  <c r="Q226" i="8" s="1"/>
  <c r="O225" i="8"/>
  <c r="N225" i="8"/>
  <c r="S225" i="8" s="1"/>
  <c r="M225" i="8"/>
  <c r="L225" i="8"/>
  <c r="O224" i="8"/>
  <c r="N224" i="8"/>
  <c r="M224" i="8"/>
  <c r="L224" i="8"/>
  <c r="Q224" i="8"/>
  <c r="O223" i="8"/>
  <c r="N223" i="8"/>
  <c r="M223" i="8"/>
  <c r="L223" i="8"/>
  <c r="O222" i="8"/>
  <c r="N222" i="8"/>
  <c r="M222" i="8"/>
  <c r="S222" i="8"/>
  <c r="L222" i="8"/>
  <c r="O221" i="8"/>
  <c r="N221" i="8"/>
  <c r="M221" i="8"/>
  <c r="S221" i="8" s="1"/>
  <c r="L221" i="8"/>
  <c r="O220" i="8"/>
  <c r="N220" i="8"/>
  <c r="M220" i="8"/>
  <c r="L220" i="8"/>
  <c r="O219" i="8"/>
  <c r="N219" i="8"/>
  <c r="M219" i="8"/>
  <c r="L219" i="8"/>
  <c r="O218" i="8"/>
  <c r="N218" i="8"/>
  <c r="M218" i="8"/>
  <c r="L218" i="8"/>
  <c r="O217" i="8"/>
  <c r="N217" i="8"/>
  <c r="M217" i="8"/>
  <c r="L217" i="8"/>
  <c r="O216" i="8"/>
  <c r="N216" i="8"/>
  <c r="M216" i="8"/>
  <c r="L216" i="8"/>
  <c r="O215" i="8"/>
  <c r="N215" i="8"/>
  <c r="M215" i="8"/>
  <c r="Q215" i="8" s="1"/>
  <c r="L215" i="8"/>
  <c r="O214" i="8"/>
  <c r="N214" i="8"/>
  <c r="S214" i="8" s="1"/>
  <c r="M214" i="8"/>
  <c r="L214" i="8"/>
  <c r="O213" i="8"/>
  <c r="N213" i="8"/>
  <c r="M213" i="8"/>
  <c r="L213" i="8"/>
  <c r="O212" i="8"/>
  <c r="N212" i="8"/>
  <c r="M212" i="8"/>
  <c r="L212" i="8"/>
  <c r="O211" i="8"/>
  <c r="N211" i="8"/>
  <c r="M211" i="8"/>
  <c r="L211" i="8"/>
  <c r="O210" i="8"/>
  <c r="N210" i="8"/>
  <c r="M210" i="8"/>
  <c r="L210" i="8"/>
  <c r="O209" i="8"/>
  <c r="N209" i="8"/>
  <c r="M209" i="8"/>
  <c r="L209" i="8"/>
  <c r="O208" i="8"/>
  <c r="N208" i="8"/>
  <c r="M208" i="8"/>
  <c r="L208" i="8"/>
  <c r="O207" i="8"/>
  <c r="N207" i="8"/>
  <c r="M207" i="8"/>
  <c r="S207" i="8"/>
  <c r="L207" i="8"/>
  <c r="Q207" i="8" s="1"/>
  <c r="O206" i="8"/>
  <c r="N206" i="8"/>
  <c r="M206" i="8"/>
  <c r="L206" i="8"/>
  <c r="O205" i="8"/>
  <c r="N205" i="8"/>
  <c r="M205" i="8"/>
  <c r="L205" i="8"/>
  <c r="O204" i="8"/>
  <c r="N204" i="8"/>
  <c r="M204" i="8"/>
  <c r="L204" i="8"/>
  <c r="O203" i="8"/>
  <c r="N203" i="8"/>
  <c r="M203" i="8"/>
  <c r="L203" i="8"/>
  <c r="O202" i="8"/>
  <c r="N202" i="8"/>
  <c r="M202" i="8"/>
  <c r="L202" i="8"/>
  <c r="Q202" i="8" s="1"/>
  <c r="O201" i="8"/>
  <c r="N201" i="8"/>
  <c r="M201" i="8"/>
  <c r="L201" i="8"/>
  <c r="O200" i="8"/>
  <c r="T200" i="8" s="1"/>
  <c r="N200" i="8"/>
  <c r="M200" i="8"/>
  <c r="L200" i="8"/>
  <c r="Q200" i="8"/>
  <c r="O199" i="8"/>
  <c r="N199" i="8"/>
  <c r="M199" i="8"/>
  <c r="S199" i="8"/>
  <c r="L199" i="8"/>
  <c r="Q199" i="8" s="1"/>
  <c r="O198" i="8"/>
  <c r="N198" i="8"/>
  <c r="M198" i="8"/>
  <c r="L198" i="8"/>
  <c r="O197" i="8"/>
  <c r="N197" i="8"/>
  <c r="M197" i="8"/>
  <c r="L197" i="8"/>
  <c r="O196" i="8"/>
  <c r="N196" i="8"/>
  <c r="M196" i="8"/>
  <c r="L196" i="8"/>
  <c r="O195" i="8"/>
  <c r="N195" i="8"/>
  <c r="M195" i="8"/>
  <c r="L195" i="8"/>
  <c r="O194" i="8"/>
  <c r="N194" i="8"/>
  <c r="M194" i="8"/>
  <c r="L194" i="8"/>
  <c r="Q194" i="8"/>
  <c r="O193" i="8"/>
  <c r="N193" i="8"/>
  <c r="M193" i="8"/>
  <c r="L193" i="8"/>
  <c r="O192" i="8"/>
  <c r="N192" i="8"/>
  <c r="M192" i="8"/>
  <c r="L192" i="8"/>
  <c r="O191" i="8"/>
  <c r="N191" i="8"/>
  <c r="M191" i="8"/>
  <c r="S191" i="8"/>
  <c r="L191" i="8"/>
  <c r="Q191" i="8" s="1"/>
  <c r="O190" i="8"/>
  <c r="N190" i="8"/>
  <c r="S190" i="8" s="1"/>
  <c r="M190" i="8"/>
  <c r="L190" i="8"/>
  <c r="Q190" i="8"/>
  <c r="O189" i="8"/>
  <c r="N189" i="8"/>
  <c r="M189" i="8"/>
  <c r="L189" i="8"/>
  <c r="O188" i="8"/>
  <c r="N188" i="8"/>
  <c r="M188" i="8"/>
  <c r="L188" i="8"/>
  <c r="R188" i="8" s="1"/>
  <c r="O187" i="8"/>
  <c r="N187" i="8"/>
  <c r="M187" i="8"/>
  <c r="L187" i="8"/>
  <c r="R187" i="8" s="1"/>
  <c r="O186" i="8"/>
  <c r="N186" i="8"/>
  <c r="M186" i="8"/>
  <c r="L186" i="8"/>
  <c r="R186" i="8" s="1"/>
  <c r="O185" i="8"/>
  <c r="N185" i="8"/>
  <c r="M185" i="8"/>
  <c r="L185" i="8"/>
  <c r="O184" i="8"/>
  <c r="N184" i="8"/>
  <c r="M184" i="8"/>
  <c r="L184" i="8"/>
  <c r="O183" i="8"/>
  <c r="N183" i="8"/>
  <c r="M183" i="8"/>
  <c r="L183" i="8"/>
  <c r="O182" i="8"/>
  <c r="N182" i="8"/>
  <c r="M182" i="8"/>
  <c r="L182" i="8"/>
  <c r="R182" i="8" s="1"/>
  <c r="O181" i="8"/>
  <c r="N181" i="8"/>
  <c r="M181" i="8"/>
  <c r="L181" i="8"/>
  <c r="O180" i="8"/>
  <c r="N180" i="8"/>
  <c r="M180" i="8"/>
  <c r="L180" i="8"/>
  <c r="Q180" i="8" s="1"/>
  <c r="O179" i="8"/>
  <c r="N179" i="8"/>
  <c r="M179" i="8"/>
  <c r="L179" i="8"/>
  <c r="O178" i="8"/>
  <c r="N178" i="8"/>
  <c r="M178" i="8"/>
  <c r="L178" i="8"/>
  <c r="O177" i="8"/>
  <c r="N177" i="8"/>
  <c r="M177" i="8"/>
  <c r="L177" i="8"/>
  <c r="O176" i="8"/>
  <c r="N176" i="8"/>
  <c r="M176" i="8"/>
  <c r="L176" i="8"/>
  <c r="O175" i="8"/>
  <c r="N175" i="8"/>
  <c r="M175" i="8"/>
  <c r="L175" i="8"/>
  <c r="O174" i="8"/>
  <c r="N174" i="8"/>
  <c r="M174" i="8"/>
  <c r="L174" i="8"/>
  <c r="O173" i="8"/>
  <c r="N173" i="8"/>
  <c r="M173" i="8"/>
  <c r="L173" i="8"/>
  <c r="O172" i="8"/>
  <c r="N172" i="8"/>
  <c r="M172" i="8"/>
  <c r="L172" i="8"/>
  <c r="O171" i="8"/>
  <c r="N171" i="8"/>
  <c r="M171" i="8"/>
  <c r="L171" i="8"/>
  <c r="O170" i="8"/>
  <c r="N170" i="8"/>
  <c r="M170" i="8"/>
  <c r="L170" i="8"/>
  <c r="O169" i="8"/>
  <c r="N169" i="8"/>
  <c r="M169" i="8"/>
  <c r="L169" i="8"/>
  <c r="O168" i="8"/>
  <c r="N168" i="8"/>
  <c r="M168" i="8"/>
  <c r="L168" i="8"/>
  <c r="O167" i="8"/>
  <c r="N167" i="8"/>
  <c r="M167" i="8"/>
  <c r="L167" i="8"/>
  <c r="O166" i="8"/>
  <c r="N166" i="8"/>
  <c r="M166" i="8"/>
  <c r="L166" i="8"/>
  <c r="O165" i="8"/>
  <c r="N165" i="8"/>
  <c r="M165" i="8"/>
  <c r="L165" i="8"/>
  <c r="O164" i="8"/>
  <c r="N164" i="8"/>
  <c r="M164" i="8"/>
  <c r="L164" i="8"/>
  <c r="O163" i="8"/>
  <c r="N163" i="8"/>
  <c r="M163" i="8"/>
  <c r="L163" i="8"/>
  <c r="O162" i="8"/>
  <c r="N162" i="8"/>
  <c r="M162" i="8"/>
  <c r="L162" i="8"/>
  <c r="O161" i="8"/>
  <c r="N161" i="8"/>
  <c r="M161" i="8"/>
  <c r="L161" i="8"/>
  <c r="O160" i="8"/>
  <c r="N160" i="8"/>
  <c r="M160" i="8"/>
  <c r="L160" i="8"/>
  <c r="O159" i="8"/>
  <c r="N159" i="8"/>
  <c r="M159" i="8"/>
  <c r="L159" i="8"/>
  <c r="O158" i="8"/>
  <c r="N158" i="8"/>
  <c r="M158" i="8"/>
  <c r="L158" i="8"/>
  <c r="O157" i="8"/>
  <c r="N157" i="8"/>
  <c r="M157" i="8"/>
  <c r="L157" i="8"/>
  <c r="O156" i="8"/>
  <c r="N156" i="8"/>
  <c r="M156" i="8"/>
  <c r="L156" i="8"/>
  <c r="O155" i="8"/>
  <c r="N155" i="8"/>
  <c r="M155" i="8"/>
  <c r="L155" i="8"/>
  <c r="O154" i="8"/>
  <c r="N154" i="8"/>
  <c r="M154" i="8"/>
  <c r="L154" i="8"/>
  <c r="O153" i="8"/>
  <c r="N153" i="8"/>
  <c r="M153" i="8"/>
  <c r="L153" i="8"/>
  <c r="O152" i="8"/>
  <c r="N152" i="8"/>
  <c r="M152" i="8"/>
  <c r="L152" i="8"/>
  <c r="O151" i="8"/>
  <c r="N151" i="8"/>
  <c r="M151" i="8"/>
  <c r="L151" i="8"/>
  <c r="O150" i="8"/>
  <c r="N150" i="8"/>
  <c r="M150" i="8"/>
  <c r="L150" i="8"/>
  <c r="O149" i="8"/>
  <c r="N149" i="8"/>
  <c r="M149" i="8"/>
  <c r="L149" i="8"/>
  <c r="O148" i="8"/>
  <c r="N148" i="8"/>
  <c r="M148" i="8"/>
  <c r="L148" i="8"/>
  <c r="R148" i="8" s="1"/>
  <c r="O147" i="8"/>
  <c r="N147" i="8"/>
  <c r="M147" i="8"/>
  <c r="L147" i="8"/>
  <c r="O146" i="8"/>
  <c r="N146" i="8"/>
  <c r="M146" i="8"/>
  <c r="L146" i="8"/>
  <c r="O145" i="8"/>
  <c r="N145" i="8"/>
  <c r="M145" i="8"/>
  <c r="L145" i="8"/>
  <c r="O144" i="8"/>
  <c r="N144" i="8"/>
  <c r="M144" i="8"/>
  <c r="L144" i="8"/>
  <c r="O143" i="8"/>
  <c r="N143" i="8"/>
  <c r="M143" i="8"/>
  <c r="L143" i="8"/>
  <c r="O142" i="8"/>
  <c r="N142" i="8"/>
  <c r="M142" i="8"/>
  <c r="L142" i="8"/>
  <c r="R142" i="8" s="1"/>
  <c r="O141" i="8"/>
  <c r="N141" i="8"/>
  <c r="M141" i="8"/>
  <c r="L141" i="8"/>
  <c r="O140" i="8"/>
  <c r="N140" i="8"/>
  <c r="M140" i="8"/>
  <c r="L140" i="8"/>
  <c r="O139" i="8"/>
  <c r="N139" i="8"/>
  <c r="M139" i="8"/>
  <c r="L139" i="8"/>
  <c r="O138" i="8"/>
  <c r="N138" i="8"/>
  <c r="M138" i="8"/>
  <c r="L138" i="8"/>
  <c r="R138" i="8" s="1"/>
  <c r="O137" i="8"/>
  <c r="N137" i="8"/>
  <c r="M137" i="8"/>
  <c r="L137" i="8"/>
  <c r="O136" i="8"/>
  <c r="N136" i="8"/>
  <c r="M136" i="8"/>
  <c r="L136" i="8"/>
  <c r="O135" i="8"/>
  <c r="N135" i="8"/>
  <c r="M135" i="8"/>
  <c r="L135" i="8"/>
  <c r="O134" i="8"/>
  <c r="N134" i="8"/>
  <c r="M134" i="8"/>
  <c r="L134" i="8"/>
  <c r="O133" i="8"/>
  <c r="N133" i="8"/>
  <c r="M133" i="8"/>
  <c r="L133" i="8"/>
  <c r="O132" i="8"/>
  <c r="N132" i="8"/>
  <c r="M132" i="8"/>
  <c r="L132" i="8"/>
  <c r="O131" i="8"/>
  <c r="N131" i="8"/>
  <c r="M131" i="8"/>
  <c r="L131" i="8"/>
  <c r="O130" i="8"/>
  <c r="N130" i="8"/>
  <c r="M130" i="8"/>
  <c r="L130" i="8"/>
  <c r="R130" i="8" s="1"/>
  <c r="O129" i="8"/>
  <c r="N129" i="8"/>
  <c r="M129" i="8"/>
  <c r="L129" i="8"/>
  <c r="O128" i="8"/>
  <c r="N128" i="8"/>
  <c r="M128" i="8"/>
  <c r="L128" i="8"/>
  <c r="O127" i="8"/>
  <c r="N127" i="8"/>
  <c r="M127" i="8"/>
  <c r="L127" i="8"/>
  <c r="O126" i="8"/>
  <c r="N126" i="8"/>
  <c r="M126" i="8"/>
  <c r="L126" i="8"/>
  <c r="O125" i="8"/>
  <c r="N125" i="8"/>
  <c r="M125" i="8"/>
  <c r="L125" i="8"/>
  <c r="O124" i="8"/>
  <c r="N124" i="8"/>
  <c r="M124" i="8"/>
  <c r="L124" i="8"/>
  <c r="O123" i="8"/>
  <c r="N123" i="8"/>
  <c r="M123" i="8"/>
  <c r="L123" i="8"/>
  <c r="O122" i="8"/>
  <c r="N122" i="8"/>
  <c r="M122" i="8"/>
  <c r="L122" i="8"/>
  <c r="R122" i="8" s="1"/>
  <c r="O121" i="8"/>
  <c r="N121" i="8"/>
  <c r="M121" i="8"/>
  <c r="L121" i="8"/>
  <c r="O120" i="8"/>
  <c r="N120" i="8"/>
  <c r="M120" i="8"/>
  <c r="L120" i="8"/>
  <c r="O119" i="8"/>
  <c r="N119" i="8"/>
  <c r="M119" i="8"/>
  <c r="L119" i="8"/>
  <c r="O118" i="8"/>
  <c r="N118" i="8"/>
  <c r="M118" i="8"/>
  <c r="L118" i="8"/>
  <c r="O117" i="8"/>
  <c r="N117" i="8"/>
  <c r="M117" i="8"/>
  <c r="L117" i="8"/>
  <c r="O116" i="8"/>
  <c r="N116" i="8"/>
  <c r="M116" i="8"/>
  <c r="L116" i="8"/>
  <c r="O115" i="8"/>
  <c r="N115" i="8"/>
  <c r="M115" i="8"/>
  <c r="L115" i="8"/>
  <c r="O114" i="8"/>
  <c r="N114" i="8"/>
  <c r="M114" i="8"/>
  <c r="L114" i="8"/>
  <c r="R114" i="8" s="1"/>
  <c r="O113" i="8"/>
  <c r="N113" i="8"/>
  <c r="M113" i="8"/>
  <c r="L113" i="8"/>
  <c r="O112" i="8"/>
  <c r="N112" i="8"/>
  <c r="M112" i="8"/>
  <c r="L112" i="8"/>
  <c r="O111" i="8"/>
  <c r="N111" i="8"/>
  <c r="M111" i="8"/>
  <c r="L111" i="8"/>
  <c r="O110" i="8"/>
  <c r="N110" i="8"/>
  <c r="M110" i="8"/>
  <c r="L110" i="8"/>
  <c r="O109" i="8"/>
  <c r="N109" i="8"/>
  <c r="M109" i="8"/>
  <c r="L109" i="8"/>
  <c r="R109" i="8" s="1"/>
  <c r="O108" i="8"/>
  <c r="N108" i="8"/>
  <c r="M108" i="8"/>
  <c r="L108" i="8"/>
  <c r="O107" i="8"/>
  <c r="N107" i="8"/>
  <c r="M107" i="8"/>
  <c r="L107" i="8"/>
  <c r="O106" i="8"/>
  <c r="N106" i="8"/>
  <c r="M106" i="8"/>
  <c r="L106" i="8"/>
  <c r="O105" i="8"/>
  <c r="N105" i="8"/>
  <c r="M105" i="8"/>
  <c r="L105" i="8"/>
  <c r="O104" i="8"/>
  <c r="N104" i="8"/>
  <c r="M104" i="8"/>
  <c r="L104" i="8"/>
  <c r="R104" i="8" s="1"/>
  <c r="O103" i="8"/>
  <c r="N103" i="8"/>
  <c r="M103" i="8"/>
  <c r="L103" i="8"/>
  <c r="O102" i="8"/>
  <c r="N102" i="8"/>
  <c r="M102" i="8"/>
  <c r="L102" i="8"/>
  <c r="O101" i="8"/>
  <c r="N101" i="8"/>
  <c r="M101" i="8"/>
  <c r="L101" i="8"/>
  <c r="O100" i="8"/>
  <c r="N100" i="8"/>
  <c r="M100" i="8"/>
  <c r="L100" i="8"/>
  <c r="O99" i="8"/>
  <c r="N99" i="8"/>
  <c r="M99" i="8"/>
  <c r="L99" i="8"/>
  <c r="R99" i="8" s="1"/>
  <c r="O98" i="8"/>
  <c r="N98" i="8"/>
  <c r="M98" i="8"/>
  <c r="L98" i="8"/>
  <c r="O97" i="8"/>
  <c r="N97" i="8"/>
  <c r="M97" i="8"/>
  <c r="L97" i="8"/>
  <c r="O96" i="8"/>
  <c r="N96" i="8"/>
  <c r="M96" i="8"/>
  <c r="L96" i="8"/>
  <c r="O95" i="8"/>
  <c r="N95" i="8"/>
  <c r="M95" i="8"/>
  <c r="L95" i="8"/>
  <c r="O94" i="8"/>
  <c r="N94" i="8"/>
  <c r="M94" i="8"/>
  <c r="L94" i="8"/>
  <c r="O93" i="8"/>
  <c r="N93" i="8"/>
  <c r="M93" i="8"/>
  <c r="L93" i="8"/>
  <c r="R93" i="8" s="1"/>
  <c r="O92" i="8"/>
  <c r="N92" i="8"/>
  <c r="M92" i="8"/>
  <c r="L92" i="8"/>
  <c r="O91" i="8"/>
  <c r="N91" i="8"/>
  <c r="M91" i="8"/>
  <c r="L91" i="8"/>
  <c r="O90" i="8"/>
  <c r="N90" i="8"/>
  <c r="M90" i="8"/>
  <c r="L90" i="8"/>
  <c r="O89" i="8"/>
  <c r="N89" i="8"/>
  <c r="M89" i="8"/>
  <c r="L89" i="8"/>
  <c r="O88" i="8"/>
  <c r="N88" i="8"/>
  <c r="M88" i="8"/>
  <c r="L88" i="8"/>
  <c r="O87" i="8"/>
  <c r="N87" i="8"/>
  <c r="M87" i="8"/>
  <c r="L87" i="8"/>
  <c r="O86" i="8"/>
  <c r="N86" i="8"/>
  <c r="M86" i="8"/>
  <c r="L86" i="8"/>
  <c r="O85" i="8"/>
  <c r="N85" i="8"/>
  <c r="M85" i="8"/>
  <c r="L85" i="8"/>
  <c r="O84" i="8"/>
  <c r="N84" i="8"/>
  <c r="M84" i="8"/>
  <c r="L84" i="8"/>
  <c r="R84" i="8" s="1"/>
  <c r="O83" i="8"/>
  <c r="N83" i="8"/>
  <c r="M83" i="8"/>
  <c r="L83" i="8"/>
  <c r="O82" i="8"/>
  <c r="N82" i="8"/>
  <c r="M82" i="8"/>
  <c r="L82" i="8"/>
  <c r="O81" i="8"/>
  <c r="N81" i="8"/>
  <c r="M81" i="8"/>
  <c r="L81" i="8"/>
  <c r="O80" i="8"/>
  <c r="N80" i="8"/>
  <c r="M80" i="8"/>
  <c r="L80" i="8"/>
  <c r="O79" i="8"/>
  <c r="N79" i="8"/>
  <c r="M79" i="8"/>
  <c r="L79" i="8"/>
  <c r="O78" i="8"/>
  <c r="N78" i="8"/>
  <c r="M78" i="8"/>
  <c r="L78" i="8"/>
  <c r="O77" i="8"/>
  <c r="N77" i="8"/>
  <c r="M77" i="8"/>
  <c r="L77" i="8"/>
  <c r="O76" i="8"/>
  <c r="N76" i="8"/>
  <c r="M76" i="8"/>
  <c r="L76" i="8"/>
  <c r="O75" i="8"/>
  <c r="N75" i="8"/>
  <c r="M75" i="8"/>
  <c r="L75" i="8"/>
  <c r="R75" i="8" s="1"/>
  <c r="O74" i="8"/>
  <c r="N74" i="8"/>
  <c r="M74" i="8"/>
  <c r="L74" i="8"/>
  <c r="R74" i="8" s="1"/>
  <c r="O73" i="8"/>
  <c r="N73" i="8"/>
  <c r="M73" i="8"/>
  <c r="L73" i="8"/>
  <c r="O72" i="8"/>
  <c r="N72" i="8"/>
  <c r="M72" i="8"/>
  <c r="L72" i="8"/>
  <c r="O71" i="8"/>
  <c r="N71" i="8"/>
  <c r="M71" i="8"/>
  <c r="L71" i="8"/>
  <c r="O70" i="8"/>
  <c r="N70" i="8"/>
  <c r="M70" i="8"/>
  <c r="L70" i="8"/>
  <c r="O69" i="8"/>
  <c r="N69" i="8"/>
  <c r="M69" i="8"/>
  <c r="L69" i="8"/>
  <c r="O68" i="8"/>
  <c r="N68" i="8"/>
  <c r="M68" i="8"/>
  <c r="L68" i="8"/>
  <c r="O67" i="8"/>
  <c r="N67" i="8"/>
  <c r="M67" i="8"/>
  <c r="L67" i="8"/>
  <c r="O66" i="8"/>
  <c r="N66" i="8"/>
  <c r="M66" i="8"/>
  <c r="L66" i="8"/>
  <c r="R66" i="8" s="1"/>
  <c r="O65" i="8"/>
  <c r="N65" i="8"/>
  <c r="M65" i="8"/>
  <c r="L65" i="8"/>
  <c r="O64" i="8"/>
  <c r="N64" i="8"/>
  <c r="M64" i="8"/>
  <c r="L64" i="8"/>
  <c r="O63" i="8"/>
  <c r="N63" i="8"/>
  <c r="M63" i="8"/>
  <c r="L63" i="8"/>
  <c r="O62" i="8"/>
  <c r="N62" i="8"/>
  <c r="M62" i="8"/>
  <c r="L62" i="8"/>
  <c r="R62" i="8" s="1"/>
  <c r="O61" i="8"/>
  <c r="N61" i="8"/>
  <c r="M61" i="8"/>
  <c r="L61" i="8"/>
  <c r="O60" i="8"/>
  <c r="N60" i="8"/>
  <c r="M60" i="8"/>
  <c r="L60" i="8"/>
  <c r="O59" i="8"/>
  <c r="N59" i="8"/>
  <c r="M59" i="8"/>
  <c r="L59" i="8"/>
  <c r="O58" i="8"/>
  <c r="N58" i="8"/>
  <c r="M58" i="8"/>
  <c r="L58" i="8"/>
  <c r="R58" i="8" s="1"/>
  <c r="O57" i="8"/>
  <c r="N57" i="8"/>
  <c r="M57" i="8"/>
  <c r="L57" i="8"/>
  <c r="O56" i="8"/>
  <c r="N56" i="8"/>
  <c r="M56" i="8"/>
  <c r="L56" i="8"/>
  <c r="O55" i="8"/>
  <c r="N55" i="8"/>
  <c r="M55" i="8"/>
  <c r="L55" i="8"/>
  <c r="R55" i="8" s="1"/>
  <c r="O54" i="8"/>
  <c r="N54" i="8"/>
  <c r="M54" i="8"/>
  <c r="L54" i="8"/>
  <c r="O53" i="8"/>
  <c r="N53" i="8"/>
  <c r="M53" i="8"/>
  <c r="L53" i="8"/>
  <c r="O52" i="8"/>
  <c r="N52" i="8"/>
  <c r="M52" i="8"/>
  <c r="L52" i="8"/>
  <c r="O51" i="8"/>
  <c r="N51" i="8"/>
  <c r="M51" i="8"/>
  <c r="L51" i="8"/>
  <c r="O50" i="8"/>
  <c r="N50" i="8"/>
  <c r="M50" i="8"/>
  <c r="L50" i="8"/>
  <c r="O49" i="8"/>
  <c r="N49" i="8"/>
  <c r="M49" i="8"/>
  <c r="L49" i="8"/>
  <c r="O48" i="8"/>
  <c r="N48" i="8"/>
  <c r="M48" i="8"/>
  <c r="L48" i="8"/>
  <c r="O47" i="8"/>
  <c r="N47" i="8"/>
  <c r="M47" i="8"/>
  <c r="Q47" i="8" s="1"/>
  <c r="S47" i="8"/>
  <c r="L47" i="8"/>
  <c r="O46" i="8"/>
  <c r="N46" i="8"/>
  <c r="M46" i="8"/>
  <c r="L46" i="8"/>
  <c r="O45" i="8"/>
  <c r="N45" i="8"/>
  <c r="M45" i="8"/>
  <c r="R45" i="8" s="1"/>
  <c r="L45" i="8"/>
  <c r="O44" i="8"/>
  <c r="N44" i="8"/>
  <c r="M44" i="8"/>
  <c r="L44" i="8"/>
  <c r="O43" i="8"/>
  <c r="N43" i="8"/>
  <c r="M43" i="8"/>
  <c r="L43" i="8"/>
  <c r="O42" i="8"/>
  <c r="N42" i="8"/>
  <c r="M42" i="8"/>
  <c r="R42" i="8" s="1"/>
  <c r="L42" i="8"/>
  <c r="O41" i="8"/>
  <c r="N41" i="8"/>
  <c r="M41" i="8"/>
  <c r="L41" i="8"/>
  <c r="O40" i="8"/>
  <c r="N40" i="8"/>
  <c r="M40" i="8"/>
  <c r="L40" i="8"/>
  <c r="O39" i="8"/>
  <c r="N39" i="8"/>
  <c r="M39" i="8"/>
  <c r="R39" i="8" s="1"/>
  <c r="L39" i="8"/>
  <c r="O38" i="8"/>
  <c r="N38" i="8"/>
  <c r="M38" i="8"/>
  <c r="L38" i="8"/>
  <c r="O37" i="8"/>
  <c r="N37" i="8"/>
  <c r="M37" i="8"/>
  <c r="L37" i="8"/>
  <c r="O36" i="8"/>
  <c r="N36" i="8"/>
  <c r="M36" i="8"/>
  <c r="L36" i="8"/>
  <c r="O35" i="8"/>
  <c r="N35" i="8"/>
  <c r="M35" i="8"/>
  <c r="L35" i="8"/>
  <c r="O34" i="8"/>
  <c r="N34" i="8"/>
  <c r="M34" i="8"/>
  <c r="L34" i="8"/>
  <c r="O33" i="8"/>
  <c r="N33" i="8"/>
  <c r="M33" i="8"/>
  <c r="L33" i="8"/>
  <c r="O32" i="8"/>
  <c r="N32" i="8"/>
  <c r="R32" i="8" s="1"/>
  <c r="M32" i="8"/>
  <c r="L32" i="8"/>
  <c r="O31" i="8"/>
  <c r="N31" i="8"/>
  <c r="M31" i="8"/>
  <c r="L31" i="8"/>
  <c r="O30" i="8"/>
  <c r="N30" i="8"/>
  <c r="M30" i="8"/>
  <c r="L30" i="8"/>
  <c r="O29" i="8"/>
  <c r="N29" i="8"/>
  <c r="M29" i="8"/>
  <c r="L29" i="8"/>
  <c r="O28" i="8"/>
  <c r="N28" i="8"/>
  <c r="M28" i="8"/>
  <c r="L28" i="8"/>
  <c r="O27" i="8"/>
  <c r="N27" i="8"/>
  <c r="T27" i="8" s="1"/>
  <c r="M27" i="8"/>
  <c r="L27" i="8"/>
  <c r="O26" i="8"/>
  <c r="N26" i="8"/>
  <c r="M26" i="8"/>
  <c r="L26" i="8"/>
  <c r="O25" i="8"/>
  <c r="N25" i="8"/>
  <c r="M25" i="8"/>
  <c r="Q25" i="8" s="1"/>
  <c r="L25" i="8"/>
  <c r="O24" i="8"/>
  <c r="N24" i="8"/>
  <c r="M24" i="8"/>
  <c r="L24" i="8"/>
  <c r="O23" i="8"/>
  <c r="N23" i="8"/>
  <c r="M23" i="8"/>
  <c r="L23" i="8"/>
  <c r="O22" i="8"/>
  <c r="N22" i="8"/>
  <c r="R22" i="8" s="1"/>
  <c r="M22" i="8"/>
  <c r="L22" i="8"/>
  <c r="O21" i="8"/>
  <c r="N21" i="8"/>
  <c r="S21" i="8" s="1"/>
  <c r="M21" i="8"/>
  <c r="L21" i="8"/>
  <c r="Q21" i="8" s="1"/>
  <c r="O20" i="8"/>
  <c r="N20" i="8"/>
  <c r="M20" i="8"/>
  <c r="S20" i="8"/>
  <c r="L20" i="8"/>
  <c r="Q20" i="8" s="1"/>
  <c r="O19" i="8"/>
  <c r="N19" i="8"/>
  <c r="M19" i="8"/>
  <c r="L19" i="8"/>
  <c r="O18" i="8"/>
  <c r="N18" i="8"/>
  <c r="M18" i="8"/>
  <c r="L18" i="8"/>
  <c r="O17" i="8"/>
  <c r="N17" i="8"/>
  <c r="M17" i="8"/>
  <c r="L17" i="8"/>
  <c r="O16" i="8"/>
  <c r="N16" i="8"/>
  <c r="M16" i="8"/>
  <c r="S16" i="8" s="1"/>
  <c r="L16" i="8"/>
  <c r="O15" i="8"/>
  <c r="T15" i="8" s="1"/>
  <c r="N15" i="8"/>
  <c r="R15" i="8" s="1"/>
  <c r="M15" i="8"/>
  <c r="L15" i="8"/>
  <c r="Q15" i="8"/>
  <c r="O14" i="8"/>
  <c r="R14" i="8" s="1"/>
  <c r="N14" i="8"/>
  <c r="M14" i="8"/>
  <c r="L14" i="8"/>
  <c r="O13" i="8"/>
  <c r="N13" i="8"/>
  <c r="M13" i="8"/>
  <c r="L13" i="8"/>
  <c r="O12" i="8"/>
  <c r="N12" i="8"/>
  <c r="M12" i="8"/>
  <c r="L12" i="8"/>
  <c r="O11" i="8"/>
  <c r="R11" i="8" s="1"/>
  <c r="N11" i="8"/>
  <c r="M11" i="8"/>
  <c r="L11" i="8"/>
  <c r="O10" i="8"/>
  <c r="N10" i="8"/>
  <c r="M10" i="8"/>
  <c r="L10" i="8"/>
  <c r="O9" i="8"/>
  <c r="N9" i="8"/>
  <c r="M9" i="8"/>
  <c r="L9" i="8"/>
  <c r="O8" i="8"/>
  <c r="R8" i="8" s="1"/>
  <c r="N8" i="8"/>
  <c r="M8" i="8"/>
  <c r="L8" i="8"/>
  <c r="I104" i="15"/>
  <c r="J104" i="15" s="1"/>
  <c r="I103" i="15"/>
  <c r="J103" i="15"/>
  <c r="I102" i="15"/>
  <c r="J102" i="15" s="1"/>
  <c r="I101" i="15"/>
  <c r="J101" i="15"/>
  <c r="I100" i="15"/>
  <c r="J100" i="15" s="1"/>
  <c r="I99" i="15"/>
  <c r="J99" i="15"/>
  <c r="I98" i="15"/>
  <c r="J98" i="15" s="1"/>
  <c r="I97" i="15"/>
  <c r="J97" i="15"/>
  <c r="I96" i="15"/>
  <c r="J96" i="15" s="1"/>
  <c r="I95" i="15"/>
  <c r="J95" i="15"/>
  <c r="I94" i="15"/>
  <c r="J94" i="15" s="1"/>
  <c r="I93" i="15"/>
  <c r="J93" i="15"/>
  <c r="I92" i="15"/>
  <c r="J92" i="15" s="1"/>
  <c r="I91" i="15"/>
  <c r="J91" i="15"/>
  <c r="I90" i="15"/>
  <c r="J90" i="15" s="1"/>
  <c r="I89" i="15"/>
  <c r="J89" i="15"/>
  <c r="I88" i="15"/>
  <c r="J88" i="15" s="1"/>
  <c r="I87" i="15"/>
  <c r="J87" i="15"/>
  <c r="I86" i="15"/>
  <c r="J86" i="15" s="1"/>
  <c r="I85" i="15"/>
  <c r="J85" i="15"/>
  <c r="I84" i="15"/>
  <c r="J84" i="15" s="1"/>
  <c r="I83" i="15"/>
  <c r="J83" i="15"/>
  <c r="I82" i="15"/>
  <c r="J82" i="15" s="1"/>
  <c r="I81" i="15"/>
  <c r="J81" i="15"/>
  <c r="I80" i="15"/>
  <c r="J80" i="15" s="1"/>
  <c r="I79" i="15"/>
  <c r="J79" i="15"/>
  <c r="I78" i="15"/>
  <c r="J78" i="15" s="1"/>
  <c r="I77" i="15"/>
  <c r="J77" i="15"/>
  <c r="I76" i="15"/>
  <c r="J76" i="15" s="1"/>
  <c r="I75" i="15"/>
  <c r="J75" i="15"/>
  <c r="I74" i="15"/>
  <c r="J74" i="15" s="1"/>
  <c r="I73" i="15"/>
  <c r="J73" i="15"/>
  <c r="I72" i="15"/>
  <c r="J72" i="15" s="1"/>
  <c r="I71" i="15"/>
  <c r="J71" i="15"/>
  <c r="I70" i="15"/>
  <c r="J70" i="15" s="1"/>
  <c r="I69" i="15"/>
  <c r="J69" i="15"/>
  <c r="I68" i="15"/>
  <c r="J68" i="15" s="1"/>
  <c r="I67" i="15"/>
  <c r="J67" i="15"/>
  <c r="I66" i="15"/>
  <c r="J66" i="15" s="1"/>
  <c r="I65" i="15"/>
  <c r="J65" i="15"/>
  <c r="I64" i="15"/>
  <c r="J64" i="15" s="1"/>
  <c r="I63" i="15"/>
  <c r="J63" i="15"/>
  <c r="I62" i="15"/>
  <c r="J62" i="15" s="1"/>
  <c r="I61" i="15"/>
  <c r="J61" i="15"/>
  <c r="I60" i="15"/>
  <c r="J60" i="15" s="1"/>
  <c r="I59" i="15"/>
  <c r="J59" i="15"/>
  <c r="I58" i="15"/>
  <c r="J58" i="15" s="1"/>
  <c r="I57" i="15"/>
  <c r="J57" i="15"/>
  <c r="I56" i="15"/>
  <c r="J56" i="15" s="1"/>
  <c r="I55" i="15"/>
  <c r="J55" i="15"/>
  <c r="I54" i="15"/>
  <c r="J54" i="15" s="1"/>
  <c r="I53" i="15"/>
  <c r="J53" i="15"/>
  <c r="I52" i="15"/>
  <c r="J52" i="15" s="1"/>
  <c r="I51" i="15"/>
  <c r="J51" i="15"/>
  <c r="I50" i="15"/>
  <c r="J50" i="15" s="1"/>
  <c r="I49" i="15"/>
  <c r="J49" i="15"/>
  <c r="I48" i="15"/>
  <c r="J48" i="15" s="1"/>
  <c r="I47" i="15"/>
  <c r="J47" i="15"/>
  <c r="I46" i="15"/>
  <c r="J46" i="15" s="1"/>
  <c r="I45" i="15"/>
  <c r="J45" i="15"/>
  <c r="I44" i="15"/>
  <c r="J44" i="15" s="1"/>
  <c r="I43" i="15"/>
  <c r="J43" i="15"/>
  <c r="B34" i="2"/>
  <c r="B35" i="2" s="1"/>
  <c r="I42" i="15"/>
  <c r="J42" i="15" s="1"/>
  <c r="I41" i="15"/>
  <c r="J41" i="15"/>
  <c r="I40" i="15"/>
  <c r="J40" i="15" s="1"/>
  <c r="I39" i="15"/>
  <c r="J39" i="15"/>
  <c r="I38" i="15"/>
  <c r="J38" i="15" s="1"/>
  <c r="I37" i="15"/>
  <c r="J37" i="15" s="1"/>
  <c r="I36" i="15"/>
  <c r="J36" i="15" s="1"/>
  <c r="I35" i="15"/>
  <c r="J35" i="15"/>
  <c r="I34" i="15"/>
  <c r="J34" i="15" s="1"/>
  <c r="I33" i="15"/>
  <c r="J33" i="15"/>
  <c r="I32" i="15"/>
  <c r="J32" i="15" s="1"/>
  <c r="I31" i="15"/>
  <c r="J31" i="15"/>
  <c r="I30" i="15"/>
  <c r="J30" i="15" s="1"/>
  <c r="I29" i="15"/>
  <c r="J29" i="15" s="1"/>
  <c r="I28" i="15"/>
  <c r="J28" i="15"/>
  <c r="I27" i="15"/>
  <c r="J27" i="15" s="1"/>
  <c r="I26" i="15"/>
  <c r="J26" i="15"/>
  <c r="I25" i="15"/>
  <c r="J25" i="15" s="1"/>
  <c r="I24" i="15"/>
  <c r="J24" i="15"/>
  <c r="I23" i="15"/>
  <c r="J23" i="15" s="1"/>
  <c r="I22" i="15"/>
  <c r="J22" i="15"/>
  <c r="I21" i="15"/>
  <c r="J21" i="15" s="1"/>
  <c r="I20" i="15"/>
  <c r="J20" i="15"/>
  <c r="I19" i="15"/>
  <c r="J19" i="15" s="1"/>
  <c r="I18" i="15"/>
  <c r="J18" i="15"/>
  <c r="I17" i="15"/>
  <c r="J17" i="15" s="1"/>
  <c r="I16" i="15"/>
  <c r="J16" i="15"/>
  <c r="I15" i="15"/>
  <c r="J15" i="15" s="1"/>
  <c r="I14" i="15"/>
  <c r="J14" i="15"/>
  <c r="I13" i="15"/>
  <c r="J13" i="15" s="1"/>
  <c r="I12" i="15"/>
  <c r="J12" i="15"/>
  <c r="I11" i="15"/>
  <c r="J11" i="15" s="1"/>
  <c r="I10" i="15"/>
  <c r="J10" i="15"/>
  <c r="I9" i="15"/>
  <c r="J9" i="15" s="1"/>
  <c r="I8" i="15"/>
  <c r="J8" i="15"/>
  <c r="I7" i="15"/>
  <c r="J7" i="15" s="1"/>
  <c r="I6" i="15"/>
  <c r="J6" i="15"/>
  <c r="I5" i="15"/>
  <c r="J5" i="15" s="1"/>
  <c r="I4" i="15"/>
  <c r="J4" i="15"/>
  <c r="G75" i="2"/>
  <c r="F75" i="2"/>
  <c r="G74" i="2"/>
  <c r="F74" i="2"/>
  <c r="G73" i="2"/>
  <c r="F73" i="2"/>
  <c r="G72" i="2"/>
  <c r="F72" i="2"/>
  <c r="B72" i="2"/>
  <c r="G71" i="2"/>
  <c r="F71" i="2"/>
  <c r="B71" i="2"/>
  <c r="G70" i="2"/>
  <c r="F70" i="2"/>
  <c r="B70" i="2"/>
  <c r="G69" i="2"/>
  <c r="F69" i="2"/>
  <c r="E69" i="2" s="1"/>
  <c r="B69" i="2"/>
  <c r="E68" i="2"/>
  <c r="B68" i="2"/>
  <c r="E67" i="2"/>
  <c r="B67" i="2"/>
  <c r="G62" i="2"/>
  <c r="F61" i="2"/>
  <c r="G61" i="2"/>
  <c r="B61" i="2"/>
  <c r="G60" i="2"/>
  <c r="C140" i="2" s="1"/>
  <c r="F59" i="2"/>
  <c r="G59" i="2"/>
  <c r="G55" i="2"/>
  <c r="B55" i="2"/>
  <c r="F54" i="2"/>
  <c r="G54" i="2"/>
  <c r="B54" i="2"/>
  <c r="F53" i="2"/>
  <c r="B53" i="2"/>
  <c r="G53" i="2"/>
  <c r="F52" i="2"/>
  <c r="G52" i="2"/>
  <c r="B52" i="2"/>
  <c r="F51" i="2"/>
  <c r="G51" i="2"/>
  <c r="B51" i="2"/>
  <c r="D50" i="2"/>
  <c r="G49" i="2"/>
  <c r="F49" i="2"/>
  <c r="F48" i="2"/>
  <c r="B48" i="2"/>
  <c r="AE61" i="16" s="1"/>
  <c r="K42" i="2"/>
  <c r="L42" i="2" s="1"/>
  <c r="M42" i="2" s="1"/>
  <c r="D42" i="2" s="1"/>
  <c r="B42" i="2" s="1"/>
  <c r="O45" i="11" s="1"/>
  <c r="E42" i="2"/>
  <c r="K41" i="2"/>
  <c r="E41" i="2"/>
  <c r="K40" i="2"/>
  <c r="K39" i="2"/>
  <c r="L39" i="2" s="1"/>
  <c r="M39" i="2" s="1"/>
  <c r="D39" i="2" s="1"/>
  <c r="K38" i="2"/>
  <c r="O37" i="2"/>
  <c r="D34" i="2"/>
  <c r="D35" i="2"/>
  <c r="D29" i="2"/>
  <c r="E28" i="2"/>
  <c r="K26" i="2"/>
  <c r="L26" i="2" s="1"/>
  <c r="M26" i="2" s="1"/>
  <c r="D26" i="2" s="1"/>
  <c r="D23" i="2"/>
  <c r="D22" i="2"/>
  <c r="D21" i="2"/>
  <c r="D20" i="2"/>
  <c r="E16" i="2"/>
  <c r="E15" i="2"/>
  <c r="G12" i="2"/>
  <c r="C10" i="2"/>
  <c r="B49" i="2"/>
  <c r="Z139" i="11" s="1"/>
  <c r="S974" i="8"/>
  <c r="Q974" i="8"/>
  <c r="Q713" i="8"/>
  <c r="Q614" i="8"/>
  <c r="Q527" i="8"/>
  <c r="S523" i="8"/>
  <c r="Q523" i="8"/>
  <c r="Q301" i="8"/>
  <c r="Q299" i="8"/>
  <c r="Q257" i="8"/>
  <c r="Q225" i="8"/>
  <c r="Q222" i="8"/>
  <c r="Q216" i="8"/>
  <c r="Q727" i="8"/>
  <c r="Q699" i="8"/>
  <c r="Q633" i="8"/>
  <c r="Q598" i="8"/>
  <c r="S500" i="8"/>
  <c r="Q490" i="8"/>
  <c r="Q450" i="8"/>
  <c r="Q441" i="8"/>
  <c r="Q414" i="8"/>
  <c r="S266" i="8"/>
  <c r="Q266" i="8"/>
  <c r="Q243" i="8"/>
  <c r="Q234" i="8"/>
  <c r="Q227" i="8"/>
  <c r="Q611" i="8"/>
  <c r="Q507" i="8"/>
  <c r="Q498" i="8"/>
  <c r="Q461" i="8"/>
  <c r="Q359" i="8"/>
  <c r="Q343" i="8"/>
  <c r="Q312" i="8"/>
  <c r="Q496" i="8"/>
  <c r="S443" i="8"/>
  <c r="Q443" i="8"/>
  <c r="S27" i="8"/>
  <c r="Q27" i="8"/>
  <c r="R626" i="8"/>
  <c r="S15" i="8"/>
  <c r="S299" i="8"/>
  <c r="T20" i="8"/>
  <c r="T194" i="8"/>
  <c r="T202" i="8"/>
  <c r="T222" i="8"/>
  <c r="T225" i="8"/>
  <c r="T231" i="8"/>
  <c r="T232" i="8"/>
  <c r="T244" i="8"/>
  <c r="T251" i="8"/>
  <c r="T254" i="8"/>
  <c r="T269" i="8"/>
  <c r="T271" i="8"/>
  <c r="T279" i="8"/>
  <c r="T289" i="8"/>
  <c r="T292" i="8"/>
  <c r="T327" i="8"/>
  <c r="T328" i="8"/>
  <c r="T356" i="8"/>
  <c r="T360" i="8"/>
  <c r="T379" i="8"/>
  <c r="T741" i="8"/>
  <c r="T783" i="8"/>
  <c r="T802" i="8"/>
  <c r="T810" i="8"/>
  <c r="T821" i="8"/>
  <c r="T882" i="8"/>
  <c r="C143" i="2"/>
  <c r="B60" i="2"/>
  <c r="B59" i="2"/>
  <c r="C137" i="2"/>
  <c r="D137" i="2"/>
  <c r="L38" i="2"/>
  <c r="M38" i="2"/>
  <c r="D38" i="2"/>
  <c r="L40" i="2"/>
  <c r="M40" i="2"/>
  <c r="D40" i="2" s="1"/>
  <c r="B40" i="2" s="1"/>
  <c r="O99" i="11" s="1"/>
  <c r="L41" i="2"/>
  <c r="M41" i="2"/>
  <c r="D41" i="2"/>
  <c r="Q783" i="8"/>
  <c r="S783" i="8"/>
  <c r="S753" i="8"/>
  <c r="S713" i="8"/>
  <c r="S691" i="8"/>
  <c r="Q518" i="8"/>
  <c r="S518" i="8"/>
  <c r="S496" i="8"/>
  <c r="R254" i="8"/>
  <c r="R235" i="8"/>
  <c r="S231" i="8"/>
  <c r="R195" i="8"/>
  <c r="S180" i="8"/>
  <c r="H71" i="2"/>
  <c r="E50" i="2"/>
  <c r="G50" i="2"/>
  <c r="S802" i="8"/>
  <c r="S692" i="8"/>
  <c r="Q683" i="8"/>
  <c r="S683" i="8"/>
  <c r="Q676" i="8"/>
  <c r="Q656" i="8"/>
  <c r="S656" i="8"/>
  <c r="S637" i="8"/>
  <c r="Q625" i="8"/>
  <c r="S490" i="8"/>
  <c r="R469" i="8"/>
  <c r="S444" i="8"/>
  <c r="R404" i="8"/>
  <c r="Q284" i="8"/>
  <c r="S284" i="8"/>
  <c r="S254" i="8"/>
  <c r="T250" i="8"/>
  <c r="R245" i="8"/>
  <c r="R238" i="8"/>
  <c r="Q232" i="8"/>
  <c r="S232" i="8"/>
  <c r="Q221" i="8"/>
  <c r="T218" i="8"/>
  <c r="R218" i="8"/>
  <c r="R216" i="8"/>
  <c r="R31" i="8"/>
  <c r="S25" i="8"/>
  <c r="R24" i="8"/>
  <c r="Q945" i="8"/>
  <c r="S945" i="8"/>
  <c r="Q886" i="8"/>
  <c r="R885" i="8"/>
  <c r="R847" i="8"/>
  <c r="S832" i="8"/>
  <c r="T817" i="8"/>
  <c r="Q804" i="8"/>
  <c r="S804" i="8"/>
  <c r="R799" i="8"/>
  <c r="R794" i="8"/>
  <c r="R749" i="8"/>
  <c r="S659" i="8"/>
  <c r="S657" i="8"/>
  <c r="S531" i="8"/>
  <c r="S498" i="8"/>
  <c r="R466" i="8"/>
  <c r="S446" i="8"/>
  <c r="S430" i="8"/>
  <c r="T425" i="8"/>
  <c r="Q416" i="8"/>
  <c r="S416" i="8"/>
  <c r="R403" i="8"/>
  <c r="R393" i="8"/>
  <c r="R382" i="8"/>
  <c r="R378" i="8"/>
  <c r="R376" i="8"/>
  <c r="R375" i="8"/>
  <c r="R373" i="8"/>
  <c r="R371" i="8"/>
  <c r="R360" i="8"/>
  <c r="S359" i="8"/>
  <c r="R358" i="8"/>
  <c r="R357" i="8"/>
  <c r="R356" i="8"/>
  <c r="R352" i="8"/>
  <c r="R349" i="8"/>
  <c r="S348" i="8"/>
  <c r="S345" i="8"/>
  <c r="R333" i="8"/>
  <c r="R332" i="8"/>
  <c r="R322" i="8"/>
  <c r="R311" i="8"/>
  <c r="T298" i="8"/>
  <c r="Q298" i="8"/>
  <c r="S298" i="8"/>
  <c r="Q292" i="8"/>
  <c r="R269" i="8"/>
  <c r="S269" i="8"/>
  <c r="T265" i="8"/>
  <c r="R260" i="8"/>
  <c r="R253" i="8"/>
  <c r="S250" i="8"/>
  <c r="S249" i="8"/>
  <c r="R248" i="8"/>
  <c r="R232" i="8"/>
  <c r="R228" i="8"/>
  <c r="S227" i="8"/>
  <c r="S226" i="8"/>
  <c r="R223" i="8"/>
  <c r="Q220" i="8"/>
  <c r="S220" i="8"/>
  <c r="S218" i="8"/>
  <c r="R209" i="8"/>
  <c r="R203" i="8"/>
  <c r="S202" i="8"/>
  <c r="S194" i="8"/>
  <c r="R192" i="8"/>
  <c r="R30" i="8"/>
  <c r="R27" i="8"/>
  <c r="R17" i="8"/>
  <c r="S983" i="8"/>
  <c r="R877" i="8"/>
  <c r="R844" i="8"/>
  <c r="R839" i="8"/>
  <c r="R823" i="8"/>
  <c r="R802" i="8"/>
  <c r="R797" i="8"/>
  <c r="R796" i="8"/>
  <c r="R793" i="8"/>
  <c r="R791" i="8"/>
  <c r="R789" i="8"/>
  <c r="R787" i="8"/>
  <c r="R773" i="8"/>
  <c r="R769" i="8"/>
  <c r="R762" i="8"/>
  <c r="Q748" i="8"/>
  <c r="S748" i="8"/>
  <c r="R745" i="8"/>
  <c r="R742" i="8"/>
  <c r="R725" i="8"/>
  <c r="R711" i="8"/>
  <c r="R641" i="8"/>
  <c r="R619" i="8"/>
  <c r="R560" i="8"/>
  <c r="R558" i="8"/>
  <c r="R552" i="8"/>
  <c r="R544" i="8"/>
  <c r="Q525" i="8"/>
  <c r="S525" i="8"/>
  <c r="T518" i="8"/>
  <c r="R518" i="8"/>
  <c r="R506" i="8"/>
  <c r="R505" i="8"/>
  <c r="R494" i="8"/>
  <c r="R465" i="8"/>
  <c r="R463" i="8"/>
  <c r="R460" i="8"/>
  <c r="R455" i="8"/>
  <c r="S441" i="8"/>
  <c r="R425" i="8"/>
  <c r="R416" i="8"/>
  <c r="R405" i="8"/>
  <c r="R402" i="8"/>
  <c r="R400" i="8"/>
  <c r="R395" i="8"/>
  <c r="R388" i="8"/>
  <c r="R386" i="8"/>
  <c r="R383" i="8"/>
  <c r="R381" i="8"/>
  <c r="R367" i="8"/>
  <c r="R353" i="8"/>
  <c r="R347" i="8"/>
  <c r="R344" i="8"/>
  <c r="R339" i="8"/>
  <c r="R336" i="8"/>
  <c r="R335" i="8"/>
  <c r="R330" i="8"/>
  <c r="R328" i="8"/>
  <c r="R326" i="8"/>
  <c r="R325" i="8"/>
  <c r="R321" i="8"/>
  <c r="R320" i="8"/>
  <c r="R319" i="8"/>
  <c r="R315" i="8"/>
  <c r="R314" i="8"/>
  <c r="R312" i="8"/>
  <c r="R309" i="8"/>
  <c r="R308" i="8"/>
  <c r="R298" i="8"/>
  <c r="R297" i="8"/>
  <c r="R294" i="8"/>
  <c r="R292" i="8"/>
  <c r="R289" i="8"/>
  <c r="R287" i="8"/>
  <c r="R279" i="8"/>
  <c r="R275" i="8"/>
  <c r="R271" i="8"/>
  <c r="T266" i="8"/>
  <c r="R266" i="8"/>
  <c r="R259" i="8"/>
  <c r="R251" i="8"/>
  <c r="R250" i="8"/>
  <c r="T234" i="8"/>
  <c r="R234" i="8"/>
  <c r="R231" i="8"/>
  <c r="R230" i="8"/>
  <c r="R225" i="8"/>
  <c r="S224" i="8"/>
  <c r="R214" i="8"/>
  <c r="R213" i="8"/>
  <c r="R212" i="8"/>
  <c r="R204" i="8"/>
  <c r="R202" i="8"/>
  <c r="R197" i="8"/>
  <c r="R193" i="8"/>
  <c r="T190" i="8"/>
  <c r="R190" i="8"/>
  <c r="R179" i="8"/>
  <c r="R52" i="8"/>
  <c r="R18" i="8"/>
  <c r="R842" i="8"/>
  <c r="R807" i="8"/>
  <c r="R801" i="8"/>
  <c r="R790" i="8"/>
  <c r="R739" i="8"/>
  <c r="R401" i="8"/>
  <c r="R389" i="8"/>
  <c r="R379" i="8"/>
  <c r="R364" i="8"/>
  <c r="R351" i="8"/>
  <c r="R350" i="8"/>
  <c r="R327" i="8"/>
  <c r="R302" i="8"/>
  <c r="R282" i="8"/>
  <c r="R278" i="8"/>
  <c r="R277" i="8"/>
  <c r="R274" i="8"/>
  <c r="R270" i="8"/>
  <c r="R217" i="8"/>
  <c r="R211" i="8"/>
  <c r="R180" i="8"/>
  <c r="R178" i="8"/>
  <c r="R924" i="8"/>
  <c r="R919" i="8"/>
  <c r="R888" i="8"/>
  <c r="R887" i="8"/>
  <c r="S886" i="8"/>
  <c r="T886" i="8"/>
  <c r="R879" i="8"/>
  <c r="R872" i="8"/>
  <c r="R870" i="8"/>
  <c r="R868" i="8"/>
  <c r="R854" i="8"/>
  <c r="R853" i="8"/>
  <c r="R838" i="8"/>
  <c r="R834" i="8"/>
  <c r="T834" i="8"/>
  <c r="Q832" i="8"/>
  <c r="S827" i="8"/>
  <c r="R822" i="8"/>
  <c r="R819" i="8"/>
  <c r="Q818" i="8"/>
  <c r="R815" i="8"/>
  <c r="R814" i="8"/>
  <c r="R811" i="8"/>
  <c r="R805" i="8"/>
  <c r="T804" i="8"/>
  <c r="R803" i="8"/>
  <c r="R800" i="8"/>
  <c r="R792" i="8"/>
  <c r="R786" i="8"/>
  <c r="R782" i="8"/>
  <c r="R770" i="8"/>
  <c r="R765" i="8"/>
  <c r="R757" i="8"/>
  <c r="R755" i="8"/>
  <c r="R753" i="8"/>
  <c r="T753" i="8"/>
  <c r="Q732" i="8"/>
  <c r="R730" i="8"/>
  <c r="Q729" i="8"/>
  <c r="R727" i="8"/>
  <c r="S699" i="8"/>
  <c r="R698" i="8"/>
  <c r="S697" i="8"/>
  <c r="R686" i="8"/>
  <c r="R652" i="8"/>
  <c r="Q644" i="8"/>
  <c r="R632" i="8"/>
  <c r="R563" i="8"/>
  <c r="S563" i="8"/>
  <c r="T563" i="8"/>
  <c r="R529" i="8"/>
  <c r="S509" i="8"/>
  <c r="S478" i="8"/>
  <c r="S464" i="8"/>
  <c r="R461" i="8"/>
  <c r="T461" i="8"/>
  <c r="T443" i="8"/>
  <c r="T416" i="8"/>
  <c r="R407" i="8"/>
  <c r="R392" i="8"/>
  <c r="R387" i="8"/>
  <c r="R384" i="8"/>
  <c r="T380" i="8"/>
  <c r="R372" i="8"/>
  <c r="T365" i="8"/>
  <c r="R363" i="8"/>
  <c r="R361" i="8"/>
  <c r="R355" i="8"/>
  <c r="Q348" i="8"/>
  <c r="R346" i="8"/>
  <c r="T346" i="8"/>
  <c r="R343" i="8"/>
  <c r="T343" i="8"/>
  <c r="T340" i="8"/>
  <c r="Q334" i="8"/>
  <c r="R329" i="8"/>
  <c r="R324" i="8"/>
  <c r="R323" i="8"/>
  <c r="S321" i="8"/>
  <c r="T321" i="8"/>
  <c r="R318" i="8"/>
  <c r="S312" i="8"/>
  <c r="T312" i="8"/>
  <c r="R307" i="8"/>
  <c r="R285" i="8"/>
  <c r="R283" i="8"/>
  <c r="S260" i="8"/>
  <c r="T260" i="8"/>
  <c r="R247" i="8"/>
  <c r="Q242" i="8"/>
  <c r="R236" i="8"/>
  <c r="T236" i="8"/>
  <c r="R233" i="8"/>
  <c r="R229" i="8"/>
  <c r="R227" i="8"/>
  <c r="T227" i="8"/>
  <c r="R224" i="8"/>
  <c r="T224" i="8"/>
  <c r="R219" i="8"/>
  <c r="S216" i="8"/>
  <c r="T216" i="8"/>
  <c r="T215" i="8"/>
  <c r="Q214" i="8"/>
  <c r="T214" i="8"/>
  <c r="T210" i="8"/>
  <c r="R208" i="8"/>
  <c r="T207" i="8"/>
  <c r="R200" i="8"/>
  <c r="S200" i="8"/>
  <c r="R199" i="8"/>
  <c r="T199" i="8"/>
  <c r="R191" i="8"/>
  <c r="T191" i="8"/>
  <c r="R183" i="8"/>
  <c r="R175" i="8"/>
  <c r="R88" i="8"/>
  <c r="R49" i="8"/>
  <c r="R48" i="8"/>
  <c r="R35" i="8"/>
  <c r="R29" i="8"/>
  <c r="R26" i="8"/>
  <c r="R21" i="8"/>
  <c r="T21" i="8"/>
  <c r="R929" i="8"/>
  <c r="R914" i="8"/>
  <c r="R908" i="8"/>
  <c r="R905" i="8"/>
  <c r="R901" i="8"/>
  <c r="R899" i="8"/>
  <c r="R895" i="8"/>
  <c r="R893" i="8"/>
  <c r="R891" i="8"/>
  <c r="R889" i="8"/>
  <c r="R884" i="8"/>
  <c r="R883" i="8"/>
  <c r="R881" i="8"/>
  <c r="R880" i="8"/>
  <c r="R876" i="8"/>
  <c r="R873" i="8"/>
  <c r="R871" i="8"/>
  <c r="R867" i="8"/>
  <c r="R866" i="8"/>
  <c r="R865" i="8"/>
  <c r="R863" i="8"/>
  <c r="R861" i="8"/>
  <c r="R860" i="8"/>
  <c r="T859" i="8"/>
  <c r="R859" i="8"/>
  <c r="R857" i="8"/>
  <c r="R855" i="8"/>
  <c r="R850" i="8"/>
  <c r="R848" i="8"/>
  <c r="R843" i="8"/>
  <c r="R837" i="8"/>
  <c r="R836" i="8"/>
  <c r="R835" i="8"/>
  <c r="R833" i="8"/>
  <c r="T832" i="8"/>
  <c r="R832" i="8"/>
  <c r="R831" i="8"/>
  <c r="R830" i="8"/>
  <c r="R829" i="8"/>
  <c r="T827" i="8"/>
  <c r="R827" i="8"/>
  <c r="R826" i="8"/>
  <c r="R825" i="8"/>
  <c r="R824" i="8"/>
  <c r="R821" i="8"/>
  <c r="T818" i="8"/>
  <c r="R818" i="8"/>
  <c r="R816" i="8"/>
  <c r="R812" i="8"/>
  <c r="R810" i="8"/>
  <c r="R809" i="8"/>
  <c r="R806" i="8"/>
  <c r="R804" i="8"/>
  <c r="R795" i="8"/>
  <c r="R788" i="8"/>
  <c r="R785" i="8"/>
  <c r="R784" i="8"/>
  <c r="R783" i="8"/>
  <c r="R781" i="8"/>
  <c r="R780" i="8"/>
  <c r="R778" i="8"/>
  <c r="R777" i="8"/>
  <c r="R776" i="8"/>
  <c r="R774" i="8"/>
  <c r="R772" i="8"/>
  <c r="R768" i="8"/>
  <c r="R766" i="8"/>
  <c r="R764" i="8"/>
  <c r="R763" i="8"/>
  <c r="T761" i="8"/>
  <c r="R761" i="8"/>
  <c r="R760" i="8"/>
  <c r="R759" i="8"/>
  <c r="R758" i="8"/>
  <c r="R756" i="8"/>
  <c r="R754" i="8"/>
  <c r="T752" i="8"/>
  <c r="R752" i="8"/>
  <c r="R750" i="8"/>
  <c r="T748" i="8"/>
  <c r="R748" i="8"/>
  <c r="R747" i="8"/>
  <c r="R746" i="8"/>
  <c r="R744" i="8"/>
  <c r="R743" i="8"/>
  <c r="R741" i="8"/>
  <c r="R740" i="8"/>
  <c r="R738" i="8"/>
  <c r="T737" i="8"/>
  <c r="R737" i="8"/>
  <c r="R736" i="8"/>
  <c r="R735" i="8"/>
  <c r="T734" i="8"/>
  <c r="Q734" i="8"/>
  <c r="R734" i="8"/>
  <c r="R733" i="8"/>
  <c r="T732" i="8"/>
  <c r="R732" i="8"/>
  <c r="T729" i="8"/>
  <c r="R729" i="8"/>
  <c r="R728" i="8"/>
  <c r="R726" i="8"/>
  <c r="R724" i="8"/>
  <c r="R723" i="8"/>
  <c r="R722" i="8"/>
  <c r="R721" i="8"/>
  <c r="R720" i="8"/>
  <c r="R719" i="8"/>
  <c r="R717" i="8"/>
  <c r="R716" i="8"/>
  <c r="R715" i="8"/>
  <c r="R714" i="8"/>
  <c r="R710" i="8"/>
  <c r="R709" i="8"/>
  <c r="R706" i="8"/>
  <c r="R704" i="8"/>
  <c r="R703" i="8"/>
  <c r="R702" i="8"/>
  <c r="T699" i="8"/>
  <c r="R699" i="8"/>
  <c r="T697" i="8"/>
  <c r="R697" i="8"/>
  <c r="R696" i="8"/>
  <c r="R695" i="8"/>
  <c r="R693" i="8"/>
  <c r="Q692" i="8"/>
  <c r="T691" i="8"/>
  <c r="R691" i="8"/>
  <c r="R690" i="8"/>
  <c r="R688" i="8"/>
  <c r="R687" i="8"/>
  <c r="R684" i="8"/>
  <c r="T683" i="8"/>
  <c r="R683" i="8"/>
  <c r="T682" i="8"/>
  <c r="Q682" i="8"/>
  <c r="R682" i="8"/>
  <c r="R681" i="8"/>
  <c r="R679" i="8"/>
  <c r="R677" i="8"/>
  <c r="T676" i="8"/>
  <c r="R676" i="8"/>
  <c r="T675" i="8"/>
  <c r="Q675" i="8"/>
  <c r="R675" i="8"/>
  <c r="R673" i="8"/>
  <c r="R672" i="8"/>
  <c r="R671" i="8"/>
  <c r="R670" i="8"/>
  <c r="R669" i="8"/>
  <c r="R667" i="8"/>
  <c r="R666" i="8"/>
  <c r="R663" i="8"/>
  <c r="R662" i="8"/>
  <c r="R661" i="8"/>
  <c r="R660" i="8"/>
  <c r="T659" i="8"/>
  <c r="R659" i="8"/>
  <c r="R658" i="8"/>
  <c r="T657" i="8"/>
  <c r="R657" i="8"/>
  <c r="T656" i="8"/>
  <c r="R656" i="8"/>
  <c r="T655" i="8"/>
  <c r="R655" i="8"/>
  <c r="R653" i="8"/>
  <c r="R651" i="8"/>
  <c r="R650" i="8"/>
  <c r="R648" i="8"/>
  <c r="R647" i="8"/>
  <c r="R645" i="8"/>
  <c r="T644" i="8"/>
  <c r="R644" i="8"/>
  <c r="R643" i="8"/>
  <c r="T640" i="8"/>
  <c r="R640" i="8"/>
  <c r="R639" i="8"/>
  <c r="R638" i="8"/>
  <c r="Q637" i="8"/>
  <c r="T637" i="8"/>
  <c r="R637" i="8"/>
  <c r="R636" i="8"/>
  <c r="R635" i="8"/>
  <c r="T633" i="8"/>
  <c r="R633" i="8"/>
  <c r="R631" i="8"/>
  <c r="T629" i="8"/>
  <c r="R629" i="8"/>
  <c r="R628" i="8"/>
  <c r="R627" i="8"/>
  <c r="T625" i="8"/>
  <c r="R625" i="8"/>
  <c r="R624" i="8"/>
  <c r="T623" i="8"/>
  <c r="R623" i="8"/>
  <c r="R622" i="8"/>
  <c r="T621" i="8"/>
  <c r="Q621" i="8"/>
  <c r="R621" i="8"/>
  <c r="R618" i="8"/>
  <c r="R617" i="8"/>
  <c r="T616" i="8"/>
  <c r="Q616" i="8"/>
  <c r="R616" i="8"/>
  <c r="R615" i="8"/>
  <c r="T614" i="8"/>
  <c r="R614" i="8"/>
  <c r="R613" i="8"/>
  <c r="R612" i="8"/>
  <c r="T611" i="8"/>
  <c r="R611" i="8"/>
  <c r="R610" i="8"/>
  <c r="T609" i="8"/>
  <c r="R609" i="8"/>
  <c r="R608" i="8"/>
  <c r="R607" i="8"/>
  <c r="R605" i="8"/>
  <c r="R604" i="8"/>
  <c r="R603" i="8"/>
  <c r="R602" i="8"/>
  <c r="R601" i="8"/>
  <c r="R600" i="8"/>
  <c r="R599" i="8"/>
  <c r="T598" i="8"/>
  <c r="T597" i="8"/>
  <c r="Q597" i="8"/>
  <c r="R597" i="8"/>
  <c r="R596" i="8"/>
  <c r="R595" i="8"/>
  <c r="R594" i="8"/>
  <c r="R593" i="8"/>
  <c r="R592" i="8"/>
  <c r="R591" i="8"/>
  <c r="R590" i="8"/>
  <c r="R589" i="8"/>
  <c r="R588" i="8"/>
  <c r="R587" i="8"/>
  <c r="R586" i="8"/>
  <c r="R585" i="8"/>
  <c r="R584" i="8"/>
  <c r="R583" i="8"/>
  <c r="R580" i="8"/>
  <c r="R579" i="8"/>
  <c r="R578" i="8"/>
  <c r="R577" i="8"/>
  <c r="R574" i="8"/>
  <c r="T573" i="8"/>
  <c r="R573" i="8"/>
  <c r="R572" i="8"/>
  <c r="R571" i="8"/>
  <c r="R570" i="8"/>
  <c r="R569" i="8"/>
  <c r="R568" i="8"/>
  <c r="R567" i="8"/>
  <c r="R566" i="8"/>
  <c r="R565" i="8"/>
  <c r="T564" i="8"/>
  <c r="Q564" i="8"/>
  <c r="R564" i="8"/>
  <c r="R561" i="8"/>
  <c r="R559" i="8"/>
  <c r="R556" i="8"/>
  <c r="T555" i="8"/>
  <c r="R554" i="8"/>
  <c r="R553" i="8"/>
  <c r="T551" i="8"/>
  <c r="R551" i="8"/>
  <c r="R550" i="8"/>
  <c r="R549" i="8"/>
  <c r="R548" i="8"/>
  <c r="R547" i="8"/>
  <c r="R546" i="8"/>
  <c r="R543" i="8"/>
  <c r="R541" i="8"/>
  <c r="R540" i="8"/>
  <c r="R539" i="8"/>
  <c r="R538" i="8"/>
  <c r="R537" i="8"/>
  <c r="R536" i="8"/>
  <c r="R535" i="8"/>
  <c r="T534" i="8"/>
  <c r="R534" i="8"/>
  <c r="T533" i="8"/>
  <c r="R533" i="8"/>
  <c r="T531" i="8"/>
  <c r="Q531" i="8"/>
  <c r="R531" i="8"/>
  <c r="R530" i="8"/>
  <c r="R528" i="8"/>
  <c r="T527" i="8"/>
  <c r="R527" i="8"/>
  <c r="R526" i="8"/>
  <c r="T525" i="8"/>
  <c r="R525" i="8"/>
  <c r="T523" i="8"/>
  <c r="R523" i="8"/>
  <c r="R522" i="8"/>
  <c r="R521" i="8"/>
  <c r="R520" i="8"/>
  <c r="R517" i="8"/>
  <c r="R516" i="8"/>
  <c r="T515" i="8"/>
  <c r="R515" i="8"/>
  <c r="R514" i="8"/>
  <c r="R513" i="8"/>
  <c r="R512" i="8"/>
  <c r="R511" i="8"/>
  <c r="T509" i="8"/>
  <c r="R509" i="8"/>
  <c r="R508" i="8"/>
  <c r="T507" i="8"/>
  <c r="R507" i="8"/>
  <c r="R504" i="8"/>
  <c r="R502" i="8"/>
  <c r="R501" i="8"/>
  <c r="T500" i="8"/>
  <c r="R500" i="8"/>
  <c r="R499" i="8"/>
  <c r="T498" i="8"/>
  <c r="R498" i="8"/>
  <c r="R497" i="8"/>
  <c r="T496" i="8"/>
  <c r="R496" i="8"/>
  <c r="T495" i="8"/>
  <c r="R495" i="8"/>
  <c r="T493" i="8"/>
  <c r="Q493" i="8"/>
  <c r="R493" i="8"/>
  <c r="R492" i="8"/>
  <c r="R491" i="8"/>
  <c r="T490" i="8"/>
  <c r="R490" i="8"/>
  <c r="R489" i="8"/>
  <c r="R488" i="8"/>
  <c r="R486" i="8"/>
  <c r="R485" i="8"/>
  <c r="T483" i="8"/>
  <c r="R483" i="8"/>
  <c r="T481" i="8"/>
  <c r="R481" i="8"/>
  <c r="R480" i="8"/>
  <c r="T479" i="8"/>
  <c r="Q479" i="8"/>
  <c r="R479" i="8"/>
  <c r="T478" i="8"/>
  <c r="R478" i="8"/>
  <c r="R477" i="8"/>
  <c r="R475" i="8"/>
  <c r="R474" i="8"/>
  <c r="R473" i="8"/>
  <c r="R472" i="8"/>
  <c r="T471" i="8"/>
  <c r="R471" i="8"/>
  <c r="R470" i="8"/>
  <c r="R468" i="8"/>
  <c r="R467" i="8"/>
  <c r="T464" i="8"/>
  <c r="R462" i="8"/>
  <c r="R459" i="8"/>
  <c r="T458" i="8"/>
  <c r="R458" i="8"/>
  <c r="R454" i="8"/>
  <c r="R452" i="8"/>
  <c r="R451" i="8"/>
  <c r="T450" i="8"/>
  <c r="R450" i="8"/>
  <c r="R449" i="8"/>
  <c r="R447" i="8"/>
  <c r="R445" i="8"/>
  <c r="T444" i="8"/>
  <c r="Q444" i="8"/>
  <c r="R442" i="8"/>
  <c r="T441" i="8"/>
  <c r="R441" i="8"/>
  <c r="T440" i="8"/>
  <c r="R440" i="8"/>
  <c r="R439" i="8"/>
  <c r="R438" i="8"/>
  <c r="R437" i="8"/>
  <c r="R436" i="8"/>
  <c r="R435" i="8"/>
  <c r="R434" i="8"/>
  <c r="R433" i="8"/>
  <c r="R432" i="8"/>
  <c r="R431" i="8"/>
  <c r="R429" i="8"/>
  <c r="R428" i="8"/>
  <c r="R427" i="8"/>
  <c r="R424" i="8"/>
  <c r="R423" i="8"/>
  <c r="R422" i="8"/>
  <c r="R421" i="8"/>
  <c r="R420" i="8"/>
  <c r="R418" i="8"/>
  <c r="R417" i="8"/>
  <c r="R415" i="8"/>
  <c r="T414" i="8"/>
  <c r="R414" i="8"/>
  <c r="R413" i="8"/>
  <c r="T412" i="8"/>
  <c r="R412" i="8"/>
  <c r="R411" i="8"/>
  <c r="R410" i="8"/>
  <c r="R409" i="8"/>
  <c r="R408" i="8"/>
  <c r="R399" i="8"/>
  <c r="R397" i="8"/>
  <c r="R396" i="8"/>
  <c r="R391" i="8"/>
  <c r="R390" i="8"/>
  <c r="R385" i="8"/>
  <c r="R377" i="8"/>
  <c r="R374" i="8"/>
  <c r="R370" i="8"/>
  <c r="R368" i="8"/>
  <c r="R366" i="8"/>
  <c r="S365" i="8"/>
  <c r="R354" i="8"/>
  <c r="T348" i="8"/>
  <c r="R348" i="8"/>
  <c r="R342" i="8"/>
  <c r="R341" i="8"/>
  <c r="R338" i="8"/>
  <c r="R337" i="8"/>
  <c r="R317" i="8"/>
  <c r="T306" i="8"/>
  <c r="R306" i="8"/>
  <c r="T304" i="8"/>
  <c r="R304" i="8"/>
  <c r="R303" i="8"/>
  <c r="T299" i="8"/>
  <c r="R299" i="8"/>
  <c r="R295" i="8"/>
  <c r="R286" i="8"/>
  <c r="T278" i="8"/>
  <c r="Q278" i="8"/>
  <c r="R276" i="8"/>
  <c r="R273" i="8"/>
  <c r="R272" i="8"/>
  <c r="R268" i="8"/>
  <c r="R265" i="8"/>
  <c r="T262" i="8"/>
  <c r="R262" i="8"/>
  <c r="R261" i="8"/>
  <c r="T258" i="8"/>
  <c r="R258" i="8"/>
  <c r="T257" i="8"/>
  <c r="R257" i="8"/>
  <c r="R255" i="8"/>
  <c r="R252" i="8"/>
  <c r="T249" i="8"/>
  <c r="R249" i="8"/>
  <c r="R246" i="8"/>
  <c r="R244" i="8"/>
  <c r="R239" i="8"/>
  <c r="R222" i="8"/>
  <c r="R206" i="8"/>
  <c r="R205" i="8"/>
  <c r="R194" i="8"/>
  <c r="R189" i="8"/>
  <c r="R185" i="8"/>
  <c r="R177" i="8"/>
  <c r="R176" i="8"/>
  <c r="R173" i="8"/>
  <c r="R171" i="8"/>
  <c r="R167" i="8"/>
  <c r="R165" i="8"/>
  <c r="R164" i="8"/>
  <c r="R163" i="8"/>
  <c r="R162" i="8"/>
  <c r="R160" i="8"/>
  <c r="R155" i="8"/>
  <c r="R152" i="8"/>
  <c r="R150" i="8"/>
  <c r="R149" i="8"/>
  <c r="R147" i="8"/>
  <c r="R144" i="8"/>
  <c r="R143" i="8"/>
  <c r="R141" i="8"/>
  <c r="R140" i="8"/>
  <c r="R139" i="8"/>
  <c r="R137" i="8"/>
  <c r="R133" i="8"/>
  <c r="R132" i="8"/>
  <c r="R127" i="8"/>
  <c r="R126" i="8"/>
  <c r="R125" i="8"/>
  <c r="R121" i="8"/>
  <c r="R118" i="8"/>
  <c r="R116" i="8"/>
  <c r="R112" i="8"/>
  <c r="R111" i="8"/>
  <c r="R110" i="8"/>
  <c r="R108" i="8"/>
  <c r="R106" i="8"/>
  <c r="R105" i="8"/>
  <c r="R103" i="8"/>
  <c r="R101" i="8"/>
  <c r="R100" i="8"/>
  <c r="R98" i="8"/>
  <c r="R95" i="8"/>
  <c r="R94" i="8"/>
  <c r="R90" i="8"/>
  <c r="R86" i="8"/>
  <c r="R85" i="8"/>
  <c r="R83" i="8"/>
  <c r="R78" i="8"/>
  <c r="R77" i="8"/>
  <c r="R72" i="8"/>
  <c r="R69" i="8"/>
  <c r="R68" i="8"/>
  <c r="R65" i="8"/>
  <c r="R64" i="8"/>
  <c r="R63" i="8"/>
  <c r="R61" i="8"/>
  <c r="R60" i="8"/>
  <c r="R59" i="8"/>
  <c r="R50" i="8"/>
  <c r="T47" i="8"/>
  <c r="R46" i="8"/>
  <c r="R44" i="8"/>
  <c r="R41" i="8"/>
  <c r="R40" i="8"/>
  <c r="R34" i="8"/>
  <c r="R33" i="8"/>
  <c r="R28" i="8"/>
  <c r="R20" i="8"/>
  <c r="T16" i="8"/>
  <c r="R16" i="8"/>
  <c r="R13" i="8"/>
  <c r="R9" i="8"/>
  <c r="S989" i="8"/>
  <c r="S984" i="8"/>
  <c r="S965" i="8"/>
  <c r="S962" i="8"/>
  <c r="S960" i="8"/>
  <c r="Q960" i="8"/>
  <c r="S953" i="8"/>
  <c r="S947" i="8"/>
  <c r="Q947" i="8"/>
  <c r="S941" i="8"/>
  <c r="Q941" i="8"/>
  <c r="S931" i="8"/>
  <c r="Q931" i="8"/>
  <c r="S926" i="8"/>
  <c r="Q926" i="8"/>
  <c r="S915" i="8"/>
  <c r="Q915" i="8"/>
  <c r="S908" i="8"/>
  <c r="Q908" i="8"/>
  <c r="S902" i="8"/>
  <c r="S894" i="8"/>
  <c r="Q894" i="8"/>
  <c r="S858" i="8"/>
  <c r="Q858" i="8"/>
  <c r="S856" i="8"/>
  <c r="Q856" i="8"/>
  <c r="S840" i="8"/>
  <c r="Q840" i="8"/>
  <c r="T831" i="8"/>
  <c r="S814" i="8"/>
  <c r="T814" i="8"/>
  <c r="Q814" i="8"/>
  <c r="S813" i="8"/>
  <c r="T813" i="8"/>
  <c r="Q813" i="8"/>
  <c r="S778" i="8"/>
  <c r="T778" i="8"/>
  <c r="Q778" i="8"/>
  <c r="S773" i="8"/>
  <c r="T773" i="8"/>
  <c r="Q773" i="8"/>
  <c r="R771" i="8"/>
  <c r="S750" i="8"/>
  <c r="T750" i="8"/>
  <c r="Q750" i="8"/>
  <c r="S747" i="8"/>
  <c r="T747" i="8"/>
  <c r="Q747" i="8"/>
  <c r="S744" i="8"/>
  <c r="T744" i="8"/>
  <c r="Q744" i="8"/>
  <c r="S736" i="8"/>
  <c r="T736" i="8"/>
  <c r="Q736" i="8"/>
  <c r="S728" i="8"/>
  <c r="T728" i="8"/>
  <c r="Q728" i="8"/>
  <c r="S727" i="8"/>
  <c r="S722" i="8"/>
  <c r="T722" i="8"/>
  <c r="Q722" i="8"/>
  <c r="R708" i="8"/>
  <c r="R700" i="8"/>
  <c r="S695" i="8"/>
  <c r="T695" i="8"/>
  <c r="Q695" i="8"/>
  <c r="S693" i="8"/>
  <c r="T693" i="8"/>
  <c r="Q693" i="8"/>
  <c r="S684" i="8"/>
  <c r="T684" i="8"/>
  <c r="Q684" i="8"/>
  <c r="S638" i="8"/>
  <c r="T638" i="8"/>
  <c r="Q638" i="8"/>
  <c r="T628" i="8"/>
  <c r="S607" i="8"/>
  <c r="T607" i="8"/>
  <c r="Q607" i="8"/>
  <c r="S600" i="8"/>
  <c r="T600" i="8"/>
  <c r="Q600" i="8"/>
  <c r="S599" i="8"/>
  <c r="T599" i="8"/>
  <c r="Q599" i="8"/>
  <c r="S560" i="8"/>
  <c r="T560" i="8"/>
  <c r="Q560" i="8"/>
  <c r="S558" i="8"/>
  <c r="T558" i="8"/>
  <c r="Q558" i="8"/>
  <c r="S557" i="8"/>
  <c r="Q557" i="8"/>
  <c r="S541" i="8"/>
  <c r="T541" i="8"/>
  <c r="Q541" i="8"/>
  <c r="S535" i="8"/>
  <c r="T535" i="8"/>
  <c r="Q535" i="8"/>
  <c r="Q532" i="8"/>
  <c r="S516" i="8"/>
  <c r="T516" i="8"/>
  <c r="Q516" i="8"/>
  <c r="S514" i="8"/>
  <c r="T514" i="8"/>
  <c r="Q514" i="8"/>
  <c r="S501" i="8"/>
  <c r="T501" i="8"/>
  <c r="Q501" i="8"/>
  <c r="S488" i="8"/>
  <c r="Q484" i="8"/>
  <c r="Q482" i="8"/>
  <c r="S469" i="8"/>
  <c r="T469" i="8"/>
  <c r="Q469" i="8"/>
  <c r="S457" i="8"/>
  <c r="Q457" i="8"/>
  <c r="S456" i="8"/>
  <c r="Q456" i="8"/>
  <c r="S439" i="8"/>
  <c r="T439" i="8"/>
  <c r="Q439" i="8"/>
  <c r="S431" i="8"/>
  <c r="T431" i="8"/>
  <c r="Q431" i="8"/>
  <c r="S418" i="8"/>
  <c r="T418" i="8"/>
  <c r="Q418" i="8"/>
  <c r="S415" i="8"/>
  <c r="T415" i="8"/>
  <c r="Q415" i="8"/>
  <c r="S407" i="8"/>
  <c r="T407" i="8"/>
  <c r="Q407" i="8"/>
  <c r="S378" i="8"/>
  <c r="T378" i="8"/>
  <c r="Q378" i="8"/>
  <c r="S366" i="8"/>
  <c r="T366" i="8"/>
  <c r="Q366" i="8"/>
  <c r="S318" i="8"/>
  <c r="T318" i="8"/>
  <c r="Q318" i="8"/>
  <c r="T296" i="8"/>
  <c r="Q296" i="8"/>
  <c r="R290" i="8"/>
  <c r="S282" i="8"/>
  <c r="T282" i="8"/>
  <c r="Q282" i="8"/>
  <c r="S256" i="8"/>
  <c r="T256" i="8"/>
  <c r="Q256" i="8"/>
  <c r="S255" i="8"/>
  <c r="T255" i="8"/>
  <c r="Q255" i="8"/>
  <c r="S229" i="8"/>
  <c r="T229" i="8"/>
  <c r="Q229" i="8"/>
  <c r="S228" i="8"/>
  <c r="T228" i="8"/>
  <c r="Q228" i="8"/>
  <c r="S210" i="8"/>
  <c r="Q210" i="8"/>
  <c r="S208" i="8"/>
  <c r="T208" i="8"/>
  <c r="Q208" i="8"/>
  <c r="Q201" i="8"/>
  <c r="R157" i="8"/>
  <c r="R96" i="8"/>
  <c r="R82" i="8"/>
  <c r="S59" i="8"/>
  <c r="T59" i="8"/>
  <c r="Q59" i="8"/>
  <c r="S54" i="8"/>
  <c r="Q54" i="8"/>
  <c r="R47" i="8"/>
  <c r="S41" i="8"/>
  <c r="T41" i="8"/>
  <c r="Q41" i="8"/>
  <c r="S38" i="8"/>
  <c r="Q38" i="8"/>
  <c r="S28" i="8"/>
  <c r="T28" i="8"/>
  <c r="Q28" i="8"/>
  <c r="S13" i="8"/>
  <c r="T13" i="8"/>
  <c r="Q13" i="8"/>
  <c r="S8" i="8"/>
  <c r="T8" i="8"/>
  <c r="Q8" i="8"/>
  <c r="S1002" i="8"/>
  <c r="S1001" i="8"/>
  <c r="S995" i="8"/>
  <c r="S994" i="8"/>
  <c r="Q994" i="8"/>
  <c r="S991" i="8"/>
  <c r="Q991" i="8"/>
  <c r="S990" i="8"/>
  <c r="Q990" i="8"/>
  <c r="S987" i="8"/>
  <c r="Q987" i="8"/>
  <c r="S986" i="8"/>
  <c r="S985" i="8"/>
  <c r="Q985" i="8"/>
  <c r="S979" i="8"/>
  <c r="Q979" i="8"/>
  <c r="S976" i="8"/>
  <c r="S975" i="8"/>
  <c r="S969" i="8"/>
  <c r="S964" i="8"/>
  <c r="Q964" i="8"/>
  <c r="S961" i="8"/>
  <c r="Q961" i="8"/>
  <c r="S958" i="8"/>
  <c r="Q958" i="8"/>
  <c r="S956" i="8"/>
  <c r="S951" i="8"/>
  <c r="Q951" i="8"/>
  <c r="S949" i="8"/>
  <c r="Q949" i="8"/>
  <c r="S946" i="8"/>
  <c r="Q946" i="8"/>
  <c r="S944" i="8"/>
  <c r="Q944" i="8"/>
  <c r="S943" i="8"/>
  <c r="Q943" i="8"/>
  <c r="S942" i="8"/>
  <c r="S939" i="8"/>
  <c r="Q939" i="8"/>
  <c r="S935" i="8"/>
  <c r="Q935" i="8"/>
  <c r="S933" i="8"/>
  <c r="Q933" i="8"/>
  <c r="S929" i="8"/>
  <c r="S928" i="8"/>
  <c r="Q928" i="8"/>
  <c r="S923" i="8"/>
  <c r="Q923" i="8"/>
  <c r="S920" i="8"/>
  <c r="Q920" i="8"/>
  <c r="S917" i="8"/>
  <c r="Q917" i="8"/>
  <c r="S910" i="8"/>
  <c r="Q910" i="8"/>
  <c r="S909" i="8"/>
  <c r="Q909" i="8"/>
  <c r="S907" i="8"/>
  <c r="Q907" i="8"/>
  <c r="S905" i="8"/>
  <c r="Q905" i="8"/>
  <c r="S901" i="8"/>
  <c r="S899" i="8"/>
  <c r="T899" i="8"/>
  <c r="Q899" i="8"/>
  <c r="S897" i="8"/>
  <c r="S890" i="8"/>
  <c r="Q890" i="8"/>
  <c r="S887" i="8"/>
  <c r="Q887" i="8"/>
  <c r="S880" i="8"/>
  <c r="T880" i="8"/>
  <c r="Q880" i="8"/>
  <c r="S878" i="8"/>
  <c r="Q878" i="8"/>
  <c r="Q875" i="8"/>
  <c r="S863" i="8"/>
  <c r="T863" i="8"/>
  <c r="Q863" i="8"/>
  <c r="S860" i="8"/>
  <c r="Q860" i="8"/>
  <c r="S851" i="8"/>
  <c r="T851" i="8"/>
  <c r="Q851" i="8"/>
  <c r="S839" i="8"/>
  <c r="T839" i="8"/>
  <c r="Q839" i="8"/>
  <c r="S835" i="8"/>
  <c r="T835" i="8"/>
  <c r="Q835" i="8"/>
  <c r="S831" i="8"/>
  <c r="Q831" i="8"/>
  <c r="S828" i="8"/>
  <c r="Q828" i="8"/>
  <c r="S821" i="8"/>
  <c r="Q821" i="8"/>
  <c r="S788" i="8"/>
  <c r="T788" i="8"/>
  <c r="Q788" i="8"/>
  <c r="S787" i="8"/>
  <c r="T787" i="8"/>
  <c r="Q787" i="8"/>
  <c r="S786" i="8"/>
  <c r="T786" i="8"/>
  <c r="Q786" i="8"/>
  <c r="S781" i="8"/>
  <c r="T781" i="8"/>
  <c r="Q781" i="8"/>
  <c r="S780" i="8"/>
  <c r="T780" i="8"/>
  <c r="Q780" i="8"/>
  <c r="S775" i="8"/>
  <c r="Q775" i="8"/>
  <c r="S774" i="8"/>
  <c r="T774" i="8"/>
  <c r="Q774" i="8"/>
  <c r="S772" i="8"/>
  <c r="T772" i="8"/>
  <c r="Q772" i="8"/>
  <c r="S768" i="8"/>
  <c r="T768" i="8"/>
  <c r="Q768" i="8"/>
  <c r="S764" i="8"/>
  <c r="S760" i="8"/>
  <c r="T760" i="8"/>
  <c r="Q760" i="8"/>
  <c r="S754" i="8"/>
  <c r="T754" i="8"/>
  <c r="Q754" i="8"/>
  <c r="S751" i="8"/>
  <c r="Q751" i="8"/>
  <c r="S738" i="8"/>
  <c r="T738" i="8"/>
  <c r="Q738" i="8"/>
  <c r="S735" i="8"/>
  <c r="T735" i="8"/>
  <c r="Q735" i="8"/>
  <c r="S717" i="8"/>
  <c r="T717" i="8"/>
  <c r="Q717" i="8"/>
  <c r="R713" i="8"/>
  <c r="T713" i="8"/>
  <c r="S712" i="8"/>
  <c r="T712" i="8"/>
  <c r="Q712" i="8"/>
  <c r="S708" i="8"/>
  <c r="T708" i="8"/>
  <c r="Q708" i="8"/>
  <c r="T707" i="8"/>
  <c r="S702" i="8"/>
  <c r="T702" i="8"/>
  <c r="Q702" i="8"/>
  <c r="S701" i="8"/>
  <c r="Q701" i="8"/>
  <c r="S679" i="8"/>
  <c r="T679" i="8"/>
  <c r="Q679" i="8"/>
  <c r="S668" i="8"/>
  <c r="Q668" i="8"/>
  <c r="S645" i="8"/>
  <c r="T645" i="8"/>
  <c r="Q645" i="8"/>
  <c r="S640" i="8"/>
  <c r="Q640" i="8"/>
  <c r="S635" i="8"/>
  <c r="T635" i="8"/>
  <c r="Q635" i="8"/>
  <c r="S634" i="8"/>
  <c r="Q634" i="8"/>
  <c r="S628" i="8"/>
  <c r="Q628" i="8"/>
  <c r="S626" i="8"/>
  <c r="T626" i="8"/>
  <c r="Q626" i="8"/>
  <c r="S618" i="8"/>
  <c r="T618" i="8"/>
  <c r="Q618" i="8"/>
  <c r="S615" i="8"/>
  <c r="T615" i="8"/>
  <c r="Q615" i="8"/>
  <c r="S612" i="8"/>
  <c r="T612" i="8"/>
  <c r="Q612" i="8"/>
  <c r="S610" i="8"/>
  <c r="T610" i="8"/>
  <c r="Q610" i="8"/>
  <c r="S604" i="8"/>
  <c r="T604" i="8"/>
  <c r="Q604" i="8"/>
  <c r="S602" i="8"/>
  <c r="T602" i="8"/>
  <c r="Q602" i="8"/>
  <c r="S601" i="8"/>
  <c r="T601" i="8"/>
  <c r="Q601" i="8"/>
  <c r="S566" i="8"/>
  <c r="T566" i="8"/>
  <c r="Q566" i="8"/>
  <c r="S565" i="8"/>
  <c r="T565" i="8"/>
  <c r="Q565" i="8"/>
  <c r="Q559" i="8"/>
  <c r="S554" i="8"/>
  <c r="T554" i="8"/>
  <c r="Q554" i="8"/>
  <c r="S549" i="8"/>
  <c r="T549" i="8"/>
  <c r="Q549" i="8"/>
  <c r="S548" i="8"/>
  <c r="T548" i="8"/>
  <c r="Q548" i="8"/>
  <c r="S546" i="8"/>
  <c r="T546" i="8"/>
  <c r="Q546" i="8"/>
  <c r="S545" i="8"/>
  <c r="Q545" i="8"/>
  <c r="S533" i="8"/>
  <c r="S512" i="8"/>
  <c r="T512" i="8"/>
  <c r="Q512" i="8"/>
  <c r="S506" i="8"/>
  <c r="T506" i="8"/>
  <c r="Q506" i="8"/>
  <c r="S505" i="8"/>
  <c r="T505" i="8"/>
  <c r="Q505" i="8"/>
  <c r="S499" i="8"/>
  <c r="T499" i="8"/>
  <c r="Q499" i="8"/>
  <c r="S491" i="8"/>
  <c r="T491" i="8"/>
  <c r="Q491" i="8"/>
  <c r="S476" i="8"/>
  <c r="Q476" i="8"/>
  <c r="S475" i="8"/>
  <c r="T475" i="8"/>
  <c r="Q475" i="8"/>
  <c r="S472" i="8"/>
  <c r="T472" i="8"/>
  <c r="Q472" i="8"/>
  <c r="S458" i="8"/>
  <c r="Q458" i="8"/>
  <c r="S449" i="8"/>
  <c r="T449" i="8"/>
  <c r="Q449" i="8"/>
  <c r="R446" i="8"/>
  <c r="T446" i="8"/>
  <c r="S435" i="8"/>
  <c r="T435" i="8"/>
  <c r="Q435" i="8"/>
  <c r="S433" i="8"/>
  <c r="T433" i="8"/>
  <c r="Q433" i="8"/>
  <c r="S428" i="8"/>
  <c r="T428" i="8"/>
  <c r="Q428" i="8"/>
  <c r="S427" i="8"/>
  <c r="T427" i="8"/>
  <c r="Q427" i="8"/>
  <c r="S413" i="8"/>
  <c r="T413" i="8"/>
  <c r="Q413" i="8"/>
  <c r="S408" i="8"/>
  <c r="T408" i="8"/>
  <c r="Q408" i="8"/>
  <c r="S394" i="8"/>
  <c r="T394" i="8"/>
  <c r="Q394" i="8"/>
  <c r="S357" i="8"/>
  <c r="T357" i="8"/>
  <c r="S355" i="8"/>
  <c r="T355" i="8"/>
  <c r="Q355" i="8"/>
  <c r="S333" i="8"/>
  <c r="T333" i="8"/>
  <c r="Q333" i="8"/>
  <c r="S314" i="8"/>
  <c r="T314" i="8"/>
  <c r="Q314" i="8"/>
  <c r="S300" i="8"/>
  <c r="T300" i="8"/>
  <c r="Q300" i="8"/>
  <c r="S290" i="8"/>
  <c r="T290" i="8"/>
  <c r="Q290" i="8"/>
  <c r="S271" i="8"/>
  <c r="Q271" i="8"/>
  <c r="S270" i="8"/>
  <c r="T270" i="8"/>
  <c r="Q270" i="8"/>
  <c r="S267" i="8"/>
  <c r="Q267" i="8"/>
  <c r="R264" i="8"/>
  <c r="S261" i="8"/>
  <c r="T261" i="8"/>
  <c r="Q261" i="8"/>
  <c r="S223" i="8"/>
  <c r="T223" i="8"/>
  <c r="Q223" i="8"/>
  <c r="S217" i="8"/>
  <c r="T217" i="8"/>
  <c r="Q217" i="8"/>
  <c r="S211" i="8"/>
  <c r="T211" i="8"/>
  <c r="Q211" i="8"/>
  <c r="R210" i="8"/>
  <c r="R207" i="8"/>
  <c r="R196" i="8"/>
  <c r="S181" i="8"/>
  <c r="S152" i="8"/>
  <c r="T152" i="8"/>
  <c r="Q152" i="8"/>
  <c r="R146" i="8"/>
  <c r="S88" i="8"/>
  <c r="T88" i="8"/>
  <c r="Q88" i="8"/>
  <c r="Q76" i="8"/>
  <c r="S72" i="8"/>
  <c r="T72" i="8"/>
  <c r="Q72" i="8"/>
  <c r="S65" i="8"/>
  <c r="T65" i="8"/>
  <c r="Q65" i="8"/>
  <c r="S60" i="8"/>
  <c r="T60" i="8"/>
  <c r="Q60" i="8"/>
  <c r="S57" i="8"/>
  <c r="Q57" i="8"/>
  <c r="S56" i="8"/>
  <c r="T56" i="8"/>
  <c r="Q56" i="8"/>
  <c r="S51" i="8"/>
  <c r="T51" i="8"/>
  <c r="Q51" i="8"/>
  <c r="S50" i="8"/>
  <c r="T50" i="8"/>
  <c r="Q50" i="8"/>
  <c r="S46" i="8"/>
  <c r="T46" i="8"/>
  <c r="Q46" i="8"/>
  <c r="S42" i="8"/>
  <c r="T42" i="8"/>
  <c r="Q42" i="8"/>
  <c r="S37" i="8"/>
  <c r="Q37" i="8"/>
  <c r="S34" i="8"/>
  <c r="T34" i="8"/>
  <c r="Q34" i="8"/>
  <c r="S26" i="8"/>
  <c r="T26" i="8"/>
  <c r="Q26" i="8"/>
  <c r="S22" i="8"/>
  <c r="T22" i="8"/>
  <c r="Q22" i="8"/>
  <c r="S17" i="8"/>
  <c r="T17" i="8"/>
  <c r="Q17" i="8"/>
  <c r="S11" i="8"/>
  <c r="T11" i="8"/>
  <c r="Q11" i="8"/>
  <c r="S10" i="8"/>
  <c r="Q10" i="8"/>
  <c r="E70" i="2"/>
  <c r="H69" i="2"/>
  <c r="E71" i="2"/>
  <c r="H70" i="2"/>
  <c r="S1005" i="8"/>
  <c r="S1004" i="8"/>
  <c r="Q1004" i="8"/>
  <c r="Q1002" i="8"/>
  <c r="S1000" i="8"/>
  <c r="S999" i="8"/>
  <c r="S998" i="8"/>
  <c r="Q998" i="8"/>
  <c r="S997" i="8"/>
  <c r="S996" i="8"/>
  <c r="Q996" i="8"/>
  <c r="S993" i="8"/>
  <c r="Q993" i="8"/>
  <c r="S992" i="8"/>
  <c r="Q992" i="8"/>
  <c r="Q989" i="8"/>
  <c r="S988" i="8"/>
  <c r="Q988" i="8"/>
  <c r="Q984" i="8"/>
  <c r="S980" i="8"/>
  <c r="Q980" i="8"/>
  <c r="S977" i="8"/>
  <c r="Q977" i="8"/>
  <c r="Q975" i="8"/>
  <c r="S970" i="8"/>
  <c r="Q970" i="8"/>
  <c r="Q969" i="8"/>
  <c r="S968" i="8"/>
  <c r="Q968" i="8"/>
  <c r="S966" i="8"/>
  <c r="Q966" i="8"/>
  <c r="Q965" i="8"/>
  <c r="S963" i="8"/>
  <c r="Q963" i="8"/>
  <c r="S959" i="8"/>
  <c r="Q959" i="8"/>
  <c r="Q953" i="8"/>
  <c r="S952" i="8"/>
  <c r="Q952" i="8"/>
  <c r="T946" i="8"/>
  <c r="S940" i="8"/>
  <c r="Q940" i="8"/>
  <c r="S937" i="8"/>
  <c r="Q937" i="8"/>
  <c r="S936" i="8"/>
  <c r="Q936" i="8"/>
  <c r="S932" i="8"/>
  <c r="Q932" i="8"/>
  <c r="S930" i="8"/>
  <c r="Q930" i="8"/>
  <c r="Q929" i="8"/>
  <c r="S927" i="8"/>
  <c r="Q927" i="8"/>
  <c r="R926" i="8"/>
  <c r="T926" i="8"/>
  <c r="S925" i="8"/>
  <c r="T925" i="8"/>
  <c r="Q925" i="8"/>
  <c r="S924" i="8"/>
  <c r="Q924" i="8"/>
  <c r="S922" i="8"/>
  <c r="Q922" i="8"/>
  <c r="S921" i="8"/>
  <c r="S918" i="8"/>
  <c r="Q918" i="8"/>
  <c r="S916" i="8"/>
  <c r="Q916" i="8"/>
  <c r="S914" i="8"/>
  <c r="T914" i="8"/>
  <c r="Q914" i="8"/>
  <c r="R913" i="8"/>
  <c r="Q912" i="8"/>
  <c r="T910" i="8"/>
  <c r="T907" i="8"/>
  <c r="S906" i="8"/>
  <c r="Q906" i="8"/>
  <c r="T905" i="8"/>
  <c r="Q901" i="8"/>
  <c r="S898" i="8"/>
  <c r="T898" i="8"/>
  <c r="Q898" i="8"/>
  <c r="S895" i="8"/>
  <c r="T895" i="8"/>
  <c r="Q895" i="8"/>
  <c r="T894" i="8"/>
  <c r="S893" i="8"/>
  <c r="T893" i="8"/>
  <c r="Q893" i="8"/>
  <c r="S892" i="8"/>
  <c r="T892" i="8"/>
  <c r="Q892" i="8"/>
  <c r="S891" i="8"/>
  <c r="S888" i="8"/>
  <c r="T888" i="8"/>
  <c r="Q888" i="8"/>
  <c r="T887" i="8"/>
  <c r="R886" i="8"/>
  <c r="S884" i="8"/>
  <c r="T884" i="8"/>
  <c r="Q884" i="8"/>
  <c r="S883" i="8"/>
  <c r="T883" i="8"/>
  <c r="Q883" i="8"/>
  <c r="R882" i="8"/>
  <c r="S882" i="8"/>
  <c r="Q882" i="8"/>
  <c r="S881" i="8"/>
  <c r="T881" i="8"/>
  <c r="Q881" i="8"/>
  <c r="S879" i="8"/>
  <c r="T879" i="8"/>
  <c r="Q879" i="8"/>
  <c r="S877" i="8"/>
  <c r="T877" i="8"/>
  <c r="Q877" i="8"/>
  <c r="S876" i="8"/>
  <c r="T876" i="8"/>
  <c r="Q876" i="8"/>
  <c r="R875" i="8"/>
  <c r="S875" i="8"/>
  <c r="T875" i="8"/>
  <c r="S874" i="8"/>
  <c r="Q874" i="8"/>
  <c r="S873" i="8"/>
  <c r="T873" i="8"/>
  <c r="Q873" i="8"/>
  <c r="S872" i="8"/>
  <c r="T872" i="8"/>
  <c r="Q872" i="8"/>
  <c r="S871" i="8"/>
  <c r="T871" i="8"/>
  <c r="Q871" i="8"/>
  <c r="S869" i="8"/>
  <c r="Q869" i="8"/>
  <c r="S868" i="8"/>
  <c r="T868" i="8"/>
  <c r="Q868" i="8"/>
  <c r="S867" i="8"/>
  <c r="T867" i="8"/>
  <c r="Q867" i="8"/>
  <c r="T865" i="8"/>
  <c r="S865" i="8"/>
  <c r="Q865" i="8"/>
  <c r="S862" i="8"/>
  <c r="Q862" i="8"/>
  <c r="T860" i="8"/>
  <c r="S857" i="8"/>
  <c r="T857" i="8"/>
  <c r="Q857" i="8"/>
  <c r="T854" i="8"/>
  <c r="S854" i="8"/>
  <c r="Q854" i="8"/>
  <c r="S853" i="8"/>
  <c r="T853" i="8"/>
  <c r="Q853" i="8"/>
  <c r="R852" i="8"/>
  <c r="T852" i="8"/>
  <c r="R851" i="8"/>
  <c r="S849" i="8"/>
  <c r="Q849" i="8"/>
  <c r="S848" i="8"/>
  <c r="T848" i="8"/>
  <c r="Q848" i="8"/>
  <c r="S846" i="8"/>
  <c r="Q846" i="8"/>
  <c r="S845" i="8"/>
  <c r="S844" i="8"/>
  <c r="T844" i="8"/>
  <c r="Q844" i="8"/>
  <c r="S843" i="8"/>
  <c r="T843" i="8"/>
  <c r="Q843" i="8"/>
  <c r="S842" i="8"/>
  <c r="T842" i="8"/>
  <c r="Q842" i="8"/>
  <c r="S841" i="8"/>
  <c r="Q841" i="8"/>
  <c r="T838" i="8"/>
  <c r="S838" i="8"/>
  <c r="Q838" i="8"/>
  <c r="S837" i="8"/>
  <c r="T837" i="8"/>
  <c r="Q837" i="8"/>
  <c r="S836" i="8"/>
  <c r="T836" i="8"/>
  <c r="Q836" i="8"/>
  <c r="T829" i="8"/>
  <c r="S829" i="8"/>
  <c r="Q829" i="8"/>
  <c r="S826" i="8"/>
  <c r="T826" i="8"/>
  <c r="Q826" i="8"/>
  <c r="S825" i="8"/>
  <c r="T825" i="8"/>
  <c r="Q825" i="8"/>
  <c r="S824" i="8"/>
  <c r="T824" i="8"/>
  <c r="Q824" i="8"/>
  <c r="S823" i="8"/>
  <c r="T823" i="8"/>
  <c r="Q823" i="8"/>
  <c r="S820" i="8"/>
  <c r="S816" i="8"/>
  <c r="T816" i="8"/>
  <c r="Q816" i="8"/>
  <c r="S811" i="8"/>
  <c r="T811" i="8"/>
  <c r="Q811" i="8"/>
  <c r="S807" i="8"/>
  <c r="T807" i="8"/>
  <c r="Q807" i="8"/>
  <c r="S806" i="8"/>
  <c r="T806" i="8"/>
  <c r="Q806" i="8"/>
  <c r="S801" i="8"/>
  <c r="T801" i="8"/>
  <c r="Q801" i="8"/>
  <c r="S799" i="8"/>
  <c r="T799" i="8"/>
  <c r="Q799" i="8"/>
  <c r="R798" i="8"/>
  <c r="S797" i="8"/>
  <c r="T797" i="8"/>
  <c r="Q797" i="8"/>
  <c r="T795" i="8"/>
  <c r="S795" i="8"/>
  <c r="Q795" i="8"/>
  <c r="S792" i="8"/>
  <c r="T792" i="8"/>
  <c r="Q792" i="8"/>
  <c r="T791" i="8"/>
  <c r="S791" i="8"/>
  <c r="Q791" i="8"/>
  <c r="S790" i="8"/>
  <c r="T790" i="8"/>
  <c r="Q790" i="8"/>
  <c r="S785" i="8"/>
  <c r="T785" i="8"/>
  <c r="Q785" i="8"/>
  <c r="S784" i="8"/>
  <c r="T784" i="8"/>
  <c r="Q784" i="8"/>
  <c r="S779" i="8"/>
  <c r="R775" i="8"/>
  <c r="T775" i="8"/>
  <c r="S771" i="8"/>
  <c r="T771" i="8"/>
  <c r="Q771" i="8"/>
  <c r="S770" i="8"/>
  <c r="T770" i="8"/>
  <c r="Q770" i="8"/>
  <c r="T764" i="8"/>
  <c r="Q764" i="8"/>
  <c r="S763" i="8"/>
  <c r="T763" i="8"/>
  <c r="Q763" i="8"/>
  <c r="S762" i="8"/>
  <c r="T762" i="8"/>
  <c r="Q762" i="8"/>
  <c r="S758" i="8"/>
  <c r="T758" i="8"/>
  <c r="Q758" i="8"/>
  <c r="S757" i="8"/>
  <c r="T757" i="8"/>
  <c r="Q757" i="8"/>
  <c r="S755" i="8"/>
  <c r="T755" i="8"/>
  <c r="Q755" i="8"/>
  <c r="T743" i="8"/>
  <c r="S743" i="8"/>
  <c r="Q743" i="8"/>
  <c r="T742" i="8"/>
  <c r="S742" i="8"/>
  <c r="Q742" i="8"/>
  <c r="S740" i="8"/>
  <c r="T740" i="8"/>
  <c r="Q740" i="8"/>
  <c r="T739" i="8"/>
  <c r="S739" i="8"/>
  <c r="Q739" i="8"/>
  <c r="S731" i="8"/>
  <c r="T731" i="8"/>
  <c r="Q731" i="8"/>
  <c r="S730" i="8"/>
  <c r="T730" i="8"/>
  <c r="Q730" i="8"/>
  <c r="S725" i="8"/>
  <c r="T725" i="8"/>
  <c r="Q725" i="8"/>
  <c r="S724" i="8"/>
  <c r="T724" i="8"/>
  <c r="Q724" i="8"/>
  <c r="T723" i="8"/>
  <c r="S723" i="8"/>
  <c r="Q723" i="8"/>
  <c r="S721" i="8"/>
  <c r="T721" i="8"/>
  <c r="Q721" i="8"/>
  <c r="S719" i="8"/>
  <c r="T719" i="8"/>
  <c r="Q719" i="8"/>
  <c r="S715" i="8"/>
  <c r="T715" i="8"/>
  <c r="Q715" i="8"/>
  <c r="R707" i="8"/>
  <c r="S707" i="8"/>
  <c r="Q707" i="8"/>
  <c r="T706" i="8"/>
  <c r="S706" i="8"/>
  <c r="Q706" i="8"/>
  <c r="R705" i="8"/>
  <c r="S704" i="8"/>
  <c r="T704" i="8"/>
  <c r="Q704" i="8"/>
  <c r="S703" i="8"/>
  <c r="T703" i="8"/>
  <c r="Q703" i="8"/>
  <c r="S700" i="8"/>
  <c r="T700" i="8"/>
  <c r="Q700" i="8"/>
  <c r="T698" i="8"/>
  <c r="S698" i="8"/>
  <c r="Q698" i="8"/>
  <c r="S694" i="8"/>
  <c r="Q694" i="8"/>
  <c r="S689" i="8"/>
  <c r="T689" i="8"/>
  <c r="Q689" i="8"/>
  <c r="S688" i="8"/>
  <c r="T688" i="8"/>
  <c r="Q688" i="8"/>
  <c r="S686" i="8"/>
  <c r="T686" i="8"/>
  <c r="Q686" i="8"/>
  <c r="S685" i="8"/>
  <c r="Q685" i="8"/>
  <c r="S681" i="8"/>
  <c r="T681" i="8"/>
  <c r="Q681" i="8"/>
  <c r="T680" i="8"/>
  <c r="Q680" i="8"/>
  <c r="S678" i="8"/>
  <c r="Q678" i="8"/>
  <c r="S677" i="8"/>
  <c r="T677" i="8"/>
  <c r="Q677" i="8"/>
  <c r="T673" i="8"/>
  <c r="S673" i="8"/>
  <c r="Q673" i="8"/>
  <c r="S672" i="8"/>
  <c r="T672" i="8"/>
  <c r="Q672" i="8"/>
  <c r="T671" i="8"/>
  <c r="S671" i="8"/>
  <c r="Q671" i="8"/>
  <c r="S670" i="8"/>
  <c r="T670" i="8"/>
  <c r="Q670" i="8"/>
  <c r="T669" i="8"/>
  <c r="S669" i="8"/>
  <c r="Q669" i="8"/>
  <c r="S667" i="8"/>
  <c r="T667" i="8"/>
  <c r="Q667" i="8"/>
  <c r="S666" i="8"/>
  <c r="T666" i="8"/>
  <c r="Q666" i="8"/>
  <c r="S665" i="8"/>
  <c r="Q665" i="8"/>
  <c r="S664" i="8"/>
  <c r="Q664" i="8"/>
  <c r="S663" i="8"/>
  <c r="T663" i="8"/>
  <c r="Q663" i="8"/>
  <c r="T660" i="8"/>
  <c r="S660" i="8"/>
  <c r="Q660" i="8"/>
  <c r="S654" i="8"/>
  <c r="Q654" i="8"/>
  <c r="S653" i="8"/>
  <c r="T653" i="8"/>
  <c r="Q653" i="8"/>
  <c r="S652" i="8"/>
  <c r="T652" i="8"/>
  <c r="Q652" i="8"/>
  <c r="S650" i="8"/>
  <c r="T650" i="8"/>
  <c r="Q650" i="8"/>
  <c r="S649" i="8"/>
  <c r="Q649" i="8"/>
  <c r="S630" i="8"/>
  <c r="Q630" i="8"/>
  <c r="S620" i="8"/>
  <c r="T620" i="8"/>
  <c r="Q620" i="8"/>
  <c r="S619" i="8"/>
  <c r="T619" i="8"/>
  <c r="Q619" i="8"/>
  <c r="S613" i="8"/>
  <c r="T613" i="8"/>
  <c r="Q613" i="8"/>
  <c r="S606" i="8"/>
  <c r="Q606" i="8"/>
  <c r="S603" i="8"/>
  <c r="T603" i="8"/>
  <c r="Q603" i="8"/>
  <c r="S596" i="8"/>
  <c r="T596" i="8"/>
  <c r="Q596" i="8"/>
  <c r="S594" i="8"/>
  <c r="T594" i="8"/>
  <c r="Q594" i="8"/>
  <c r="S593" i="8"/>
  <c r="T593" i="8"/>
  <c r="Q593" i="8"/>
  <c r="S591" i="8"/>
  <c r="T591" i="8"/>
  <c r="Q591" i="8"/>
  <c r="S590" i="8"/>
  <c r="T590" i="8"/>
  <c r="Q590" i="8"/>
  <c r="S589" i="8"/>
  <c r="T589" i="8"/>
  <c r="Q589" i="8"/>
  <c r="S588" i="8"/>
  <c r="T588" i="8"/>
  <c r="Q588" i="8"/>
  <c r="S587" i="8"/>
  <c r="T587" i="8"/>
  <c r="Q587" i="8"/>
  <c r="S585" i="8"/>
  <c r="T585" i="8"/>
  <c r="Q585" i="8"/>
  <c r="S582" i="8"/>
  <c r="Q582" i="8"/>
  <c r="S581" i="8"/>
  <c r="Q581" i="8"/>
  <c r="S579" i="8"/>
  <c r="T579" i="8"/>
  <c r="Q579" i="8"/>
  <c r="T578" i="8"/>
  <c r="S578" i="8"/>
  <c r="Q578" i="8"/>
  <c r="S577" i="8"/>
  <c r="T577" i="8"/>
  <c r="Q577" i="8"/>
  <c r="S576" i="8"/>
  <c r="T576" i="8"/>
  <c r="Q576" i="8"/>
  <c r="S574" i="8"/>
  <c r="T574" i="8"/>
  <c r="Q574" i="8"/>
  <c r="S569" i="8"/>
  <c r="T569" i="8"/>
  <c r="Q569" i="8"/>
  <c r="S568" i="8"/>
  <c r="T568" i="8"/>
  <c r="Q568" i="8"/>
  <c r="S562" i="8"/>
  <c r="Q562" i="8"/>
  <c r="S561" i="8"/>
  <c r="T561" i="8"/>
  <c r="Q561" i="8"/>
  <c r="S552" i="8"/>
  <c r="T552" i="8"/>
  <c r="Q552" i="8"/>
  <c r="T550" i="8"/>
  <c r="S550" i="8"/>
  <c r="Q550" i="8"/>
  <c r="S544" i="8"/>
  <c r="T544" i="8"/>
  <c r="Q544" i="8"/>
  <c r="T543" i="8"/>
  <c r="S543" i="8"/>
  <c r="Q543" i="8"/>
  <c r="S542" i="8"/>
  <c r="Q542" i="8"/>
  <c r="S540" i="8"/>
  <c r="T540" i="8"/>
  <c r="Q540" i="8"/>
  <c r="S539" i="8"/>
  <c r="T539" i="8"/>
  <c r="Q539" i="8"/>
  <c r="T538" i="8"/>
  <c r="S538" i="8"/>
  <c r="Q538" i="8"/>
  <c r="R532" i="8"/>
  <c r="S532" i="8"/>
  <c r="T532" i="8"/>
  <c r="S528" i="8"/>
  <c r="T528" i="8"/>
  <c r="Q528" i="8"/>
  <c r="T522" i="8"/>
  <c r="S522" i="8"/>
  <c r="Q522" i="8"/>
  <c r="S521" i="8"/>
  <c r="T521" i="8"/>
  <c r="Q521" i="8"/>
  <c r="S520" i="8"/>
  <c r="T520" i="8"/>
  <c r="Q520" i="8"/>
  <c r="T519" i="8"/>
  <c r="S519" i="8"/>
  <c r="Q519" i="8"/>
  <c r="S517" i="8"/>
  <c r="T517" i="8"/>
  <c r="Q517" i="8"/>
  <c r="S513" i="8"/>
  <c r="T513" i="8"/>
  <c r="Q513" i="8"/>
  <c r="S508" i="8"/>
  <c r="T508" i="8"/>
  <c r="Q508" i="8"/>
  <c r="S503" i="8"/>
  <c r="T503" i="8"/>
  <c r="Q503" i="8"/>
  <c r="S497" i="8"/>
  <c r="T497" i="8"/>
  <c r="Q497" i="8"/>
  <c r="S494" i="8"/>
  <c r="T494" i="8"/>
  <c r="Q494" i="8"/>
  <c r="T489" i="8"/>
  <c r="S489" i="8"/>
  <c r="Q489" i="8"/>
  <c r="S486" i="8"/>
  <c r="T486" i="8"/>
  <c r="Q486" i="8"/>
  <c r="S484" i="8"/>
  <c r="R484" i="8"/>
  <c r="T484" i="8"/>
  <c r="T474" i="8"/>
  <c r="S474" i="8"/>
  <c r="Q474" i="8"/>
  <c r="T470" i="8"/>
  <c r="Q470" i="8"/>
  <c r="S467" i="8"/>
  <c r="T467" i="8"/>
  <c r="Q467" i="8"/>
  <c r="R464" i="8"/>
  <c r="S460" i="8"/>
  <c r="T460" i="8"/>
  <c r="Q460" i="8"/>
  <c r="S454" i="8"/>
  <c r="T454" i="8"/>
  <c r="Q454" i="8"/>
  <c r="S452" i="8"/>
  <c r="T452" i="8"/>
  <c r="Q452" i="8"/>
  <c r="R448" i="8"/>
  <c r="S445" i="8"/>
  <c r="T445" i="8"/>
  <c r="Q445" i="8"/>
  <c r="S436" i="8"/>
  <c r="T436" i="8"/>
  <c r="Q436" i="8"/>
  <c r="S429" i="8"/>
  <c r="T429" i="8"/>
  <c r="Q429" i="8"/>
  <c r="R426" i="8"/>
  <c r="S424" i="8"/>
  <c r="T424" i="8"/>
  <c r="Q424" i="8"/>
  <c r="S423" i="8"/>
  <c r="T423" i="8"/>
  <c r="Q423" i="8"/>
  <c r="S422" i="8"/>
  <c r="T422" i="8"/>
  <c r="Q422" i="8"/>
  <c r="S421" i="8"/>
  <c r="T421" i="8"/>
  <c r="Q421" i="8"/>
  <c r="S411" i="8"/>
  <c r="T411" i="8"/>
  <c r="Q411" i="8"/>
  <c r="S410" i="8"/>
  <c r="T410" i="8"/>
  <c r="Q410" i="8"/>
  <c r="T409" i="8"/>
  <c r="S409" i="8"/>
  <c r="Q409" i="8"/>
  <c r="S405" i="8"/>
  <c r="T405" i="8"/>
  <c r="Q405" i="8"/>
  <c r="S404" i="8"/>
  <c r="T404" i="8"/>
  <c r="Q404" i="8"/>
  <c r="S402" i="8"/>
  <c r="T402" i="8"/>
  <c r="Q402" i="8"/>
  <c r="S401" i="8"/>
  <c r="T401" i="8"/>
  <c r="Q401" i="8"/>
  <c r="S400" i="8"/>
  <c r="T400" i="8"/>
  <c r="Q400" i="8"/>
  <c r="S399" i="8"/>
  <c r="T399" i="8"/>
  <c r="Q399" i="8"/>
  <c r="R398" i="8"/>
  <c r="S397" i="8"/>
  <c r="T397" i="8"/>
  <c r="Q397" i="8"/>
  <c r="S396" i="8"/>
  <c r="T396" i="8"/>
  <c r="Q396" i="8"/>
  <c r="S393" i="8"/>
  <c r="T393" i="8"/>
  <c r="Q393" i="8"/>
  <c r="S392" i="8"/>
  <c r="T392" i="8"/>
  <c r="Q392" i="8"/>
  <c r="S390" i="8"/>
  <c r="T390" i="8"/>
  <c r="Q390" i="8"/>
  <c r="T389" i="8"/>
  <c r="S389" i="8"/>
  <c r="Q389" i="8"/>
  <c r="S388" i="8"/>
  <c r="T388" i="8"/>
  <c r="Q388" i="8"/>
  <c r="S387" i="8"/>
  <c r="T387" i="8"/>
  <c r="Q387" i="8"/>
  <c r="S385" i="8"/>
  <c r="T385" i="8"/>
  <c r="Q385" i="8"/>
  <c r="S384" i="8"/>
  <c r="T384" i="8"/>
  <c r="Q384" i="8"/>
  <c r="S383" i="8"/>
  <c r="T383" i="8"/>
  <c r="Q383" i="8"/>
  <c r="S381" i="8"/>
  <c r="T381" i="8"/>
  <c r="Q381" i="8"/>
  <c r="S377" i="8"/>
  <c r="T377" i="8"/>
  <c r="Q377" i="8"/>
  <c r="S376" i="8"/>
  <c r="T376" i="8"/>
  <c r="Q376" i="8"/>
  <c r="S375" i="8"/>
  <c r="T375" i="8"/>
  <c r="Q375" i="8"/>
  <c r="S374" i="8"/>
  <c r="T374" i="8"/>
  <c r="Q374" i="8"/>
  <c r="S373" i="8"/>
  <c r="T373" i="8"/>
  <c r="Q373" i="8"/>
  <c r="S371" i="8"/>
  <c r="T371" i="8"/>
  <c r="Q371" i="8"/>
  <c r="S370" i="8"/>
  <c r="T370" i="8"/>
  <c r="Q370" i="8"/>
  <c r="S369" i="8"/>
  <c r="T369" i="8"/>
  <c r="Q369" i="8"/>
  <c r="S368" i="8"/>
  <c r="T368" i="8"/>
  <c r="Q368" i="8"/>
  <c r="S367" i="8"/>
  <c r="T367" i="8"/>
  <c r="Q367" i="8"/>
  <c r="R365" i="8"/>
  <c r="S363" i="8"/>
  <c r="T363" i="8"/>
  <c r="Q363" i="8"/>
  <c r="S362" i="8"/>
  <c r="R359" i="8"/>
  <c r="T359" i="8"/>
  <c r="S358" i="8"/>
  <c r="T358" i="8"/>
  <c r="Q358" i="8"/>
  <c r="S354" i="8"/>
  <c r="T354" i="8"/>
  <c r="Q354" i="8"/>
  <c r="S353" i="8"/>
  <c r="T353" i="8"/>
  <c r="Q353" i="8"/>
  <c r="S352" i="8"/>
  <c r="T352" i="8"/>
  <c r="Q352" i="8"/>
  <c r="S351" i="8"/>
  <c r="T351" i="8"/>
  <c r="Q351" i="8"/>
  <c r="S349" i="8"/>
  <c r="T349" i="8"/>
  <c r="Q349" i="8"/>
  <c r="S344" i="8"/>
  <c r="T344" i="8"/>
  <c r="Q344" i="8"/>
  <c r="S342" i="8"/>
  <c r="T342" i="8"/>
  <c r="Q342" i="8"/>
  <c r="S341" i="8"/>
  <c r="T341" i="8"/>
  <c r="Q341" i="8"/>
  <c r="S338" i="8"/>
  <c r="T338" i="8"/>
  <c r="Q338" i="8"/>
  <c r="S337" i="8"/>
  <c r="T337" i="8"/>
  <c r="Q337" i="8"/>
  <c r="T336" i="8"/>
  <c r="S336" i="8"/>
  <c r="Q336" i="8"/>
  <c r="S335" i="8"/>
  <c r="T335" i="8"/>
  <c r="Q335" i="8"/>
  <c r="S332" i="8"/>
  <c r="T332" i="8"/>
  <c r="Q332" i="8"/>
  <c r="S331" i="8"/>
  <c r="Q331" i="8"/>
  <c r="S330" i="8"/>
  <c r="T330" i="8"/>
  <c r="Q330" i="8"/>
  <c r="S326" i="8"/>
  <c r="T326" i="8"/>
  <c r="Q326" i="8"/>
  <c r="S325" i="8"/>
  <c r="T325" i="8"/>
  <c r="Q325" i="8"/>
  <c r="T324" i="8"/>
  <c r="S324" i="8"/>
  <c r="Q324" i="8"/>
  <c r="S323" i="8"/>
  <c r="T323" i="8"/>
  <c r="Q323" i="8"/>
  <c r="S319" i="8"/>
  <c r="T319" i="8"/>
  <c r="Q319" i="8"/>
  <c r="S316" i="8"/>
  <c r="Q316" i="8"/>
  <c r="S315" i="8"/>
  <c r="T315" i="8"/>
  <c r="Q315" i="8"/>
  <c r="S311" i="8"/>
  <c r="T311" i="8"/>
  <c r="Q311" i="8"/>
  <c r="S310" i="8"/>
  <c r="T310" i="8"/>
  <c r="Q310" i="8"/>
  <c r="T309" i="8"/>
  <c r="S309" i="8"/>
  <c r="Q309" i="8"/>
  <c r="S307" i="8"/>
  <c r="T307" i="8"/>
  <c r="Q307" i="8"/>
  <c r="S303" i="8"/>
  <c r="T303" i="8"/>
  <c r="Q303" i="8"/>
  <c r="S302" i="8"/>
  <c r="T302" i="8"/>
  <c r="Q302" i="8"/>
  <c r="R300" i="8"/>
  <c r="S297" i="8"/>
  <c r="T297" i="8"/>
  <c r="Q297" i="8"/>
  <c r="S295" i="8"/>
  <c r="T295" i="8"/>
  <c r="Q295" i="8"/>
  <c r="T294" i="8"/>
  <c r="S294" i="8"/>
  <c r="Q294" i="8"/>
  <c r="S293" i="8"/>
  <c r="Q293" i="8"/>
  <c r="S291" i="8"/>
  <c r="Q291" i="8"/>
  <c r="T287" i="8"/>
  <c r="S287" i="8"/>
  <c r="Q287" i="8"/>
  <c r="S286" i="8"/>
  <c r="T286" i="8"/>
  <c r="Q286" i="8"/>
  <c r="S285" i="8"/>
  <c r="T285" i="8"/>
  <c r="Q285" i="8"/>
  <c r="R284" i="8"/>
  <c r="T284" i="8"/>
  <c r="S280" i="8"/>
  <c r="T280" i="8"/>
  <c r="Q280" i="8"/>
  <c r="S277" i="8"/>
  <c r="T277" i="8"/>
  <c r="Q277" i="8"/>
  <c r="S276" i="8"/>
  <c r="T276" i="8"/>
  <c r="Q276" i="8"/>
  <c r="S273" i="8"/>
  <c r="T273" i="8"/>
  <c r="Q273" i="8"/>
  <c r="S272" i="8"/>
  <c r="T272" i="8"/>
  <c r="Q272" i="8"/>
  <c r="S264" i="8"/>
  <c r="T264" i="8"/>
  <c r="Q264" i="8"/>
  <c r="R263" i="8"/>
  <c r="S247" i="8"/>
  <c r="T247" i="8"/>
  <c r="Q247" i="8"/>
  <c r="S246" i="8"/>
  <c r="T246" i="8"/>
  <c r="Q246" i="8"/>
  <c r="S245" i="8"/>
  <c r="T245" i="8"/>
  <c r="Q245" i="8"/>
  <c r="R242" i="8"/>
  <c r="T242" i="8"/>
  <c r="S241" i="8"/>
  <c r="T241" i="8"/>
  <c r="Q241" i="8"/>
  <c r="R240" i="8"/>
  <c r="S240" i="8"/>
  <c r="T240" i="8"/>
  <c r="S239" i="8"/>
  <c r="T239" i="8"/>
  <c r="Q239" i="8"/>
  <c r="S238" i="8"/>
  <c r="T238" i="8"/>
  <c r="Q238" i="8"/>
  <c r="S237" i="8"/>
  <c r="T237" i="8"/>
  <c r="Q237" i="8"/>
  <c r="S230" i="8"/>
  <c r="T230" i="8"/>
  <c r="Q230" i="8"/>
  <c r="S209" i="8"/>
  <c r="T209" i="8"/>
  <c r="Q209" i="8"/>
  <c r="S205" i="8"/>
  <c r="T205" i="8"/>
  <c r="Q205" i="8"/>
  <c r="S204" i="8"/>
  <c r="T204" i="8"/>
  <c r="Q204" i="8"/>
  <c r="S203" i="8"/>
  <c r="T203" i="8"/>
  <c r="Q203" i="8"/>
  <c r="R201" i="8"/>
  <c r="S201" i="8"/>
  <c r="T201" i="8"/>
  <c r="S198" i="8"/>
  <c r="R198" i="8"/>
  <c r="T198" i="8"/>
  <c r="S197" i="8"/>
  <c r="T197" i="8"/>
  <c r="Q197" i="8"/>
  <c r="S189" i="8"/>
  <c r="T189" i="8"/>
  <c r="Q189" i="8"/>
  <c r="S187" i="8"/>
  <c r="T187" i="8"/>
  <c r="Q187" i="8"/>
  <c r="S186" i="8"/>
  <c r="T186" i="8"/>
  <c r="Q186" i="8"/>
  <c r="S185" i="8"/>
  <c r="T185" i="8"/>
  <c r="Q185" i="8"/>
  <c r="T181" i="8"/>
  <c r="Q181" i="8"/>
  <c r="S179" i="8"/>
  <c r="T179" i="8"/>
  <c r="Q179" i="8"/>
  <c r="S178" i="8"/>
  <c r="T178" i="8"/>
  <c r="Q178" i="8"/>
  <c r="S177" i="8"/>
  <c r="T177" i="8"/>
  <c r="Q177" i="8"/>
  <c r="S176" i="8"/>
  <c r="T176" i="8"/>
  <c r="Q176" i="8"/>
  <c r="R168" i="8"/>
  <c r="R158" i="8"/>
  <c r="S155" i="8"/>
  <c r="T155" i="8"/>
  <c r="Q155" i="8"/>
  <c r="S78" i="8"/>
  <c r="T78" i="8"/>
  <c r="Q78" i="8"/>
  <c r="S58" i="8"/>
  <c r="T58" i="8"/>
  <c r="Q58" i="8"/>
  <c r="R57" i="8"/>
  <c r="T57" i="8"/>
  <c r="S53" i="8"/>
  <c r="T53" i="8"/>
  <c r="Q53" i="8"/>
  <c r="S40" i="8"/>
  <c r="T40" i="8"/>
  <c r="Q40" i="8"/>
  <c r="S32" i="8"/>
  <c r="T32" i="8"/>
  <c r="Q32" i="8"/>
  <c r="S30" i="8"/>
  <c r="T30" i="8"/>
  <c r="Q30" i="8"/>
  <c r="S29" i="8"/>
  <c r="T29" i="8"/>
  <c r="Q29" i="8"/>
  <c r="R25" i="8"/>
  <c r="T25" i="8"/>
  <c r="S12" i="8"/>
  <c r="Q12" i="8"/>
  <c r="R10" i="8"/>
  <c r="T10" i="8"/>
  <c r="S1006" i="8"/>
  <c r="Q1006" i="8"/>
  <c r="Q1005" i="8"/>
  <c r="S1003" i="8"/>
  <c r="Q1001" i="8"/>
  <c r="Q1000" i="8"/>
  <c r="Q986" i="8"/>
  <c r="Q983" i="8"/>
  <c r="S982" i="8"/>
  <c r="Q982" i="8"/>
  <c r="S978" i="8"/>
  <c r="Q978" i="8"/>
  <c r="Q976" i="8"/>
  <c r="T974" i="8"/>
  <c r="S972" i="8"/>
  <c r="Q972" i="8"/>
  <c r="S971" i="8"/>
  <c r="Q971" i="8"/>
  <c r="R967" i="8"/>
  <c r="S957" i="8"/>
  <c r="Q957" i="8"/>
  <c r="Q956" i="8"/>
  <c r="S955" i="8"/>
  <c r="Q955" i="8"/>
  <c r="S954" i="8"/>
  <c r="Q954" i="8"/>
  <c r="S950" i="8"/>
  <c r="T950" i="8"/>
  <c r="Q950" i="8"/>
  <c r="T949" i="8"/>
  <c r="R943" i="8"/>
  <c r="Q942" i="8"/>
  <c r="R941" i="8"/>
  <c r="T941" i="8"/>
  <c r="T939" i="8"/>
  <c r="T936" i="8"/>
  <c r="R934" i="8"/>
  <c r="T933" i="8"/>
  <c r="T932" i="8"/>
  <c r="R930" i="8"/>
  <c r="T930" i="8"/>
  <c r="T929" i="8"/>
  <c r="R927" i="8"/>
  <c r="T927" i="8"/>
  <c r="T923" i="8"/>
  <c r="R920" i="8"/>
  <c r="T920" i="8"/>
  <c r="T917" i="8"/>
  <c r="T916" i="8"/>
  <c r="R912" i="8"/>
  <c r="S912" i="8"/>
  <c r="T912" i="8"/>
  <c r="R909" i="8"/>
  <c r="T909" i="8"/>
  <c r="T908" i="8"/>
  <c r="T906" i="8"/>
  <c r="S904" i="8"/>
  <c r="T904" i="8"/>
  <c r="Q904" i="8"/>
  <c r="T902" i="8"/>
  <c r="Q902" i="8"/>
  <c r="T901" i="8"/>
  <c r="S900" i="8"/>
  <c r="T900" i="8"/>
  <c r="Q900" i="8"/>
  <c r="S896" i="8"/>
  <c r="T896" i="8"/>
  <c r="Q896" i="8"/>
  <c r="T891" i="8"/>
  <c r="Q891" i="8"/>
  <c r="S889" i="8"/>
  <c r="T889" i="8"/>
  <c r="Q889" i="8"/>
  <c r="S870" i="8"/>
  <c r="T870" i="8"/>
  <c r="Q870" i="8"/>
  <c r="S866" i="8"/>
  <c r="T866" i="8"/>
  <c r="Q866" i="8"/>
  <c r="S864" i="8"/>
  <c r="Q864" i="8"/>
  <c r="S861" i="8"/>
  <c r="T861" i="8"/>
  <c r="Q861" i="8"/>
  <c r="S855" i="8"/>
  <c r="T855" i="8"/>
  <c r="Q855" i="8"/>
  <c r="S850" i="8"/>
  <c r="T850" i="8"/>
  <c r="Q850" i="8"/>
  <c r="R846" i="8"/>
  <c r="T846" i="8"/>
  <c r="S833" i="8"/>
  <c r="T833" i="8"/>
  <c r="Q833" i="8"/>
  <c r="Q820" i="8"/>
  <c r="S812" i="8"/>
  <c r="T812" i="8"/>
  <c r="Q812" i="8"/>
  <c r="S809" i="8"/>
  <c r="T809" i="8"/>
  <c r="Q809" i="8"/>
  <c r="S805" i="8"/>
  <c r="T805" i="8"/>
  <c r="Q805" i="8"/>
  <c r="S800" i="8"/>
  <c r="T800" i="8"/>
  <c r="Q800" i="8"/>
  <c r="S796" i="8"/>
  <c r="T796" i="8"/>
  <c r="Q796" i="8"/>
  <c r="S794" i="8"/>
  <c r="T794" i="8"/>
  <c r="Q794" i="8"/>
  <c r="S782" i="8"/>
  <c r="T782" i="8"/>
  <c r="Q782" i="8"/>
  <c r="R779" i="8"/>
  <c r="T779" i="8"/>
  <c r="Q779" i="8"/>
  <c r="S767" i="8"/>
  <c r="T767" i="8"/>
  <c r="Q767" i="8"/>
  <c r="S759" i="8"/>
  <c r="T759" i="8"/>
  <c r="Q759" i="8"/>
  <c r="S756" i="8"/>
  <c r="T756" i="8"/>
  <c r="Q756" i="8"/>
  <c r="S749" i="8"/>
  <c r="T749" i="8"/>
  <c r="Q749" i="8"/>
  <c r="S745" i="8"/>
  <c r="T745" i="8"/>
  <c r="Q745" i="8"/>
  <c r="R718" i="8"/>
  <c r="T718" i="8"/>
  <c r="S714" i="8"/>
  <c r="T714" i="8"/>
  <c r="Q714" i="8"/>
  <c r="R712" i="8"/>
  <c r="R701" i="8"/>
  <c r="T701" i="8"/>
  <c r="S687" i="8"/>
  <c r="T687" i="8"/>
  <c r="Q687" i="8"/>
  <c r="R678" i="8"/>
  <c r="T678" i="8"/>
  <c r="S674" i="8"/>
  <c r="T674" i="8"/>
  <c r="Q674" i="8"/>
  <c r="S662" i="8"/>
  <c r="T662" i="8"/>
  <c r="Q662" i="8"/>
  <c r="R654" i="8"/>
  <c r="T654" i="8"/>
  <c r="S643" i="8"/>
  <c r="T643" i="8"/>
  <c r="Q643" i="8"/>
  <c r="R642" i="8"/>
  <c r="S641" i="8"/>
  <c r="T641" i="8"/>
  <c r="Q641" i="8"/>
  <c r="S632" i="8"/>
  <c r="T632" i="8"/>
  <c r="Q632" i="8"/>
  <c r="S631" i="8"/>
  <c r="T631" i="8"/>
  <c r="Q631" i="8"/>
  <c r="R630" i="8"/>
  <c r="T630" i="8"/>
  <c r="R620" i="8"/>
  <c r="S617" i="8"/>
  <c r="T617" i="8"/>
  <c r="Q617" i="8"/>
  <c r="S605" i="8"/>
  <c r="T605" i="8"/>
  <c r="Q605" i="8"/>
  <c r="R598" i="8"/>
  <c r="S586" i="8"/>
  <c r="T586" i="8"/>
  <c r="Q586" i="8"/>
  <c r="R581" i="8"/>
  <c r="T581" i="8"/>
  <c r="R576" i="8"/>
  <c r="S572" i="8"/>
  <c r="T572" i="8"/>
  <c r="Q572" i="8"/>
  <c r="S567" i="8"/>
  <c r="T567" i="8"/>
  <c r="Q567" i="8"/>
  <c r="R555" i="8"/>
  <c r="S553" i="8"/>
  <c r="T553" i="8"/>
  <c r="Q553" i="8"/>
  <c r="S537" i="8"/>
  <c r="T537" i="8"/>
  <c r="Q537" i="8"/>
  <c r="S529" i="8"/>
  <c r="T529" i="8"/>
  <c r="Q529" i="8"/>
  <c r="S526" i="8"/>
  <c r="T526" i="8"/>
  <c r="Q526" i="8"/>
  <c r="S524" i="8"/>
  <c r="Q524" i="8"/>
  <c r="R510" i="8"/>
  <c r="R482" i="8"/>
  <c r="S482" i="8"/>
  <c r="T482" i="8"/>
  <c r="S465" i="8"/>
  <c r="T465" i="8"/>
  <c r="Q465" i="8"/>
  <c r="R457" i="8"/>
  <c r="T457" i="8"/>
  <c r="S447" i="8"/>
  <c r="T447" i="8"/>
  <c r="Q447" i="8"/>
  <c r="R443" i="8"/>
  <c r="S442" i="8"/>
  <c r="T442" i="8"/>
  <c r="Q442" i="8"/>
  <c r="S434" i="8"/>
  <c r="T434" i="8"/>
  <c r="Q434" i="8"/>
  <c r="R406" i="8"/>
  <c r="T406" i="8"/>
  <c r="S398" i="8"/>
  <c r="T398" i="8"/>
  <c r="Q398" i="8"/>
  <c r="R394" i="8"/>
  <c r="S372" i="8"/>
  <c r="T372" i="8"/>
  <c r="Q372" i="8"/>
  <c r="R345" i="8"/>
  <c r="T345" i="8"/>
  <c r="S308" i="8"/>
  <c r="T308" i="8"/>
  <c r="Q308" i="8"/>
  <c r="R293" i="8"/>
  <c r="T293" i="8"/>
  <c r="R291" i="8"/>
  <c r="T291" i="8"/>
  <c r="R281" i="8"/>
  <c r="S268" i="8"/>
  <c r="T268" i="8"/>
  <c r="Q268" i="8"/>
  <c r="R267" i="8"/>
  <c r="T267" i="8"/>
  <c r="R256" i="8"/>
  <c r="R243" i="8"/>
  <c r="T243" i="8"/>
  <c r="R221" i="8"/>
  <c r="T221" i="8"/>
  <c r="S213" i="8"/>
  <c r="T213" i="8"/>
  <c r="Q213" i="8"/>
  <c r="S196" i="8"/>
  <c r="T196" i="8"/>
  <c r="Q196" i="8"/>
  <c r="S195" i="8"/>
  <c r="T195" i="8"/>
  <c r="Q195" i="8"/>
  <c r="S193" i="8"/>
  <c r="T193" i="8"/>
  <c r="Q193" i="8"/>
  <c r="S184" i="8"/>
  <c r="Q184" i="8"/>
  <c r="R181" i="8"/>
  <c r="S175" i="8"/>
  <c r="T175" i="8"/>
  <c r="Q175" i="8"/>
  <c r="S174" i="8"/>
  <c r="Q174" i="8"/>
  <c r="S172" i="8"/>
  <c r="Q172" i="8"/>
  <c r="Q169" i="8"/>
  <c r="S166" i="8"/>
  <c r="Q166" i="8"/>
  <c r="S163" i="8"/>
  <c r="T163" i="8"/>
  <c r="Q163" i="8"/>
  <c r="R153" i="8"/>
  <c r="S149" i="8"/>
  <c r="T149" i="8"/>
  <c r="Q149" i="8"/>
  <c r="S143" i="8"/>
  <c r="T143" i="8"/>
  <c r="Q143" i="8"/>
  <c r="S107" i="8"/>
  <c r="Q107" i="8"/>
  <c r="S101" i="8"/>
  <c r="T101" i="8"/>
  <c r="Q101" i="8"/>
  <c r="S94" i="8"/>
  <c r="T94" i="8"/>
  <c r="Q94" i="8"/>
  <c r="S93" i="8"/>
  <c r="T93" i="8"/>
  <c r="Q93" i="8"/>
  <c r="S89" i="8"/>
  <c r="Q89" i="8"/>
  <c r="S82" i="8"/>
  <c r="T82" i="8"/>
  <c r="Q82" i="8"/>
  <c r="S80" i="8"/>
  <c r="Q80" i="8"/>
  <c r="S79" i="8"/>
  <c r="Q79" i="8"/>
  <c r="S77" i="8"/>
  <c r="T77" i="8"/>
  <c r="Q77" i="8"/>
  <c r="S76" i="8"/>
  <c r="R76" i="8"/>
  <c r="T76" i="8"/>
  <c r="S73" i="8"/>
  <c r="T73" i="8"/>
  <c r="Q73" i="8"/>
  <c r="S71" i="8"/>
  <c r="Q71" i="8"/>
  <c r="R70" i="8"/>
  <c r="S66" i="8"/>
  <c r="T66" i="8"/>
  <c r="Q66" i="8"/>
  <c r="S62" i="8"/>
  <c r="T62" i="8"/>
  <c r="Q62" i="8"/>
  <c r="S52" i="8"/>
  <c r="T52" i="8"/>
  <c r="Q52" i="8"/>
  <c r="S49" i="8"/>
  <c r="T49" i="8"/>
  <c r="Q49" i="8"/>
  <c r="S48" i="8"/>
  <c r="T48" i="8"/>
  <c r="Q48" i="8"/>
  <c r="S45" i="8"/>
  <c r="T45" i="8"/>
  <c r="Q45" i="8"/>
  <c r="S44" i="8"/>
  <c r="T44" i="8"/>
  <c r="Q44" i="8"/>
  <c r="S43" i="8"/>
  <c r="Q43" i="8"/>
  <c r="S39" i="8"/>
  <c r="T39" i="8"/>
  <c r="Q39" i="8"/>
  <c r="R38" i="8"/>
  <c r="T38" i="8"/>
  <c r="R36" i="8"/>
  <c r="T36" i="8"/>
  <c r="Q36" i="8"/>
  <c r="S33" i="8"/>
  <c r="T33" i="8"/>
  <c r="Q33" i="8"/>
  <c r="T31" i="8"/>
  <c r="S31" i="8"/>
  <c r="Q31" i="8"/>
  <c r="S14" i="8"/>
  <c r="T14" i="8"/>
  <c r="Q14" i="8"/>
  <c r="R12" i="8"/>
  <c r="T12" i="8"/>
  <c r="S1007" i="8"/>
  <c r="T1007" i="8"/>
  <c r="Q1007" i="8"/>
  <c r="T1006" i="8"/>
  <c r="T1005" i="8"/>
  <c r="T1004" i="8"/>
  <c r="T1003" i="8"/>
  <c r="Q1003" i="8"/>
  <c r="T1002" i="8"/>
  <c r="T1001" i="8"/>
  <c r="T1000" i="8"/>
  <c r="T999" i="8"/>
  <c r="Q999" i="8"/>
  <c r="T998" i="8"/>
  <c r="T997" i="8"/>
  <c r="Q997" i="8"/>
  <c r="T996" i="8"/>
  <c r="T995" i="8"/>
  <c r="Q995" i="8"/>
  <c r="T994" i="8"/>
  <c r="T993" i="8"/>
  <c r="T992" i="8"/>
  <c r="T991" i="8"/>
  <c r="T990" i="8"/>
  <c r="T989" i="8"/>
  <c r="T988" i="8"/>
  <c r="T987" i="8"/>
  <c r="T986" i="8"/>
  <c r="T985" i="8"/>
  <c r="T984" i="8"/>
  <c r="T983" i="8"/>
  <c r="T982" i="8"/>
  <c r="S981" i="8"/>
  <c r="T981" i="8"/>
  <c r="Q981" i="8"/>
  <c r="R980" i="8"/>
  <c r="T980" i="8"/>
  <c r="T978" i="8"/>
  <c r="T977" i="8"/>
  <c r="T976" i="8"/>
  <c r="T975" i="8"/>
  <c r="S973" i="8"/>
  <c r="T973" i="8"/>
  <c r="Q973" i="8"/>
  <c r="T971" i="8"/>
  <c r="T969" i="8"/>
  <c r="T968" i="8"/>
  <c r="S967" i="8"/>
  <c r="T967" i="8"/>
  <c r="Q967" i="8"/>
  <c r="T966" i="8"/>
  <c r="T965" i="8"/>
  <c r="T964" i="8"/>
  <c r="T963" i="8"/>
  <c r="T962" i="8"/>
  <c r="Q962" i="8"/>
  <c r="T961" i="8"/>
  <c r="T959" i="8"/>
  <c r="T958" i="8"/>
  <c r="T957" i="8"/>
  <c r="T956" i="8"/>
  <c r="T955" i="8"/>
  <c r="T954" i="8"/>
  <c r="R953" i="8"/>
  <c r="T953" i="8"/>
  <c r="R952" i="8"/>
  <c r="T952" i="8"/>
  <c r="T951" i="8"/>
  <c r="T948" i="8"/>
  <c r="T947" i="8"/>
  <c r="R945" i="8"/>
  <c r="T945" i="8"/>
  <c r="T944" i="8"/>
  <c r="T943" i="8"/>
  <c r="T942" i="8"/>
  <c r="T940" i="8"/>
  <c r="S938" i="8"/>
  <c r="T938" i="8"/>
  <c r="Q938" i="8"/>
  <c r="R937" i="8"/>
  <c r="T937" i="8"/>
  <c r="T935" i="8"/>
  <c r="S934" i="8"/>
  <c r="T934" i="8"/>
  <c r="Q934" i="8"/>
  <c r="T931" i="8"/>
  <c r="T928" i="8"/>
  <c r="T924" i="8"/>
  <c r="T922" i="8"/>
  <c r="R921" i="8"/>
  <c r="T921" i="8"/>
  <c r="Q921" i="8"/>
  <c r="S919" i="8"/>
  <c r="T919" i="8"/>
  <c r="Q919" i="8"/>
  <c r="T918" i="8"/>
  <c r="T915" i="8"/>
  <c r="T913" i="8"/>
  <c r="S911" i="8"/>
  <c r="T911" i="8"/>
  <c r="Q911" i="8"/>
  <c r="Q903" i="8"/>
  <c r="T897" i="8"/>
  <c r="Q897" i="8"/>
  <c r="R890" i="8"/>
  <c r="T890" i="8"/>
  <c r="S885" i="8"/>
  <c r="T885" i="8"/>
  <c r="Q885" i="8"/>
  <c r="R878" i="8"/>
  <c r="T878" i="8"/>
  <c r="R862" i="8"/>
  <c r="T862" i="8"/>
  <c r="S847" i="8"/>
  <c r="T847" i="8"/>
  <c r="Q847" i="8"/>
  <c r="S830" i="8"/>
  <c r="T830" i="8"/>
  <c r="Q830" i="8"/>
  <c r="R828" i="8"/>
  <c r="T828" i="8"/>
  <c r="S822" i="8"/>
  <c r="T822" i="8"/>
  <c r="Q822" i="8"/>
  <c r="S819" i="8"/>
  <c r="T819" i="8"/>
  <c r="Q819" i="8"/>
  <c r="R813" i="8"/>
  <c r="S808" i="8"/>
  <c r="T808" i="8"/>
  <c r="Q808" i="8"/>
  <c r="S803" i="8"/>
  <c r="T803" i="8"/>
  <c r="Q803" i="8"/>
  <c r="S798" i="8"/>
  <c r="T798" i="8"/>
  <c r="Q798" i="8"/>
  <c r="S789" i="8"/>
  <c r="T789" i="8"/>
  <c r="Q789" i="8"/>
  <c r="S777" i="8"/>
  <c r="T777" i="8"/>
  <c r="Q777" i="8"/>
  <c r="S776" i="8"/>
  <c r="T776" i="8"/>
  <c r="Q776" i="8"/>
  <c r="S766" i="8"/>
  <c r="T766" i="8"/>
  <c r="Q766" i="8"/>
  <c r="S765" i="8"/>
  <c r="T765" i="8"/>
  <c r="Q765" i="8"/>
  <c r="R751" i="8"/>
  <c r="T751" i="8"/>
  <c r="S716" i="8"/>
  <c r="T716" i="8"/>
  <c r="Q716" i="8"/>
  <c r="R694" i="8"/>
  <c r="T694" i="8"/>
  <c r="S690" i="8"/>
  <c r="T690" i="8"/>
  <c r="Q690" i="8"/>
  <c r="R689" i="8"/>
  <c r="R685" i="8"/>
  <c r="T685" i="8"/>
  <c r="R680" i="8"/>
  <c r="S680" i="8"/>
  <c r="R665" i="8"/>
  <c r="T665" i="8"/>
  <c r="R664" i="8"/>
  <c r="T664" i="8"/>
  <c r="S658" i="8"/>
  <c r="T658" i="8"/>
  <c r="Q658" i="8"/>
  <c r="T651" i="8"/>
  <c r="Q651" i="8"/>
  <c r="R649" i="8"/>
  <c r="T649" i="8"/>
  <c r="R646" i="8"/>
  <c r="R634" i="8"/>
  <c r="T634" i="8"/>
  <c r="S622" i="8"/>
  <c r="T622" i="8"/>
  <c r="Q622" i="8"/>
  <c r="S595" i="8"/>
  <c r="T595" i="8"/>
  <c r="Q595" i="8"/>
  <c r="S592" i="8"/>
  <c r="T592" i="8"/>
  <c r="Q592" i="8"/>
  <c r="R562" i="8"/>
  <c r="T562" i="8"/>
  <c r="R557" i="8"/>
  <c r="T557" i="8"/>
  <c r="R545" i="8"/>
  <c r="T545" i="8"/>
  <c r="S536" i="8"/>
  <c r="T536" i="8"/>
  <c r="Q536" i="8"/>
  <c r="S511" i="8"/>
  <c r="T511" i="8"/>
  <c r="Q511" i="8"/>
  <c r="S504" i="8"/>
  <c r="T504" i="8"/>
  <c r="Q504" i="8"/>
  <c r="R503" i="8"/>
  <c r="S492" i="8"/>
  <c r="T492" i="8"/>
  <c r="Q492" i="8"/>
  <c r="S485" i="8"/>
  <c r="T485" i="8"/>
  <c r="Q485" i="8"/>
  <c r="R476" i="8"/>
  <c r="T476" i="8"/>
  <c r="S473" i="8"/>
  <c r="T473" i="8"/>
  <c r="Q473" i="8"/>
  <c r="S468" i="8"/>
  <c r="T468" i="8"/>
  <c r="Q468" i="8"/>
  <c r="S466" i="8"/>
  <c r="T466" i="8"/>
  <c r="Q466" i="8"/>
  <c r="S455" i="8"/>
  <c r="T455" i="8"/>
  <c r="Q455" i="8"/>
  <c r="S453" i="8"/>
  <c r="T453" i="8"/>
  <c r="Q453" i="8"/>
  <c r="S448" i="8"/>
  <c r="T448" i="8"/>
  <c r="Q448" i="8"/>
  <c r="S438" i="8"/>
  <c r="R430" i="8"/>
  <c r="T430" i="8"/>
  <c r="S420" i="8"/>
  <c r="T420" i="8"/>
  <c r="Q420" i="8"/>
  <c r="R419" i="8"/>
  <c r="T419" i="8"/>
  <c r="S395" i="8"/>
  <c r="T395" i="8"/>
  <c r="Q395" i="8"/>
  <c r="S391" i="8"/>
  <c r="T391" i="8"/>
  <c r="Q391" i="8"/>
  <c r="S382" i="8"/>
  <c r="T382" i="8"/>
  <c r="Q382" i="8"/>
  <c r="R369" i="8"/>
  <c r="S364" i="8"/>
  <c r="T364" i="8"/>
  <c r="Q364" i="8"/>
  <c r="R362" i="8"/>
  <c r="T362" i="8"/>
  <c r="Q362" i="8"/>
  <c r="S361" i="8"/>
  <c r="T361" i="8"/>
  <c r="Q361" i="8"/>
  <c r="S350" i="8"/>
  <c r="T350" i="8"/>
  <c r="Q350" i="8"/>
  <c r="R340" i="8"/>
  <c r="R334" i="8"/>
  <c r="T334" i="8"/>
  <c r="R316" i="8"/>
  <c r="T316" i="8"/>
  <c r="S313" i="8"/>
  <c r="Q313" i="8"/>
  <c r="R310" i="8"/>
  <c r="R305" i="8"/>
  <c r="R296" i="8"/>
  <c r="S296" i="8"/>
  <c r="R288" i="8"/>
  <c r="S283" i="8"/>
  <c r="T283" i="8"/>
  <c r="Q283" i="8"/>
  <c r="S281" i="8"/>
  <c r="T281" i="8"/>
  <c r="Q281" i="8"/>
  <c r="R280" i="8"/>
  <c r="S263" i="8"/>
  <c r="T263" i="8"/>
  <c r="Q263" i="8"/>
  <c r="S259" i="8"/>
  <c r="T259" i="8"/>
  <c r="Q259" i="8"/>
  <c r="S253" i="8"/>
  <c r="T253" i="8"/>
  <c r="Q253" i="8"/>
  <c r="S219" i="8"/>
  <c r="T219" i="8"/>
  <c r="Q219" i="8"/>
  <c r="S212" i="8"/>
  <c r="T212" i="8"/>
  <c r="Q212" i="8"/>
  <c r="S192" i="8"/>
  <c r="T192" i="8"/>
  <c r="Q192" i="8"/>
  <c r="S188" i="8"/>
  <c r="T188" i="8"/>
  <c r="Q188" i="8"/>
  <c r="R184" i="8"/>
  <c r="T184" i="8"/>
  <c r="S182" i="8"/>
  <c r="T182" i="8"/>
  <c r="Q182" i="8"/>
  <c r="R174" i="8"/>
  <c r="T174" i="8"/>
  <c r="S173" i="8"/>
  <c r="T173" i="8"/>
  <c r="Q173" i="8"/>
  <c r="R172" i="8"/>
  <c r="T172" i="8"/>
  <c r="S171" i="8"/>
  <c r="T171" i="8"/>
  <c r="Q171" i="8"/>
  <c r="R170" i="8"/>
  <c r="S169" i="8"/>
  <c r="R169" i="8"/>
  <c r="T169" i="8"/>
  <c r="S162" i="8"/>
  <c r="T162" i="8"/>
  <c r="Q162" i="8"/>
  <c r="T161" i="8"/>
  <c r="S160" i="8"/>
  <c r="T160" i="8"/>
  <c r="Q160" i="8"/>
  <c r="S159" i="8"/>
  <c r="Q159" i="8"/>
  <c r="S158" i="8"/>
  <c r="T158" i="8"/>
  <c r="Q158" i="8"/>
  <c r="S157" i="8"/>
  <c r="T157" i="8"/>
  <c r="Q157" i="8"/>
  <c r="S156" i="8"/>
  <c r="Q156" i="8"/>
  <c r="S154" i="8"/>
  <c r="Q154" i="8"/>
  <c r="S153" i="8"/>
  <c r="T153" i="8"/>
  <c r="Q153" i="8"/>
  <c r="S151" i="8"/>
  <c r="Q151" i="8"/>
  <c r="S150" i="8"/>
  <c r="T150" i="8"/>
  <c r="Q150" i="8"/>
  <c r="S148" i="8"/>
  <c r="T148" i="8"/>
  <c r="Q148" i="8"/>
  <c r="S146" i="8"/>
  <c r="T146" i="8"/>
  <c r="Q146" i="8"/>
  <c r="S145" i="8"/>
  <c r="Q145" i="8"/>
  <c r="S144" i="8"/>
  <c r="T144" i="8"/>
  <c r="Q144" i="8"/>
  <c r="S142" i="8"/>
  <c r="T142" i="8"/>
  <c r="Q142" i="8"/>
  <c r="S141" i="8"/>
  <c r="T141" i="8"/>
  <c r="Q141" i="8"/>
  <c r="S140" i="8"/>
  <c r="T140" i="8"/>
  <c r="Q140" i="8"/>
  <c r="S139" i="8"/>
  <c r="T139" i="8"/>
  <c r="Q139" i="8"/>
  <c r="S138" i="8"/>
  <c r="T138" i="8"/>
  <c r="Q138" i="8"/>
  <c r="S137" i="8"/>
  <c r="T137" i="8"/>
  <c r="Q137" i="8"/>
  <c r="S136" i="8"/>
  <c r="Q136" i="8"/>
  <c r="S135" i="8"/>
  <c r="Q135" i="8"/>
  <c r="S134" i="8"/>
  <c r="Q134" i="8"/>
  <c r="S133" i="8"/>
  <c r="T133" i="8"/>
  <c r="Q133" i="8"/>
  <c r="S132" i="8"/>
  <c r="T132" i="8"/>
  <c r="Q132" i="8"/>
  <c r="S131" i="8"/>
  <c r="Q131" i="8"/>
  <c r="S130" i="8"/>
  <c r="T130" i="8"/>
  <c r="Q130" i="8"/>
  <c r="S129" i="8"/>
  <c r="Q129" i="8"/>
  <c r="S128" i="8"/>
  <c r="Q128" i="8"/>
  <c r="S127" i="8"/>
  <c r="T127" i="8"/>
  <c r="Q127" i="8"/>
  <c r="S126" i="8"/>
  <c r="T126" i="8"/>
  <c r="Q126" i="8"/>
  <c r="S125" i="8"/>
  <c r="T125" i="8"/>
  <c r="Q125" i="8"/>
  <c r="S124" i="8"/>
  <c r="Q124" i="8"/>
  <c r="S123" i="8"/>
  <c r="Q123" i="8"/>
  <c r="S122" i="8"/>
  <c r="T122" i="8"/>
  <c r="Q122" i="8"/>
  <c r="S121" i="8"/>
  <c r="T121" i="8"/>
  <c r="Q121" i="8"/>
  <c r="S120" i="8"/>
  <c r="Q120" i="8"/>
  <c r="S119" i="8"/>
  <c r="Q119" i="8"/>
  <c r="S118" i="8"/>
  <c r="T118" i="8"/>
  <c r="Q118" i="8"/>
  <c r="S117" i="8"/>
  <c r="Q117" i="8"/>
  <c r="S116" i="8"/>
  <c r="T116" i="8"/>
  <c r="Q116" i="8"/>
  <c r="S115" i="8"/>
  <c r="Q115" i="8"/>
  <c r="S114" i="8"/>
  <c r="T114" i="8"/>
  <c r="Q114" i="8"/>
  <c r="S113" i="8"/>
  <c r="Q113" i="8"/>
  <c r="S112" i="8"/>
  <c r="T112" i="8"/>
  <c r="Q112" i="8"/>
  <c r="S111" i="8"/>
  <c r="T111" i="8"/>
  <c r="Q111" i="8"/>
  <c r="S110" i="8"/>
  <c r="T110" i="8"/>
  <c r="Q110" i="8"/>
  <c r="S109" i="8"/>
  <c r="T109" i="8"/>
  <c r="Q109" i="8"/>
  <c r="S108" i="8"/>
  <c r="T108" i="8"/>
  <c r="Q108" i="8"/>
  <c r="S106" i="8"/>
  <c r="T106" i="8"/>
  <c r="Q106" i="8"/>
  <c r="S105" i="8"/>
  <c r="T105" i="8"/>
  <c r="Q105" i="8"/>
  <c r="S104" i="8"/>
  <c r="T104" i="8"/>
  <c r="Q104" i="8"/>
  <c r="S103" i="8"/>
  <c r="T103" i="8"/>
  <c r="Q103" i="8"/>
  <c r="S102" i="8"/>
  <c r="Q102" i="8"/>
  <c r="T100" i="8"/>
  <c r="S100" i="8"/>
  <c r="Q100" i="8"/>
  <c r="S99" i="8"/>
  <c r="T99" i="8"/>
  <c r="Q99" i="8"/>
  <c r="S98" i="8"/>
  <c r="T98" i="8"/>
  <c r="Q98" i="8"/>
  <c r="S97" i="8"/>
  <c r="Q97" i="8"/>
  <c r="S96" i="8"/>
  <c r="T96" i="8"/>
  <c r="Q96" i="8"/>
  <c r="S95" i="8"/>
  <c r="T95" i="8"/>
  <c r="Q95" i="8"/>
  <c r="S92" i="8"/>
  <c r="T92" i="8"/>
  <c r="Q92" i="8"/>
  <c r="S91" i="8"/>
  <c r="Q91" i="8"/>
  <c r="S90" i="8"/>
  <c r="T90" i="8"/>
  <c r="Q90" i="8"/>
  <c r="S87" i="8"/>
  <c r="Q87" i="8"/>
  <c r="S86" i="8"/>
  <c r="T86" i="8"/>
  <c r="Q86" i="8"/>
  <c r="S85" i="8"/>
  <c r="T85" i="8"/>
  <c r="Q85" i="8"/>
  <c r="S84" i="8"/>
  <c r="T84" i="8"/>
  <c r="Q84" i="8"/>
  <c r="S83" i="8"/>
  <c r="T83" i="8"/>
  <c r="Q83" i="8"/>
  <c r="S81" i="8"/>
  <c r="Q81" i="8"/>
  <c r="R80" i="8"/>
  <c r="T80" i="8"/>
  <c r="S75" i="8"/>
  <c r="T75" i="8"/>
  <c r="Q75" i="8"/>
  <c r="R73" i="8"/>
  <c r="S70" i="8"/>
  <c r="T70" i="8"/>
  <c r="Q70" i="8"/>
  <c r="S69" i="8"/>
  <c r="T69" i="8"/>
  <c r="Q69" i="8"/>
  <c r="S68" i="8"/>
  <c r="T68" i="8"/>
  <c r="Q68" i="8"/>
  <c r="S67" i="8"/>
  <c r="Q67" i="8"/>
  <c r="S64" i="8"/>
  <c r="T64" i="8"/>
  <c r="Q64" i="8"/>
  <c r="S63" i="8"/>
  <c r="T63" i="8"/>
  <c r="Q63" i="8"/>
  <c r="S61" i="8"/>
  <c r="T61" i="8"/>
  <c r="Q61" i="8"/>
  <c r="S55" i="8"/>
  <c r="T55" i="8"/>
  <c r="Q55" i="8"/>
  <c r="R54" i="8"/>
  <c r="T54" i="8"/>
  <c r="S24" i="8"/>
  <c r="T24" i="8"/>
  <c r="Q24" i="8"/>
  <c r="S23" i="8"/>
  <c r="Q23" i="8"/>
  <c r="R19" i="8"/>
  <c r="T19" i="8"/>
  <c r="S9" i="8"/>
  <c r="T9" i="8"/>
  <c r="Q9" i="8"/>
  <c r="R1007" i="8"/>
  <c r="R1006" i="8"/>
  <c r="R1005" i="8"/>
  <c r="R1004" i="8"/>
  <c r="R1003" i="8"/>
  <c r="R1002" i="8"/>
  <c r="R1001" i="8"/>
  <c r="R1000" i="8"/>
  <c r="R999" i="8"/>
  <c r="R998" i="8"/>
  <c r="R997" i="8"/>
  <c r="R996" i="8"/>
  <c r="R995" i="8"/>
  <c r="R994" i="8"/>
  <c r="R993" i="8"/>
  <c r="R992" i="8"/>
  <c r="R991" i="8"/>
  <c r="R990" i="8"/>
  <c r="R989" i="8"/>
  <c r="R988" i="8"/>
  <c r="R987" i="8"/>
  <c r="R986" i="8"/>
  <c r="R985" i="8"/>
  <c r="R984" i="8"/>
  <c r="R983" i="8"/>
  <c r="R982" i="8"/>
  <c r="R981" i="8"/>
  <c r="T979" i="8"/>
  <c r="R979" i="8"/>
  <c r="R978" i="8"/>
  <c r="R977" i="8"/>
  <c r="R976" i="8"/>
  <c r="R975" i="8"/>
  <c r="R974" i="8"/>
  <c r="R973" i="8"/>
  <c r="T972" i="8"/>
  <c r="R972" i="8"/>
  <c r="R971" i="8"/>
  <c r="T970" i="8"/>
  <c r="R970" i="8"/>
  <c r="R969" i="8"/>
  <c r="R968" i="8"/>
  <c r="R966" i="8"/>
  <c r="R965" i="8"/>
  <c r="R964" i="8"/>
  <c r="R963" i="8"/>
  <c r="R962" i="8"/>
  <c r="R961" i="8"/>
  <c r="T960" i="8"/>
  <c r="R960" i="8"/>
  <c r="R959" i="8"/>
  <c r="R958" i="8"/>
  <c r="R957" i="8"/>
  <c r="R956" i="8"/>
  <c r="R955" i="8"/>
  <c r="R954" i="8"/>
  <c r="R951" i="8"/>
  <c r="R950" i="8"/>
  <c r="R949" i="8"/>
  <c r="R948" i="8"/>
  <c r="R947" i="8"/>
  <c r="R946" i="8"/>
  <c r="R944" i="8"/>
  <c r="R942" i="8"/>
  <c r="R940" i="8"/>
  <c r="R939" i="8"/>
  <c r="R938" i="8"/>
  <c r="R936" i="8"/>
  <c r="R935" i="8"/>
  <c r="R933" i="8"/>
  <c r="R932" i="8"/>
  <c r="R931" i="8"/>
  <c r="R928" i="8"/>
  <c r="R925" i="8"/>
  <c r="R923" i="8"/>
  <c r="R922" i="8"/>
  <c r="R918" i="8"/>
  <c r="R917" i="8"/>
  <c r="R916" i="8"/>
  <c r="R915" i="8"/>
  <c r="R911" i="8"/>
  <c r="R910" i="8"/>
  <c r="R907" i="8"/>
  <c r="R906" i="8"/>
  <c r="R904" i="8"/>
  <c r="T903" i="8"/>
  <c r="R903" i="8"/>
  <c r="R902" i="8"/>
  <c r="R900" i="8"/>
  <c r="R898" i="8"/>
  <c r="R897" i="8"/>
  <c r="R896" i="8"/>
  <c r="R894" i="8"/>
  <c r="R892" i="8"/>
  <c r="T874" i="8"/>
  <c r="R874" i="8"/>
  <c r="T869" i="8"/>
  <c r="R869" i="8"/>
  <c r="T864" i="8"/>
  <c r="R864" i="8"/>
  <c r="T858" i="8"/>
  <c r="R858" i="8"/>
  <c r="T856" i="8"/>
  <c r="R856" i="8"/>
  <c r="T849" i="8"/>
  <c r="R849" i="8"/>
  <c r="T845" i="8"/>
  <c r="Q845" i="8"/>
  <c r="R845" i="8"/>
  <c r="T841" i="8"/>
  <c r="R841" i="8"/>
  <c r="T840" i="8"/>
  <c r="R840" i="8"/>
  <c r="R820" i="8"/>
  <c r="T820" i="8"/>
  <c r="S815" i="8"/>
  <c r="T815" i="8"/>
  <c r="Q815" i="8"/>
  <c r="R808" i="8"/>
  <c r="S793" i="8"/>
  <c r="T793" i="8"/>
  <c r="Q793" i="8"/>
  <c r="S769" i="8"/>
  <c r="T769" i="8"/>
  <c r="Q769" i="8"/>
  <c r="R767" i="8"/>
  <c r="S746" i="8"/>
  <c r="T746" i="8"/>
  <c r="Q746" i="8"/>
  <c r="S733" i="8"/>
  <c r="T733" i="8"/>
  <c r="Q733" i="8"/>
  <c r="S720" i="8"/>
  <c r="T720" i="8"/>
  <c r="Q720" i="8"/>
  <c r="T711" i="8"/>
  <c r="S711" i="8"/>
  <c r="Q711" i="8"/>
  <c r="S710" i="8"/>
  <c r="T710" i="8"/>
  <c r="Q710" i="8"/>
  <c r="S709" i="8"/>
  <c r="T709" i="8"/>
  <c r="Q709" i="8"/>
  <c r="S705" i="8"/>
  <c r="T705" i="8"/>
  <c r="Q705" i="8"/>
  <c r="S696" i="8"/>
  <c r="T696" i="8"/>
  <c r="Q696" i="8"/>
  <c r="R692" i="8"/>
  <c r="T692" i="8"/>
  <c r="R674" i="8"/>
  <c r="R668" i="8"/>
  <c r="T668" i="8"/>
  <c r="S661" i="8"/>
  <c r="T661" i="8"/>
  <c r="Q661" i="8"/>
  <c r="S648" i="8"/>
  <c r="T648" i="8"/>
  <c r="Q648" i="8"/>
  <c r="S647" i="8"/>
  <c r="T647" i="8"/>
  <c r="Q647" i="8"/>
  <c r="S646" i="8"/>
  <c r="T646" i="8"/>
  <c r="Q646" i="8"/>
  <c r="S642" i="8"/>
  <c r="T642" i="8"/>
  <c r="Q642" i="8"/>
  <c r="S639" i="8"/>
  <c r="T639" i="8"/>
  <c r="Q639" i="8"/>
  <c r="S636" i="8"/>
  <c r="T636" i="8"/>
  <c r="Q636" i="8"/>
  <c r="S627" i="8"/>
  <c r="T627" i="8"/>
  <c r="Q627" i="8"/>
  <c r="S624" i="8"/>
  <c r="T624" i="8"/>
  <c r="Q624" i="8"/>
  <c r="S608" i="8"/>
  <c r="T608" i="8"/>
  <c r="Q608" i="8"/>
  <c r="R606" i="8"/>
  <c r="T606" i="8"/>
  <c r="S584" i="8"/>
  <c r="T584" i="8"/>
  <c r="Q584" i="8"/>
  <c r="S583" i="8"/>
  <c r="T583" i="8"/>
  <c r="Q583" i="8"/>
  <c r="R582" i="8"/>
  <c r="T582" i="8"/>
  <c r="S580" i="8"/>
  <c r="T580" i="8"/>
  <c r="Q580" i="8"/>
  <c r="R575" i="8"/>
  <c r="T575" i="8"/>
  <c r="S571" i="8"/>
  <c r="T571" i="8"/>
  <c r="Q571" i="8"/>
  <c r="S570" i="8"/>
  <c r="T570" i="8"/>
  <c r="Q570" i="8"/>
  <c r="S559" i="8"/>
  <c r="T559" i="8"/>
  <c r="S556" i="8"/>
  <c r="T556" i="8"/>
  <c r="Q556" i="8"/>
  <c r="S547" i="8"/>
  <c r="T547" i="8"/>
  <c r="Q547" i="8"/>
  <c r="R542" i="8"/>
  <c r="T542" i="8"/>
  <c r="R524" i="8"/>
  <c r="T524" i="8"/>
  <c r="R519" i="8"/>
  <c r="S510" i="8"/>
  <c r="T510" i="8"/>
  <c r="Q510" i="8"/>
  <c r="S502" i="8"/>
  <c r="T502" i="8"/>
  <c r="Q502" i="8"/>
  <c r="T488" i="8"/>
  <c r="Q488" i="8"/>
  <c r="R487" i="8"/>
  <c r="T487" i="8"/>
  <c r="S480" i="8"/>
  <c r="T480" i="8"/>
  <c r="Q480" i="8"/>
  <c r="S477" i="8"/>
  <c r="T477" i="8"/>
  <c r="Q477" i="8"/>
  <c r="S463" i="8"/>
  <c r="T463" i="8"/>
  <c r="Q463" i="8"/>
  <c r="S462" i="8"/>
  <c r="T462" i="8"/>
  <c r="Q462" i="8"/>
  <c r="S459" i="8"/>
  <c r="T459" i="8"/>
  <c r="Q459" i="8"/>
  <c r="R456" i="8"/>
  <c r="T456" i="8"/>
  <c r="R453" i="8"/>
  <c r="S451" i="8"/>
  <c r="T451" i="8"/>
  <c r="Q451" i="8"/>
  <c r="R444" i="8"/>
  <c r="T438" i="8"/>
  <c r="Q438" i="8"/>
  <c r="S437" i="8"/>
  <c r="T437" i="8"/>
  <c r="Q437" i="8"/>
  <c r="S432" i="8"/>
  <c r="T432" i="8"/>
  <c r="Q432" i="8"/>
  <c r="S426" i="8"/>
  <c r="T426" i="8"/>
  <c r="Q426" i="8"/>
  <c r="S417" i="8"/>
  <c r="T417" i="8"/>
  <c r="Q417" i="8"/>
  <c r="S403" i="8"/>
  <c r="T403" i="8"/>
  <c r="Q403" i="8"/>
  <c r="S386" i="8"/>
  <c r="T386" i="8"/>
  <c r="Q386" i="8"/>
  <c r="Q357" i="8"/>
  <c r="S347" i="8"/>
  <c r="T347" i="8"/>
  <c r="Q347" i="8"/>
  <c r="S339" i="8"/>
  <c r="T339" i="8"/>
  <c r="Q339" i="8"/>
  <c r="R331" i="8"/>
  <c r="T331" i="8"/>
  <c r="S322" i="8"/>
  <c r="T322" i="8"/>
  <c r="Q322" i="8"/>
  <c r="S320" i="8"/>
  <c r="T320" i="8"/>
  <c r="Q320" i="8"/>
  <c r="S317" i="8"/>
  <c r="T317" i="8"/>
  <c r="Q317" i="8"/>
  <c r="R313" i="8"/>
  <c r="T313" i="8"/>
  <c r="R301" i="8"/>
  <c r="T301" i="8"/>
  <c r="S288" i="8"/>
  <c r="T288" i="8"/>
  <c r="Q288" i="8"/>
  <c r="S275" i="8"/>
  <c r="T275" i="8"/>
  <c r="Q275" i="8"/>
  <c r="S252" i="8"/>
  <c r="T252" i="8"/>
  <c r="Q252" i="8"/>
  <c r="S235" i="8"/>
  <c r="T235" i="8"/>
  <c r="Q235" i="8"/>
  <c r="S233" i="8"/>
  <c r="T233" i="8"/>
  <c r="Q233" i="8"/>
  <c r="R226" i="8"/>
  <c r="T226" i="8"/>
  <c r="R220" i="8"/>
  <c r="T220" i="8"/>
  <c r="R215" i="8"/>
  <c r="S206" i="8"/>
  <c r="T206" i="8"/>
  <c r="Q206" i="8"/>
  <c r="S183" i="8"/>
  <c r="T183" i="8"/>
  <c r="Q183" i="8"/>
  <c r="S170" i="8"/>
  <c r="T170" i="8"/>
  <c r="Q170" i="8"/>
  <c r="S168" i="8"/>
  <c r="T168" i="8"/>
  <c r="Q168" i="8"/>
  <c r="S167" i="8"/>
  <c r="T167" i="8"/>
  <c r="Q167" i="8"/>
  <c r="R166" i="8"/>
  <c r="T166" i="8"/>
  <c r="S165" i="8"/>
  <c r="T165" i="8"/>
  <c r="Q165" i="8"/>
  <c r="S164" i="8"/>
  <c r="T164" i="8"/>
  <c r="Q164" i="8"/>
  <c r="S161" i="8"/>
  <c r="Q161" i="8"/>
  <c r="R161" i="8"/>
  <c r="T159" i="8"/>
  <c r="R159" i="8"/>
  <c r="T156" i="8"/>
  <c r="R156" i="8"/>
  <c r="T154" i="8"/>
  <c r="R154" i="8"/>
  <c r="T151" i="8"/>
  <c r="R151" i="8"/>
  <c r="S147" i="8"/>
  <c r="T147" i="8"/>
  <c r="Q147" i="8"/>
  <c r="T145" i="8"/>
  <c r="R145" i="8"/>
  <c r="T136" i="8"/>
  <c r="R136" i="8"/>
  <c r="T135" i="8"/>
  <c r="R135" i="8"/>
  <c r="T134" i="8"/>
  <c r="R134" i="8"/>
  <c r="T131" i="8"/>
  <c r="R131" i="8"/>
  <c r="T129" i="8"/>
  <c r="R129" i="8"/>
  <c r="T128" i="8"/>
  <c r="R128" i="8"/>
  <c r="T124" i="8"/>
  <c r="R124" i="8"/>
  <c r="T123" i="8"/>
  <c r="R123" i="8"/>
  <c r="T120" i="8"/>
  <c r="R120" i="8"/>
  <c r="T119" i="8"/>
  <c r="R119" i="8"/>
  <c r="T117" i="8"/>
  <c r="R117" i="8"/>
  <c r="T115" i="8"/>
  <c r="R115" i="8"/>
  <c r="R113" i="8"/>
  <c r="T113" i="8"/>
  <c r="R107" i="8"/>
  <c r="T107" i="8"/>
  <c r="R102" i="8"/>
  <c r="T102" i="8"/>
  <c r="R97" i="8"/>
  <c r="T97" i="8"/>
  <c r="R92" i="8"/>
  <c r="R91" i="8"/>
  <c r="T91" i="8"/>
  <c r="R89" i="8"/>
  <c r="T89" i="8"/>
  <c r="R87" i="8"/>
  <c r="T87" i="8"/>
  <c r="R81" i="8"/>
  <c r="T81" i="8"/>
  <c r="R79" i="8"/>
  <c r="T79" i="8"/>
  <c r="S74" i="8"/>
  <c r="T74" i="8"/>
  <c r="Q74" i="8"/>
  <c r="T71" i="8"/>
  <c r="R71" i="8"/>
  <c r="T67" i="8"/>
  <c r="R67" i="8"/>
  <c r="R56" i="8"/>
  <c r="R53" i="8"/>
  <c r="R51" i="8"/>
  <c r="R43" i="8"/>
  <c r="T43" i="8"/>
  <c r="T37" i="8"/>
  <c r="R37" i="8"/>
  <c r="S35" i="8"/>
  <c r="T35" i="8"/>
  <c r="Q35" i="8"/>
  <c r="T23" i="8"/>
  <c r="R23" i="8"/>
  <c r="S18" i="8"/>
  <c r="T18" i="8"/>
  <c r="Q18" i="8"/>
  <c r="E72" i="2"/>
  <c r="H72" i="2"/>
  <c r="F40" i="2"/>
  <c r="G40" i="2" s="1"/>
  <c r="F42" i="2"/>
  <c r="F62" i="2"/>
  <c r="E73" i="2"/>
  <c r="H73" i="2"/>
  <c r="E75" i="2"/>
  <c r="H75" i="2"/>
  <c r="E74" i="2"/>
  <c r="H74" i="2"/>
  <c r="B50" i="2"/>
  <c r="D19" i="2"/>
  <c r="B62" i="2"/>
  <c r="C146" i="2"/>
  <c r="D146" i="2"/>
  <c r="B19" i="2"/>
  <c r="E63" i="11"/>
  <c r="E133" i="11" s="1"/>
  <c r="E63" i="14"/>
  <c r="E93" i="16"/>
  <c r="E163" i="16" s="1"/>
  <c r="F50" i="2"/>
  <c r="D134" i="2" s="1"/>
  <c r="C134" i="2"/>
  <c r="L30" i="2"/>
  <c r="M30" i="2"/>
  <c r="D31" i="2"/>
  <c r="B30" i="2"/>
  <c r="O140" i="14" s="1"/>
  <c r="O69" i="14" l="1"/>
  <c r="O63" i="14" s="1"/>
  <c r="T68" i="16"/>
  <c r="T62" i="16" s="1"/>
  <c r="Z68" i="14"/>
  <c r="Q5" i="18"/>
  <c r="Q20" i="18"/>
  <c r="Q6" i="18"/>
  <c r="Q14" i="18"/>
  <c r="Q13" i="18"/>
  <c r="Q23" i="18"/>
  <c r="Q8" i="18"/>
  <c r="Q16" i="18"/>
  <c r="Q7" i="18"/>
  <c r="Q21" i="18"/>
  <c r="Q12" i="18"/>
  <c r="J104" i="11"/>
  <c r="Q19" i="18"/>
  <c r="B22" i="2"/>
  <c r="T126" i="16"/>
  <c r="Z133" i="14"/>
  <c r="O140" i="11"/>
  <c r="O134" i="11" s="1"/>
  <c r="Z62" i="11"/>
  <c r="Z68" i="11"/>
  <c r="T93" i="14"/>
  <c r="T87" i="14" s="1"/>
  <c r="Q15" i="18"/>
  <c r="B80" i="2"/>
  <c r="Z92" i="14" s="1"/>
  <c r="AE67" i="16"/>
  <c r="AE166" i="16"/>
  <c r="Z133" i="11"/>
  <c r="AE160" i="16"/>
  <c r="B29" i="2"/>
  <c r="O69" i="11"/>
  <c r="O63" i="11" s="1"/>
  <c r="Z62" i="14"/>
  <c r="Z139" i="14"/>
  <c r="T102" i="11"/>
  <c r="T96" i="11" s="1"/>
  <c r="Q9" i="18"/>
  <c r="Q22" i="18"/>
  <c r="Y138" i="16"/>
  <c r="Y132" i="16" s="1"/>
  <c r="G42" i="2"/>
  <c r="D125" i="2" s="1"/>
  <c r="C125" i="2"/>
  <c r="B26" i="2"/>
  <c r="F26" i="2"/>
  <c r="D27" i="2"/>
  <c r="O117" i="14"/>
  <c r="T144" i="16"/>
  <c r="F45" i="9"/>
  <c r="O117" i="11"/>
  <c r="O45" i="14"/>
  <c r="T44" i="16"/>
  <c r="E133" i="14"/>
  <c r="B31" i="2"/>
  <c r="O181" i="16"/>
  <c r="F38" i="2"/>
  <c r="G38" i="2" s="1"/>
  <c r="B38" i="2"/>
  <c r="B41" i="2"/>
  <c r="F41" i="2"/>
  <c r="G41" i="2" s="1"/>
  <c r="O134" i="14"/>
  <c r="T167" i="16"/>
  <c r="O99" i="14"/>
  <c r="O27" i="14"/>
  <c r="F27" i="9"/>
  <c r="T26" i="16"/>
  <c r="O27" i="11"/>
  <c r="B39" i="2"/>
  <c r="F39" i="2"/>
  <c r="G39" i="2" s="1"/>
  <c r="D128" i="2"/>
  <c r="C128" i="2"/>
  <c r="C131" i="2"/>
  <c r="D131" i="2"/>
  <c r="T305" i="8"/>
  <c r="D140" i="2"/>
  <c r="J7" i="3"/>
  <c r="K7" i="3"/>
  <c r="T180" i="8"/>
  <c r="Z6" i="8" s="1" a="1"/>
  <c r="Z6" i="8" s="1"/>
  <c r="S36" i="8"/>
  <c r="Q274" i="8"/>
  <c r="T274" i="8"/>
  <c r="Q530" i="8"/>
  <c r="T530" i="8"/>
  <c r="T726" i="8"/>
  <c r="R817" i="8"/>
  <c r="R380" i="8"/>
  <c r="X6" i="8" s="1" a="1"/>
  <c r="X6" i="8" s="1"/>
  <c r="D143" i="2"/>
  <c r="Q19" i="8"/>
  <c r="Q248" i="8"/>
  <c r="T248" i="8"/>
  <c r="Q16" i="8"/>
  <c r="W6" i="8" s="1" a="1"/>
  <c r="W6" i="8" s="1"/>
  <c r="S19" i="8"/>
  <c r="Y6" i="8" s="1" a="1"/>
  <c r="Y6" i="8" s="1"/>
  <c r="S215" i="8"/>
  <c r="S248" i="8"/>
  <c r="Q254" i="8"/>
  <c r="S258" i="8"/>
  <c r="S274" i="8"/>
  <c r="Q289" i="8"/>
  <c r="S481" i="8"/>
  <c r="Q697" i="8"/>
  <c r="S726" i="8"/>
  <c r="Q737" i="8"/>
  <c r="Q834" i="8"/>
  <c r="Q236" i="8"/>
  <c r="Q321" i="8"/>
  <c r="Q345" i="8"/>
  <c r="S356" i="8"/>
  <c r="Q379" i="8"/>
  <c r="S425" i="8"/>
  <c r="Q623" i="8"/>
  <c r="Q802" i="8"/>
  <c r="J8" i="3"/>
  <c r="K8" i="3"/>
  <c r="J6" i="3"/>
  <c r="K6" i="3"/>
  <c r="Q198" i="8"/>
  <c r="Q218" i="8"/>
  <c r="Q249" i="8"/>
  <c r="Q260" i="8"/>
  <c r="Q500" i="8"/>
  <c r="Q817" i="8"/>
  <c r="K9" i="3"/>
  <c r="T120" i="14"/>
  <c r="T84" i="14"/>
  <c r="T93" i="11"/>
  <c r="Y129" i="16"/>
  <c r="G56" i="2"/>
  <c r="T111" i="14"/>
  <c r="T120" i="11"/>
  <c r="T84" i="11"/>
  <c r="Y120" i="16"/>
  <c r="T102" i="14"/>
  <c r="T111" i="11"/>
  <c r="Y147" i="16"/>
  <c r="Y111" i="16"/>
  <c r="J137" i="14" l="1"/>
  <c r="X133" i="14" s="1"/>
  <c r="AB133" i="14" s="1"/>
  <c r="J104" i="14"/>
  <c r="X119" i="14" s="1"/>
  <c r="O131" i="16"/>
  <c r="B21" i="2"/>
  <c r="O164" i="16"/>
  <c r="J32" i="14"/>
  <c r="J66" i="14" s="1"/>
  <c r="X62" i="14" s="1"/>
  <c r="AB62" i="14" s="1"/>
  <c r="O31" i="16"/>
  <c r="O65" i="16" s="1"/>
  <c r="B20" i="2"/>
  <c r="B23" i="2"/>
  <c r="J137" i="11"/>
  <c r="X133" i="11" s="1"/>
  <c r="J178" i="16"/>
  <c r="AC180" i="16" s="1"/>
  <c r="AG180" i="16" s="1"/>
  <c r="AE13" i="16"/>
  <c r="J147" i="16"/>
  <c r="AE52" i="16"/>
  <c r="AE140" i="16"/>
  <c r="R53" i="9"/>
  <c r="Z41" i="11"/>
  <c r="AE152" i="16"/>
  <c r="R47" i="9"/>
  <c r="Z32" i="14"/>
  <c r="Z110" i="14"/>
  <c r="Z86" i="11"/>
  <c r="AE10" i="16"/>
  <c r="Z110" i="11"/>
  <c r="Z113" i="14"/>
  <c r="Z101" i="11"/>
  <c r="AE22" i="16"/>
  <c r="R5" i="9"/>
  <c r="Z41" i="14"/>
  <c r="Z104" i="14"/>
  <c r="X95" i="11"/>
  <c r="AC95" i="11" s="1"/>
  <c r="X101" i="11"/>
  <c r="AE122" i="16"/>
  <c r="AE37" i="16"/>
  <c r="Z11" i="14"/>
  <c r="Z83" i="11"/>
  <c r="Z47" i="11"/>
  <c r="AE40" i="16"/>
  <c r="Z29" i="11"/>
  <c r="Z77" i="14"/>
  <c r="Z11" i="11"/>
  <c r="AE31" i="16"/>
  <c r="Z104" i="11"/>
  <c r="Z92" i="11"/>
  <c r="AE131" i="16"/>
  <c r="Z125" i="14"/>
  <c r="Z23" i="11"/>
  <c r="R23" i="9"/>
  <c r="AE137" i="16"/>
  <c r="Z5" i="14"/>
  <c r="Z14" i="14"/>
  <c r="R14" i="9"/>
  <c r="AE46" i="16"/>
  <c r="Z113" i="11"/>
  <c r="Z53" i="14"/>
  <c r="AE128" i="16"/>
  <c r="R41" i="9"/>
  <c r="Z47" i="14"/>
  <c r="Z29" i="14"/>
  <c r="R29" i="9"/>
  <c r="Z86" i="14"/>
  <c r="R11" i="9"/>
  <c r="Z20" i="14"/>
  <c r="Z95" i="11"/>
  <c r="Z125" i="11"/>
  <c r="AE119" i="16"/>
  <c r="Z32" i="11"/>
  <c r="AE4" i="16"/>
  <c r="Z83" i="14"/>
  <c r="Z53" i="11"/>
  <c r="Z14" i="11"/>
  <c r="Z95" i="14"/>
  <c r="AE104" i="16"/>
  <c r="AE28" i="16"/>
  <c r="AE19" i="16"/>
  <c r="R20" i="9"/>
  <c r="Z119" i="11"/>
  <c r="AE146" i="16"/>
  <c r="Z119" i="14"/>
  <c r="Z23" i="14"/>
  <c r="Z101" i="14"/>
  <c r="Z20" i="11"/>
  <c r="Z5" i="11"/>
  <c r="AE110" i="16"/>
  <c r="R38" i="9"/>
  <c r="Z77" i="11"/>
  <c r="Z38" i="11"/>
  <c r="AE113" i="16"/>
  <c r="Z38" i="14"/>
  <c r="R32" i="9"/>
  <c r="J62" i="16"/>
  <c r="J32" i="11"/>
  <c r="J66" i="11" s="1"/>
  <c r="X62" i="11" s="1"/>
  <c r="C17" i="2"/>
  <c r="T78" i="11"/>
  <c r="T117" i="16"/>
  <c r="O18" i="14"/>
  <c r="O90" i="11"/>
  <c r="X92" i="11" s="1"/>
  <c r="O90" i="14"/>
  <c r="F18" i="9"/>
  <c r="T17" i="16"/>
  <c r="O18" i="11"/>
  <c r="X119" i="11"/>
  <c r="T114" i="11"/>
  <c r="X113" i="11" s="1"/>
  <c r="AC113" i="11" s="1"/>
  <c r="Y105" i="16"/>
  <c r="Y114" i="16"/>
  <c r="T114" i="14"/>
  <c r="U23" i="9"/>
  <c r="O36" i="14"/>
  <c r="F36" i="9"/>
  <c r="O108" i="14"/>
  <c r="O108" i="11"/>
  <c r="X110" i="11" s="1"/>
  <c r="O36" i="11"/>
  <c r="T135" i="16"/>
  <c r="T35" i="16"/>
  <c r="C116" i="2"/>
  <c r="G26" i="2"/>
  <c r="D116" i="2" s="1"/>
  <c r="T153" i="16"/>
  <c r="O126" i="14"/>
  <c r="O54" i="11"/>
  <c r="O126" i="11"/>
  <c r="X125" i="11" s="1"/>
  <c r="O54" i="14"/>
  <c r="T53" i="16"/>
  <c r="F54" i="9"/>
  <c r="P53" i="9" s="1"/>
  <c r="O175" i="16"/>
  <c r="T21" i="11"/>
  <c r="T12" i="11"/>
  <c r="T6" i="11" s="1"/>
  <c r="T21" i="14"/>
  <c r="Y29" i="16"/>
  <c r="Y38" i="16"/>
  <c r="K39" i="9"/>
  <c r="K33" i="9" s="1"/>
  <c r="T39" i="11"/>
  <c r="T33" i="11" s="1"/>
  <c r="K48" i="9"/>
  <c r="K42" i="9" s="1"/>
  <c r="P41" i="9" s="1"/>
  <c r="K12" i="9"/>
  <c r="K6" i="9" s="1"/>
  <c r="T12" i="14"/>
  <c r="T6" i="14" s="1"/>
  <c r="Y11" i="16"/>
  <c r="Y20" i="16"/>
  <c r="T48" i="11"/>
  <c r="T39" i="14"/>
  <c r="T33" i="14" s="1"/>
  <c r="T48" i="14"/>
  <c r="T42" i="14" s="1"/>
  <c r="T30" i="14"/>
  <c r="T24" i="14" s="1"/>
  <c r="B27" i="2"/>
  <c r="T30" i="11"/>
  <c r="T24" i="11" s="1"/>
  <c r="Y47" i="16"/>
  <c r="K21" i="9"/>
  <c r="K30" i="9"/>
  <c r="K24" i="9" s="1"/>
  <c r="P23" i="9" s="1"/>
  <c r="Y141" i="16"/>
  <c r="Y123" i="16"/>
  <c r="T161" i="16"/>
  <c r="T105" i="11"/>
  <c r="T87" i="11"/>
  <c r="T96" i="14"/>
  <c r="T105" i="14"/>
  <c r="T78" i="14"/>
  <c r="X139" i="14" l="1"/>
  <c r="AB139" i="14" s="1"/>
  <c r="AC128" i="16"/>
  <c r="AG128" i="16" s="1"/>
  <c r="X101" i="14"/>
  <c r="AB101" i="14" s="1"/>
  <c r="AC122" i="16"/>
  <c r="AH122" i="16" s="1"/>
  <c r="X41" i="14"/>
  <c r="AC41" i="14" s="1"/>
  <c r="X125" i="14"/>
  <c r="AB125" i="14" s="1"/>
  <c r="X110" i="14"/>
  <c r="AB110" i="14" s="1"/>
  <c r="X113" i="14"/>
  <c r="AC113" i="14" s="1"/>
  <c r="X95" i="14"/>
  <c r="AC95" i="14" s="1"/>
  <c r="X53" i="14"/>
  <c r="AB53" i="14" s="1"/>
  <c r="X139" i="11"/>
  <c r="AB139" i="11" s="1"/>
  <c r="AC62" i="14"/>
  <c r="X23" i="14"/>
  <c r="AC23" i="14" s="1"/>
  <c r="X68" i="14"/>
  <c r="AB68" i="14" s="1"/>
  <c r="AC133" i="11"/>
  <c r="AB133" i="11"/>
  <c r="AC160" i="16"/>
  <c r="AG160" i="16" s="1"/>
  <c r="AC146" i="16"/>
  <c r="AG146" i="16" s="1"/>
  <c r="AC119" i="16"/>
  <c r="AG119" i="16" s="1"/>
  <c r="AC166" i="16"/>
  <c r="AG166" i="16" s="1"/>
  <c r="AC140" i="16"/>
  <c r="AH140" i="16" s="1"/>
  <c r="AC152" i="16"/>
  <c r="AG152" i="16" s="1"/>
  <c r="AC174" i="16"/>
  <c r="AH174" i="16" s="1"/>
  <c r="AB119" i="14"/>
  <c r="AC133" i="14"/>
  <c r="T53" i="9"/>
  <c r="AB110" i="11"/>
  <c r="AB101" i="11"/>
  <c r="AB95" i="11"/>
  <c r="R56" i="9"/>
  <c r="Z141" i="14"/>
  <c r="AE184" i="16"/>
  <c r="Z141" i="11"/>
  <c r="T41" i="9"/>
  <c r="AB119" i="11"/>
  <c r="AB125" i="11"/>
  <c r="T23" i="9"/>
  <c r="AC52" i="16"/>
  <c r="AG52" i="16" s="1"/>
  <c r="AB92" i="11"/>
  <c r="AC62" i="11"/>
  <c r="AB62" i="11"/>
  <c r="X23" i="11"/>
  <c r="AC23" i="11" s="1"/>
  <c r="X53" i="11"/>
  <c r="AB53" i="11" s="1"/>
  <c r="J96" i="16"/>
  <c r="AC67" i="16"/>
  <c r="AG67" i="16" s="1"/>
  <c r="X68" i="11"/>
  <c r="AB68" i="11" s="1"/>
  <c r="X47" i="14"/>
  <c r="AB47" i="14" s="1"/>
  <c r="X104" i="14"/>
  <c r="AB104" i="14" s="1"/>
  <c r="AC61" i="16"/>
  <c r="AC113" i="16"/>
  <c r="AH113" i="16" s="1"/>
  <c r="X104" i="11"/>
  <c r="AB104" i="11" s="1"/>
  <c r="X29" i="14"/>
  <c r="AB29" i="14" s="1"/>
  <c r="X86" i="11"/>
  <c r="AC86" i="11" s="1"/>
  <c r="AC46" i="16"/>
  <c r="AG46" i="16" s="1"/>
  <c r="Y41" i="16"/>
  <c r="AC40" i="16" s="1"/>
  <c r="Y5" i="16"/>
  <c r="X20" i="14"/>
  <c r="AB20" i="14" s="1"/>
  <c r="T15" i="14"/>
  <c r="X14" i="14" s="1"/>
  <c r="T8" i="16"/>
  <c r="AC10" i="16" s="1"/>
  <c r="AG10" i="16" s="1"/>
  <c r="O9" i="14"/>
  <c r="AB113" i="11"/>
  <c r="F9" i="9"/>
  <c r="T108" i="16"/>
  <c r="AC110" i="16" s="1"/>
  <c r="AG110" i="16" s="1"/>
  <c r="T42" i="11"/>
  <c r="X41" i="11" s="1"/>
  <c r="X47" i="11"/>
  <c r="AB47" i="11" s="1"/>
  <c r="AC37" i="16"/>
  <c r="AG37" i="16" s="1"/>
  <c r="Y32" i="16"/>
  <c r="AC31" i="16" s="1"/>
  <c r="T15" i="11"/>
  <c r="X14" i="11" s="1"/>
  <c r="X20" i="11"/>
  <c r="AB20" i="11" s="1"/>
  <c r="P47" i="9"/>
  <c r="T47" i="9" s="1"/>
  <c r="AC137" i="16"/>
  <c r="AG137" i="16" s="1"/>
  <c r="AC131" i="16"/>
  <c r="P38" i="9"/>
  <c r="T38" i="9" s="1"/>
  <c r="P32" i="9"/>
  <c r="T32" i="9" s="1"/>
  <c r="O81" i="14"/>
  <c r="X83" i="14" s="1"/>
  <c r="AB83" i="14" s="1"/>
  <c r="X86" i="14"/>
  <c r="X92" i="14"/>
  <c r="AB92" i="14" s="1"/>
  <c r="P20" i="9"/>
  <c r="T20" i="9" s="1"/>
  <c r="K15" i="9"/>
  <c r="P14" i="9" s="1"/>
  <c r="AC19" i="16"/>
  <c r="AG19" i="16" s="1"/>
  <c r="Y14" i="16"/>
  <c r="AC13" i="16" s="1"/>
  <c r="AC28" i="16"/>
  <c r="AG28" i="16" s="1"/>
  <c r="Y23" i="16"/>
  <c r="AC22" i="16" s="1"/>
  <c r="X29" i="11"/>
  <c r="AB29" i="11" s="1"/>
  <c r="X38" i="11"/>
  <c r="AB38" i="11" s="1"/>
  <c r="X32" i="11"/>
  <c r="X38" i="14"/>
  <c r="AB38" i="14" s="1"/>
  <c r="X32" i="14"/>
  <c r="P29" i="9"/>
  <c r="T29" i="9" s="1"/>
  <c r="O9" i="11"/>
  <c r="O81" i="11"/>
  <c r="X83" i="11" s="1"/>
  <c r="AB83" i="11" s="1"/>
  <c r="AB113" i="14" l="1"/>
  <c r="AG122" i="16"/>
  <c r="AB41" i="14"/>
  <c r="AB95" i="14"/>
  <c r="AB23" i="14"/>
  <c r="AC104" i="14"/>
  <c r="AG174" i="16"/>
  <c r="AG140" i="16"/>
  <c r="AH160" i="16"/>
  <c r="AC104" i="11"/>
  <c r="AB23" i="11"/>
  <c r="AG113" i="16"/>
  <c r="AC104" i="16"/>
  <c r="AG104" i="16" s="1"/>
  <c r="AH61" i="16"/>
  <c r="AG61" i="16"/>
  <c r="AC92" i="16"/>
  <c r="AC98" i="16"/>
  <c r="AG98" i="16" s="1"/>
  <c r="AB86" i="11"/>
  <c r="U14" i="9"/>
  <c r="T14" i="9"/>
  <c r="AC14" i="14"/>
  <c r="AB14" i="14"/>
  <c r="AH22" i="16"/>
  <c r="AG22" i="16"/>
  <c r="X5" i="14"/>
  <c r="X11" i="14"/>
  <c r="AB11" i="14" s="1"/>
  <c r="AC14" i="11"/>
  <c r="AB14" i="11"/>
  <c r="AC32" i="14"/>
  <c r="AB32" i="14"/>
  <c r="AC86" i="14"/>
  <c r="AB86" i="14"/>
  <c r="AH131" i="16"/>
  <c r="AG131" i="16"/>
  <c r="AC41" i="11"/>
  <c r="AB41" i="11"/>
  <c r="P11" i="9"/>
  <c r="T11" i="9" s="1"/>
  <c r="P5" i="9"/>
  <c r="AC4" i="16"/>
  <c r="X11" i="11"/>
  <c r="AB11" i="11" s="1"/>
  <c r="X5" i="11"/>
  <c r="AH13" i="16"/>
  <c r="AG13" i="16"/>
  <c r="AH31" i="16"/>
  <c r="AG31" i="16"/>
  <c r="X77" i="14"/>
  <c r="AH40" i="16"/>
  <c r="AG40" i="16"/>
  <c r="X77" i="11"/>
  <c r="AC32" i="11"/>
  <c r="AB32" i="11"/>
  <c r="AH104" i="16" l="1"/>
  <c r="AH92" i="16"/>
  <c r="AG92" i="16"/>
  <c r="AB77" i="14"/>
  <c r="AC77" i="14"/>
  <c r="U5" i="9"/>
  <c r="U56" i="9" s="1"/>
  <c r="D6" i="3" s="1"/>
  <c r="C6" i="8" s="1"/>
  <c r="P56" i="9"/>
  <c r="T5" i="9"/>
  <c r="T56" i="9" s="1"/>
  <c r="AC77" i="11"/>
  <c r="AB77" i="11"/>
  <c r="AC5" i="11"/>
  <c r="X141" i="11"/>
  <c r="AB7" i="11"/>
  <c r="AC5" i="14"/>
  <c r="X141" i="14"/>
  <c r="AB5" i="14"/>
  <c r="AB141" i="14" s="1"/>
  <c r="AC184" i="16"/>
  <c r="AG4" i="16"/>
  <c r="AH4" i="16"/>
  <c r="AH184" i="16" l="1"/>
  <c r="D9" i="3" s="1"/>
  <c r="I6" i="8" s="1"/>
  <c r="AG184" i="16"/>
  <c r="C9" i="3" s="1"/>
  <c r="AC141" i="11"/>
  <c r="D8" i="3" s="1"/>
  <c r="G6" i="8" s="1"/>
  <c r="AC141" i="14"/>
  <c r="D7" i="3" s="1"/>
  <c r="E6" i="8" s="1"/>
  <c r="AB141" i="11"/>
  <c r="C7" i="3"/>
  <c r="C6" i="3"/>
  <c r="W56" i="9"/>
  <c r="AI184" i="16" l="1"/>
  <c r="AD141" i="14"/>
  <c r="F7" i="3"/>
  <c r="F6" i="8"/>
  <c r="M6" i="8" s="1"/>
  <c r="E7" i="3"/>
  <c r="AD141" i="11"/>
  <c r="C8" i="3"/>
  <c r="F6" i="3"/>
  <c r="D6" i="8"/>
  <c r="L6" i="8" s="1"/>
  <c r="E6" i="3"/>
  <c r="F9" i="3"/>
  <c r="J6" i="8"/>
  <c r="O6" i="8" s="1"/>
  <c r="Q6" i="8" l="1"/>
  <c r="B112" i="2"/>
  <c r="B6" i="18"/>
  <c r="B102" i="2"/>
  <c r="B92" i="2"/>
  <c r="B21" i="18"/>
  <c r="B97" i="2"/>
  <c r="B11" i="18"/>
  <c r="B26" i="18"/>
  <c r="B107" i="2"/>
  <c r="B16" i="18"/>
  <c r="B17" i="18"/>
  <c r="B27" i="18"/>
  <c r="B108" i="2"/>
  <c r="B113" i="2"/>
  <c r="B12" i="18"/>
  <c r="B93" i="2"/>
  <c r="B7" i="18"/>
  <c r="B98" i="2"/>
  <c r="B22" i="18"/>
  <c r="B103" i="2"/>
  <c r="H6" i="8"/>
  <c r="N6" i="8" s="1"/>
  <c r="S6" i="8" s="1"/>
  <c r="F8" i="3"/>
  <c r="E8" i="3"/>
  <c r="T6" i="8" l="1"/>
  <c r="B94" i="2"/>
  <c r="B23" i="18"/>
  <c r="B114" i="2"/>
  <c r="B99" i="2"/>
  <c r="B13" i="18"/>
  <c r="B109" i="2"/>
  <c r="B104" i="2"/>
  <c r="B18" i="18"/>
  <c r="B8" i="18"/>
  <c r="B28" i="18"/>
  <c r="R6" i="8"/>
</calcChain>
</file>

<file path=xl/sharedStrings.xml><?xml version="1.0" encoding="utf-8"?>
<sst xmlns="http://schemas.openxmlformats.org/spreadsheetml/2006/main" count="837" uniqueCount="400">
  <si>
    <t>**Important: Please read the details below and press the macro button at the end of the page**</t>
  </si>
  <si>
    <t>This model is made available for non-commercial research and teaching purposes only.</t>
  </si>
  <si>
    <t>The model is described in detail in two publications:</t>
  </si>
  <si>
    <t>1)</t>
  </si>
  <si>
    <t xml:space="preserve">This paper describes the basic model structure and assumptions in detail and presents </t>
  </si>
  <si>
    <t>the detailed meta-analysis on which the modelling work was based.</t>
  </si>
  <si>
    <t>2)</t>
  </si>
  <si>
    <t>This paper describes the development of the model into a fully probabilistic form and illustrates issues</t>
  </si>
  <si>
    <t xml:space="preserve">such as multiple treatment comparisons and stochastic dominance </t>
  </si>
  <si>
    <t>An appendix to this paper describes this spreadsheet model in greater detail</t>
  </si>
  <si>
    <t>A probabilistic cost-effectiveness model for Thrombotic Thrombocytopenic Prupura (TTP)</t>
  </si>
  <si>
    <t>Huy P. Pham</t>
  </si>
  <si>
    <t>Chong H. Kim</t>
  </si>
  <si>
    <t>January 2016</t>
  </si>
  <si>
    <t>Enter '1' for probabilistic model, '0' for deterministic point estimates</t>
  </si>
  <si>
    <t>var name</t>
  </si>
  <si>
    <t>value</t>
  </si>
  <si>
    <t>description</t>
  </si>
  <si>
    <t>Probabilistic parameters (where appropriate)</t>
  </si>
  <si>
    <t>Exogenous variables are coloured red (all included in probabilistic analysis except unit costs)</t>
  </si>
  <si>
    <t>Endogenous variables are coloured blue</t>
  </si>
  <si>
    <t>mean</t>
  </si>
  <si>
    <t>se</t>
  </si>
  <si>
    <t>alpha</t>
  </si>
  <si>
    <t xml:space="preserve">beta </t>
  </si>
  <si>
    <t>n</t>
  </si>
  <si>
    <t>beta</t>
  </si>
  <si>
    <t>Unit cost variables (not included in probabilistic analysis)</t>
  </si>
  <si>
    <t>Resource use variables</t>
  </si>
  <si>
    <t>nUGIER1</t>
  </si>
  <si>
    <t>ENDOGENOUS</t>
  </si>
  <si>
    <t>TTP Model Variable definitions</t>
  </si>
  <si>
    <t>cATSih</t>
  </si>
  <si>
    <t>cATSso</t>
  </si>
  <si>
    <t>cTPE</t>
  </si>
  <si>
    <t>Cost of ADAMTS13 Assay In House</t>
  </si>
  <si>
    <t>Cost of ADAMTS13 Assay Send Out</t>
  </si>
  <si>
    <t>TPE3d</t>
  </si>
  <si>
    <t>Cost of TPE for 3 days</t>
  </si>
  <si>
    <t>P(D-)</t>
  </si>
  <si>
    <t>P(D+)</t>
  </si>
  <si>
    <t>Summary of results</t>
  </si>
  <si>
    <t>Treatment pathway</t>
  </si>
  <si>
    <t>cost</t>
  </si>
  <si>
    <t>Deterministic results:</t>
  </si>
  <si>
    <t>A</t>
  </si>
  <si>
    <t>B</t>
  </si>
  <si>
    <t>C</t>
  </si>
  <si>
    <t>D</t>
  </si>
  <si>
    <t>Reordered for figure:</t>
  </si>
  <si>
    <t>A: No ADAMTS13 send out</t>
  </si>
  <si>
    <t>B: ADAMTS 13 in house</t>
  </si>
  <si>
    <t>C: PLASMIC score ADAMTS so</t>
  </si>
  <si>
    <t>D: PLASMIC score ADAMTS ih</t>
  </si>
  <si>
    <t>Monte Carlo Simulation Results</t>
  </si>
  <si>
    <t>Direct results from the simulation</t>
  </si>
  <si>
    <t>Net-benefits of each strategy</t>
  </si>
  <si>
    <t>Rc</t>
  </si>
  <si>
    <t>Which strategy is cost-effective?</t>
  </si>
  <si>
    <t>CE acceptability curves</t>
  </si>
  <si>
    <t>Cost</t>
  </si>
  <si>
    <t>TRIALS</t>
  </si>
  <si>
    <t>Path Prob</t>
  </si>
  <si>
    <t>No ADAMTS13</t>
  </si>
  <si>
    <t>send out</t>
  </si>
  <si>
    <t>Screening Probabilities</t>
  </si>
  <si>
    <t>Prevalence of TTP</t>
  </si>
  <si>
    <t>1 - Prevlanece of TTP</t>
  </si>
  <si>
    <t>Sensitivity of ADAMTS13 assay</t>
  </si>
  <si>
    <t>Specificity of ADAMTS13 assay</t>
  </si>
  <si>
    <t>1 - Sensitivity of ADAMTS13 assay</t>
  </si>
  <si>
    <t>1 - Specificity of ADAMTS13 assay</t>
  </si>
  <si>
    <t>P(T1-|D-)</t>
  </si>
  <si>
    <t>P(T1+|D+)</t>
  </si>
  <si>
    <t>P(T2+|D+)</t>
  </si>
  <si>
    <t>P(T2-|D-)</t>
  </si>
  <si>
    <t>P(T1-|D+)</t>
  </si>
  <si>
    <t>P(T1+|D-)</t>
  </si>
  <si>
    <t>P(T2-|D+)</t>
  </si>
  <si>
    <t>P(T2+|D-)</t>
  </si>
  <si>
    <t>1 - Sensitivity of PLASMIC score</t>
  </si>
  <si>
    <t>1 - Specificity of PLASMIC score</t>
  </si>
  <si>
    <t>1 - Screening Probabilities</t>
  </si>
  <si>
    <t>Sensitivity of PLASMIC score</t>
  </si>
  <si>
    <t>Specificity of PLASMIC score</t>
  </si>
  <si>
    <t>nATSih</t>
  </si>
  <si>
    <t>nATSso</t>
  </si>
  <si>
    <t>Cost of Therapeutic Plasma Exchange</t>
  </si>
  <si>
    <t>nGP</t>
  </si>
  <si>
    <t xml:space="preserve">Visits to GP </t>
  </si>
  <si>
    <t># of units of ADAMTS13 Assay Send Out</t>
  </si>
  <si>
    <t># of units of ADAMTS13 Assay In House</t>
  </si>
  <si>
    <t xml:space="preserve"># of units of TPE </t>
  </si>
  <si>
    <t>nTPE</t>
  </si>
  <si>
    <t>nPS</t>
  </si>
  <si>
    <t># of units of Plasmic Score Assessment</t>
  </si>
  <si>
    <t># of units of other potential operation, assessment, therapy and etc</t>
  </si>
  <si>
    <t>*Need to use negative binomial or Poisson here</t>
  </si>
  <si>
    <t>SE</t>
  </si>
  <si>
    <t>ATSih3d</t>
  </si>
  <si>
    <t>ATSso3d</t>
  </si>
  <si>
    <t>GP3d</t>
  </si>
  <si>
    <t>PS3d</t>
  </si>
  <si>
    <t>O3d</t>
  </si>
  <si>
    <t>Cost of ADAMTS13 Assay In House for 3 days</t>
  </si>
  <si>
    <t>Cost of ADAMTS13 Assay Send Out for 3 days</t>
  </si>
  <si>
    <t>Cost of GP consultation for 3 days</t>
  </si>
  <si>
    <t>Cost of Plasmic Assessment for 3 days</t>
  </si>
  <si>
    <t>Cost of Others for 3 days</t>
  </si>
  <si>
    <t>MAE3d</t>
  </si>
  <si>
    <t>Cost of Major Adverse Event for 3 days</t>
  </si>
  <si>
    <t>x</t>
  </si>
  <si>
    <t>y</t>
  </si>
  <si>
    <t>z</t>
  </si>
  <si>
    <t>Resouce use for major adverse events</t>
  </si>
  <si>
    <t>P(Death)</t>
  </si>
  <si>
    <t>P(Survival)</t>
  </si>
  <si>
    <t>Sierra Simmons</t>
  </si>
  <si>
    <t>Lawrence A. Williams</t>
  </si>
  <si>
    <t>References</t>
  </si>
  <si>
    <t>S or Sqrt(V)</t>
  </si>
  <si>
    <t>Bendapudi 2015</t>
  </si>
  <si>
    <t>NA</t>
  </si>
  <si>
    <t xml:space="preserve">Bendapudi </t>
  </si>
  <si>
    <t>Rock 1991</t>
  </si>
  <si>
    <t>7 day</t>
  </si>
  <si>
    <t>Rate</t>
  </si>
  <si>
    <t>3 day prob</t>
  </si>
  <si>
    <t>Range: 0.943-0.997, Bendapudi personal communication</t>
  </si>
  <si>
    <t>Range: 0.547-0.671, Bendapudi personal communication</t>
  </si>
  <si>
    <t>TPE x3 Day</t>
  </si>
  <si>
    <t>Survive</t>
  </si>
  <si>
    <t>Death</t>
  </si>
  <si>
    <t>Major Adverse Event During TPE</t>
  </si>
  <si>
    <t>Infection</t>
  </si>
  <si>
    <t>Catheter thrombosis</t>
  </si>
  <si>
    <t>Venous thrombosis</t>
  </si>
  <si>
    <t>Bleeding/Major complication</t>
  </si>
  <si>
    <t>TPE</t>
  </si>
  <si>
    <t>Variable</t>
  </si>
  <si>
    <t>Probability</t>
  </si>
  <si>
    <t>95% CI</t>
  </si>
  <si>
    <t>Cost in 2011</t>
  </si>
  <si>
    <t>Adjusted cost in 2016</t>
  </si>
  <si>
    <t>Procedure itself</t>
  </si>
  <si>
    <t>Exchange</t>
  </si>
  <si>
    <t>Plasma</t>
  </si>
  <si>
    <t>Catheter</t>
  </si>
  <si>
    <t>Catheter placement</t>
  </si>
  <si>
    <t>Professional</t>
  </si>
  <si>
    <t xml:space="preserve">TOTAL FOR ONE TPE </t>
  </si>
  <si>
    <t>TPE Adverse event</t>
  </si>
  <si>
    <t>0.62%-4.02%</t>
  </si>
  <si>
    <t>0-1.58%</t>
  </si>
  <si>
    <t>3.03%-8.23%</t>
  </si>
  <si>
    <t>0.22%-3.09%</t>
  </si>
  <si>
    <t>13.26%-21.84%</t>
  </si>
  <si>
    <t>ICU day cost in 2016 based on Okerberg et al</t>
  </si>
  <si>
    <t>Ref:</t>
  </si>
  <si>
    <t>Som et al., Transfusion 2012</t>
  </si>
  <si>
    <t>95% CI Calculator https://www.mccallum-layton.co.uk/tools/statistic-calculators/confidence-interval-for-proportions-calculator/</t>
  </si>
  <si>
    <t>Heatwole et al, J Clin Neuromuscil Dis 2011</t>
  </si>
  <si>
    <t>TOTAL FOR 3 TPE</t>
  </si>
  <si>
    <t>TPE Procedure</t>
  </si>
  <si>
    <t>15 year</t>
  </si>
  <si>
    <t>COST</t>
  </si>
  <si>
    <t>Probabilities</t>
  </si>
  <si>
    <t>Cost of Infection</t>
  </si>
  <si>
    <t>Cost of Catheter thrombosis</t>
  </si>
  <si>
    <t>Cost of Venous thrombosis</t>
  </si>
  <si>
    <t>Cost of Bleeding/Major complication</t>
  </si>
  <si>
    <t>cInf</t>
  </si>
  <si>
    <t>cCATH</t>
  </si>
  <si>
    <t>cVETH</t>
  </si>
  <si>
    <t>cBL</t>
  </si>
  <si>
    <t>Major Adverse Events 3 days</t>
  </si>
  <si>
    <t>pDeath</t>
  </si>
  <si>
    <t>pInf</t>
  </si>
  <si>
    <t>pCATH</t>
  </si>
  <si>
    <t>pVETH</t>
  </si>
  <si>
    <t>pBL</t>
  </si>
  <si>
    <t>Distribution</t>
  </si>
  <si>
    <t>Beta</t>
  </si>
  <si>
    <t>Cathether Thrombosis</t>
  </si>
  <si>
    <t>Venous Thrombosis</t>
  </si>
  <si>
    <t>Bleeding/Major Complications</t>
  </si>
  <si>
    <t>LY</t>
  </si>
  <si>
    <t>COST/LY</t>
  </si>
  <si>
    <t>D+</t>
  </si>
  <si>
    <t>D-</t>
  </si>
  <si>
    <t>T+|D+</t>
  </si>
  <si>
    <t>T-|D+</t>
  </si>
  <si>
    <t>No complications</t>
  </si>
  <si>
    <t>Complication stage</t>
  </si>
  <si>
    <t>Death due to complication</t>
  </si>
  <si>
    <t>Cost*Prob</t>
  </si>
  <si>
    <t>in house</t>
  </si>
  <si>
    <t>T-|D-</t>
  </si>
  <si>
    <t>T+|D-</t>
  </si>
  <si>
    <t>False Negative</t>
  </si>
  <si>
    <t>True Positive</t>
  </si>
  <si>
    <t>False Positive</t>
  </si>
  <si>
    <t>True Negative</t>
  </si>
  <si>
    <t>Mortality Probabilities (After TPE/no TPE)</t>
  </si>
  <si>
    <t>Mortality after no TPE (for D+)</t>
  </si>
  <si>
    <t>P(Death) D+</t>
  </si>
  <si>
    <t>Normal</t>
  </si>
  <si>
    <t>P(Survival) D+</t>
  </si>
  <si>
    <t>1 - Mortality after no TPE (for D+)</t>
  </si>
  <si>
    <t>Mortality after TPE (D+)</t>
  </si>
  <si>
    <t>1 - Mortality after TPE (D+)</t>
  </si>
  <si>
    <t>Table 1. Life table for total population: United States, 2008</t>
  </si>
  <si>
    <r>
      <t xml:space="preserve">Probablity of dying between ages </t>
    </r>
    <r>
      <rPr>
        <i/>
        <sz val="10"/>
        <rFont val="Courier New"/>
        <family val="3"/>
      </rPr>
      <t>x</t>
    </r>
    <r>
      <rPr>
        <sz val="10"/>
        <rFont val="Courier New"/>
        <family val="3"/>
      </rPr>
      <t xml:space="preserve"> and </t>
    </r>
    <r>
      <rPr>
        <i/>
        <sz val="10"/>
        <rFont val="Courier New"/>
        <family val="3"/>
      </rPr>
      <t>x</t>
    </r>
    <r>
      <rPr>
        <sz val="10"/>
        <rFont val="Courier New"/>
        <family val="3"/>
      </rPr>
      <t xml:space="preserve"> + 1</t>
    </r>
  </si>
  <si>
    <r>
      <t xml:space="preserve">Number surviving to age </t>
    </r>
    <r>
      <rPr>
        <i/>
        <sz val="10"/>
        <rFont val="Courier New"/>
        <family val="3"/>
      </rPr>
      <t>x</t>
    </r>
  </si>
  <si>
    <r>
      <t xml:space="preserve">Number dying between ages </t>
    </r>
    <r>
      <rPr>
        <i/>
        <sz val="10"/>
        <rFont val="Courier New"/>
        <family val="3"/>
      </rPr>
      <t>x</t>
    </r>
    <r>
      <rPr>
        <sz val="10"/>
        <rFont val="Courier New"/>
        <family val="3"/>
      </rPr>
      <t xml:space="preserve"> and </t>
    </r>
    <r>
      <rPr>
        <i/>
        <sz val="10"/>
        <rFont val="Courier New"/>
        <family val="3"/>
      </rPr>
      <t>x</t>
    </r>
    <r>
      <rPr>
        <sz val="10"/>
        <rFont val="Courier New"/>
        <family val="3"/>
      </rPr>
      <t xml:space="preserve"> + 1</t>
    </r>
  </si>
  <si>
    <r>
      <t xml:space="preserve">Person-years lived  between ages </t>
    </r>
    <r>
      <rPr>
        <i/>
        <sz val="10"/>
        <rFont val="Courier New"/>
        <family val="3"/>
      </rPr>
      <t>x</t>
    </r>
    <r>
      <rPr>
        <sz val="10"/>
        <rFont val="Courier New"/>
        <family val="3"/>
      </rPr>
      <t xml:space="preserve"> and </t>
    </r>
    <r>
      <rPr>
        <i/>
        <sz val="10"/>
        <rFont val="Courier New"/>
        <family val="3"/>
      </rPr>
      <t>x</t>
    </r>
    <r>
      <rPr>
        <sz val="10"/>
        <rFont val="Courier New"/>
        <family val="3"/>
      </rPr>
      <t xml:space="preserve"> + 1</t>
    </r>
  </si>
  <si>
    <r>
      <t xml:space="preserve"> Total number of person-years lived above age </t>
    </r>
    <r>
      <rPr>
        <i/>
        <sz val="10"/>
        <rFont val="Courier New"/>
        <family val="3"/>
      </rPr>
      <t>x</t>
    </r>
  </si>
  <si>
    <r>
      <t xml:space="preserve">Expectation of life at age </t>
    </r>
    <r>
      <rPr>
        <i/>
        <sz val="10"/>
        <rFont val="Courier New"/>
        <family val="3"/>
      </rPr>
      <t>x</t>
    </r>
  </si>
  <si>
    <t>Age (years)</t>
  </si>
  <si>
    <r>
      <rPr>
        <i/>
        <sz val="10"/>
        <rFont val="Courier New"/>
        <family val="3"/>
      </rPr>
      <t>q</t>
    </r>
    <r>
      <rPr>
        <i/>
        <vertAlign val="subscript"/>
        <sz val="10"/>
        <rFont val="Courier New"/>
        <family val="3"/>
      </rPr>
      <t>x</t>
    </r>
  </si>
  <si>
    <r>
      <rPr>
        <i/>
        <sz val="10"/>
        <rFont val="Courier New"/>
        <family val="3"/>
      </rPr>
      <t>l</t>
    </r>
    <r>
      <rPr>
        <i/>
        <vertAlign val="subscript"/>
        <sz val="10"/>
        <rFont val="Courier New"/>
        <family val="3"/>
      </rPr>
      <t>x</t>
    </r>
  </si>
  <si>
    <r>
      <rPr>
        <i/>
        <sz val="10"/>
        <rFont val="Courier New"/>
        <family val="3"/>
      </rPr>
      <t>d</t>
    </r>
    <r>
      <rPr>
        <i/>
        <vertAlign val="subscript"/>
        <sz val="10"/>
        <rFont val="Courier New"/>
        <family val="3"/>
      </rPr>
      <t>x</t>
    </r>
  </si>
  <si>
    <r>
      <rPr>
        <i/>
        <sz val="10"/>
        <rFont val="Courier New"/>
        <family val="3"/>
      </rPr>
      <t>L</t>
    </r>
    <r>
      <rPr>
        <i/>
        <vertAlign val="subscript"/>
        <sz val="10"/>
        <rFont val="Courier New"/>
        <family val="3"/>
      </rPr>
      <t>x</t>
    </r>
  </si>
  <si>
    <r>
      <rPr>
        <i/>
        <sz val="10"/>
        <rFont val="Courier New"/>
        <family val="3"/>
      </rPr>
      <t>T</t>
    </r>
    <r>
      <rPr>
        <i/>
        <vertAlign val="subscript"/>
        <sz val="10"/>
        <rFont val="Courier New"/>
        <family val="3"/>
      </rPr>
      <t>x</t>
    </r>
  </si>
  <si>
    <r>
      <rPr>
        <i/>
        <sz val="10"/>
        <rFont val="Courier New"/>
        <family val="3"/>
      </rPr>
      <t>e</t>
    </r>
    <r>
      <rPr>
        <i/>
        <vertAlign val="subscript"/>
        <sz val="10"/>
        <rFont val="Courier New"/>
        <family val="3"/>
      </rPr>
      <t>x</t>
    </r>
  </si>
  <si>
    <t>0-1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</si>
  <si>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</si>
  <si>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</si>
  <si>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</si>
  <si>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</si>
  <si>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</si>
  <si>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</si>
  <si>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</si>
  <si>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</si>
  <si>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</si>
  <si>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</si>
  <si>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</si>
  <si>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</si>
  <si>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</si>
  <si>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</si>
  <si>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</si>
  <si>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</si>
  <si>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</si>
  <si>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</si>
  <si>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</si>
  <si>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</si>
  <si>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</si>
  <si>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</si>
  <si>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</si>
  <si>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24-25</t>
  </si>
  <si>
    <t>25-26</t>
  </si>
  <si>
    <t>26-27</t>
  </si>
  <si>
    <t>27-28</t>
  </si>
  <si>
    <t>28-29</t>
  </si>
  <si>
    <t>29-30</t>
  </si>
  <si>
    <t>30-31</t>
  </si>
  <si>
    <t>31-32</t>
  </si>
  <si>
    <t>32-33</t>
  </si>
  <si>
    <t>33-34</t>
  </si>
  <si>
    <t>34-35</t>
  </si>
  <si>
    <t>35-36</t>
  </si>
  <si>
    <t>36-37</t>
  </si>
  <si>
    <t>37-38</t>
  </si>
  <si>
    <t>38-39</t>
  </si>
  <si>
    <t>39-40</t>
  </si>
  <si>
    <t>40-41</t>
  </si>
  <si>
    <t>41-42</t>
  </si>
  <si>
    <t>42-43</t>
  </si>
  <si>
    <t>43-44</t>
  </si>
  <si>
    <t>44-45</t>
  </si>
  <si>
    <t>45-46</t>
  </si>
  <si>
    <t>46-47</t>
  </si>
  <si>
    <t>47-48</t>
  </si>
  <si>
    <t>48-49</t>
  </si>
  <si>
    <t>49-50</t>
  </si>
  <si>
    <t>50-51</t>
  </si>
  <si>
    <t>51-52</t>
  </si>
  <si>
    <t>52-53</t>
  </si>
  <si>
    <t>53-54</t>
  </si>
  <si>
    <t>54-55</t>
  </si>
  <si>
    <t>55-56</t>
  </si>
  <si>
    <t>56-57</t>
  </si>
  <si>
    <t>57-58</t>
  </si>
  <si>
    <t>58-59</t>
  </si>
  <si>
    <t>59-60</t>
  </si>
  <si>
    <t>60-61</t>
  </si>
  <si>
    <t>61-62</t>
  </si>
  <si>
    <t>62-63</t>
  </si>
  <si>
    <t>63-64</t>
  </si>
  <si>
    <t>64-65</t>
  </si>
  <si>
    <t>65-66</t>
  </si>
  <si>
    <t>66-67</t>
  </si>
  <si>
    <t>67-68</t>
  </si>
  <si>
    <t>68-69</t>
  </si>
  <si>
    <t>69-70</t>
  </si>
  <si>
    <t>70-71</t>
  </si>
  <si>
    <t>71-72</t>
  </si>
  <si>
    <t>72-73</t>
  </si>
  <si>
    <t>73-74</t>
  </si>
  <si>
    <t>74-75</t>
  </si>
  <si>
    <t>75-76</t>
  </si>
  <si>
    <t>76-77</t>
  </si>
  <si>
    <t>77-78</t>
  </si>
  <si>
    <t>78-79</t>
  </si>
  <si>
    <t>70-80</t>
  </si>
  <si>
    <t>80-81</t>
  </si>
  <si>
    <t>81-82</t>
  </si>
  <si>
    <t>82-83</t>
  </si>
  <si>
    <t>83-84</t>
  </si>
  <si>
    <t>84-85</t>
  </si>
  <si>
    <t>85-86</t>
  </si>
  <si>
    <t>86-87</t>
  </si>
  <si>
    <t>87-88</t>
  </si>
  <si>
    <t>88-89</t>
  </si>
  <si>
    <t>89-90</t>
  </si>
  <si>
    <t>90-91</t>
  </si>
  <si>
    <t>91-92</t>
  </si>
  <si>
    <t>92-93</t>
  </si>
  <si>
    <t>93-94</t>
  </si>
  <si>
    <t>94-95</t>
  </si>
  <si>
    <t>95-96</t>
  </si>
  <si>
    <t>96-97</t>
  </si>
  <si>
    <t>97-98</t>
  </si>
  <si>
    <t>98-99</t>
  </si>
  <si>
    <t>99-100</t>
  </si>
  <si>
    <t>100 and over</t>
  </si>
  <si>
    <t>1 year rate</t>
  </si>
  <si>
    <t>Enter Age of Patient for Model</t>
  </si>
  <si>
    <t>P(Death) D-</t>
  </si>
  <si>
    <t>P(Survival) D-</t>
  </si>
  <si>
    <t>Age</t>
  </si>
  <si>
    <t>cite</t>
  </si>
  <si>
    <t>https://www.cdc.gov/nchs/data/nvsr/nvsr61/nvsr61_03.pdf</t>
  </si>
  <si>
    <t>SUM(COST)</t>
  </si>
  <si>
    <t>SUM(LY)</t>
  </si>
  <si>
    <t>SUM(COST*PROB)</t>
  </si>
  <si>
    <t>Lys</t>
  </si>
  <si>
    <t>PLASMIC</t>
  </si>
  <si>
    <t>Then send out</t>
  </si>
  <si>
    <t>cPS</t>
  </si>
  <si>
    <t>Cost of Plasmic Score Assessment</t>
  </si>
  <si>
    <t>Plasmic Score</t>
  </si>
  <si>
    <t>ADAMTS inhouse</t>
  </si>
  <si>
    <t>ADAMTS13 inhouse</t>
  </si>
  <si>
    <t>SUM(PROB)</t>
  </si>
  <si>
    <t>Mortality for no TPE (D-) by age general public</t>
  </si>
  <si>
    <t>1 - Mortality for no TPE (D-) by age general public</t>
  </si>
  <si>
    <t>P(Death) GP</t>
  </si>
  <si>
    <t>P(Survival) GP</t>
  </si>
  <si>
    <t>Mortality no TPE (for D-)</t>
  </si>
  <si>
    <t>1 - Mortality no TPE (for D-)</t>
  </si>
  <si>
    <t>Li, 2016</t>
  </si>
  <si>
    <t>ICER</t>
  </si>
  <si>
    <t>90 day</t>
  </si>
  <si>
    <t>Beta, constant hazard</t>
  </si>
  <si>
    <t>Normal same SD as ADAMTS13 sensitivity</t>
  </si>
  <si>
    <t>Gamma, .15x from mean</t>
  </si>
  <si>
    <t>Som et al</t>
  </si>
  <si>
    <t>Cost/Lys</t>
  </si>
  <si>
    <t>Adjusted cost in 2015</t>
  </si>
  <si>
    <t>Inflation calculator for medical cost http://www.halfhill.com/inflation_js.html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</si>
  <si>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</si>
  <si>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</si>
  <si>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</si>
  <si>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</si>
  <si>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</si>
  <si>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</si>
  <si>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</si>
  <si>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</si>
  <si>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</si>
  <si>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</si>
  <si>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</si>
  <si>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</si>
  <si>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</si>
  <si>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</si>
  <si>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</si>
  <si>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459.065(R)</t>
  </si>
  <si>
    <t>R : Revised</t>
  </si>
  <si>
    <t>Change from 2011 to 20116</t>
  </si>
  <si>
    <t>% change from 2011</t>
  </si>
  <si>
    <t>One Way Sensitivity Analysis</t>
  </si>
  <si>
    <t>Lower</t>
  </si>
  <si>
    <t>Upper</t>
  </si>
  <si>
    <t>Difference</t>
  </si>
  <si>
    <t>Ref</t>
  </si>
  <si>
    <t>Parameter</t>
  </si>
  <si>
    <t>Groot et al and https://www2.ccrb.cuhk.edu.hk/stat/confidence%20interval/Diagnostic%20Statistic.htm</t>
  </si>
  <si>
    <t>Smock in AACC article https://www.aacc.org/publications/cln/articles/2016/april/the-role-of-adamts13-testing-in-the-work-up-of-suspected-thrombotic-thrombocytopenic-purpura</t>
  </si>
  <si>
    <t>Peyvandi et al JTH 2010 pg 636</t>
  </si>
  <si>
    <t>BASE</t>
  </si>
  <si>
    <t>One way Sensitivity/Scenario Analysis</t>
  </si>
  <si>
    <t>Intervention</t>
  </si>
  <si>
    <t>Group</t>
  </si>
  <si>
    <t>DA</t>
  </si>
  <si>
    <t>Cost/DA</t>
  </si>
  <si>
    <t>Deterministic</t>
  </si>
  <si>
    <t xml:space="preserve">Probabilistic </t>
  </si>
  <si>
    <t>Mortality after TPE (for D-)</t>
  </si>
  <si>
    <t>1 - Mortality after TPE (for D-)</t>
  </si>
  <si>
    <t>Probability of TTP in patients with TMA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</si>
</sst>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"/>
    <numFmt numFmtId="165" formatCode="0.000"/>
    <numFmt numFmtId="166" formatCode="_(* #,##0.0_);_(* \(#,##0.0\);_(* &quot;-&quot;??_);_(@_)"/>
    <numFmt numFmtId="167" formatCode="0.0"/>
    <numFmt numFmtId="168" formatCode="_(&quot;$&quot;* #,##0_);_(&quot;$&quot;* \(#,##0\);_(&quot;$&quot;* &quot;-&quot;??_);_(@_)"/>
    <numFmt numFmtId="169" formatCode="&quot;$&quot;#,##0"/>
    <numFmt numFmtId="170" formatCode="0.000000000000000"/>
    <numFmt numFmtId="171" formatCode="&quot;$&quot;#,##0.000000000000000000000000000000"/>
    <numFmt numFmtId="172" formatCode="&quot;$&quot;#,##0.00"/>
    <numFmt numFmtId="173" formatCode="#,##0.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10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3"/>
      <name val="Arial"/>
      <family val="2"/>
    </font>
    <font>
      <b/>
      <sz val="12"/>
      <name val="Arial"/>
      <family val="2"/>
    </font>
    <font>
      <b/>
      <sz val="10"/>
      <color indexed="17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16"/>
      <name val="Arial"/>
      <family val="2"/>
    </font>
    <font>
      <sz val="10"/>
      <color indexed="18"/>
      <name val="Arial"/>
      <family val="2"/>
    </font>
    <font>
      <sz val="11"/>
      <color rgb="FF25171C"/>
      <name val="Times New Roman"/>
      <family val="1"/>
    </font>
    <font>
      <b/>
      <sz val="14"/>
      <name val="Arial"/>
      <family val="2"/>
    </font>
    <font>
      <sz val="10"/>
      <color theme="1"/>
      <name val="Arial"/>
      <family val="2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sz val="12"/>
      <name val="Arial"/>
      <family val="2"/>
    </font>
    <font>
      <sz val="10"/>
      <name val="Courier New"/>
      <family val="3"/>
    </font>
    <font>
      <i/>
      <sz val="10"/>
      <name val="Courier New"/>
      <family val="3"/>
    </font>
    <font>
      <i/>
      <vertAlign val="subscript"/>
      <sz val="10"/>
      <name val="Courier New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name val="Calibri"/>
      <family val="2"/>
      <scheme val="minor"/>
    </font>
    <font>
      <sz val="10"/>
      <color indexed="8"/>
      <name val="Arial"/>
      <family val="2"/>
    </font>
    <font>
      <b/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ck">
        <color indexed="17"/>
      </left>
      <right/>
      <top style="thick">
        <color indexed="17"/>
      </top>
      <bottom style="thick">
        <color indexed="17"/>
      </bottom>
      <diagonal/>
    </border>
    <border>
      <left/>
      <right style="thick">
        <color indexed="17"/>
      </right>
      <top style="thick">
        <color indexed="17"/>
      </top>
      <bottom style="thick">
        <color indexed="17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rgb="FFAAAAAA"/>
      </left>
      <right/>
      <top style="medium">
        <color rgb="FFAAAAAA"/>
      </top>
      <bottom style="medium">
        <color rgb="FF999999"/>
      </bottom>
      <diagonal/>
    </border>
    <border>
      <left style="medium">
        <color rgb="FF999999"/>
      </left>
      <right/>
      <top style="medium">
        <color rgb="FFAAAAAA"/>
      </top>
      <bottom style="medium">
        <color rgb="FF999999"/>
      </bottom>
      <diagonal/>
    </border>
    <border>
      <left/>
      <right style="medium">
        <color rgb="FFAAAAAA"/>
      </right>
      <top style="medium">
        <color rgb="FFAAAAAA"/>
      </top>
      <bottom/>
      <diagonal/>
    </border>
    <border>
      <left style="medium">
        <color rgb="FFAAAAAA"/>
      </left>
      <right/>
      <top/>
      <bottom style="medium">
        <color rgb="FF999999"/>
      </bottom>
      <diagonal/>
    </border>
    <border>
      <left style="medium">
        <color rgb="FF999999"/>
      </left>
      <right/>
      <top/>
      <bottom style="medium">
        <color rgb="FF999999"/>
      </bottom>
      <diagonal/>
    </border>
    <border>
      <left/>
      <right style="medium">
        <color rgb="FFAAAAAA"/>
      </right>
      <top/>
      <bottom/>
      <diagonal/>
    </border>
    <border>
      <left style="medium">
        <color rgb="FFAAAAAA"/>
      </left>
      <right/>
      <top style="medium">
        <color rgb="FF999999"/>
      </top>
      <bottom style="medium">
        <color rgb="FFAAAAAA"/>
      </bottom>
      <diagonal/>
    </border>
    <border>
      <left/>
      <right/>
      <top style="medium">
        <color rgb="FF999999"/>
      </top>
      <bottom style="medium">
        <color rgb="FFAAAAAA"/>
      </bottom>
      <diagonal/>
    </border>
    <border>
      <left/>
      <right style="medium">
        <color rgb="FFAAAAAA"/>
      </right>
      <top style="medium">
        <color rgb="FF999999"/>
      </top>
      <bottom style="medium">
        <color rgb="FFAAAAAA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9" fillId="0" borderId="0"/>
    <xf numFmtId="9" fontId="6" fillId="0" borderId="0" applyFont="0" applyFill="0" applyBorder="0" applyAlignment="0" applyProtection="0"/>
  </cellStyleXfs>
  <cellXfs count="125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43" fontId="4" fillId="0" borderId="0" xfId="1" quotePrefix="1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6" fillId="0" borderId="0" xfId="0" applyFont="1"/>
    <xf numFmtId="0" fontId="9" fillId="2" borderId="1" xfId="0" applyFont="1" applyFill="1" applyBorder="1" applyAlignment="1">
      <alignment horizontal="center"/>
    </xf>
    <xf numFmtId="0" fontId="10" fillId="3" borderId="2" xfId="0" applyFont="1" applyFill="1" applyBorder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164" fontId="12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1" fontId="6" fillId="0" borderId="0" xfId="0" applyNumberFormat="1" applyFont="1"/>
    <xf numFmtId="2" fontId="13" fillId="0" borderId="0" xfId="0" applyNumberFormat="1" applyFont="1" applyFill="1"/>
    <xf numFmtId="2" fontId="0" fillId="0" borderId="0" xfId="0" applyNumberFormat="1"/>
    <xf numFmtId="44" fontId="12" fillId="0" borderId="0" xfId="2" applyFont="1"/>
    <xf numFmtId="0" fontId="6" fillId="0" borderId="0" xfId="0" applyFont="1" applyAlignment="1">
      <alignment horizontal="right"/>
    </xf>
    <xf numFmtId="166" fontId="12" fillId="0" borderId="0" xfId="1" applyNumberFormat="1" applyFont="1"/>
    <xf numFmtId="165" fontId="0" fillId="0" borderId="0" xfId="0" applyNumberFormat="1"/>
    <xf numFmtId="9" fontId="12" fillId="0" borderId="0" xfId="3" applyFont="1"/>
    <xf numFmtId="1" fontId="0" fillId="0" borderId="0" xfId="0" applyNumberFormat="1"/>
    <xf numFmtId="167" fontId="0" fillId="0" borderId="0" xfId="0" applyNumberFormat="1"/>
    <xf numFmtId="44" fontId="13" fillId="0" borderId="0" xfId="0" applyNumberFormat="1" applyFont="1"/>
    <xf numFmtId="168" fontId="6" fillId="0" borderId="0" xfId="2" applyNumberFormat="1" applyFont="1"/>
    <xf numFmtId="0" fontId="8" fillId="0" borderId="0" xfId="4" applyFont="1"/>
    <xf numFmtId="0" fontId="6" fillId="0" borderId="0" xfId="4"/>
    <xf numFmtId="2" fontId="6" fillId="0" borderId="0" xfId="4" applyNumberFormat="1"/>
    <xf numFmtId="169" fontId="6" fillId="0" borderId="0" xfId="4" applyNumberFormat="1"/>
    <xf numFmtId="0" fontId="11" fillId="0" borderId="0" xfId="4" applyFont="1"/>
    <xf numFmtId="0" fontId="6" fillId="4" borderId="0" xfId="4" applyFill="1"/>
    <xf numFmtId="0" fontId="11" fillId="4" borderId="0" xfId="4" applyFont="1" applyFill="1"/>
    <xf numFmtId="2" fontId="11" fillId="0" borderId="0" xfId="4" applyNumberFormat="1" applyFont="1"/>
    <xf numFmtId="169" fontId="11" fillId="0" borderId="0" xfId="4" applyNumberFormat="1" applyFont="1"/>
    <xf numFmtId="0" fontId="4" fillId="4" borderId="0" xfId="4" applyFont="1" applyFill="1"/>
    <xf numFmtId="2" fontId="4" fillId="0" borderId="0" xfId="4" applyNumberFormat="1" applyFont="1"/>
    <xf numFmtId="169" fontId="4" fillId="0" borderId="0" xfId="5" applyNumberFormat="1" applyFont="1"/>
    <xf numFmtId="168" fontId="4" fillId="0" borderId="0" xfId="5" applyNumberFormat="1" applyFont="1"/>
    <xf numFmtId="0" fontId="4" fillId="0" borderId="0" xfId="4" applyFont="1"/>
    <xf numFmtId="168" fontId="6" fillId="0" borderId="0" xfId="5" applyNumberFormat="1" applyFont="1"/>
    <xf numFmtId="0" fontId="6" fillId="0" borderId="0" xfId="4" applyFont="1"/>
    <xf numFmtId="169" fontId="6" fillId="0" borderId="0" xfId="4" applyNumberFormat="1" applyFont="1"/>
    <xf numFmtId="0" fontId="6" fillId="0" borderId="0" xfId="4" applyFont="1" applyAlignment="1">
      <alignment horizontal="center"/>
    </xf>
    <xf numFmtId="169" fontId="6" fillId="0" borderId="0" xfId="4" applyNumberFormat="1" applyFont="1" applyAlignment="1">
      <alignment horizontal="center"/>
    </xf>
    <xf numFmtId="0" fontId="5" fillId="0" borderId="0" xfId="4" applyFont="1"/>
    <xf numFmtId="2" fontId="0" fillId="5" borderId="0" xfId="0" applyNumberFormat="1" applyFill="1"/>
    <xf numFmtId="0" fontId="12" fillId="5" borderId="0" xfId="0" applyFont="1" applyFill="1"/>
    <xf numFmtId="9" fontId="12" fillId="5" borderId="0" xfId="3" applyFont="1" applyFill="1"/>
    <xf numFmtId="2" fontId="0" fillId="0" borderId="0" xfId="0" applyNumberFormat="1" applyFill="1"/>
    <xf numFmtId="0" fontId="2" fillId="0" borderId="0" xfId="0" applyFont="1"/>
    <xf numFmtId="0" fontId="14" fillId="0" borderId="0" xfId="0" applyFont="1"/>
    <xf numFmtId="165" fontId="6" fillId="0" borderId="0" xfId="0" applyNumberFormat="1" applyFont="1" applyFill="1"/>
    <xf numFmtId="0" fontId="15" fillId="0" borderId="0" xfId="0" applyFont="1"/>
    <xf numFmtId="0" fontId="16" fillId="0" borderId="0" xfId="0" applyFont="1"/>
    <xf numFmtId="2" fontId="6" fillId="0" borderId="0" xfId="4" applyNumberFormat="1" applyFont="1" applyFill="1" applyBorder="1" applyAlignment="1">
      <alignment horizontal="right"/>
    </xf>
    <xf numFmtId="2" fontId="6" fillId="0" borderId="0" xfId="4" applyNumberFormat="1" applyFont="1" applyAlignment="1">
      <alignment horizontal="right"/>
    </xf>
    <xf numFmtId="0" fontId="0" fillId="0" borderId="0" xfId="0" applyFill="1" applyAlignment="1">
      <alignment horizontal="right"/>
    </xf>
    <xf numFmtId="170" fontId="6" fillId="0" borderId="0" xfId="4" applyNumberFormat="1"/>
    <xf numFmtId="171" fontId="6" fillId="0" borderId="0" xfId="4" applyNumberFormat="1" applyFont="1"/>
    <xf numFmtId="171" fontId="6" fillId="0" borderId="0" xfId="4" applyNumberFormat="1"/>
    <xf numFmtId="172" fontId="6" fillId="0" borderId="0" xfId="4" applyNumberFormat="1"/>
    <xf numFmtId="170" fontId="6" fillId="0" borderId="0" xfId="4" applyNumberFormat="1" applyFont="1"/>
    <xf numFmtId="172" fontId="6" fillId="0" borderId="0" xfId="4" applyNumberFormat="1" applyFont="1"/>
    <xf numFmtId="3" fontId="20" fillId="0" borderId="0" xfId="7" applyNumberFormat="1" applyFont="1" applyBorder="1" applyAlignment="1"/>
    <xf numFmtId="3" fontId="20" fillId="0" borderId="3" xfId="7" applyNumberFormat="1" applyFont="1" applyBorder="1" applyAlignment="1">
      <alignment horizontal="center" wrapText="1"/>
    </xf>
    <xf numFmtId="3" fontId="20" fillId="0" borderId="4" xfId="7" applyNumberFormat="1" applyFont="1" applyFill="1" applyBorder="1" applyAlignment="1">
      <alignment horizontal="center"/>
    </xf>
    <xf numFmtId="3" fontId="21" fillId="0" borderId="3" xfId="7" applyNumberFormat="1" applyFont="1" applyFill="1" applyBorder="1" applyAlignment="1">
      <alignment horizontal="center"/>
    </xf>
    <xf numFmtId="0" fontId="18" fillId="0" borderId="0" xfId="0" applyFont="1" applyBorder="1"/>
    <xf numFmtId="164" fontId="18" fillId="0" borderId="0" xfId="0" applyNumberFormat="1" applyFont="1" applyBorder="1"/>
    <xf numFmtId="3" fontId="18" fillId="0" borderId="0" xfId="0" applyNumberFormat="1" applyFont="1" applyBorder="1"/>
    <xf numFmtId="173" fontId="18" fillId="0" borderId="0" xfId="0" applyNumberFormat="1" applyFont="1" applyBorder="1"/>
    <xf numFmtId="16" fontId="18" fillId="0" borderId="0" xfId="0" quotePrefix="1" applyNumberFormat="1" applyFont="1" applyBorder="1"/>
    <xf numFmtId="16" fontId="18" fillId="0" borderId="4" xfId="0" applyNumberFormat="1" applyFont="1" applyBorder="1"/>
    <xf numFmtId="164" fontId="18" fillId="0" borderId="4" xfId="0" applyNumberFormat="1" applyFont="1" applyBorder="1"/>
    <xf numFmtId="3" fontId="18" fillId="0" borderId="4" xfId="0" applyNumberFormat="1" applyFont="1" applyBorder="1"/>
    <xf numFmtId="173" fontId="18" fillId="0" borderId="4" xfId="0" applyNumberFormat="1" applyFont="1" applyBorder="1"/>
    <xf numFmtId="3" fontId="21" fillId="0" borderId="5" xfId="7" applyNumberFormat="1" applyFont="1" applyFill="1" applyBorder="1" applyAlignment="1">
      <alignment horizontal="center"/>
    </xf>
    <xf numFmtId="0" fontId="10" fillId="3" borderId="0" xfId="0" applyFont="1" applyFill="1" applyBorder="1"/>
    <xf numFmtId="171" fontId="0" fillId="0" borderId="0" xfId="0" applyNumberFormat="1"/>
    <xf numFmtId="170" fontId="0" fillId="0" borderId="0" xfId="0" applyNumberFormat="1"/>
    <xf numFmtId="172" fontId="0" fillId="0" borderId="0" xfId="0" applyNumberFormat="1"/>
    <xf numFmtId="44" fontId="0" fillId="0" borderId="0" xfId="0" applyNumberFormat="1"/>
    <xf numFmtId="44" fontId="12" fillId="0" borderId="0" xfId="0" applyNumberFormat="1" applyFont="1" applyFill="1"/>
    <xf numFmtId="0" fontId="12" fillId="0" borderId="0" xfId="0" applyFont="1" applyFill="1"/>
    <xf numFmtId="44" fontId="12" fillId="0" borderId="0" xfId="2" applyFont="1" applyFill="1"/>
    <xf numFmtId="44" fontId="6" fillId="0" borderId="0" xfId="0" applyNumberFormat="1" applyFont="1" applyFill="1"/>
    <xf numFmtId="0" fontId="0" fillId="0" borderId="0" xfId="0" applyFill="1"/>
    <xf numFmtId="165" fontId="11" fillId="0" borderId="0" xfId="0" applyNumberFormat="1" applyFont="1" applyFill="1"/>
    <xf numFmtId="2" fontId="11" fillId="0" borderId="0" xfId="0" applyNumberFormat="1" applyFont="1"/>
    <xf numFmtId="0" fontId="23" fillId="6" borderId="6" xfId="0" applyFont="1" applyFill="1" applyBorder="1" applyAlignment="1">
      <alignment horizontal="center" wrapText="1"/>
    </xf>
    <xf numFmtId="0" fontId="23" fillId="6" borderId="7" xfId="0" applyFont="1" applyFill="1" applyBorder="1" applyAlignment="1">
      <alignment horizontal="center" wrapText="1"/>
    </xf>
    <xf numFmtId="0" fontId="0" fillId="7" borderId="8" xfId="0" applyFill="1" applyBorder="1"/>
    <xf numFmtId="0" fontId="23" fillId="8" borderId="9" xfId="0" applyFont="1" applyFill="1" applyBorder="1" applyAlignment="1">
      <alignment horizontal="left" vertical="center"/>
    </xf>
    <xf numFmtId="0" fontId="24" fillId="7" borderId="10" xfId="0" applyFont="1" applyFill="1" applyBorder="1" applyAlignment="1">
      <alignment horizontal="right" vertical="center"/>
    </xf>
    <xf numFmtId="0" fontId="0" fillId="7" borderId="11" xfId="0" applyFill="1" applyBorder="1"/>
    <xf numFmtId="0" fontId="23" fillId="9" borderId="9" xfId="0" applyFont="1" applyFill="1" applyBorder="1" applyAlignment="1">
      <alignment horizontal="left" vertical="center"/>
    </xf>
    <xf numFmtId="0" fontId="24" fillId="10" borderId="10" xfId="0" applyFont="1" applyFill="1" applyBorder="1" applyAlignment="1">
      <alignment horizontal="right" vertical="center"/>
    </xf>
    <xf numFmtId="0" fontId="23" fillId="10" borderId="10" xfId="0" applyFont="1" applyFill="1" applyBorder="1" applyAlignment="1">
      <alignment horizontal="right" vertical="center"/>
    </xf>
    <xf numFmtId="0" fontId="23" fillId="7" borderId="10" xfId="0" applyFont="1" applyFill="1" applyBorder="1" applyAlignment="1">
      <alignment horizontal="right" vertical="center"/>
    </xf>
    <xf numFmtId="0" fontId="25" fillId="11" borderId="0" xfId="0" applyFont="1" applyFill="1"/>
    <xf numFmtId="0" fontId="6" fillId="11" borderId="0" xfId="4" applyFont="1" applyFill="1"/>
    <xf numFmtId="0" fontId="26" fillId="4" borderId="0" xfId="4" applyFont="1" applyFill="1"/>
    <xf numFmtId="10" fontId="6" fillId="0" borderId="0" xfId="8" applyNumberFormat="1" applyFont="1"/>
    <xf numFmtId="0" fontId="0" fillId="0" borderId="0" xfId="0"/>
    <xf numFmtId="0" fontId="2" fillId="0" borderId="0" xfId="0" applyFont="1"/>
    <xf numFmtId="0" fontId="27" fillId="0" borderId="0" xfId="0" applyFont="1"/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shrinkToFit="1"/>
    </xf>
    <xf numFmtId="0" fontId="25" fillId="11" borderId="0" xfId="0" applyFont="1" applyFill="1" applyAlignment="1">
      <alignment shrinkToFit="1"/>
    </xf>
    <xf numFmtId="0" fontId="2" fillId="0" borderId="0" xfId="0" applyFont="1" applyAlignment="1">
      <alignment shrinkToFit="1"/>
    </xf>
    <xf numFmtId="165" fontId="6" fillId="0" borderId="0" xfId="0" applyNumberFormat="1" applyFont="1" applyAlignment="1">
      <alignment shrinkToFit="1"/>
    </xf>
    <xf numFmtId="0" fontId="6" fillId="0" borderId="0" xfId="0" applyFont="1" applyAlignment="1">
      <alignment shrinkToFit="1"/>
    </xf>
    <xf numFmtId="0" fontId="6" fillId="0" borderId="0" xfId="4" applyFont="1" applyFill="1"/>
    <xf numFmtId="0" fontId="11" fillId="0" borderId="0" xfId="0" applyFont="1" applyAlignment="1">
      <alignment horizontal="center"/>
    </xf>
    <xf numFmtId="0" fontId="24" fillId="7" borderId="12" xfId="0" applyFont="1" applyFill="1" applyBorder="1" applyAlignment="1">
      <alignment horizontal="left" vertical="center"/>
    </xf>
    <xf numFmtId="0" fontId="24" fillId="7" borderId="13" xfId="0" applyFont="1" applyFill="1" applyBorder="1" applyAlignment="1">
      <alignment horizontal="left" vertical="center"/>
    </xf>
    <xf numFmtId="0" fontId="24" fillId="7" borderId="14" xfId="0" applyFont="1" applyFill="1" applyBorder="1" applyAlignment="1">
      <alignment horizontal="left" vertical="center"/>
    </xf>
    <xf numFmtId="0" fontId="17" fillId="0" borderId="0" xfId="0" applyFont="1" applyBorder="1" applyAlignment="1">
      <alignment horizontal="left" wrapText="1"/>
    </xf>
    <xf numFmtId="0" fontId="18" fillId="0" borderId="0" xfId="0" applyFont="1" applyBorder="1" applyAlignment="1">
      <alignment horizontal="left" wrapText="1"/>
    </xf>
    <xf numFmtId="169" fontId="11" fillId="0" borderId="0" xfId="4" applyNumberFormat="1" applyFont="1" applyAlignment="1">
      <alignment horizontal="center"/>
    </xf>
  </cellXfs>
  <cellStyles count="9">
    <cellStyle name="Comma" xfId="1" builtinId="3"/>
    <cellStyle name="Comma 2" xfId="6"/>
    <cellStyle name="Currency" xfId="2" builtinId="4"/>
    <cellStyle name="Currency 2" xfId="5"/>
    <cellStyle name="Normal" xfId="0" builtinId="0"/>
    <cellStyle name="Normal 2" xfId="4"/>
    <cellStyle name="Normal_Tb 2" xfId="7"/>
    <cellStyle name="Percent" xfId="3" builtinId="5"/>
    <cellStyle name="Percent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1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0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8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worksheet" Target="worksheets/sheet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500" b="1"/>
              <a:t>A</a:t>
            </a:r>
          </a:p>
        </c:rich>
      </c:tx>
      <c:layout>
        <c:manualLayout>
          <c:xMode val="edge"/>
          <c:yMode val="edge"/>
          <c:x val="3.3609467455621302E-2"/>
          <c:y val="4.365971548991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'1way'!$N$5:$N$9</c:f>
              <c:strCache>
                <c:ptCount val="5"/>
                <c:pt idx="0">
                  <c:v>Specificity of PLASMIC score</c:v>
                </c:pt>
                <c:pt idx="1">
                  <c:v>Specificity of ADAMTS13 assay</c:v>
                </c:pt>
                <c:pt idx="2">
                  <c:v>Sensitivity of PLASMIC score</c:v>
                </c:pt>
                <c:pt idx="3">
                  <c:v>Sensitivity of ADAMTS13 assay</c:v>
                </c:pt>
                <c:pt idx="4">
                  <c:v>Probability of TTP in patients with TMA</c:v>
                </c:pt>
              </c:strCache>
            </c:strRef>
          </c:cat>
          <c:val>
            <c:numRef>
              <c:f>'1way'!$O$5:$O$9</c:f>
              <c:numCache>
                <c:formatCode>General</c:formatCode>
                <c:ptCount val="5"/>
                <c:pt idx="0">
                  <c:v>146045.63336869414</c:v>
                </c:pt>
                <c:pt idx="1">
                  <c:v>142737.26007526545</c:v>
                </c:pt>
                <c:pt idx="2">
                  <c:v>128283.20965670788</c:v>
                </c:pt>
                <c:pt idx="3">
                  <c:v>102401.88153695517</c:v>
                </c:pt>
                <c:pt idx="4">
                  <c:v>203103.81019474301</c:v>
                </c:pt>
              </c:numCache>
            </c:numRef>
          </c:val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'1way'!$N$5:$N$9</c:f>
              <c:strCache>
                <c:ptCount val="5"/>
                <c:pt idx="0">
                  <c:v>Specificity of PLASMIC score</c:v>
                </c:pt>
                <c:pt idx="1">
                  <c:v>Specificity of ADAMTS13 assay</c:v>
                </c:pt>
                <c:pt idx="2">
                  <c:v>Sensitivity of PLASMIC score</c:v>
                </c:pt>
                <c:pt idx="3">
                  <c:v>Sensitivity of ADAMTS13 assay</c:v>
                </c:pt>
                <c:pt idx="4">
                  <c:v>Probability of TTP in patients with TMA</c:v>
                </c:pt>
              </c:strCache>
            </c:strRef>
          </c:cat>
          <c:val>
            <c:numRef>
              <c:f>'1way'!$P$5:$P$9</c:f>
              <c:numCache>
                <c:formatCode>General</c:formatCode>
                <c:ptCount val="5"/>
                <c:pt idx="0">
                  <c:v>146431.27630743349</c:v>
                </c:pt>
                <c:pt idx="1">
                  <c:v>146241.56486176341</c:v>
                </c:pt>
                <c:pt idx="2">
                  <c:v>152484.50720643657</c:v>
                </c:pt>
                <c:pt idx="3">
                  <c:v>259795.65504546367</c:v>
                </c:pt>
                <c:pt idx="4">
                  <c:v>17218.079976539728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42105888"/>
        <c:axId val="1842117312"/>
      </c:barChart>
      <c:catAx>
        <c:axId val="1842105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117312"/>
        <c:crossesAt val="146241.56"/>
        <c:auto val="1"/>
        <c:lblAlgn val="ctr"/>
        <c:lblOffset val="100"/>
        <c:noMultiLvlLbl val="0"/>
      </c:catAx>
      <c:valAx>
        <c:axId val="1842117312"/>
        <c:scaling>
          <c:orientation val="minMax"/>
        </c:scaling>
        <c:delete val="0"/>
        <c:axPos val="b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10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500" b="1"/>
              <a:t>B</a:t>
            </a:r>
          </a:p>
        </c:rich>
      </c:tx>
      <c:layout>
        <c:manualLayout>
          <c:xMode val="edge"/>
          <c:yMode val="edge"/>
          <c:x val="3.46883969656967E-2"/>
          <c:y val="4.1025641025640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'1way'!$N$12:$N$16</c:f>
              <c:strCache>
                <c:ptCount val="5"/>
                <c:pt idx="0">
                  <c:v>Specificity of PLASMIC score</c:v>
                </c:pt>
                <c:pt idx="1">
                  <c:v>Sensitivity of ADAMTS13 assay</c:v>
                </c:pt>
                <c:pt idx="2">
                  <c:v>Probability of TTP in patients with TMA</c:v>
                </c:pt>
                <c:pt idx="3">
                  <c:v>Specificity of ADAMTS13 assay</c:v>
                </c:pt>
                <c:pt idx="4">
                  <c:v>Sensitivity of PLASMIC score</c:v>
                </c:pt>
              </c:strCache>
            </c:strRef>
          </c:cat>
          <c:val>
            <c:numRef>
              <c:f>'1way'!$O$12:$O$16</c:f>
              <c:numCache>
                <c:formatCode>General</c:formatCode>
                <c:ptCount val="5"/>
                <c:pt idx="0">
                  <c:v>46232.378114682899</c:v>
                </c:pt>
                <c:pt idx="1">
                  <c:v>54857.19360565205</c:v>
                </c:pt>
                <c:pt idx="2">
                  <c:v>94700.176894205753</c:v>
                </c:pt>
                <c:pt idx="3">
                  <c:v>144495.84068170786</c:v>
                </c:pt>
                <c:pt idx="4">
                  <c:v>25305.047420095663</c:v>
                </c:pt>
              </c:numCache>
            </c:numRef>
          </c:val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'1way'!$N$12:$N$16</c:f>
              <c:strCache>
                <c:ptCount val="5"/>
                <c:pt idx="0">
                  <c:v>Specificity of PLASMIC score</c:v>
                </c:pt>
                <c:pt idx="1">
                  <c:v>Sensitivity of ADAMTS13 assay</c:v>
                </c:pt>
                <c:pt idx="2">
                  <c:v>Probability of TTP in patients with TMA</c:v>
                </c:pt>
                <c:pt idx="3">
                  <c:v>Specificity of ADAMTS13 assay</c:v>
                </c:pt>
                <c:pt idx="4">
                  <c:v>Sensitivity of PLASMIC score</c:v>
                </c:pt>
              </c:strCache>
            </c:strRef>
          </c:cat>
          <c:val>
            <c:numRef>
              <c:f>'1way'!$P$12:$P$16</c:f>
              <c:numCache>
                <c:formatCode>General</c:formatCode>
                <c:ptCount val="5"/>
                <c:pt idx="0">
                  <c:v>52946.907750586281</c:v>
                </c:pt>
                <c:pt idx="1">
                  <c:v>45963.999989618394</c:v>
                </c:pt>
                <c:pt idx="2">
                  <c:v>16612.638511136542</c:v>
                </c:pt>
                <c:pt idx="3">
                  <c:v>49643.792365182795</c:v>
                </c:pt>
                <c:pt idx="4">
                  <c:v>181768.40778136565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15544992"/>
        <c:axId val="1715540096"/>
      </c:barChart>
      <c:catAx>
        <c:axId val="17155449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540096"/>
        <c:crossesAt val="49643.79"/>
        <c:auto val="1"/>
        <c:lblAlgn val="ctr"/>
        <c:lblOffset val="100"/>
        <c:noMultiLvlLbl val="0"/>
      </c:catAx>
      <c:valAx>
        <c:axId val="1715540096"/>
        <c:scaling>
          <c:orientation val="minMax"/>
        </c:scaling>
        <c:delete val="0"/>
        <c:axPos val="b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54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500" b="1"/>
              <a:t>C</a:t>
            </a:r>
          </a:p>
        </c:rich>
      </c:tx>
      <c:layout>
        <c:manualLayout>
          <c:xMode val="edge"/>
          <c:yMode val="edge"/>
          <c:x val="3.31654782889741E-2"/>
          <c:y val="3.59781451991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'1way'!$N$19:$N$23</c:f>
              <c:strCache>
                <c:ptCount val="5"/>
                <c:pt idx="0">
                  <c:v>Sensitivity of PLASMIC score</c:v>
                </c:pt>
                <c:pt idx="1">
                  <c:v>Specificity of ADAMTS13 assay</c:v>
                </c:pt>
                <c:pt idx="2">
                  <c:v>Specificity of PLASMIC score</c:v>
                </c:pt>
                <c:pt idx="3">
                  <c:v>Probability of TTP in patients with TMA</c:v>
                </c:pt>
                <c:pt idx="4">
                  <c:v>Sensitivity of ADAMTS13 assay</c:v>
                </c:pt>
              </c:strCache>
            </c:strRef>
          </c:cat>
          <c:val>
            <c:numRef>
              <c:f>'1way'!$O$19:$O$23</c:f>
              <c:numCache>
                <c:formatCode>General</c:formatCode>
                <c:ptCount val="5"/>
                <c:pt idx="0">
                  <c:v>111120.72077571964</c:v>
                </c:pt>
                <c:pt idx="1">
                  <c:v>100964.93631752882</c:v>
                </c:pt>
                <c:pt idx="2">
                  <c:v>117924.13636628358</c:v>
                </c:pt>
                <c:pt idx="3">
                  <c:v>184194.45374839436</c:v>
                </c:pt>
                <c:pt idx="4">
                  <c:v>65288.372432616721</c:v>
                </c:pt>
              </c:numCache>
            </c:numRef>
          </c:val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'1way'!$N$19:$N$23</c:f>
              <c:strCache>
                <c:ptCount val="5"/>
                <c:pt idx="0">
                  <c:v>Sensitivity of PLASMIC score</c:v>
                </c:pt>
                <c:pt idx="1">
                  <c:v>Specificity of ADAMTS13 assay</c:v>
                </c:pt>
                <c:pt idx="2">
                  <c:v>Specificity of PLASMIC score</c:v>
                </c:pt>
                <c:pt idx="3">
                  <c:v>Probability of TTP in patients with TMA</c:v>
                </c:pt>
                <c:pt idx="4">
                  <c:v>Sensitivity of ADAMTS13 assay</c:v>
                </c:pt>
              </c:strCache>
            </c:strRef>
          </c:cat>
          <c:val>
            <c:numRef>
              <c:f>'1way'!$P$19:$P$23</c:f>
              <c:numCache>
                <c:formatCode>General</c:formatCode>
                <c:ptCount val="5"/>
                <c:pt idx="0">
                  <c:v>106883.31138085749</c:v>
                </c:pt>
                <c:pt idx="1">
                  <c:v>107793.09448268388</c:v>
                </c:pt>
                <c:pt idx="2">
                  <c:v>97318.396813265819</c:v>
                </c:pt>
                <c:pt idx="3">
                  <c:v>17341.107865286158</c:v>
                </c:pt>
                <c:pt idx="4">
                  <c:v>459959.39585371077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157585568"/>
        <c:axId val="1157570880"/>
      </c:barChart>
      <c:catAx>
        <c:axId val="1157585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570880"/>
        <c:crossesAt val="97444.47"/>
        <c:auto val="1"/>
        <c:lblAlgn val="ctr"/>
        <c:lblOffset val="100"/>
        <c:noMultiLvlLbl val="0"/>
      </c:catAx>
      <c:valAx>
        <c:axId val="1157570880"/>
        <c:scaling>
          <c:orientation val="minMax"/>
        </c:scaling>
        <c:delete val="0"/>
        <c:axPos val="b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58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15719063545199"/>
          <c:y val="4.4189852700491E-2"/>
          <c:w val="0.76142697881828303"/>
          <c:h val="0.79541734860883795"/>
        </c:manualLayout>
      </c:layout>
      <c:scatterChart>
        <c:scatterStyle val="lineMarker"/>
        <c:varyColors val="0"/>
        <c:ser>
          <c:idx val="0"/>
          <c:order val="0"/>
          <c:tx>
            <c:v>Scenario 1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'MC Results'!$C$8:$C$1007</c:f>
              <c:numCache>
                <c:formatCode>0.00</c:formatCode>
                <c:ptCount val="1000"/>
                <c:pt idx="0">
                  <c:v>0.97625163653191049</c:v>
                </c:pt>
                <c:pt idx="1">
                  <c:v>0.996789365808746</c:v>
                </c:pt>
                <c:pt idx="2">
                  <c:v>0.97212648602993246</c:v>
                </c:pt>
                <c:pt idx="3">
                  <c:v>0.99033212152817707</c:v>
                </c:pt>
                <c:pt idx="4">
                  <c:v>0.97400268000820656</c:v>
                </c:pt>
                <c:pt idx="5">
                  <c:v>0.99743434528406916</c:v>
                </c:pt>
                <c:pt idx="6">
                  <c:v>0.99769571980074712</c:v>
                </c:pt>
                <c:pt idx="7">
                  <c:v>0.99860003874404479</c:v>
                </c:pt>
                <c:pt idx="8">
                  <c:v>0.99334507997523358</c:v>
                </c:pt>
                <c:pt idx="9">
                  <c:v>0.99856697677088035</c:v>
                </c:pt>
                <c:pt idx="10">
                  <c:v>0.98506401638935548</c:v>
                </c:pt>
                <c:pt idx="11">
                  <c:v>0.98369028846007367</c:v>
                </c:pt>
                <c:pt idx="12">
                  <c:v>0.99166722470079394</c:v>
                </c:pt>
                <c:pt idx="13">
                  <c:v>0.99950165714013606</c:v>
                </c:pt>
                <c:pt idx="14">
                  <c:v>0.99681907179370832</c:v>
                </c:pt>
                <c:pt idx="15">
                  <c:v>0.97958072858500567</c:v>
                </c:pt>
                <c:pt idx="16">
                  <c:v>0.97476693348675136</c:v>
                </c:pt>
                <c:pt idx="17">
                  <c:v>0.98486385033961665</c:v>
                </c:pt>
                <c:pt idx="18">
                  <c:v>0.98240063201386074</c:v>
                </c:pt>
                <c:pt idx="19">
                  <c:v>0.99611176258093559</c:v>
                </c:pt>
                <c:pt idx="20">
                  <c:v>0.98813904074655678</c:v>
                </c:pt>
                <c:pt idx="21">
                  <c:v>0.97960691016162582</c:v>
                </c:pt>
                <c:pt idx="22">
                  <c:v>0.99502040438452155</c:v>
                </c:pt>
                <c:pt idx="23">
                  <c:v>0.99370796900180225</c:v>
                </c:pt>
                <c:pt idx="24">
                  <c:v>0.9649164151937929</c:v>
                </c:pt>
                <c:pt idx="25">
                  <c:v>0.98073337157310259</c:v>
                </c:pt>
                <c:pt idx="26">
                  <c:v>0.91930210508870691</c:v>
                </c:pt>
                <c:pt idx="27">
                  <c:v>0.99907459539590504</c:v>
                </c:pt>
                <c:pt idx="28">
                  <c:v>0.96409076586640552</c:v>
                </c:pt>
                <c:pt idx="29">
                  <c:v>0.98183409155186463</c:v>
                </c:pt>
                <c:pt idx="30">
                  <c:v>0.93719971145227976</c:v>
                </c:pt>
                <c:pt idx="31">
                  <c:v>0.99556152483690274</c:v>
                </c:pt>
                <c:pt idx="32">
                  <c:v>0.99834644577821308</c:v>
                </c:pt>
                <c:pt idx="33">
                  <c:v>0.97302880734343133</c:v>
                </c:pt>
                <c:pt idx="34">
                  <c:v>0.9395000411491149</c:v>
                </c:pt>
                <c:pt idx="35">
                  <c:v>0.97882478744994184</c:v>
                </c:pt>
                <c:pt idx="36">
                  <c:v>0.96393726972483273</c:v>
                </c:pt>
                <c:pt idx="37">
                  <c:v>0.99376609196749377</c:v>
                </c:pt>
                <c:pt idx="38">
                  <c:v>0.98697798736416065</c:v>
                </c:pt>
                <c:pt idx="39">
                  <c:v>0.99083565427617892</c:v>
                </c:pt>
                <c:pt idx="40">
                  <c:v>0.96644972458637668</c:v>
                </c:pt>
                <c:pt idx="41">
                  <c:v>0.94660182038396778</c:v>
                </c:pt>
                <c:pt idx="42">
                  <c:v>0.99148538855806745</c:v>
                </c:pt>
                <c:pt idx="43">
                  <c:v>0.99800048820347231</c:v>
                </c:pt>
                <c:pt idx="44">
                  <c:v>0.99693793516799423</c:v>
                </c:pt>
                <c:pt idx="45">
                  <c:v>0.96608041179680504</c:v>
                </c:pt>
                <c:pt idx="46">
                  <c:v>0.99706218570459615</c:v>
                </c:pt>
                <c:pt idx="47">
                  <c:v>0.98320700654759885</c:v>
                </c:pt>
                <c:pt idx="48">
                  <c:v>0.99617089428223549</c:v>
                </c:pt>
                <c:pt idx="49">
                  <c:v>0.95403665696575035</c:v>
                </c:pt>
                <c:pt idx="50">
                  <c:v>0.98014624973464537</c:v>
                </c:pt>
                <c:pt idx="51">
                  <c:v>0.95656005145427192</c:v>
                </c:pt>
                <c:pt idx="52">
                  <c:v>0.99986812220986099</c:v>
                </c:pt>
                <c:pt idx="53">
                  <c:v>0.98283961654277052</c:v>
                </c:pt>
                <c:pt idx="54">
                  <c:v>0.95915296344906131</c:v>
                </c:pt>
                <c:pt idx="55">
                  <c:v>0.99869157578825951</c:v>
                </c:pt>
                <c:pt idx="56">
                  <c:v>0.95912805015565095</c:v>
                </c:pt>
                <c:pt idx="57">
                  <c:v>0.98057212381070757</c:v>
                </c:pt>
                <c:pt idx="58">
                  <c:v>0.99239483454189648</c:v>
                </c:pt>
                <c:pt idx="59">
                  <c:v>0.99866219520080179</c:v>
                </c:pt>
                <c:pt idx="60">
                  <c:v>0.9931741528103345</c:v>
                </c:pt>
                <c:pt idx="61">
                  <c:v>0.9911456841325722</c:v>
                </c:pt>
                <c:pt idx="62">
                  <c:v>0.98520552328191935</c:v>
                </c:pt>
                <c:pt idx="63">
                  <c:v>0.9962880638759618</c:v>
                </c:pt>
                <c:pt idx="64">
                  <c:v>0.99741176102185292</c:v>
                </c:pt>
                <c:pt idx="65">
                  <c:v>0.99477860525736883</c:v>
                </c:pt>
                <c:pt idx="66">
                  <c:v>0.99742986007591672</c:v>
                </c:pt>
                <c:pt idx="67">
                  <c:v>0.98294716146160876</c:v>
                </c:pt>
                <c:pt idx="68">
                  <c:v>0.96780459551771181</c:v>
                </c:pt>
                <c:pt idx="69">
                  <c:v>0.98171048885641421</c:v>
                </c:pt>
                <c:pt idx="70">
                  <c:v>0.98679834909682984</c:v>
                </c:pt>
                <c:pt idx="71">
                  <c:v>0.9988080942480202</c:v>
                </c:pt>
                <c:pt idx="72">
                  <c:v>0.99534400674149903</c:v>
                </c:pt>
                <c:pt idx="73">
                  <c:v>0.99234246497455947</c:v>
                </c:pt>
                <c:pt idx="74">
                  <c:v>0.98062892771954446</c:v>
                </c:pt>
                <c:pt idx="75">
                  <c:v>0.99260980695003875</c:v>
                </c:pt>
                <c:pt idx="76">
                  <c:v>0.99986588793187392</c:v>
                </c:pt>
                <c:pt idx="77">
                  <c:v>0.98364069634586615</c:v>
                </c:pt>
                <c:pt idx="78">
                  <c:v>0.95821542549816063</c:v>
                </c:pt>
                <c:pt idx="79">
                  <c:v>0.99178930017075262</c:v>
                </c:pt>
                <c:pt idx="80">
                  <c:v>0.9578035002095564</c:v>
                </c:pt>
                <c:pt idx="81">
                  <c:v>0.97964414892705765</c:v>
                </c:pt>
                <c:pt idx="82">
                  <c:v>0.97948447978664688</c:v>
                </c:pt>
                <c:pt idx="83">
                  <c:v>0.98184108540236092</c:v>
                </c:pt>
                <c:pt idx="84">
                  <c:v>0.99890593199416455</c:v>
                </c:pt>
                <c:pt idx="85">
                  <c:v>0.9873873098068886</c:v>
                </c:pt>
                <c:pt idx="86">
                  <c:v>0.95315783358560513</c:v>
                </c:pt>
                <c:pt idx="87">
                  <c:v>0.9616745447149051</c:v>
                </c:pt>
                <c:pt idx="88">
                  <c:v>0.99865155042716858</c:v>
                </c:pt>
                <c:pt idx="89">
                  <c:v>0.9755576302704061</c:v>
                </c:pt>
                <c:pt idx="90">
                  <c:v>0.89193408772266025</c:v>
                </c:pt>
                <c:pt idx="91">
                  <c:v>0.99126040426098172</c:v>
                </c:pt>
                <c:pt idx="92">
                  <c:v>0.99889853203877066</c:v>
                </c:pt>
                <c:pt idx="93">
                  <c:v>0.99562447569021895</c:v>
                </c:pt>
                <c:pt idx="94">
                  <c:v>0.93904416265542323</c:v>
                </c:pt>
                <c:pt idx="95">
                  <c:v>0.9958806761707274</c:v>
                </c:pt>
                <c:pt idx="96">
                  <c:v>0.9928770056986721</c:v>
                </c:pt>
                <c:pt idx="97">
                  <c:v>0.95756568271567588</c:v>
                </c:pt>
                <c:pt idx="98">
                  <c:v>0.94026321300155502</c:v>
                </c:pt>
                <c:pt idx="99">
                  <c:v>0.91445369557473566</c:v>
                </c:pt>
                <c:pt idx="100">
                  <c:v>0.99879305973779808</c:v>
                </c:pt>
                <c:pt idx="101">
                  <c:v>0.99882444188659003</c:v>
                </c:pt>
                <c:pt idx="102">
                  <c:v>0.9900458189195358</c:v>
                </c:pt>
                <c:pt idx="103">
                  <c:v>0.97470205293484613</c:v>
                </c:pt>
                <c:pt idx="104">
                  <c:v>0.99813570467579016</c:v>
                </c:pt>
                <c:pt idx="105">
                  <c:v>0.99214200196842495</c:v>
                </c:pt>
                <c:pt idx="106">
                  <c:v>0.98059760279682906</c:v>
                </c:pt>
                <c:pt idx="107">
                  <c:v>0.99401239808914721</c:v>
                </c:pt>
                <c:pt idx="108">
                  <c:v>0.99249918089433808</c:v>
                </c:pt>
                <c:pt idx="109">
                  <c:v>0.97186770003902034</c:v>
                </c:pt>
                <c:pt idx="110">
                  <c:v>0.97762342810016778</c:v>
                </c:pt>
                <c:pt idx="111">
                  <c:v>0.99832998664318595</c:v>
                </c:pt>
                <c:pt idx="112">
                  <c:v>0.97365806950956191</c:v>
                </c:pt>
                <c:pt idx="113">
                  <c:v>0.99465240433157032</c:v>
                </c:pt>
                <c:pt idx="114">
                  <c:v>0.96961775689253415</c:v>
                </c:pt>
                <c:pt idx="115">
                  <c:v>0.99386490259448934</c:v>
                </c:pt>
                <c:pt idx="116">
                  <c:v>0.99460538617044769</c:v>
                </c:pt>
                <c:pt idx="117">
                  <c:v>0.96329389294090095</c:v>
                </c:pt>
                <c:pt idx="118">
                  <c:v>0.98754544001683775</c:v>
                </c:pt>
                <c:pt idx="119">
                  <c:v>0.99592127274366493</c:v>
                </c:pt>
                <c:pt idx="120">
                  <c:v>0.99609628223761648</c:v>
                </c:pt>
                <c:pt idx="121">
                  <c:v>0.99938081117832434</c:v>
                </c:pt>
                <c:pt idx="122">
                  <c:v>0.99171091190572902</c:v>
                </c:pt>
                <c:pt idx="123">
                  <c:v>0.99043674445272856</c:v>
                </c:pt>
                <c:pt idx="124">
                  <c:v>0.9895762719308292</c:v>
                </c:pt>
                <c:pt idx="125">
                  <c:v>0.9866961545289018</c:v>
                </c:pt>
                <c:pt idx="126">
                  <c:v>0.96309005033706485</c:v>
                </c:pt>
                <c:pt idx="127">
                  <c:v>0.98203256826644136</c:v>
                </c:pt>
                <c:pt idx="128">
                  <c:v>0.9850479516724221</c:v>
                </c:pt>
                <c:pt idx="129">
                  <c:v>0.97301428320487815</c:v>
                </c:pt>
                <c:pt idx="130">
                  <c:v>0.98154814327181938</c:v>
                </c:pt>
                <c:pt idx="131">
                  <c:v>0.99928363875285064</c:v>
                </c:pt>
                <c:pt idx="132">
                  <c:v>0.99946382179006221</c:v>
                </c:pt>
                <c:pt idx="133">
                  <c:v>0.98540064918185177</c:v>
                </c:pt>
                <c:pt idx="134">
                  <c:v>0.99868847274750594</c:v>
                </c:pt>
                <c:pt idx="135">
                  <c:v>0.99096790335736606</c:v>
                </c:pt>
                <c:pt idx="136">
                  <c:v>0.98929468619799188</c:v>
                </c:pt>
                <c:pt idx="137">
                  <c:v>0.98821722577014226</c:v>
                </c:pt>
                <c:pt idx="138">
                  <c:v>0.96719414851690377</c:v>
                </c:pt>
                <c:pt idx="139">
                  <c:v>0.99860471486834956</c:v>
                </c:pt>
                <c:pt idx="140">
                  <c:v>0.97911564614633584</c:v>
                </c:pt>
                <c:pt idx="141">
                  <c:v>0.98041426873294013</c:v>
                </c:pt>
                <c:pt idx="142">
                  <c:v>0.99610823503672774</c:v>
                </c:pt>
                <c:pt idx="143">
                  <c:v>0.99967430989552308</c:v>
                </c:pt>
                <c:pt idx="144">
                  <c:v>0.99838097968049433</c:v>
                </c:pt>
                <c:pt idx="145">
                  <c:v>0.98492148176025918</c:v>
                </c:pt>
                <c:pt idx="146">
                  <c:v>0.99810511714577521</c:v>
                </c:pt>
                <c:pt idx="147">
                  <c:v>0.94619399944643034</c:v>
                </c:pt>
                <c:pt idx="148">
                  <c:v>0.97244358637428274</c:v>
                </c:pt>
                <c:pt idx="149">
                  <c:v>0.93961021984268989</c:v>
                </c:pt>
                <c:pt idx="150">
                  <c:v>0.99686319314419103</c:v>
                </c:pt>
                <c:pt idx="151">
                  <c:v>0.96434581466200575</c:v>
                </c:pt>
                <c:pt idx="152">
                  <c:v>0.99465770015426536</c:v>
                </c:pt>
                <c:pt idx="153">
                  <c:v>0.99553376790087111</c:v>
                </c:pt>
                <c:pt idx="154">
                  <c:v>0.97253688841321251</c:v>
                </c:pt>
                <c:pt idx="155">
                  <c:v>0.99148138539883324</c:v>
                </c:pt>
                <c:pt idx="156">
                  <c:v>0.97708434990285076</c:v>
                </c:pt>
                <c:pt idx="157">
                  <c:v>0.97304610655268431</c:v>
                </c:pt>
                <c:pt idx="158">
                  <c:v>0.99730258494680291</c:v>
                </c:pt>
                <c:pt idx="159">
                  <c:v>0.96231389556711178</c:v>
                </c:pt>
                <c:pt idx="160">
                  <c:v>0.98037557147484322</c:v>
                </c:pt>
                <c:pt idx="161">
                  <c:v>0.99474355882194176</c:v>
                </c:pt>
                <c:pt idx="162">
                  <c:v>0.99822933703868777</c:v>
                </c:pt>
                <c:pt idx="163">
                  <c:v>0.98845517690839468</c:v>
                </c:pt>
                <c:pt idx="164">
                  <c:v>0.98703714149121424</c:v>
                </c:pt>
                <c:pt idx="165">
                  <c:v>0.99266844206977523</c:v>
                </c:pt>
                <c:pt idx="166">
                  <c:v>0.99639583707181756</c:v>
                </c:pt>
                <c:pt idx="167">
                  <c:v>0.975722099484576</c:v>
                </c:pt>
                <c:pt idx="168">
                  <c:v>0.99937422287187061</c:v>
                </c:pt>
                <c:pt idx="169">
                  <c:v>0.99428556999837114</c:v>
                </c:pt>
                <c:pt idx="170">
                  <c:v>0.99368792425939823</c:v>
                </c:pt>
                <c:pt idx="171">
                  <c:v>0.94644810810356583</c:v>
                </c:pt>
                <c:pt idx="172">
                  <c:v>0.99825242949521065</c:v>
                </c:pt>
                <c:pt idx="173">
                  <c:v>0.97709688709266329</c:v>
                </c:pt>
                <c:pt idx="174">
                  <c:v>0.98861496921135827</c:v>
                </c:pt>
                <c:pt idx="175">
                  <c:v>0.97091162105054385</c:v>
                </c:pt>
                <c:pt idx="176">
                  <c:v>0.9849751788173412</c:v>
                </c:pt>
                <c:pt idx="177">
                  <c:v>0.99241009215783105</c:v>
                </c:pt>
                <c:pt idx="178">
                  <c:v>0.99350448193424756</c:v>
                </c:pt>
                <c:pt idx="179">
                  <c:v>0.96318310866022261</c:v>
                </c:pt>
                <c:pt idx="180">
                  <c:v>0.97445576024236791</c:v>
                </c:pt>
                <c:pt idx="181">
                  <c:v>0.99705675408784067</c:v>
                </c:pt>
                <c:pt idx="182">
                  <c:v>0.99827201713493685</c:v>
                </c:pt>
                <c:pt idx="183">
                  <c:v>0.99399479423491199</c:v>
                </c:pt>
                <c:pt idx="184">
                  <c:v>0.99867559982764442</c:v>
                </c:pt>
                <c:pt idx="185">
                  <c:v>0.99407368617235503</c:v>
                </c:pt>
                <c:pt idx="186">
                  <c:v>0.99552570581526012</c:v>
                </c:pt>
                <c:pt idx="187">
                  <c:v>0.99995735171402189</c:v>
                </c:pt>
                <c:pt idx="188">
                  <c:v>0.99650456668662479</c:v>
                </c:pt>
                <c:pt idx="189">
                  <c:v>0.9964504114283339</c:v>
                </c:pt>
                <c:pt idx="190">
                  <c:v>0.9954184618268147</c:v>
                </c:pt>
                <c:pt idx="191">
                  <c:v>0.98204711171051273</c:v>
                </c:pt>
                <c:pt idx="192">
                  <c:v>0.95599847482031663</c:v>
                </c:pt>
                <c:pt idx="193">
                  <c:v>0.99701600760133446</c:v>
                </c:pt>
                <c:pt idx="194">
                  <c:v>0.97403572337424604</c:v>
                </c:pt>
                <c:pt idx="195">
                  <c:v>0.9805163863191888</c:v>
                </c:pt>
                <c:pt idx="196">
                  <c:v>0.99999127309881986</c:v>
                </c:pt>
                <c:pt idx="197">
                  <c:v>0.9819250341683653</c:v>
                </c:pt>
                <c:pt idx="198">
                  <c:v>0.96996328695428868</c:v>
                </c:pt>
                <c:pt idx="199">
                  <c:v>0.98960254099927036</c:v>
                </c:pt>
                <c:pt idx="200">
                  <c:v>0.99187057157781711</c:v>
                </c:pt>
                <c:pt idx="201">
                  <c:v>0.98739602149954708</c:v>
                </c:pt>
                <c:pt idx="202">
                  <c:v>0.95921817477904991</c:v>
                </c:pt>
                <c:pt idx="203">
                  <c:v>0.99190860937674752</c:v>
                </c:pt>
                <c:pt idx="204">
                  <c:v>0.98228840978003684</c:v>
                </c:pt>
                <c:pt idx="205">
                  <c:v>0.95913819941689704</c:v>
                </c:pt>
                <c:pt idx="206">
                  <c:v>0.99670276837462324</c:v>
                </c:pt>
                <c:pt idx="207">
                  <c:v>0.99192143968478197</c:v>
                </c:pt>
                <c:pt idx="208">
                  <c:v>0.99561843694905294</c:v>
                </c:pt>
                <c:pt idx="209">
                  <c:v>0.99322629735213586</c:v>
                </c:pt>
                <c:pt idx="210">
                  <c:v>0.99187299908500659</c:v>
                </c:pt>
                <c:pt idx="211">
                  <c:v>0.99794280539973979</c:v>
                </c:pt>
                <c:pt idx="212">
                  <c:v>0.99559554503458714</c:v>
                </c:pt>
                <c:pt idx="213">
                  <c:v>0.99439897345298811</c:v>
                </c:pt>
                <c:pt idx="214">
                  <c:v>0.99761057079296978</c:v>
                </c:pt>
                <c:pt idx="215">
                  <c:v>0.97838432280637277</c:v>
                </c:pt>
                <c:pt idx="216">
                  <c:v>0.99992570280455018</c:v>
                </c:pt>
                <c:pt idx="217">
                  <c:v>0.99302062793304302</c:v>
                </c:pt>
                <c:pt idx="218">
                  <c:v>0.98974349418899998</c:v>
                </c:pt>
                <c:pt idx="219">
                  <c:v>0.99535613896155528</c:v>
                </c:pt>
                <c:pt idx="220">
                  <c:v>0.98768674410269364</c:v>
                </c:pt>
                <c:pt idx="221">
                  <c:v>0.93927417842065464</c:v>
                </c:pt>
                <c:pt idx="222">
                  <c:v>0.97364654807094708</c:v>
                </c:pt>
                <c:pt idx="223">
                  <c:v>0.99544744328790358</c:v>
                </c:pt>
                <c:pt idx="224">
                  <c:v>0.952805736662936</c:v>
                </c:pt>
                <c:pt idx="225">
                  <c:v>0.98457400181686694</c:v>
                </c:pt>
                <c:pt idx="226">
                  <c:v>0.96289683249015379</c:v>
                </c:pt>
                <c:pt idx="227">
                  <c:v>0.95016008270331764</c:v>
                </c:pt>
                <c:pt idx="228">
                  <c:v>0.99022173344118658</c:v>
                </c:pt>
                <c:pt idx="229">
                  <c:v>0.94389801379359461</c:v>
                </c:pt>
                <c:pt idx="230">
                  <c:v>0.96252080251318051</c:v>
                </c:pt>
                <c:pt idx="231">
                  <c:v>0.98045013002952286</c:v>
                </c:pt>
                <c:pt idx="232">
                  <c:v>0.99341890357652662</c:v>
                </c:pt>
                <c:pt idx="233">
                  <c:v>0.99259500462537609</c:v>
                </c:pt>
                <c:pt idx="234">
                  <c:v>0.96499297004120543</c:v>
                </c:pt>
                <c:pt idx="235">
                  <c:v>0.99457012351896323</c:v>
                </c:pt>
                <c:pt idx="236">
                  <c:v>0.99881958218155975</c:v>
                </c:pt>
                <c:pt idx="237">
                  <c:v>0.99460189457655135</c:v>
                </c:pt>
                <c:pt idx="238">
                  <c:v>0.96035533570739329</c:v>
                </c:pt>
                <c:pt idx="239">
                  <c:v>0.94593162816470033</c:v>
                </c:pt>
                <c:pt idx="240">
                  <c:v>0.98751807778583289</c:v>
                </c:pt>
                <c:pt idx="241">
                  <c:v>0.99208574672675542</c:v>
                </c:pt>
                <c:pt idx="242">
                  <c:v>0.98062250186154365</c:v>
                </c:pt>
                <c:pt idx="243">
                  <c:v>0.98519150610309481</c:v>
                </c:pt>
                <c:pt idx="244">
                  <c:v>0.91559523252851205</c:v>
                </c:pt>
                <c:pt idx="245">
                  <c:v>0.99428310941777764</c:v>
                </c:pt>
                <c:pt idx="246">
                  <c:v>0.99911014283695243</c:v>
                </c:pt>
                <c:pt idx="247">
                  <c:v>0.97177027109389236</c:v>
                </c:pt>
                <c:pt idx="248">
                  <c:v>0.99682674357159862</c:v>
                </c:pt>
                <c:pt idx="249">
                  <c:v>0.93390265859029575</c:v>
                </c:pt>
                <c:pt idx="250">
                  <c:v>0.99916486732789245</c:v>
                </c:pt>
                <c:pt idx="251">
                  <c:v>0.98701133472515235</c:v>
                </c:pt>
                <c:pt idx="252">
                  <c:v>0.96047200890967155</c:v>
                </c:pt>
                <c:pt idx="253">
                  <c:v>0.99790096588864896</c:v>
                </c:pt>
                <c:pt idx="254">
                  <c:v>0.99558095808685709</c:v>
                </c:pt>
                <c:pt idx="255">
                  <c:v>0.99436712346442779</c:v>
                </c:pt>
                <c:pt idx="256">
                  <c:v>0.98132605895996072</c:v>
                </c:pt>
                <c:pt idx="257">
                  <c:v>0.99714409406338367</c:v>
                </c:pt>
                <c:pt idx="258">
                  <c:v>0.98030356211340852</c:v>
                </c:pt>
                <c:pt idx="259">
                  <c:v>0.99097542445780951</c:v>
                </c:pt>
                <c:pt idx="260">
                  <c:v>0.98172584602347746</c:v>
                </c:pt>
                <c:pt idx="261">
                  <c:v>0.98845585979407746</c:v>
                </c:pt>
                <c:pt idx="262">
                  <c:v>0.98517033223863038</c:v>
                </c:pt>
                <c:pt idx="263">
                  <c:v>0.99438822909164981</c:v>
                </c:pt>
                <c:pt idx="264">
                  <c:v>0.97683071153030832</c:v>
                </c:pt>
                <c:pt idx="265">
                  <c:v>0.99686823434616456</c:v>
                </c:pt>
                <c:pt idx="266">
                  <c:v>0.99157632918348737</c:v>
                </c:pt>
                <c:pt idx="267">
                  <c:v>0.99980643413610548</c:v>
                </c:pt>
                <c:pt idx="268">
                  <c:v>0.96964533607777825</c:v>
                </c:pt>
                <c:pt idx="269">
                  <c:v>0.99445521838406603</c:v>
                </c:pt>
                <c:pt idx="270">
                  <c:v>0.97898515624541793</c:v>
                </c:pt>
                <c:pt idx="271">
                  <c:v>0.99477851034799003</c:v>
                </c:pt>
                <c:pt idx="272">
                  <c:v>0.99138311141732938</c:v>
                </c:pt>
                <c:pt idx="273">
                  <c:v>0.98989545550829305</c:v>
                </c:pt>
                <c:pt idx="274">
                  <c:v>0.98043187683295452</c:v>
                </c:pt>
                <c:pt idx="275">
                  <c:v>0.98361260272523365</c:v>
                </c:pt>
                <c:pt idx="276">
                  <c:v>0.98486288383693188</c:v>
                </c:pt>
                <c:pt idx="277">
                  <c:v>0.98051380153879175</c:v>
                </c:pt>
                <c:pt idx="278">
                  <c:v>0.99441701174456243</c:v>
                </c:pt>
                <c:pt idx="279">
                  <c:v>0.9643428850303214</c:v>
                </c:pt>
                <c:pt idx="280">
                  <c:v>0.94629272855832169</c:v>
                </c:pt>
                <c:pt idx="281">
                  <c:v>0.96673220316127439</c:v>
                </c:pt>
                <c:pt idx="282">
                  <c:v>0.96832426405581784</c:v>
                </c:pt>
                <c:pt idx="283">
                  <c:v>0.98953019469377479</c:v>
                </c:pt>
                <c:pt idx="284">
                  <c:v>0.97031418052857898</c:v>
                </c:pt>
                <c:pt idx="285">
                  <c:v>0.99963504758107113</c:v>
                </c:pt>
                <c:pt idx="286">
                  <c:v>0.98156104075138229</c:v>
                </c:pt>
                <c:pt idx="287">
                  <c:v>0.98369956164805095</c:v>
                </c:pt>
                <c:pt idx="288">
                  <c:v>0.99850797025307259</c:v>
                </c:pt>
                <c:pt idx="289">
                  <c:v>0.95906570756187848</c:v>
                </c:pt>
                <c:pt idx="290">
                  <c:v>0.99999299500998107</c:v>
                </c:pt>
                <c:pt idx="291">
                  <c:v>0.99761974433532619</c:v>
                </c:pt>
                <c:pt idx="292">
                  <c:v>0.98801992739722633</c:v>
                </c:pt>
                <c:pt idx="293">
                  <c:v>0.97657089209989978</c:v>
                </c:pt>
                <c:pt idx="294">
                  <c:v>0.96585409590873761</c:v>
                </c:pt>
                <c:pt idx="295">
                  <c:v>0.97509504692595916</c:v>
                </c:pt>
                <c:pt idx="296">
                  <c:v>0.98684195776554606</c:v>
                </c:pt>
                <c:pt idx="297">
                  <c:v>0.96061376840204149</c:v>
                </c:pt>
                <c:pt idx="298">
                  <c:v>0.98410602832745098</c:v>
                </c:pt>
                <c:pt idx="299">
                  <c:v>0.98124450488701165</c:v>
                </c:pt>
                <c:pt idx="300">
                  <c:v>0.99824261226323385</c:v>
                </c:pt>
                <c:pt idx="301">
                  <c:v>0.98666261173845893</c:v>
                </c:pt>
                <c:pt idx="302">
                  <c:v>0.9917565707800059</c:v>
                </c:pt>
                <c:pt idx="303">
                  <c:v>0.99036162130415295</c:v>
                </c:pt>
                <c:pt idx="304">
                  <c:v>0.98920438679863287</c:v>
                </c:pt>
                <c:pt idx="305">
                  <c:v>0.96264945899258136</c:v>
                </c:pt>
                <c:pt idx="306">
                  <c:v>0.97122512889658141</c:v>
                </c:pt>
                <c:pt idx="307">
                  <c:v>0.97088222321879936</c:v>
                </c:pt>
                <c:pt idx="308">
                  <c:v>0.99289815082889143</c:v>
                </c:pt>
                <c:pt idx="309">
                  <c:v>0.98475542764276447</c:v>
                </c:pt>
                <c:pt idx="310">
                  <c:v>0.99179884861632794</c:v>
                </c:pt>
                <c:pt idx="311">
                  <c:v>0.99515473804120769</c:v>
                </c:pt>
                <c:pt idx="312">
                  <c:v>0.90622655181395162</c:v>
                </c:pt>
                <c:pt idx="313">
                  <c:v>0.98989247563567184</c:v>
                </c:pt>
                <c:pt idx="314">
                  <c:v>0.98670395873872385</c:v>
                </c:pt>
                <c:pt idx="315">
                  <c:v>0.99924202447576105</c:v>
                </c:pt>
                <c:pt idx="316">
                  <c:v>0.99075398119903013</c:v>
                </c:pt>
                <c:pt idx="317">
                  <c:v>0.98715870836956443</c:v>
                </c:pt>
                <c:pt idx="318">
                  <c:v>0.98341233348039214</c:v>
                </c:pt>
                <c:pt idx="319">
                  <c:v>0.98540544743827552</c:v>
                </c:pt>
                <c:pt idx="320">
                  <c:v>0.9782321860376112</c:v>
                </c:pt>
                <c:pt idx="321">
                  <c:v>0.99495137477364803</c:v>
                </c:pt>
                <c:pt idx="322">
                  <c:v>0.99186363955155044</c:v>
                </c:pt>
                <c:pt idx="323">
                  <c:v>0.96174924937288175</c:v>
                </c:pt>
                <c:pt idx="324">
                  <c:v>0.99161740993764802</c:v>
                </c:pt>
                <c:pt idx="325">
                  <c:v>0.98467783997999325</c:v>
                </c:pt>
                <c:pt idx="326">
                  <c:v>0.99626375101359321</c:v>
                </c:pt>
                <c:pt idx="327">
                  <c:v>0.99540528148433238</c:v>
                </c:pt>
                <c:pt idx="328">
                  <c:v>0.99212375759462579</c:v>
                </c:pt>
                <c:pt idx="329">
                  <c:v>0.99441405568690067</c:v>
                </c:pt>
                <c:pt idx="330">
                  <c:v>0.97621524179741281</c:v>
                </c:pt>
                <c:pt idx="331">
                  <c:v>0.97979880448446832</c:v>
                </c:pt>
                <c:pt idx="332">
                  <c:v>0.94447517040173989</c:v>
                </c:pt>
                <c:pt idx="333">
                  <c:v>0.9937422249801765</c:v>
                </c:pt>
                <c:pt idx="334">
                  <c:v>0.9632328064638529</c:v>
                </c:pt>
                <c:pt idx="335">
                  <c:v>0.99271279675046309</c:v>
                </c:pt>
                <c:pt idx="336">
                  <c:v>0.97955525303130075</c:v>
                </c:pt>
                <c:pt idx="337">
                  <c:v>0.91806514728264033</c:v>
                </c:pt>
                <c:pt idx="338">
                  <c:v>0.98639573548850712</c:v>
                </c:pt>
                <c:pt idx="339">
                  <c:v>0.9980399757620505</c:v>
                </c:pt>
                <c:pt idx="340">
                  <c:v>0.99680951133826423</c:v>
                </c:pt>
                <c:pt idx="341">
                  <c:v>0.99641479908306274</c:v>
                </c:pt>
                <c:pt idx="342">
                  <c:v>0.89814062457019683</c:v>
                </c:pt>
                <c:pt idx="343">
                  <c:v>0.99607052395765572</c:v>
                </c:pt>
                <c:pt idx="344">
                  <c:v>0.99249823001719706</c:v>
                </c:pt>
                <c:pt idx="345">
                  <c:v>0.98709974312669324</c:v>
                </c:pt>
                <c:pt idx="346">
                  <c:v>0.9901676204414388</c:v>
                </c:pt>
                <c:pt idx="347">
                  <c:v>0.95202695301852469</c:v>
                </c:pt>
                <c:pt idx="348">
                  <c:v>0.99478520441315443</c:v>
                </c:pt>
                <c:pt idx="349">
                  <c:v>0.99754816486334974</c:v>
                </c:pt>
                <c:pt idx="350">
                  <c:v>0.9292531543929724</c:v>
                </c:pt>
                <c:pt idx="351">
                  <c:v>0.99504785391541906</c:v>
                </c:pt>
                <c:pt idx="352">
                  <c:v>0.99484225406207794</c:v>
                </c:pt>
                <c:pt idx="353">
                  <c:v>0.95986544051223699</c:v>
                </c:pt>
                <c:pt idx="354">
                  <c:v>0.98987473058093522</c:v>
                </c:pt>
                <c:pt idx="355">
                  <c:v>0.94402596872499045</c:v>
                </c:pt>
                <c:pt idx="356">
                  <c:v>0.99806043992546678</c:v>
                </c:pt>
                <c:pt idx="357">
                  <c:v>0.99088286965209427</c:v>
                </c:pt>
                <c:pt idx="358">
                  <c:v>0.98450778613742873</c:v>
                </c:pt>
                <c:pt idx="359">
                  <c:v>0.914920506788791</c:v>
                </c:pt>
                <c:pt idx="360">
                  <c:v>0.9944925873614715</c:v>
                </c:pt>
                <c:pt idx="361">
                  <c:v>0.99876382565043031</c:v>
                </c:pt>
                <c:pt idx="362">
                  <c:v>0.97433643987922458</c:v>
                </c:pt>
                <c:pt idx="363">
                  <c:v>0.99842153593218463</c:v>
                </c:pt>
                <c:pt idx="364">
                  <c:v>0.98188745217442153</c:v>
                </c:pt>
                <c:pt idx="365">
                  <c:v>0.97304716992369666</c:v>
                </c:pt>
                <c:pt idx="366">
                  <c:v>0.99976600476656785</c:v>
                </c:pt>
                <c:pt idx="367">
                  <c:v>0.99046714745025666</c:v>
                </c:pt>
                <c:pt idx="368">
                  <c:v>0.98822454582786645</c:v>
                </c:pt>
                <c:pt idx="369">
                  <c:v>0.97114643948271795</c:v>
                </c:pt>
                <c:pt idx="370">
                  <c:v>0.98987634604660468</c:v>
                </c:pt>
                <c:pt idx="371">
                  <c:v>0.97476610465900382</c:v>
                </c:pt>
                <c:pt idx="372">
                  <c:v>0.98897121418433698</c:v>
                </c:pt>
                <c:pt idx="373">
                  <c:v>0.99523569405948309</c:v>
                </c:pt>
                <c:pt idx="374">
                  <c:v>0.99835591833222692</c:v>
                </c:pt>
                <c:pt idx="375">
                  <c:v>0.99703601010563325</c:v>
                </c:pt>
                <c:pt idx="376">
                  <c:v>0.99518545709763917</c:v>
                </c:pt>
                <c:pt idx="377">
                  <c:v>0.99769516009333048</c:v>
                </c:pt>
                <c:pt idx="378">
                  <c:v>0.97439950401336606</c:v>
                </c:pt>
                <c:pt idx="379">
                  <c:v>0.98388447610564633</c:v>
                </c:pt>
                <c:pt idx="380">
                  <c:v>0.98052631490603015</c:v>
                </c:pt>
                <c:pt idx="381">
                  <c:v>0.98720377109585011</c:v>
                </c:pt>
                <c:pt idx="382">
                  <c:v>0.96836446686377808</c:v>
                </c:pt>
                <c:pt idx="383">
                  <c:v>0.94865093381417498</c:v>
                </c:pt>
                <c:pt idx="384">
                  <c:v>0.99258906586592943</c:v>
                </c:pt>
                <c:pt idx="385">
                  <c:v>0.97163084889928375</c:v>
                </c:pt>
                <c:pt idx="386">
                  <c:v>0.99929915433027461</c:v>
                </c:pt>
                <c:pt idx="387">
                  <c:v>0.9569469616697579</c:v>
                </c:pt>
                <c:pt idx="388">
                  <c:v>0.99929881094621487</c:v>
                </c:pt>
                <c:pt idx="389">
                  <c:v>0.99133011044735786</c:v>
                </c:pt>
                <c:pt idx="390">
                  <c:v>0.99930543383683479</c:v>
                </c:pt>
                <c:pt idx="391">
                  <c:v>0.99773289569797874</c:v>
                </c:pt>
                <c:pt idx="392">
                  <c:v>0.986503364410802</c:v>
                </c:pt>
                <c:pt idx="393">
                  <c:v>0.9981870111081077</c:v>
                </c:pt>
                <c:pt idx="394">
                  <c:v>0.96545307702848948</c:v>
                </c:pt>
                <c:pt idx="395">
                  <c:v>0.99803278375917048</c:v>
                </c:pt>
                <c:pt idx="396">
                  <c:v>0.98659761409427771</c:v>
                </c:pt>
                <c:pt idx="397">
                  <c:v>0.98608165367820877</c:v>
                </c:pt>
                <c:pt idx="398">
                  <c:v>0.99926569542671051</c:v>
                </c:pt>
                <c:pt idx="399">
                  <c:v>0.99993318286249699</c:v>
                </c:pt>
                <c:pt idx="400">
                  <c:v>0.99393654277344956</c:v>
                </c:pt>
                <c:pt idx="401">
                  <c:v>0.98891007865918534</c:v>
                </c:pt>
                <c:pt idx="402">
                  <c:v>0.97202737922719162</c:v>
                </c:pt>
                <c:pt idx="403">
                  <c:v>0.97760956012963496</c:v>
                </c:pt>
                <c:pt idx="404">
                  <c:v>0.99685952305215686</c:v>
                </c:pt>
                <c:pt idx="405">
                  <c:v>0.98690041440303755</c:v>
                </c:pt>
                <c:pt idx="406">
                  <c:v>0.99609938947606391</c:v>
                </c:pt>
                <c:pt idx="407">
                  <c:v>0.99982150092489475</c:v>
                </c:pt>
                <c:pt idx="408">
                  <c:v>0.98477769438282892</c:v>
                </c:pt>
                <c:pt idx="409">
                  <c:v>0.99336462367813672</c:v>
                </c:pt>
                <c:pt idx="410">
                  <c:v>0.98413781070677397</c:v>
                </c:pt>
                <c:pt idx="411">
                  <c:v>0.99384429488789738</c:v>
                </c:pt>
                <c:pt idx="412">
                  <c:v>0.99877073733632316</c:v>
                </c:pt>
                <c:pt idx="413">
                  <c:v>0.98726628325414101</c:v>
                </c:pt>
                <c:pt idx="414">
                  <c:v>0.99709254479669429</c:v>
                </c:pt>
                <c:pt idx="415">
                  <c:v>0.96264131818750531</c:v>
                </c:pt>
                <c:pt idx="416">
                  <c:v>0.99128347900075042</c:v>
                </c:pt>
                <c:pt idx="417">
                  <c:v>0.97526152134792465</c:v>
                </c:pt>
                <c:pt idx="418">
                  <c:v>0.98194624075311754</c:v>
                </c:pt>
                <c:pt idx="419">
                  <c:v>0.96308066016923632</c:v>
                </c:pt>
                <c:pt idx="420">
                  <c:v>0.99849476108607516</c:v>
                </c:pt>
                <c:pt idx="421">
                  <c:v>0.99416302417230917</c:v>
                </c:pt>
                <c:pt idx="422">
                  <c:v>0.97464877508993786</c:v>
                </c:pt>
                <c:pt idx="423">
                  <c:v>0.95738414494726498</c:v>
                </c:pt>
                <c:pt idx="424">
                  <c:v>0.98866078813795277</c:v>
                </c:pt>
                <c:pt idx="425">
                  <c:v>0.92530118967698205</c:v>
                </c:pt>
                <c:pt idx="426">
                  <c:v>0.98520022961306131</c:v>
                </c:pt>
                <c:pt idx="427">
                  <c:v>0.99941357147315402</c:v>
                </c:pt>
                <c:pt idx="428">
                  <c:v>0.98344120289642289</c:v>
                </c:pt>
                <c:pt idx="429">
                  <c:v>0.99401149119327847</c:v>
                </c:pt>
                <c:pt idx="430">
                  <c:v>0.98377726973547197</c:v>
                </c:pt>
                <c:pt idx="431">
                  <c:v>0.91922427847350163</c:v>
                </c:pt>
                <c:pt idx="432">
                  <c:v>0.9163568319400881</c:v>
                </c:pt>
                <c:pt idx="433">
                  <c:v>0.97574347421310992</c:v>
                </c:pt>
                <c:pt idx="434">
                  <c:v>0.99601743276110244</c:v>
                </c:pt>
                <c:pt idx="435">
                  <c:v>0.99798661047594683</c:v>
                </c:pt>
                <c:pt idx="436">
                  <c:v>0.99244519117900287</c:v>
                </c:pt>
                <c:pt idx="437">
                  <c:v>0.99221473835315976</c:v>
                </c:pt>
                <c:pt idx="438">
                  <c:v>0.99966286008847716</c:v>
                </c:pt>
                <c:pt idx="439">
                  <c:v>0.99644427117268541</c:v>
                </c:pt>
                <c:pt idx="440">
                  <c:v>0.99893080044194638</c:v>
                </c:pt>
                <c:pt idx="441">
                  <c:v>0.99577158572773816</c:v>
                </c:pt>
                <c:pt idx="442">
                  <c:v>0.97753287985842541</c:v>
                </c:pt>
                <c:pt idx="443">
                  <c:v>0.98033785048921085</c:v>
                </c:pt>
                <c:pt idx="444">
                  <c:v>0.98341611349187452</c:v>
                </c:pt>
                <c:pt idx="445">
                  <c:v>0.99026135442620111</c:v>
                </c:pt>
                <c:pt idx="446">
                  <c:v>0.997481247947969</c:v>
                </c:pt>
                <c:pt idx="447">
                  <c:v>0.97593962874795981</c:v>
                </c:pt>
                <c:pt idx="448">
                  <c:v>0.97485453342940553</c:v>
                </c:pt>
                <c:pt idx="449">
                  <c:v>0.9918732532832627</c:v>
                </c:pt>
                <c:pt idx="450">
                  <c:v>0.9948513704922588</c:v>
                </c:pt>
                <c:pt idx="451">
                  <c:v>0.97660070626379658</c:v>
                </c:pt>
                <c:pt idx="452">
                  <c:v>0.97622879493496051</c:v>
                </c:pt>
                <c:pt idx="453">
                  <c:v>0.9932494944377912</c:v>
                </c:pt>
                <c:pt idx="454">
                  <c:v>0.99155622187894021</c:v>
                </c:pt>
                <c:pt idx="455">
                  <c:v>0.99765166508124759</c:v>
                </c:pt>
                <c:pt idx="456">
                  <c:v>0.99080413388938482</c:v>
                </c:pt>
                <c:pt idx="457">
                  <c:v>0.9774855237390131</c:v>
                </c:pt>
                <c:pt idx="458">
                  <c:v>0.99424471573317819</c:v>
                </c:pt>
                <c:pt idx="459">
                  <c:v>0.99802980170684041</c:v>
                </c:pt>
                <c:pt idx="460">
                  <c:v>0.98331100184766596</c:v>
                </c:pt>
                <c:pt idx="461">
                  <c:v>0.98052357761354314</c:v>
                </c:pt>
                <c:pt idx="462">
                  <c:v>0.9996184792764744</c:v>
                </c:pt>
                <c:pt idx="463">
                  <c:v>0.9895494624685397</c:v>
                </c:pt>
                <c:pt idx="464">
                  <c:v>0.9836254362430632</c:v>
                </c:pt>
                <c:pt idx="465">
                  <c:v>0.98970829013627559</c:v>
                </c:pt>
                <c:pt idx="466">
                  <c:v>0.99302320507692787</c:v>
                </c:pt>
                <c:pt idx="467">
                  <c:v>0.99953207401338262</c:v>
                </c:pt>
                <c:pt idx="468">
                  <c:v>0.98414912407467203</c:v>
                </c:pt>
                <c:pt idx="469">
                  <c:v>0.99863832405167907</c:v>
                </c:pt>
                <c:pt idx="470">
                  <c:v>0.98616070262707212</c:v>
                </c:pt>
                <c:pt idx="471">
                  <c:v>0.99005428871045686</c:v>
                </c:pt>
                <c:pt idx="472">
                  <c:v>0.999906130384976</c:v>
                </c:pt>
                <c:pt idx="473">
                  <c:v>0.93146689788876491</c:v>
                </c:pt>
                <c:pt idx="474">
                  <c:v>0.9907823650398192</c:v>
                </c:pt>
                <c:pt idx="475">
                  <c:v>0.9840405476309424</c:v>
                </c:pt>
                <c:pt idx="476">
                  <c:v>0.98500038501531639</c:v>
                </c:pt>
                <c:pt idx="477">
                  <c:v>0.99365129115147233</c:v>
                </c:pt>
                <c:pt idx="478">
                  <c:v>0.99706085670527456</c:v>
                </c:pt>
                <c:pt idx="479">
                  <c:v>0.99356691431581146</c:v>
                </c:pt>
                <c:pt idx="480">
                  <c:v>0.99831681757077539</c:v>
                </c:pt>
                <c:pt idx="481">
                  <c:v>0.99572519345413479</c:v>
                </c:pt>
                <c:pt idx="482">
                  <c:v>0.97490286213746957</c:v>
                </c:pt>
                <c:pt idx="483">
                  <c:v>0.98404395510972564</c:v>
                </c:pt>
                <c:pt idx="484">
                  <c:v>0.9783402195256099</c:v>
                </c:pt>
                <c:pt idx="485">
                  <c:v>0.99247059598939436</c:v>
                </c:pt>
                <c:pt idx="486">
                  <c:v>0.94884953006925565</c:v>
                </c:pt>
                <c:pt idx="487">
                  <c:v>0.98071818629426433</c:v>
                </c:pt>
                <c:pt idx="488">
                  <c:v>0.95085787591178139</c:v>
                </c:pt>
                <c:pt idx="489">
                  <c:v>0.96627887475837004</c:v>
                </c:pt>
                <c:pt idx="490">
                  <c:v>0.99934309480977823</c:v>
                </c:pt>
                <c:pt idx="491">
                  <c:v>0.91347365079741982</c:v>
                </c:pt>
                <c:pt idx="492">
                  <c:v>0.96197461103198501</c:v>
                </c:pt>
                <c:pt idx="493">
                  <c:v>0.98825937195041513</c:v>
                </c:pt>
                <c:pt idx="494">
                  <c:v>0.9908661391037471</c:v>
                </c:pt>
                <c:pt idx="495">
                  <c:v>0.99149658250995665</c:v>
                </c:pt>
                <c:pt idx="496">
                  <c:v>0.97868481946841779</c:v>
                </c:pt>
                <c:pt idx="497">
                  <c:v>0.9954556857056871</c:v>
                </c:pt>
                <c:pt idx="498">
                  <c:v>0.99546810389635321</c:v>
                </c:pt>
                <c:pt idx="499">
                  <c:v>0.94046123104552481</c:v>
                </c:pt>
                <c:pt idx="500">
                  <c:v>0.9994961262138562</c:v>
                </c:pt>
                <c:pt idx="501">
                  <c:v>0.97232472624231947</c:v>
                </c:pt>
                <c:pt idx="502">
                  <c:v>0.99326867944625363</c:v>
                </c:pt>
                <c:pt idx="503">
                  <c:v>0.99513162360058516</c:v>
                </c:pt>
                <c:pt idx="504">
                  <c:v>0.99953468653797406</c:v>
                </c:pt>
                <c:pt idx="505">
                  <c:v>0.98633592671424464</c:v>
                </c:pt>
                <c:pt idx="506">
                  <c:v>0.99648177257097981</c:v>
                </c:pt>
                <c:pt idx="507">
                  <c:v>0.95820154501555499</c:v>
                </c:pt>
                <c:pt idx="508">
                  <c:v>0.97239633909237455</c:v>
                </c:pt>
                <c:pt idx="509">
                  <c:v>0.98124400195095429</c:v>
                </c:pt>
                <c:pt idx="510">
                  <c:v>0.98871574500977988</c:v>
                </c:pt>
                <c:pt idx="511">
                  <c:v>0.99434730250495373</c:v>
                </c:pt>
                <c:pt idx="512">
                  <c:v>0.98218457047257113</c:v>
                </c:pt>
                <c:pt idx="513">
                  <c:v>0.99197701582150133</c:v>
                </c:pt>
                <c:pt idx="514">
                  <c:v>0.99910876336744903</c:v>
                </c:pt>
                <c:pt idx="515">
                  <c:v>0.99966323876648511</c:v>
                </c:pt>
                <c:pt idx="516">
                  <c:v>0.97895325323307203</c:v>
                </c:pt>
                <c:pt idx="517">
                  <c:v>0.98424211479270229</c:v>
                </c:pt>
                <c:pt idx="518">
                  <c:v>0.96205273949937442</c:v>
                </c:pt>
                <c:pt idx="519">
                  <c:v>0.98419993018324237</c:v>
                </c:pt>
                <c:pt idx="520">
                  <c:v>0.9825353303392359</c:v>
                </c:pt>
                <c:pt idx="521">
                  <c:v>0.99319383449725784</c:v>
                </c:pt>
                <c:pt idx="522">
                  <c:v>0.99616144586526412</c:v>
                </c:pt>
                <c:pt idx="523">
                  <c:v>0.9596190744767531</c:v>
                </c:pt>
                <c:pt idx="524">
                  <c:v>0.92722605625306986</c:v>
                </c:pt>
                <c:pt idx="525">
                  <c:v>0.99865198280539613</c:v>
                </c:pt>
                <c:pt idx="526">
                  <c:v>0.99609345971636309</c:v>
                </c:pt>
                <c:pt idx="527">
                  <c:v>0.99787985300437854</c:v>
                </c:pt>
                <c:pt idx="528">
                  <c:v>0.96394277403179729</c:v>
                </c:pt>
                <c:pt idx="529">
                  <c:v>0.99179842862329015</c:v>
                </c:pt>
                <c:pt idx="530">
                  <c:v>0.98753917781623624</c:v>
                </c:pt>
                <c:pt idx="531">
                  <c:v>0.99509349722900053</c:v>
                </c:pt>
                <c:pt idx="532">
                  <c:v>0.98293566847678315</c:v>
                </c:pt>
                <c:pt idx="533">
                  <c:v>0.98324839462898661</c:v>
                </c:pt>
                <c:pt idx="534">
                  <c:v>0.97825394232080132</c:v>
                </c:pt>
                <c:pt idx="535">
                  <c:v>0.99391870073374522</c:v>
                </c:pt>
                <c:pt idx="536">
                  <c:v>0.99225018420216693</c:v>
                </c:pt>
                <c:pt idx="537">
                  <c:v>0.97517962652702794</c:v>
                </c:pt>
                <c:pt idx="538">
                  <c:v>0.98719077090082474</c:v>
                </c:pt>
                <c:pt idx="539">
                  <c:v>0.98331278120218324</c:v>
                </c:pt>
                <c:pt idx="540">
                  <c:v>0.95778287886105506</c:v>
                </c:pt>
                <c:pt idx="541">
                  <c:v>0.99380949608314983</c:v>
                </c:pt>
                <c:pt idx="542">
                  <c:v>0.98440519743251709</c:v>
                </c:pt>
                <c:pt idx="543">
                  <c:v>0.9856880342785016</c:v>
                </c:pt>
                <c:pt idx="544">
                  <c:v>0.98998707915696871</c:v>
                </c:pt>
                <c:pt idx="545">
                  <c:v>0.976735858830588</c:v>
                </c:pt>
                <c:pt idx="546">
                  <c:v>0.970613224681944</c:v>
                </c:pt>
                <c:pt idx="547">
                  <c:v>0.96929930112641038</c:v>
                </c:pt>
                <c:pt idx="548">
                  <c:v>0.99991932215847901</c:v>
                </c:pt>
                <c:pt idx="549">
                  <c:v>0.98864379065338148</c:v>
                </c:pt>
                <c:pt idx="550">
                  <c:v>0.98366714146252843</c:v>
                </c:pt>
                <c:pt idx="551">
                  <c:v>0.97947096538980005</c:v>
                </c:pt>
                <c:pt idx="552">
                  <c:v>0.9999185781389317</c:v>
                </c:pt>
                <c:pt idx="553">
                  <c:v>0.97805186644754827</c:v>
                </c:pt>
                <c:pt idx="554">
                  <c:v>0.98289377626820162</c:v>
                </c:pt>
                <c:pt idx="555">
                  <c:v>0.99830623693947917</c:v>
                </c:pt>
                <c:pt idx="556">
                  <c:v>0.98712138105586833</c:v>
                </c:pt>
                <c:pt idx="557">
                  <c:v>0.99665118630786331</c:v>
                </c:pt>
                <c:pt idx="558">
                  <c:v>0.99772519658116321</c:v>
                </c:pt>
                <c:pt idx="559">
                  <c:v>0.99666216903032345</c:v>
                </c:pt>
                <c:pt idx="560">
                  <c:v>0.98632676181101486</c:v>
                </c:pt>
                <c:pt idx="561">
                  <c:v>0.99578587410694119</c:v>
                </c:pt>
                <c:pt idx="562">
                  <c:v>0.97249276528537421</c:v>
                </c:pt>
                <c:pt idx="563">
                  <c:v>0.99374379223008624</c:v>
                </c:pt>
                <c:pt idx="564">
                  <c:v>0.91681228404697668</c:v>
                </c:pt>
                <c:pt idx="565">
                  <c:v>0.97418765964597753</c:v>
                </c:pt>
                <c:pt idx="566">
                  <c:v>0.98452656779571412</c:v>
                </c:pt>
                <c:pt idx="567">
                  <c:v>0.97798441506472011</c:v>
                </c:pt>
                <c:pt idx="568">
                  <c:v>0.96748893908911193</c:v>
                </c:pt>
                <c:pt idx="569">
                  <c:v>0.97828599509292258</c:v>
                </c:pt>
                <c:pt idx="570">
                  <c:v>0.99294915238118042</c:v>
                </c:pt>
                <c:pt idx="571">
                  <c:v>0.96982820034282446</c:v>
                </c:pt>
                <c:pt idx="572">
                  <c:v>0.99762624428251312</c:v>
                </c:pt>
                <c:pt idx="573">
                  <c:v>0.98495828550536424</c:v>
                </c:pt>
                <c:pt idx="574">
                  <c:v>0.92628649179746603</c:v>
                </c:pt>
                <c:pt idx="575">
                  <c:v>0.99622631610427337</c:v>
                </c:pt>
                <c:pt idx="576">
                  <c:v>0.9970113611466781</c:v>
                </c:pt>
                <c:pt idx="577">
                  <c:v>0.96623333017898028</c:v>
                </c:pt>
                <c:pt idx="578">
                  <c:v>0.97809996356330164</c:v>
                </c:pt>
                <c:pt idx="579">
                  <c:v>0.96755471621528344</c:v>
                </c:pt>
                <c:pt idx="580">
                  <c:v>0.99176339794743174</c:v>
                </c:pt>
                <c:pt idx="581">
                  <c:v>0.99283906977896808</c:v>
                </c:pt>
                <c:pt idx="582">
                  <c:v>0.96693665917660132</c:v>
                </c:pt>
                <c:pt idx="583">
                  <c:v>0.97642494522382794</c:v>
                </c:pt>
                <c:pt idx="584">
                  <c:v>0.97014661658877532</c:v>
                </c:pt>
                <c:pt idx="585">
                  <c:v>0.94119639606998595</c:v>
                </c:pt>
                <c:pt idx="586">
                  <c:v>0.97201085255873265</c:v>
                </c:pt>
                <c:pt idx="587">
                  <c:v>0.99418160915482401</c:v>
                </c:pt>
                <c:pt idx="588">
                  <c:v>0.99200029172161241</c:v>
                </c:pt>
                <c:pt idx="589">
                  <c:v>0.99887337478599492</c:v>
                </c:pt>
                <c:pt idx="590">
                  <c:v>0.95819230642670616</c:v>
                </c:pt>
                <c:pt idx="591">
                  <c:v>0.99903329289523413</c:v>
                </c:pt>
                <c:pt idx="592">
                  <c:v>0.99547810355610689</c:v>
                </c:pt>
                <c:pt idx="593">
                  <c:v>0.98872583270063907</c:v>
                </c:pt>
                <c:pt idx="594">
                  <c:v>0.99141780540230018</c:v>
                </c:pt>
                <c:pt idx="595">
                  <c:v>0.99772886621183032</c:v>
                </c:pt>
                <c:pt idx="596">
                  <c:v>0.99885313670136977</c:v>
                </c:pt>
                <c:pt idx="597">
                  <c:v>0.99222005043968209</c:v>
                </c:pt>
                <c:pt idx="598">
                  <c:v>0.98815362547404106</c:v>
                </c:pt>
                <c:pt idx="599">
                  <c:v>0.99391793696252229</c:v>
                </c:pt>
                <c:pt idx="600">
                  <c:v>0.99695793518392573</c:v>
                </c:pt>
                <c:pt idx="601">
                  <c:v>0.99670006758411689</c:v>
                </c:pt>
                <c:pt idx="602">
                  <c:v>0.99670996742914064</c:v>
                </c:pt>
                <c:pt idx="603">
                  <c:v>0.98191825654993592</c:v>
                </c:pt>
                <c:pt idx="604">
                  <c:v>0.99603511668743117</c:v>
                </c:pt>
                <c:pt idx="605">
                  <c:v>0.97862719028390466</c:v>
                </c:pt>
                <c:pt idx="606">
                  <c:v>0.99906638468796238</c:v>
                </c:pt>
                <c:pt idx="607">
                  <c:v>0.99529941983409065</c:v>
                </c:pt>
                <c:pt idx="608">
                  <c:v>0.98023564533823571</c:v>
                </c:pt>
                <c:pt idx="609">
                  <c:v>0.99527096583645414</c:v>
                </c:pt>
                <c:pt idx="610">
                  <c:v>0.98467607712062555</c:v>
                </c:pt>
                <c:pt idx="611">
                  <c:v>0.97391689969814532</c:v>
                </c:pt>
                <c:pt idx="612">
                  <c:v>0.98574443700817793</c:v>
                </c:pt>
                <c:pt idx="613">
                  <c:v>0.980683460575001</c:v>
                </c:pt>
                <c:pt idx="614">
                  <c:v>0.98999684881052363</c:v>
                </c:pt>
                <c:pt idx="615">
                  <c:v>0.99755657492300831</c:v>
                </c:pt>
                <c:pt idx="616">
                  <c:v>0.96961472444075936</c:v>
                </c:pt>
                <c:pt idx="617">
                  <c:v>0.99144018232701958</c:v>
                </c:pt>
                <c:pt idx="618">
                  <c:v>0.99433077703066963</c:v>
                </c:pt>
                <c:pt idx="619">
                  <c:v>0.9968800625836215</c:v>
                </c:pt>
                <c:pt idx="620">
                  <c:v>0.98026219946721704</c:v>
                </c:pt>
                <c:pt idx="621">
                  <c:v>0.99314567146602639</c:v>
                </c:pt>
                <c:pt idx="622">
                  <c:v>0.99646745161742245</c:v>
                </c:pt>
                <c:pt idx="623">
                  <c:v>0.98392541937887013</c:v>
                </c:pt>
                <c:pt idx="624">
                  <c:v>0.98814465460326695</c:v>
                </c:pt>
                <c:pt idx="625">
                  <c:v>0.99446796357501455</c:v>
                </c:pt>
                <c:pt idx="626">
                  <c:v>0.954265041033726</c:v>
                </c:pt>
                <c:pt idx="627">
                  <c:v>0.94467257648961556</c:v>
                </c:pt>
                <c:pt idx="628">
                  <c:v>0.99059563950251706</c:v>
                </c:pt>
                <c:pt idx="629">
                  <c:v>0.99322281000110091</c:v>
                </c:pt>
                <c:pt idx="630">
                  <c:v>0.96872785660938465</c:v>
                </c:pt>
                <c:pt idx="631">
                  <c:v>0.99696379366574261</c:v>
                </c:pt>
                <c:pt idx="632">
                  <c:v>0.99774870699045337</c:v>
                </c:pt>
                <c:pt idx="633">
                  <c:v>0.9991182056936746</c:v>
                </c:pt>
                <c:pt idx="634">
                  <c:v>0.97094380920485512</c:v>
                </c:pt>
                <c:pt idx="635">
                  <c:v>0.99748387047124387</c:v>
                </c:pt>
                <c:pt idx="636">
                  <c:v>0.98380632710289961</c:v>
                </c:pt>
                <c:pt idx="637">
                  <c:v>0.99809123896267737</c:v>
                </c:pt>
                <c:pt idx="638">
                  <c:v>0.98125185967156003</c:v>
                </c:pt>
                <c:pt idx="639">
                  <c:v>0.99257369653997285</c:v>
                </c:pt>
                <c:pt idx="640">
                  <c:v>0.98546971381641602</c:v>
                </c:pt>
                <c:pt idx="641">
                  <c:v>0.98474263170099396</c:v>
                </c:pt>
                <c:pt idx="642">
                  <c:v>0.99609976647166032</c:v>
                </c:pt>
                <c:pt idx="643">
                  <c:v>0.9945220321536492</c:v>
                </c:pt>
                <c:pt idx="644">
                  <c:v>0.98792129558736419</c:v>
                </c:pt>
                <c:pt idx="645">
                  <c:v>0.91514844028361753</c:v>
                </c:pt>
                <c:pt idx="646">
                  <c:v>0.96735870877931562</c:v>
                </c:pt>
                <c:pt idx="647">
                  <c:v>0.99966790259748628</c:v>
                </c:pt>
                <c:pt idx="648">
                  <c:v>0.96450065298188814</c:v>
                </c:pt>
                <c:pt idx="649">
                  <c:v>0.99843180805906806</c:v>
                </c:pt>
                <c:pt idx="650">
                  <c:v>0.97898019965978955</c:v>
                </c:pt>
                <c:pt idx="651">
                  <c:v>0.99922528143590694</c:v>
                </c:pt>
                <c:pt idx="652">
                  <c:v>0.99860071859269017</c:v>
                </c:pt>
                <c:pt idx="653">
                  <c:v>0.96589153778355352</c:v>
                </c:pt>
                <c:pt idx="654">
                  <c:v>0.9984585702345864</c:v>
                </c:pt>
                <c:pt idx="655">
                  <c:v>0.98993633982194174</c:v>
                </c:pt>
                <c:pt idx="656">
                  <c:v>0.98101864453462673</c:v>
                </c:pt>
                <c:pt idx="657">
                  <c:v>0.98100206494139419</c:v>
                </c:pt>
                <c:pt idx="658">
                  <c:v>0.98481967549014859</c:v>
                </c:pt>
                <c:pt idx="659">
                  <c:v>0.99226429770580427</c:v>
                </c:pt>
                <c:pt idx="660">
                  <c:v>0.98420676150315312</c:v>
                </c:pt>
                <c:pt idx="661">
                  <c:v>0.98248093022427185</c:v>
                </c:pt>
                <c:pt idx="662">
                  <c:v>0.98691851729833813</c:v>
                </c:pt>
                <c:pt idx="663">
                  <c:v>0.98159280142941963</c:v>
                </c:pt>
                <c:pt idx="664">
                  <c:v>0.94003103567752722</c:v>
                </c:pt>
                <c:pt idx="665">
                  <c:v>0.99697116838937117</c:v>
                </c:pt>
                <c:pt idx="666">
                  <c:v>0.99557805281723266</c:v>
                </c:pt>
                <c:pt idx="667">
                  <c:v>0.98554209136377269</c:v>
                </c:pt>
                <c:pt idx="668">
                  <c:v>0.98889618044612682</c:v>
                </c:pt>
                <c:pt idx="669">
                  <c:v>0.99800551064338761</c:v>
                </c:pt>
                <c:pt idx="670">
                  <c:v>0.99459139613605863</c:v>
                </c:pt>
                <c:pt idx="671">
                  <c:v>0.98963866582208782</c:v>
                </c:pt>
                <c:pt idx="672">
                  <c:v>0.98575904147991189</c:v>
                </c:pt>
                <c:pt idx="673">
                  <c:v>0.99250947088071584</c:v>
                </c:pt>
                <c:pt idx="674">
                  <c:v>0.99820062294573109</c:v>
                </c:pt>
                <c:pt idx="675">
                  <c:v>0.98123209449212001</c:v>
                </c:pt>
                <c:pt idx="676">
                  <c:v>0.94669202544216124</c:v>
                </c:pt>
                <c:pt idx="677">
                  <c:v>0.99971653784425196</c:v>
                </c:pt>
                <c:pt idx="678">
                  <c:v>0.99036812171067601</c:v>
                </c:pt>
                <c:pt idx="679">
                  <c:v>0.9924875094578316</c:v>
                </c:pt>
                <c:pt idx="680">
                  <c:v>0.9990854184716278</c:v>
                </c:pt>
                <c:pt idx="681">
                  <c:v>0.95422676877289814</c:v>
                </c:pt>
                <c:pt idx="682">
                  <c:v>0.99074731045323361</c:v>
                </c:pt>
                <c:pt idx="683">
                  <c:v>0.97501956239310295</c:v>
                </c:pt>
                <c:pt idx="684">
                  <c:v>0.99712742736638038</c:v>
                </c:pt>
                <c:pt idx="685">
                  <c:v>0.98307158458819766</c:v>
                </c:pt>
                <c:pt idx="686">
                  <c:v>0.99224103205405367</c:v>
                </c:pt>
                <c:pt idx="687">
                  <c:v>0.95303770384239628</c:v>
                </c:pt>
                <c:pt idx="688">
                  <c:v>0.99491938604942132</c:v>
                </c:pt>
                <c:pt idx="689">
                  <c:v>0.99551473440161431</c:v>
                </c:pt>
                <c:pt idx="690">
                  <c:v>0.98337070607097599</c:v>
                </c:pt>
                <c:pt idx="691">
                  <c:v>0.93763027239168051</c:v>
                </c:pt>
                <c:pt idx="692">
                  <c:v>0.99993978179590548</c:v>
                </c:pt>
                <c:pt idx="693">
                  <c:v>0.95146100177992698</c:v>
                </c:pt>
                <c:pt idx="694">
                  <c:v>0.99036414332625411</c:v>
                </c:pt>
                <c:pt idx="695">
                  <c:v>0.99753954037959769</c:v>
                </c:pt>
                <c:pt idx="696">
                  <c:v>0.96447448085660115</c:v>
                </c:pt>
                <c:pt idx="697">
                  <c:v>0.98948247811318912</c:v>
                </c:pt>
                <c:pt idx="698">
                  <c:v>0.9771051729718232</c:v>
                </c:pt>
                <c:pt idx="699">
                  <c:v>0.95583403001519707</c:v>
                </c:pt>
                <c:pt idx="700">
                  <c:v>0.9981411205968661</c:v>
                </c:pt>
                <c:pt idx="701">
                  <c:v>0.99219922171857489</c:v>
                </c:pt>
                <c:pt idx="702">
                  <c:v>0.98815350633511223</c:v>
                </c:pt>
                <c:pt idx="703">
                  <c:v>0.96092668961423011</c:v>
                </c:pt>
                <c:pt idx="704">
                  <c:v>0.97907093909093612</c:v>
                </c:pt>
                <c:pt idx="705">
                  <c:v>0.99344384176681921</c:v>
                </c:pt>
                <c:pt idx="706">
                  <c:v>0.99082770120606012</c:v>
                </c:pt>
                <c:pt idx="707">
                  <c:v>0.92717727205473266</c:v>
                </c:pt>
                <c:pt idx="708">
                  <c:v>0.97957306052903825</c:v>
                </c:pt>
                <c:pt idx="709">
                  <c:v>0.98824264812228946</c:v>
                </c:pt>
                <c:pt idx="710">
                  <c:v>0.99362184828550182</c:v>
                </c:pt>
                <c:pt idx="711">
                  <c:v>0.96111943817082324</c:v>
                </c:pt>
                <c:pt idx="712">
                  <c:v>0.99544771707465807</c:v>
                </c:pt>
                <c:pt idx="713">
                  <c:v>0.99531644962406518</c:v>
                </c:pt>
                <c:pt idx="714">
                  <c:v>0.95100286808961754</c:v>
                </c:pt>
                <c:pt idx="715">
                  <c:v>0.9820014339126375</c:v>
                </c:pt>
                <c:pt idx="716">
                  <c:v>0.95223379103035943</c:v>
                </c:pt>
                <c:pt idx="717">
                  <c:v>0.99692922318788901</c:v>
                </c:pt>
                <c:pt idx="718">
                  <c:v>0.98286838630771489</c:v>
                </c:pt>
                <c:pt idx="719">
                  <c:v>0.96976101723494301</c:v>
                </c:pt>
                <c:pt idx="720">
                  <c:v>0.94213359353605919</c:v>
                </c:pt>
                <c:pt idx="721">
                  <c:v>0.99771494548675288</c:v>
                </c:pt>
                <c:pt idx="722">
                  <c:v>0.99121279764762871</c:v>
                </c:pt>
                <c:pt idx="723">
                  <c:v>0.96910136524272961</c:v>
                </c:pt>
                <c:pt idx="724">
                  <c:v>0.99845250126087481</c:v>
                </c:pt>
                <c:pt idx="725">
                  <c:v>0.88985008880921701</c:v>
                </c:pt>
                <c:pt idx="726">
                  <c:v>0.98420036726877769</c:v>
                </c:pt>
                <c:pt idx="727">
                  <c:v>0.96862743977984034</c:v>
                </c:pt>
                <c:pt idx="728">
                  <c:v>0.99146321933441073</c:v>
                </c:pt>
                <c:pt idx="729">
                  <c:v>0.96140710325968992</c:v>
                </c:pt>
                <c:pt idx="730">
                  <c:v>0.99658252921978296</c:v>
                </c:pt>
                <c:pt idx="731">
                  <c:v>0.99962757399273294</c:v>
                </c:pt>
                <c:pt idx="732">
                  <c:v>0.93432079268400769</c:v>
                </c:pt>
                <c:pt idx="733">
                  <c:v>0.99386061739796072</c:v>
                </c:pt>
                <c:pt idx="734">
                  <c:v>0.98429300956822108</c:v>
                </c:pt>
                <c:pt idx="735">
                  <c:v>0.94463165929226156</c:v>
                </c:pt>
                <c:pt idx="736">
                  <c:v>0.96586323491689752</c:v>
                </c:pt>
                <c:pt idx="737">
                  <c:v>0.99497963710215065</c:v>
                </c:pt>
                <c:pt idx="738">
                  <c:v>0.98938375062716322</c:v>
                </c:pt>
                <c:pt idx="739">
                  <c:v>0.99771208144418799</c:v>
                </c:pt>
                <c:pt idx="740">
                  <c:v>0.99876763829766746</c:v>
                </c:pt>
                <c:pt idx="741">
                  <c:v>0.99330264827371006</c:v>
                </c:pt>
                <c:pt idx="742">
                  <c:v>0.99733216973782557</c:v>
                </c:pt>
                <c:pt idx="743">
                  <c:v>0.99963790214636983</c:v>
                </c:pt>
                <c:pt idx="744">
                  <c:v>0.99453148992501095</c:v>
                </c:pt>
                <c:pt idx="745">
                  <c:v>0.99117413094734041</c:v>
                </c:pt>
                <c:pt idx="746">
                  <c:v>0.98405255474649256</c:v>
                </c:pt>
                <c:pt idx="747">
                  <c:v>0.96097514830781372</c:v>
                </c:pt>
                <c:pt idx="748">
                  <c:v>0.96733154544685007</c:v>
                </c:pt>
                <c:pt idx="749">
                  <c:v>0.98013177210477831</c:v>
                </c:pt>
                <c:pt idx="750">
                  <c:v>0.98616283186897002</c:v>
                </c:pt>
                <c:pt idx="751">
                  <c:v>0.9867762158704253</c:v>
                </c:pt>
                <c:pt idx="752">
                  <c:v>0.99657819227607303</c:v>
                </c:pt>
                <c:pt idx="753">
                  <c:v>0.94662294724719698</c:v>
                </c:pt>
                <c:pt idx="754">
                  <c:v>0.9908963203058857</c:v>
                </c:pt>
                <c:pt idx="755">
                  <c:v>0.99721098166985178</c:v>
                </c:pt>
                <c:pt idx="756">
                  <c:v>0.99710100976546645</c:v>
                </c:pt>
                <c:pt idx="757">
                  <c:v>0.96619136962719909</c:v>
                </c:pt>
                <c:pt idx="758">
                  <c:v>0.98456096682188265</c:v>
                </c:pt>
                <c:pt idx="759">
                  <c:v>0.9989723162422065</c:v>
                </c:pt>
                <c:pt idx="760">
                  <c:v>0.99542331450302191</c:v>
                </c:pt>
                <c:pt idx="761">
                  <c:v>0.99617021152022944</c:v>
                </c:pt>
                <c:pt idx="762">
                  <c:v>0.99844787295162574</c:v>
                </c:pt>
                <c:pt idx="763">
                  <c:v>0.99512499308332936</c:v>
                </c:pt>
                <c:pt idx="764">
                  <c:v>0.99757677044514481</c:v>
                </c:pt>
                <c:pt idx="765">
                  <c:v>0.98572414282490661</c:v>
                </c:pt>
                <c:pt idx="766">
                  <c:v>0.9930910070398612</c:v>
                </c:pt>
                <c:pt idx="767">
                  <c:v>0.99541150771104936</c:v>
                </c:pt>
                <c:pt idx="768">
                  <c:v>0.9926564805748882</c:v>
                </c:pt>
                <c:pt idx="769">
                  <c:v>0.98836880824324358</c:v>
                </c:pt>
                <c:pt idx="770">
                  <c:v>0.99382340353710663</c:v>
                </c:pt>
                <c:pt idx="771">
                  <c:v>0.97715668796871369</c:v>
                </c:pt>
                <c:pt idx="772">
                  <c:v>0.996535493453377</c:v>
                </c:pt>
                <c:pt idx="773">
                  <c:v>0.95743940853591258</c:v>
                </c:pt>
                <c:pt idx="774">
                  <c:v>0.99986979358937755</c:v>
                </c:pt>
                <c:pt idx="775">
                  <c:v>0.96499427471841714</c:v>
                </c:pt>
                <c:pt idx="776">
                  <c:v>0.99992631153264311</c:v>
                </c:pt>
                <c:pt idx="777">
                  <c:v>0.98637212270618813</c:v>
                </c:pt>
                <c:pt idx="778">
                  <c:v>0.99767267189969333</c:v>
                </c:pt>
                <c:pt idx="779">
                  <c:v>0.99878005284821614</c:v>
                </c:pt>
                <c:pt idx="780">
                  <c:v>0.9277913651252836</c:v>
                </c:pt>
                <c:pt idx="781">
                  <c:v>0.99834624419725959</c:v>
                </c:pt>
                <c:pt idx="782">
                  <c:v>0.99723629336041242</c:v>
                </c:pt>
                <c:pt idx="783">
                  <c:v>0.98152467768290386</c:v>
                </c:pt>
                <c:pt idx="784">
                  <c:v>0.99820396901155517</c:v>
                </c:pt>
                <c:pt idx="785">
                  <c:v>0.99092662725034886</c:v>
                </c:pt>
                <c:pt idx="786">
                  <c:v>0.99396789706812028</c:v>
                </c:pt>
                <c:pt idx="787">
                  <c:v>0.96728841641411623</c:v>
                </c:pt>
                <c:pt idx="788">
                  <c:v>0.96995485527037728</c:v>
                </c:pt>
                <c:pt idx="789">
                  <c:v>0.95655769482726749</c:v>
                </c:pt>
                <c:pt idx="790">
                  <c:v>0.98073314319199711</c:v>
                </c:pt>
                <c:pt idx="791">
                  <c:v>0.98999627912022492</c:v>
                </c:pt>
                <c:pt idx="792">
                  <c:v>0.98432399909401402</c:v>
                </c:pt>
                <c:pt idx="793">
                  <c:v>0.98853868941996337</c:v>
                </c:pt>
                <c:pt idx="794">
                  <c:v>0.99234078236599177</c:v>
                </c:pt>
                <c:pt idx="795">
                  <c:v>0.99695412826075824</c:v>
                </c:pt>
                <c:pt idx="796">
                  <c:v>0.99292813983428507</c:v>
                </c:pt>
                <c:pt idx="797">
                  <c:v>0.98947333530551607</c:v>
                </c:pt>
                <c:pt idx="798">
                  <c:v>0.98754611164501083</c:v>
                </c:pt>
                <c:pt idx="799">
                  <c:v>0.99490111992233143</c:v>
                </c:pt>
                <c:pt idx="800">
                  <c:v>0.99224630778956158</c:v>
                </c:pt>
                <c:pt idx="801">
                  <c:v>0.99993329009559662</c:v>
                </c:pt>
                <c:pt idx="802">
                  <c:v>0.98282755053975823</c:v>
                </c:pt>
                <c:pt idx="803">
                  <c:v>0.96107887540508263</c:v>
                </c:pt>
                <c:pt idx="804">
                  <c:v>0.99092802203606978</c:v>
                </c:pt>
                <c:pt idx="805">
                  <c:v>0.97854182833305348</c:v>
                </c:pt>
                <c:pt idx="806">
                  <c:v>0.99164549792003887</c:v>
                </c:pt>
                <c:pt idx="807">
                  <c:v>0.93388197039967946</c:v>
                </c:pt>
                <c:pt idx="808">
                  <c:v>0.98836174639070151</c:v>
                </c:pt>
                <c:pt idx="809">
                  <c:v>0.99954275531238401</c:v>
                </c:pt>
                <c:pt idx="810">
                  <c:v>0.98525413814275731</c:v>
                </c:pt>
                <c:pt idx="811">
                  <c:v>0.99938679375662776</c:v>
                </c:pt>
                <c:pt idx="812">
                  <c:v>0.99075686156422527</c:v>
                </c:pt>
                <c:pt idx="813">
                  <c:v>0.99427126978450664</c:v>
                </c:pt>
                <c:pt idx="814">
                  <c:v>0.98858716488390452</c:v>
                </c:pt>
                <c:pt idx="815">
                  <c:v>0.98000165665864469</c:v>
                </c:pt>
                <c:pt idx="816">
                  <c:v>0.99974378912725226</c:v>
                </c:pt>
                <c:pt idx="817">
                  <c:v>0.98947358889071724</c:v>
                </c:pt>
                <c:pt idx="818">
                  <c:v>0.98313596837993977</c:v>
                </c:pt>
                <c:pt idx="819">
                  <c:v>0.99668366384156748</c:v>
                </c:pt>
                <c:pt idx="820">
                  <c:v>0.98768450742769209</c:v>
                </c:pt>
                <c:pt idx="821">
                  <c:v>0.99498988008152356</c:v>
                </c:pt>
                <c:pt idx="822">
                  <c:v>0.9734719889908251</c:v>
                </c:pt>
                <c:pt idx="823">
                  <c:v>0.96417355044771413</c:v>
                </c:pt>
                <c:pt idx="824">
                  <c:v>0.98445486161399631</c:v>
                </c:pt>
                <c:pt idx="825">
                  <c:v>0.98551171243923108</c:v>
                </c:pt>
                <c:pt idx="826">
                  <c:v>0.98074696700380659</c:v>
                </c:pt>
                <c:pt idx="827">
                  <c:v>0.99954840679507717</c:v>
                </c:pt>
                <c:pt idx="828">
                  <c:v>0.97926308219408964</c:v>
                </c:pt>
                <c:pt idx="829">
                  <c:v>0.99823271851688211</c:v>
                </c:pt>
                <c:pt idx="830">
                  <c:v>0.93908473979340623</c:v>
                </c:pt>
                <c:pt idx="831">
                  <c:v>0.97923914341134222</c:v>
                </c:pt>
                <c:pt idx="832">
                  <c:v>0.99693729131276543</c:v>
                </c:pt>
                <c:pt idx="833">
                  <c:v>0.99661524693625303</c:v>
                </c:pt>
                <c:pt idx="834">
                  <c:v>0.9093925764608487</c:v>
                </c:pt>
                <c:pt idx="835">
                  <c:v>0.99469878862054661</c:v>
                </c:pt>
                <c:pt idx="836">
                  <c:v>0.992641872322374</c:v>
                </c:pt>
                <c:pt idx="837">
                  <c:v>0.98357181881510469</c:v>
                </c:pt>
                <c:pt idx="838">
                  <c:v>0.95922227491649292</c:v>
                </c:pt>
                <c:pt idx="839">
                  <c:v>0.95728618084678452</c:v>
                </c:pt>
                <c:pt idx="840">
                  <c:v>0.94933285171606052</c:v>
                </c:pt>
                <c:pt idx="841">
                  <c:v>0.99377710109252138</c:v>
                </c:pt>
                <c:pt idx="842">
                  <c:v>0.97382005787972847</c:v>
                </c:pt>
                <c:pt idx="843">
                  <c:v>0.99699174904150178</c:v>
                </c:pt>
                <c:pt idx="844">
                  <c:v>0.99381655241441991</c:v>
                </c:pt>
                <c:pt idx="845">
                  <c:v>0.99199130695860394</c:v>
                </c:pt>
                <c:pt idx="846">
                  <c:v>0.96900666524446433</c:v>
                </c:pt>
                <c:pt idx="847">
                  <c:v>0.99984821890401665</c:v>
                </c:pt>
                <c:pt idx="848">
                  <c:v>0.99224907235655069</c:v>
                </c:pt>
                <c:pt idx="849">
                  <c:v>0.9699025645303998</c:v>
                </c:pt>
                <c:pt idx="850">
                  <c:v>0.97399646007696783</c:v>
                </c:pt>
                <c:pt idx="851">
                  <c:v>0.99193326602843868</c:v>
                </c:pt>
                <c:pt idx="852">
                  <c:v>0.99951606692345984</c:v>
                </c:pt>
                <c:pt idx="853">
                  <c:v>0.98661134996494815</c:v>
                </c:pt>
                <c:pt idx="854">
                  <c:v>0.99775509713019961</c:v>
                </c:pt>
                <c:pt idx="855">
                  <c:v>0.99441898554691599</c:v>
                </c:pt>
                <c:pt idx="856">
                  <c:v>0.99381880325190664</c:v>
                </c:pt>
                <c:pt idx="857">
                  <c:v>0.99564508682044162</c:v>
                </c:pt>
                <c:pt idx="858">
                  <c:v>0.98888485574670948</c:v>
                </c:pt>
                <c:pt idx="859">
                  <c:v>0.97246821474208189</c:v>
                </c:pt>
                <c:pt idx="860">
                  <c:v>0.99587481951226242</c:v>
                </c:pt>
                <c:pt idx="861">
                  <c:v>0.97135715439230663</c:v>
                </c:pt>
                <c:pt idx="862">
                  <c:v>0.99385947540008668</c:v>
                </c:pt>
                <c:pt idx="863">
                  <c:v>0.87724447391298388</c:v>
                </c:pt>
                <c:pt idx="864">
                  <c:v>0.97431409841750571</c:v>
                </c:pt>
                <c:pt idx="865">
                  <c:v>0.96134882319558246</c:v>
                </c:pt>
                <c:pt idx="866">
                  <c:v>0.99906426958740435</c:v>
                </c:pt>
                <c:pt idx="867">
                  <c:v>0.99951503799615937</c:v>
                </c:pt>
                <c:pt idx="868">
                  <c:v>0.98594489032034616</c:v>
                </c:pt>
                <c:pt idx="869">
                  <c:v>0.96662873234899782</c:v>
                </c:pt>
                <c:pt idx="870">
                  <c:v>0.97633610549204419</c:v>
                </c:pt>
                <c:pt idx="871">
                  <c:v>0.97302599739298845</c:v>
                </c:pt>
                <c:pt idx="872">
                  <c:v>0.97920717837630733</c:v>
                </c:pt>
                <c:pt idx="873">
                  <c:v>0.97560428893311002</c:v>
                </c:pt>
                <c:pt idx="874">
                  <c:v>0.99363932285396117</c:v>
                </c:pt>
                <c:pt idx="875">
                  <c:v>0.97964891597390846</c:v>
                </c:pt>
                <c:pt idx="876">
                  <c:v>0.95418636233539167</c:v>
                </c:pt>
                <c:pt idx="877">
                  <c:v>0.99788610605515771</c:v>
                </c:pt>
                <c:pt idx="878">
                  <c:v>0.9780915269193351</c:v>
                </c:pt>
                <c:pt idx="879">
                  <c:v>0.98527617287280178</c:v>
                </c:pt>
                <c:pt idx="880">
                  <c:v>0.99921687480769816</c:v>
                </c:pt>
                <c:pt idx="881">
                  <c:v>0.99391356619716031</c:v>
                </c:pt>
                <c:pt idx="882">
                  <c:v>0.98876082995360304</c:v>
                </c:pt>
                <c:pt idx="883">
                  <c:v>0.97801746258604361</c:v>
                </c:pt>
                <c:pt idx="884">
                  <c:v>0.99033859409630298</c:v>
                </c:pt>
                <c:pt idx="885">
                  <c:v>0.96527568611423542</c:v>
                </c:pt>
                <c:pt idx="886">
                  <c:v>0.99887857284550863</c:v>
                </c:pt>
                <c:pt idx="887">
                  <c:v>0.98110239482667427</c:v>
                </c:pt>
                <c:pt idx="888">
                  <c:v>0.99549029278806167</c:v>
                </c:pt>
                <c:pt idx="889">
                  <c:v>0.99889820252186046</c:v>
                </c:pt>
                <c:pt idx="890">
                  <c:v>0.99908035727363476</c:v>
                </c:pt>
                <c:pt idx="891">
                  <c:v>0.99691508448300403</c:v>
                </c:pt>
                <c:pt idx="892">
                  <c:v>0.98148320790535692</c:v>
                </c:pt>
                <c:pt idx="893">
                  <c:v>0.9960212234053103</c:v>
                </c:pt>
                <c:pt idx="894">
                  <c:v>0.99934024946732236</c:v>
                </c:pt>
                <c:pt idx="895">
                  <c:v>0.99860770342759175</c:v>
                </c:pt>
                <c:pt idx="896">
                  <c:v>0.98461434267220871</c:v>
                </c:pt>
                <c:pt idx="897">
                  <c:v>0.9785830453824339</c:v>
                </c:pt>
                <c:pt idx="898">
                  <c:v>0.98945333312373784</c:v>
                </c:pt>
                <c:pt idx="899">
                  <c:v>0.93897553291619051</c:v>
                </c:pt>
                <c:pt idx="900">
                  <c:v>0.99240132097483857</c:v>
                </c:pt>
                <c:pt idx="901">
                  <c:v>0.9730898936214013</c:v>
                </c:pt>
                <c:pt idx="902">
                  <c:v>0.99828751241269875</c:v>
                </c:pt>
                <c:pt idx="903">
                  <c:v>0.96511446386772837</c:v>
                </c:pt>
                <c:pt idx="904">
                  <c:v>0.98504460583874542</c:v>
                </c:pt>
                <c:pt idx="905">
                  <c:v>0.97647855620717061</c:v>
                </c:pt>
                <c:pt idx="906">
                  <c:v>0.98667872563635017</c:v>
                </c:pt>
                <c:pt idx="907">
                  <c:v>0.99571772719300833</c:v>
                </c:pt>
                <c:pt idx="908">
                  <c:v>0.99541312978850016</c:v>
                </c:pt>
                <c:pt idx="909">
                  <c:v>0.99415161540150254</c:v>
                </c:pt>
                <c:pt idx="910">
                  <c:v>0.99555275800572107</c:v>
                </c:pt>
                <c:pt idx="911">
                  <c:v>0.99820754259040567</c:v>
                </c:pt>
                <c:pt idx="912">
                  <c:v>0.9903506745088746</c:v>
                </c:pt>
                <c:pt idx="913">
                  <c:v>0.95094263696198056</c:v>
                </c:pt>
                <c:pt idx="914">
                  <c:v>0.97925765823400346</c:v>
                </c:pt>
                <c:pt idx="915">
                  <c:v>0.99496275379625199</c:v>
                </c:pt>
                <c:pt idx="916">
                  <c:v>0.98058644578823229</c:v>
                </c:pt>
                <c:pt idx="917">
                  <c:v>0.98280431500128229</c:v>
                </c:pt>
                <c:pt idx="918">
                  <c:v>0.98153755448723778</c:v>
                </c:pt>
                <c:pt idx="919">
                  <c:v>0.99757080175368351</c:v>
                </c:pt>
                <c:pt idx="920">
                  <c:v>0.95148339723863695</c:v>
                </c:pt>
                <c:pt idx="921">
                  <c:v>0.99072477593006536</c:v>
                </c:pt>
                <c:pt idx="922">
                  <c:v>0.91855733949381413</c:v>
                </c:pt>
                <c:pt idx="923">
                  <c:v>0.99126740861126683</c:v>
                </c:pt>
                <c:pt idx="924">
                  <c:v>0.9990055875429229</c:v>
                </c:pt>
                <c:pt idx="925">
                  <c:v>0.98599968786522763</c:v>
                </c:pt>
                <c:pt idx="926">
                  <c:v>0.94462355807094622</c:v>
                </c:pt>
                <c:pt idx="927">
                  <c:v>0.99858525635910078</c:v>
                </c:pt>
                <c:pt idx="928">
                  <c:v>0.9750887337228229</c:v>
                </c:pt>
                <c:pt idx="929">
                  <c:v>0.95468183736688794</c:v>
                </c:pt>
                <c:pt idx="930">
                  <c:v>0.99084237490183591</c:v>
                </c:pt>
                <c:pt idx="931">
                  <c:v>0.99524305344296626</c:v>
                </c:pt>
                <c:pt idx="932">
                  <c:v>0.96350123692720357</c:v>
                </c:pt>
                <c:pt idx="933">
                  <c:v>0.98797989194021962</c:v>
                </c:pt>
                <c:pt idx="934">
                  <c:v>0.99639010989956911</c:v>
                </c:pt>
                <c:pt idx="935">
                  <c:v>0.97321606749093392</c:v>
                </c:pt>
                <c:pt idx="936">
                  <c:v>0.99835051848173728</c:v>
                </c:pt>
                <c:pt idx="937">
                  <c:v>0.98919859768537577</c:v>
                </c:pt>
                <c:pt idx="938">
                  <c:v>0.98383178877662214</c:v>
                </c:pt>
                <c:pt idx="939">
                  <c:v>0.99969796472190309</c:v>
                </c:pt>
                <c:pt idx="940">
                  <c:v>0.96417354625307505</c:v>
                </c:pt>
                <c:pt idx="941">
                  <c:v>0.98292494108720807</c:v>
                </c:pt>
                <c:pt idx="942">
                  <c:v>0.99763359236725024</c:v>
                </c:pt>
                <c:pt idx="943">
                  <c:v>0.99526261660155479</c:v>
                </c:pt>
                <c:pt idx="944">
                  <c:v>0.9506356437677097</c:v>
                </c:pt>
                <c:pt idx="945">
                  <c:v>0.92578589825732682</c:v>
                </c:pt>
                <c:pt idx="946">
                  <c:v>0.96727509224144237</c:v>
                </c:pt>
                <c:pt idx="947">
                  <c:v>0.99828418948402242</c:v>
                </c:pt>
                <c:pt idx="948">
                  <c:v>0.9889601658556737</c:v>
                </c:pt>
                <c:pt idx="949">
                  <c:v>0.99117473811356605</c:v>
                </c:pt>
                <c:pt idx="950">
                  <c:v>0.99342144611763739</c:v>
                </c:pt>
                <c:pt idx="951">
                  <c:v>0.99990390997968814</c:v>
                </c:pt>
                <c:pt idx="952">
                  <c:v>0.9988478713451564</c:v>
                </c:pt>
                <c:pt idx="953">
                  <c:v>0.99942245170149324</c:v>
                </c:pt>
                <c:pt idx="954">
                  <c:v>0.99938087732032166</c:v>
                </c:pt>
                <c:pt idx="955">
                  <c:v>0.94509489755929665</c:v>
                </c:pt>
                <c:pt idx="956">
                  <c:v>0.97185041734844424</c:v>
                </c:pt>
                <c:pt idx="957">
                  <c:v>0.96416578373888562</c:v>
                </c:pt>
                <c:pt idx="958">
                  <c:v>0.99977057922602175</c:v>
                </c:pt>
                <c:pt idx="959">
                  <c:v>0.94948753916920225</c:v>
                </c:pt>
                <c:pt idx="960">
                  <c:v>0.96797103931807171</c:v>
                </c:pt>
                <c:pt idx="961">
                  <c:v>0.98988795251462358</c:v>
                </c:pt>
                <c:pt idx="962">
                  <c:v>0.96688954047314191</c:v>
                </c:pt>
                <c:pt idx="963">
                  <c:v>0.99466765599503359</c:v>
                </c:pt>
                <c:pt idx="964">
                  <c:v>0.99175511592226007</c:v>
                </c:pt>
                <c:pt idx="965">
                  <c:v>0.98294341862840651</c:v>
                </c:pt>
                <c:pt idx="966">
                  <c:v>0.99209277619919212</c:v>
                </c:pt>
                <c:pt idx="967">
                  <c:v>0.98542352895343466</c:v>
                </c:pt>
                <c:pt idx="968">
                  <c:v>0.99022003471734255</c:v>
                </c:pt>
                <c:pt idx="969">
                  <c:v>0.98861562442600237</c:v>
                </c:pt>
                <c:pt idx="970">
                  <c:v>0.94825218468230954</c:v>
                </c:pt>
                <c:pt idx="971">
                  <c:v>0.97780956497007676</c:v>
                </c:pt>
                <c:pt idx="972">
                  <c:v>0.9966052529172309</c:v>
                </c:pt>
                <c:pt idx="973">
                  <c:v>0.99406954666386349</c:v>
                </c:pt>
                <c:pt idx="974">
                  <c:v>0.98748820817719929</c:v>
                </c:pt>
                <c:pt idx="975">
                  <c:v>0.99649149556423822</c:v>
                </c:pt>
                <c:pt idx="976">
                  <c:v>0.99976889110381295</c:v>
                </c:pt>
                <c:pt idx="977">
                  <c:v>0.98593097623849757</c:v>
                </c:pt>
                <c:pt idx="978">
                  <c:v>0.99542260467741828</c:v>
                </c:pt>
                <c:pt idx="979">
                  <c:v>0.94943322641592831</c:v>
                </c:pt>
                <c:pt idx="980">
                  <c:v>0.94662958719804202</c:v>
                </c:pt>
                <c:pt idx="981">
                  <c:v>0.99374743237071628</c:v>
                </c:pt>
                <c:pt idx="982">
                  <c:v>0.98940900410338306</c:v>
                </c:pt>
                <c:pt idx="983">
                  <c:v>0.98144849485513563</c:v>
                </c:pt>
                <c:pt idx="984">
                  <c:v>0.99951109044163755</c:v>
                </c:pt>
                <c:pt idx="985">
                  <c:v>0.99930740718481859</c:v>
                </c:pt>
                <c:pt idx="986">
                  <c:v>0.99794613802220256</c:v>
                </c:pt>
                <c:pt idx="987">
                  <c:v>0.95726658540973442</c:v>
                </c:pt>
                <c:pt idx="988">
                  <c:v>0.99856707791409149</c:v>
                </c:pt>
                <c:pt idx="989">
                  <c:v>0.99459262033707529</c:v>
                </c:pt>
                <c:pt idx="990">
                  <c:v>0.99918807800087472</c:v>
                </c:pt>
                <c:pt idx="991">
                  <c:v>0.9814343221705859</c:v>
                </c:pt>
                <c:pt idx="992">
                  <c:v>0.98775723319262632</c:v>
                </c:pt>
                <c:pt idx="993">
                  <c:v>0.99951908411014223</c:v>
                </c:pt>
                <c:pt idx="994">
                  <c:v>0.99230872284305327</c:v>
                </c:pt>
                <c:pt idx="995">
                  <c:v>0.93066255028330624</c:v>
                </c:pt>
                <c:pt idx="996">
                  <c:v>0.92980518848958893</c:v>
                </c:pt>
                <c:pt idx="997">
                  <c:v>0.96039735152637185</c:v>
                </c:pt>
                <c:pt idx="998">
                  <c:v>0.98238237034637876</c:v>
                </c:pt>
                <c:pt idx="999">
                  <c:v>0.9837213654993372</c:v>
                </c:pt>
              </c:numCache>
            </c:numRef>
          </c:xVal>
          <c:yVal>
            <c:numRef>
              <c:f>'MC Results'!$D$8:$D$1007</c:f>
              <c:numCache>
                <c:formatCode>"$"#,##0</c:formatCode>
                <c:ptCount val="1000"/>
                <c:pt idx="0">
                  <c:v>19083.444189238158</c:v>
                </c:pt>
                <c:pt idx="1">
                  <c:v>15991.632456619873</c:v>
                </c:pt>
                <c:pt idx="2">
                  <c:v>18535.991159044876</c:v>
                </c:pt>
                <c:pt idx="3">
                  <c:v>18744.684858473498</c:v>
                </c:pt>
                <c:pt idx="4">
                  <c:v>16516.075208360668</c:v>
                </c:pt>
                <c:pt idx="5">
                  <c:v>13840.192969886559</c:v>
                </c:pt>
                <c:pt idx="6">
                  <c:v>15429.571721364618</c:v>
                </c:pt>
                <c:pt idx="7">
                  <c:v>15624.496322389417</c:v>
                </c:pt>
                <c:pt idx="8">
                  <c:v>16145.551145594327</c:v>
                </c:pt>
                <c:pt idx="9">
                  <c:v>19163.737071297815</c:v>
                </c:pt>
                <c:pt idx="10">
                  <c:v>15204.837961129224</c:v>
                </c:pt>
                <c:pt idx="11">
                  <c:v>13888.577296803331</c:v>
                </c:pt>
                <c:pt idx="12">
                  <c:v>15023.309672246365</c:v>
                </c:pt>
                <c:pt idx="13">
                  <c:v>19747.148298832446</c:v>
                </c:pt>
                <c:pt idx="14">
                  <c:v>15193.003930990297</c:v>
                </c:pt>
                <c:pt idx="15">
                  <c:v>12249.198030882024</c:v>
                </c:pt>
                <c:pt idx="16">
                  <c:v>15292.276124525843</c:v>
                </c:pt>
                <c:pt idx="17">
                  <c:v>13906.710574969093</c:v>
                </c:pt>
                <c:pt idx="18">
                  <c:v>17223.05991507251</c:v>
                </c:pt>
                <c:pt idx="19">
                  <c:v>14914.306732283163</c:v>
                </c:pt>
                <c:pt idx="20">
                  <c:v>14660.644661393026</c:v>
                </c:pt>
                <c:pt idx="21">
                  <c:v>14516.285519842593</c:v>
                </c:pt>
                <c:pt idx="22">
                  <c:v>15206.515364188717</c:v>
                </c:pt>
                <c:pt idx="23">
                  <c:v>11823.120215866844</c:v>
                </c:pt>
                <c:pt idx="24">
                  <c:v>13330.330170109755</c:v>
                </c:pt>
                <c:pt idx="25">
                  <c:v>18758.869008972317</c:v>
                </c:pt>
                <c:pt idx="26">
                  <c:v>14618.429553225606</c:v>
                </c:pt>
                <c:pt idx="27">
                  <c:v>15883.720292730699</c:v>
                </c:pt>
                <c:pt idx="28">
                  <c:v>15570.962628737596</c:v>
                </c:pt>
                <c:pt idx="29">
                  <c:v>15683.847016297477</c:v>
                </c:pt>
                <c:pt idx="30">
                  <c:v>16669.430092563627</c:v>
                </c:pt>
                <c:pt idx="31">
                  <c:v>15845.813228539166</c:v>
                </c:pt>
                <c:pt idx="32">
                  <c:v>15158.523642181939</c:v>
                </c:pt>
                <c:pt idx="33">
                  <c:v>17645.646553858987</c:v>
                </c:pt>
                <c:pt idx="34">
                  <c:v>13536.302240127732</c:v>
                </c:pt>
                <c:pt idx="35">
                  <c:v>16546.120420125317</c:v>
                </c:pt>
                <c:pt idx="36">
                  <c:v>12178.920518947205</c:v>
                </c:pt>
                <c:pt idx="37">
                  <c:v>17229.65644164864</c:v>
                </c:pt>
                <c:pt idx="38">
                  <c:v>16684.05523620746</c:v>
                </c:pt>
                <c:pt idx="39">
                  <c:v>16140.487934889603</c:v>
                </c:pt>
                <c:pt idx="40">
                  <c:v>12841.556637702055</c:v>
                </c:pt>
                <c:pt idx="41">
                  <c:v>13072.017177277461</c:v>
                </c:pt>
                <c:pt idx="42">
                  <c:v>14098.302009476281</c:v>
                </c:pt>
                <c:pt idx="43">
                  <c:v>14421.024832832538</c:v>
                </c:pt>
                <c:pt idx="44">
                  <c:v>16939.2757786394</c:v>
                </c:pt>
                <c:pt idx="45">
                  <c:v>16940.010741276554</c:v>
                </c:pt>
                <c:pt idx="46">
                  <c:v>18277.728012039028</c:v>
                </c:pt>
                <c:pt idx="47">
                  <c:v>16164.402786022933</c:v>
                </c:pt>
                <c:pt idx="48">
                  <c:v>12270.482225127771</c:v>
                </c:pt>
                <c:pt idx="49">
                  <c:v>17591.17210446591</c:v>
                </c:pt>
                <c:pt idx="50">
                  <c:v>17474.856855916223</c:v>
                </c:pt>
                <c:pt idx="51">
                  <c:v>15659.906127416873</c:v>
                </c:pt>
                <c:pt idx="52">
                  <c:v>13987.453480012722</c:v>
                </c:pt>
                <c:pt idx="53">
                  <c:v>12364.64189375507</c:v>
                </c:pt>
                <c:pt idx="54">
                  <c:v>15198.239615629645</c:v>
                </c:pt>
                <c:pt idx="55">
                  <c:v>17273.356836433944</c:v>
                </c:pt>
                <c:pt idx="56">
                  <c:v>15539.775553073348</c:v>
                </c:pt>
                <c:pt idx="57">
                  <c:v>17396.359348306476</c:v>
                </c:pt>
                <c:pt idx="58">
                  <c:v>13075.053447082981</c:v>
                </c:pt>
                <c:pt idx="59">
                  <c:v>16470.009983082145</c:v>
                </c:pt>
                <c:pt idx="60">
                  <c:v>15448.066046888343</c:v>
                </c:pt>
                <c:pt idx="61">
                  <c:v>14340.496281114229</c:v>
                </c:pt>
                <c:pt idx="62">
                  <c:v>14361.485478579218</c:v>
                </c:pt>
                <c:pt idx="63">
                  <c:v>15082.245327382743</c:v>
                </c:pt>
                <c:pt idx="64">
                  <c:v>14171.65533840906</c:v>
                </c:pt>
                <c:pt idx="65">
                  <c:v>13899.386153264335</c:v>
                </c:pt>
                <c:pt idx="66">
                  <c:v>10971.466363848071</c:v>
                </c:pt>
                <c:pt idx="67">
                  <c:v>13387.348251579584</c:v>
                </c:pt>
                <c:pt idx="68">
                  <c:v>15748.328162846728</c:v>
                </c:pt>
                <c:pt idx="69">
                  <c:v>16691.022839588139</c:v>
                </c:pt>
                <c:pt idx="70">
                  <c:v>16753.249451864704</c:v>
                </c:pt>
                <c:pt idx="71">
                  <c:v>14510.905868758537</c:v>
                </c:pt>
                <c:pt idx="72">
                  <c:v>15912.568202169119</c:v>
                </c:pt>
                <c:pt idx="73">
                  <c:v>13569.505470731032</c:v>
                </c:pt>
                <c:pt idx="74">
                  <c:v>15895.78918829364</c:v>
                </c:pt>
                <c:pt idx="75">
                  <c:v>16622.224562893385</c:v>
                </c:pt>
                <c:pt idx="76">
                  <c:v>15116.50039822239</c:v>
                </c:pt>
                <c:pt idx="77">
                  <c:v>16437.76841720294</c:v>
                </c:pt>
                <c:pt idx="78">
                  <c:v>15193.081224141961</c:v>
                </c:pt>
                <c:pt idx="79">
                  <c:v>15471.485150174</c:v>
                </c:pt>
                <c:pt idx="80">
                  <c:v>15080.426930029969</c:v>
                </c:pt>
                <c:pt idx="81">
                  <c:v>15117.2581360691</c:v>
                </c:pt>
                <c:pt idx="82">
                  <c:v>16305.470362526905</c:v>
                </c:pt>
                <c:pt idx="83">
                  <c:v>14857.249303220078</c:v>
                </c:pt>
                <c:pt idx="84">
                  <c:v>13372.885167406772</c:v>
                </c:pt>
                <c:pt idx="85">
                  <c:v>16186.70799130357</c:v>
                </c:pt>
                <c:pt idx="86">
                  <c:v>11566.86856643705</c:v>
                </c:pt>
                <c:pt idx="87">
                  <c:v>15297.723237009652</c:v>
                </c:pt>
                <c:pt idx="88">
                  <c:v>14250.197226317869</c:v>
                </c:pt>
                <c:pt idx="89">
                  <c:v>17277.811471833604</c:v>
                </c:pt>
                <c:pt idx="90">
                  <c:v>13003.116712518589</c:v>
                </c:pt>
                <c:pt idx="91">
                  <c:v>13240.652919037093</c:v>
                </c:pt>
                <c:pt idx="92">
                  <c:v>12430.496722799575</c:v>
                </c:pt>
                <c:pt idx="93">
                  <c:v>15371.292431048707</c:v>
                </c:pt>
                <c:pt idx="94">
                  <c:v>17768.900241171752</c:v>
                </c:pt>
                <c:pt idx="95">
                  <c:v>13876.526730158908</c:v>
                </c:pt>
                <c:pt idx="96">
                  <c:v>16330.852946542593</c:v>
                </c:pt>
                <c:pt idx="97">
                  <c:v>18744.084019305221</c:v>
                </c:pt>
                <c:pt idx="98">
                  <c:v>17137.437722338622</c:v>
                </c:pt>
                <c:pt idx="99">
                  <c:v>16836.126310868163</c:v>
                </c:pt>
                <c:pt idx="100">
                  <c:v>12871.34050159127</c:v>
                </c:pt>
                <c:pt idx="101">
                  <c:v>18784.29661335508</c:v>
                </c:pt>
                <c:pt idx="102">
                  <c:v>17177.969724261326</c:v>
                </c:pt>
                <c:pt idx="103">
                  <c:v>19131.6720375923</c:v>
                </c:pt>
                <c:pt idx="104">
                  <c:v>12792.037331489315</c:v>
                </c:pt>
                <c:pt idx="105">
                  <c:v>16088.729458052267</c:v>
                </c:pt>
                <c:pt idx="106">
                  <c:v>16432.38770029982</c:v>
                </c:pt>
                <c:pt idx="107">
                  <c:v>13939.851890675292</c:v>
                </c:pt>
                <c:pt idx="108">
                  <c:v>16384.201660364564</c:v>
                </c:pt>
                <c:pt idx="109">
                  <c:v>15363.812872523113</c:v>
                </c:pt>
                <c:pt idx="110">
                  <c:v>17523.867110829346</c:v>
                </c:pt>
                <c:pt idx="111">
                  <c:v>14366.764255809208</c:v>
                </c:pt>
                <c:pt idx="112">
                  <c:v>14727.505212223641</c:v>
                </c:pt>
                <c:pt idx="113">
                  <c:v>13095.272525867687</c:v>
                </c:pt>
                <c:pt idx="114">
                  <c:v>14168.52072460391</c:v>
                </c:pt>
                <c:pt idx="115">
                  <c:v>18197.571255509807</c:v>
                </c:pt>
                <c:pt idx="116">
                  <c:v>18051.311448776276</c:v>
                </c:pt>
                <c:pt idx="117">
                  <c:v>17338.886571839295</c:v>
                </c:pt>
                <c:pt idx="118">
                  <c:v>15637.973506060986</c:v>
                </c:pt>
                <c:pt idx="119">
                  <c:v>14527.406824529917</c:v>
                </c:pt>
                <c:pt idx="120">
                  <c:v>12252.078864175908</c:v>
                </c:pt>
                <c:pt idx="121">
                  <c:v>20021.483318920389</c:v>
                </c:pt>
                <c:pt idx="122">
                  <c:v>14590.991396605124</c:v>
                </c:pt>
                <c:pt idx="123">
                  <c:v>14389.702648771268</c:v>
                </c:pt>
                <c:pt idx="124">
                  <c:v>14253.545754105462</c:v>
                </c:pt>
                <c:pt idx="125">
                  <c:v>16975.472868181645</c:v>
                </c:pt>
                <c:pt idx="126">
                  <c:v>15305.409104374032</c:v>
                </c:pt>
                <c:pt idx="127">
                  <c:v>18531.935268071837</c:v>
                </c:pt>
                <c:pt idx="128">
                  <c:v>13475.392357533217</c:v>
                </c:pt>
                <c:pt idx="129">
                  <c:v>18851.622591982235</c:v>
                </c:pt>
                <c:pt idx="130">
                  <c:v>15803.566798430978</c:v>
                </c:pt>
                <c:pt idx="131">
                  <c:v>14030.904167543325</c:v>
                </c:pt>
                <c:pt idx="132">
                  <c:v>13785.686790389884</c:v>
                </c:pt>
                <c:pt idx="133">
                  <c:v>21832.456570983206</c:v>
                </c:pt>
                <c:pt idx="134">
                  <c:v>15046.776735195272</c:v>
                </c:pt>
                <c:pt idx="135">
                  <c:v>13793.032873161996</c:v>
                </c:pt>
                <c:pt idx="136">
                  <c:v>14705.265124503565</c:v>
                </c:pt>
                <c:pt idx="137">
                  <c:v>15829.232688795948</c:v>
                </c:pt>
                <c:pt idx="138">
                  <c:v>16779.708504655217</c:v>
                </c:pt>
                <c:pt idx="139">
                  <c:v>17185.447470901276</c:v>
                </c:pt>
                <c:pt idx="140">
                  <c:v>12257.525367166962</c:v>
                </c:pt>
                <c:pt idx="141">
                  <c:v>16587.132250639319</c:v>
                </c:pt>
                <c:pt idx="142">
                  <c:v>13297.657383801514</c:v>
                </c:pt>
                <c:pt idx="143">
                  <c:v>14531.849034327795</c:v>
                </c:pt>
                <c:pt idx="144">
                  <c:v>17600.806287101517</c:v>
                </c:pt>
                <c:pt idx="145">
                  <c:v>12663.21585168337</c:v>
                </c:pt>
                <c:pt idx="146">
                  <c:v>16887.21902034535</c:v>
                </c:pt>
                <c:pt idx="147">
                  <c:v>18952.674802816229</c:v>
                </c:pt>
                <c:pt idx="148">
                  <c:v>15908.552214847998</c:v>
                </c:pt>
                <c:pt idx="149">
                  <c:v>17102.677657451375</c:v>
                </c:pt>
                <c:pt idx="150">
                  <c:v>13202.299374505637</c:v>
                </c:pt>
                <c:pt idx="151">
                  <c:v>14615.294711390252</c:v>
                </c:pt>
                <c:pt idx="152">
                  <c:v>16472.733308192452</c:v>
                </c:pt>
                <c:pt idx="153">
                  <c:v>14040.975787742309</c:v>
                </c:pt>
                <c:pt idx="154">
                  <c:v>15773.884889543619</c:v>
                </c:pt>
                <c:pt idx="155">
                  <c:v>14458.017067543451</c:v>
                </c:pt>
                <c:pt idx="156">
                  <c:v>18527.704918719955</c:v>
                </c:pt>
                <c:pt idx="157">
                  <c:v>13617.724124209692</c:v>
                </c:pt>
                <c:pt idx="158">
                  <c:v>13530.8110826918</c:v>
                </c:pt>
                <c:pt idx="159">
                  <c:v>15780.125382397357</c:v>
                </c:pt>
                <c:pt idx="160">
                  <c:v>16921.95838820772</c:v>
                </c:pt>
                <c:pt idx="161">
                  <c:v>13286.143812159595</c:v>
                </c:pt>
                <c:pt idx="162">
                  <c:v>13636.583215301496</c:v>
                </c:pt>
                <c:pt idx="163">
                  <c:v>15986.093826566632</c:v>
                </c:pt>
                <c:pt idx="164">
                  <c:v>16218.324502513413</c:v>
                </c:pt>
                <c:pt idx="165">
                  <c:v>15128.404782394475</c:v>
                </c:pt>
                <c:pt idx="166">
                  <c:v>21633.194143257002</c:v>
                </c:pt>
                <c:pt idx="167">
                  <c:v>13599.988213413253</c:v>
                </c:pt>
                <c:pt idx="168">
                  <c:v>15943.039454570089</c:v>
                </c:pt>
                <c:pt idx="169">
                  <c:v>14495.778285103923</c:v>
                </c:pt>
                <c:pt idx="170">
                  <c:v>14943.931362243331</c:v>
                </c:pt>
                <c:pt idx="171">
                  <c:v>15582.756796820277</c:v>
                </c:pt>
                <c:pt idx="172">
                  <c:v>12266.981318324135</c:v>
                </c:pt>
                <c:pt idx="173">
                  <c:v>19145.242152566276</c:v>
                </c:pt>
                <c:pt idx="174">
                  <c:v>17632.20929929816</c:v>
                </c:pt>
                <c:pt idx="175">
                  <c:v>16167.039857538921</c:v>
                </c:pt>
                <c:pt idx="176">
                  <c:v>17438.835271452197</c:v>
                </c:pt>
                <c:pt idx="177">
                  <c:v>13416.444021103631</c:v>
                </c:pt>
                <c:pt idx="178">
                  <c:v>13616.91618460982</c:v>
                </c:pt>
                <c:pt idx="179">
                  <c:v>12884.386312163662</c:v>
                </c:pt>
                <c:pt idx="180">
                  <c:v>15314.052908406222</c:v>
                </c:pt>
                <c:pt idx="181">
                  <c:v>13916.48180570453</c:v>
                </c:pt>
                <c:pt idx="182">
                  <c:v>15083.927699513362</c:v>
                </c:pt>
                <c:pt idx="183">
                  <c:v>13143.889719078268</c:v>
                </c:pt>
                <c:pt idx="184">
                  <c:v>15609.102213775408</c:v>
                </c:pt>
                <c:pt idx="185">
                  <c:v>18927.774387110978</c:v>
                </c:pt>
                <c:pt idx="186">
                  <c:v>16025.135702035384</c:v>
                </c:pt>
                <c:pt idx="187">
                  <c:v>19714.472865348092</c:v>
                </c:pt>
                <c:pt idx="188">
                  <c:v>15759.393244635052</c:v>
                </c:pt>
                <c:pt idx="189">
                  <c:v>14809.311797613233</c:v>
                </c:pt>
                <c:pt idx="190">
                  <c:v>13289.571643306124</c:v>
                </c:pt>
                <c:pt idx="191">
                  <c:v>14048.70160748849</c:v>
                </c:pt>
                <c:pt idx="192">
                  <c:v>17151.981250242734</c:v>
                </c:pt>
                <c:pt idx="193">
                  <c:v>15148.794940792301</c:v>
                </c:pt>
                <c:pt idx="194">
                  <c:v>16161.040337473187</c:v>
                </c:pt>
                <c:pt idx="195">
                  <c:v>17802.275117124987</c:v>
                </c:pt>
                <c:pt idx="196">
                  <c:v>11604.244074976079</c:v>
                </c:pt>
                <c:pt idx="197">
                  <c:v>15559.268519363974</c:v>
                </c:pt>
                <c:pt idx="198">
                  <c:v>13864.524762520767</c:v>
                </c:pt>
                <c:pt idx="199">
                  <c:v>14192.427731169275</c:v>
                </c:pt>
                <c:pt idx="200">
                  <c:v>16854.097343961384</c:v>
                </c:pt>
                <c:pt idx="201">
                  <c:v>15053.240549627424</c:v>
                </c:pt>
                <c:pt idx="202">
                  <c:v>17116.191937910568</c:v>
                </c:pt>
                <c:pt idx="203">
                  <c:v>12109.486642533851</c:v>
                </c:pt>
                <c:pt idx="204">
                  <c:v>14895.391852038818</c:v>
                </c:pt>
                <c:pt idx="205">
                  <c:v>14736.097997948475</c:v>
                </c:pt>
                <c:pt idx="206">
                  <c:v>16800.051026201396</c:v>
                </c:pt>
                <c:pt idx="207">
                  <c:v>16777.192261514025</c:v>
                </c:pt>
                <c:pt idx="208">
                  <c:v>16625.239558782061</c:v>
                </c:pt>
                <c:pt idx="209">
                  <c:v>16070.829445651852</c:v>
                </c:pt>
                <c:pt idx="210">
                  <c:v>15245.26777833911</c:v>
                </c:pt>
                <c:pt idx="211">
                  <c:v>16618.388039725767</c:v>
                </c:pt>
                <c:pt idx="212">
                  <c:v>14856.130452123925</c:v>
                </c:pt>
                <c:pt idx="213">
                  <c:v>12564.286768947921</c:v>
                </c:pt>
                <c:pt idx="214">
                  <c:v>16907.934595756939</c:v>
                </c:pt>
                <c:pt idx="215">
                  <c:v>15547.075455424265</c:v>
                </c:pt>
                <c:pt idx="216">
                  <c:v>15802.661671890341</c:v>
                </c:pt>
                <c:pt idx="217">
                  <c:v>16367.637988868064</c:v>
                </c:pt>
                <c:pt idx="218">
                  <c:v>13701.173790105157</c:v>
                </c:pt>
                <c:pt idx="219">
                  <c:v>15170.104545136519</c:v>
                </c:pt>
                <c:pt idx="220">
                  <c:v>16104.289590638607</c:v>
                </c:pt>
                <c:pt idx="221">
                  <c:v>15630.776008987787</c:v>
                </c:pt>
                <c:pt idx="222">
                  <c:v>16463.11126784252</c:v>
                </c:pt>
                <c:pt idx="223">
                  <c:v>12912.799129230087</c:v>
                </c:pt>
                <c:pt idx="224">
                  <c:v>18030.915911263117</c:v>
                </c:pt>
                <c:pt idx="225">
                  <c:v>16955.857371794336</c:v>
                </c:pt>
                <c:pt idx="226">
                  <c:v>14459.383111906776</c:v>
                </c:pt>
                <c:pt idx="227">
                  <c:v>15401.175803279106</c:v>
                </c:pt>
                <c:pt idx="228">
                  <c:v>14433.645482790536</c:v>
                </c:pt>
                <c:pt idx="229">
                  <c:v>18776.294768676187</c:v>
                </c:pt>
                <c:pt idx="230">
                  <c:v>13711.5564917702</c:v>
                </c:pt>
                <c:pt idx="231">
                  <c:v>17195.649979592366</c:v>
                </c:pt>
                <c:pt idx="232">
                  <c:v>16079.810635548756</c:v>
                </c:pt>
                <c:pt idx="233">
                  <c:v>13137.894695132776</c:v>
                </c:pt>
                <c:pt idx="234">
                  <c:v>17894.529606475557</c:v>
                </c:pt>
                <c:pt idx="235">
                  <c:v>18947.088223523195</c:v>
                </c:pt>
                <c:pt idx="236">
                  <c:v>16743.973490031873</c:v>
                </c:pt>
                <c:pt idx="237">
                  <c:v>15341.552640214259</c:v>
                </c:pt>
                <c:pt idx="238">
                  <c:v>15229.533792860753</c:v>
                </c:pt>
                <c:pt idx="239">
                  <c:v>13678.733525425157</c:v>
                </c:pt>
                <c:pt idx="240">
                  <c:v>13584.561167645505</c:v>
                </c:pt>
                <c:pt idx="241">
                  <c:v>15697.395007433845</c:v>
                </c:pt>
                <c:pt idx="242">
                  <c:v>13374.505993702633</c:v>
                </c:pt>
                <c:pt idx="243">
                  <c:v>15192.872824735525</c:v>
                </c:pt>
                <c:pt idx="244">
                  <c:v>19475.658679997283</c:v>
                </c:pt>
                <c:pt idx="245">
                  <c:v>13499.004640666921</c:v>
                </c:pt>
                <c:pt idx="246">
                  <c:v>16235.893379908208</c:v>
                </c:pt>
                <c:pt idx="247">
                  <c:v>16143.385772047301</c:v>
                </c:pt>
                <c:pt idx="248">
                  <c:v>14815.383849330816</c:v>
                </c:pt>
                <c:pt idx="249">
                  <c:v>15477.183651508209</c:v>
                </c:pt>
                <c:pt idx="250">
                  <c:v>18262.303760956536</c:v>
                </c:pt>
                <c:pt idx="251">
                  <c:v>17863.666693418545</c:v>
                </c:pt>
                <c:pt idx="252">
                  <c:v>18069.023472371056</c:v>
                </c:pt>
                <c:pt idx="253">
                  <c:v>15469.858300001524</c:v>
                </c:pt>
                <c:pt idx="254">
                  <c:v>17121.030308641024</c:v>
                </c:pt>
                <c:pt idx="255">
                  <c:v>14281.361733216283</c:v>
                </c:pt>
                <c:pt idx="256">
                  <c:v>11950.160902403508</c:v>
                </c:pt>
                <c:pt idx="257">
                  <c:v>16157.932510182774</c:v>
                </c:pt>
                <c:pt idx="258">
                  <c:v>13999.400235737516</c:v>
                </c:pt>
                <c:pt idx="259">
                  <c:v>15508.726847812875</c:v>
                </c:pt>
                <c:pt idx="260">
                  <c:v>18407.316618361383</c:v>
                </c:pt>
                <c:pt idx="261">
                  <c:v>20378.1759416153</c:v>
                </c:pt>
                <c:pt idx="262">
                  <c:v>15902.24321481717</c:v>
                </c:pt>
                <c:pt idx="263">
                  <c:v>10915.559248997424</c:v>
                </c:pt>
                <c:pt idx="264">
                  <c:v>14124.392887648728</c:v>
                </c:pt>
                <c:pt idx="265">
                  <c:v>17509.815917016473</c:v>
                </c:pt>
                <c:pt idx="266">
                  <c:v>18476.642046904748</c:v>
                </c:pt>
                <c:pt idx="267">
                  <c:v>14247.312781906719</c:v>
                </c:pt>
                <c:pt idx="268">
                  <c:v>12945.246662882468</c:v>
                </c:pt>
                <c:pt idx="269">
                  <c:v>13567.731278118792</c:v>
                </c:pt>
                <c:pt idx="270">
                  <c:v>16302.795364896336</c:v>
                </c:pt>
                <c:pt idx="271">
                  <c:v>13169.31021539177</c:v>
                </c:pt>
                <c:pt idx="272">
                  <c:v>14556.607347727359</c:v>
                </c:pt>
                <c:pt idx="273">
                  <c:v>14955.604045372334</c:v>
                </c:pt>
                <c:pt idx="274">
                  <c:v>15108.71828015047</c:v>
                </c:pt>
                <c:pt idx="275">
                  <c:v>14313.35431974417</c:v>
                </c:pt>
                <c:pt idx="276">
                  <c:v>15595.838174498886</c:v>
                </c:pt>
                <c:pt idx="277">
                  <c:v>14227.230053964407</c:v>
                </c:pt>
                <c:pt idx="278">
                  <c:v>14717.460261124819</c:v>
                </c:pt>
                <c:pt idx="279">
                  <c:v>13283.465664163305</c:v>
                </c:pt>
                <c:pt idx="280">
                  <c:v>14235.363999318843</c:v>
                </c:pt>
                <c:pt idx="281">
                  <c:v>13841.017671027095</c:v>
                </c:pt>
                <c:pt idx="282">
                  <c:v>17008.811454020222</c:v>
                </c:pt>
                <c:pt idx="283">
                  <c:v>16682.510085566573</c:v>
                </c:pt>
                <c:pt idx="284">
                  <c:v>15141.373683640237</c:v>
                </c:pt>
                <c:pt idx="285">
                  <c:v>17877.427185545206</c:v>
                </c:pt>
                <c:pt idx="286">
                  <c:v>17300.743998347312</c:v>
                </c:pt>
                <c:pt idx="287">
                  <c:v>15189.951896520375</c:v>
                </c:pt>
                <c:pt idx="288">
                  <c:v>15924.170189216054</c:v>
                </c:pt>
                <c:pt idx="289">
                  <c:v>16149.082430757995</c:v>
                </c:pt>
                <c:pt idx="290">
                  <c:v>15917.364645201651</c:v>
                </c:pt>
                <c:pt idx="291">
                  <c:v>18469.691165994209</c:v>
                </c:pt>
                <c:pt idx="292">
                  <c:v>15495.084441146873</c:v>
                </c:pt>
                <c:pt idx="293">
                  <c:v>13330.286669167273</c:v>
                </c:pt>
                <c:pt idx="294">
                  <c:v>19390.717736863371</c:v>
                </c:pt>
                <c:pt idx="295">
                  <c:v>14434.900649341145</c:v>
                </c:pt>
                <c:pt idx="296">
                  <c:v>15521.391718980305</c:v>
                </c:pt>
                <c:pt idx="297">
                  <c:v>14005.117162967143</c:v>
                </c:pt>
                <c:pt idx="298">
                  <c:v>17179.456254414461</c:v>
                </c:pt>
                <c:pt idx="299">
                  <c:v>17266.881591436668</c:v>
                </c:pt>
                <c:pt idx="300">
                  <c:v>16837.856481708812</c:v>
                </c:pt>
                <c:pt idx="301">
                  <c:v>14739.452762881645</c:v>
                </c:pt>
                <c:pt idx="302">
                  <c:v>16928.074694561266</c:v>
                </c:pt>
                <c:pt idx="303">
                  <c:v>14915.751040336201</c:v>
                </c:pt>
                <c:pt idx="304">
                  <c:v>16853.844583788221</c:v>
                </c:pt>
                <c:pt idx="305">
                  <c:v>15146.447489326831</c:v>
                </c:pt>
                <c:pt idx="306">
                  <c:v>16222.498974524669</c:v>
                </c:pt>
                <c:pt idx="307">
                  <c:v>13369.749801808439</c:v>
                </c:pt>
                <c:pt idx="308">
                  <c:v>17855.01699835691</c:v>
                </c:pt>
                <c:pt idx="309">
                  <c:v>16987.118357254192</c:v>
                </c:pt>
                <c:pt idx="310">
                  <c:v>16705.752535546831</c:v>
                </c:pt>
                <c:pt idx="311">
                  <c:v>15541.790867238677</c:v>
                </c:pt>
                <c:pt idx="312">
                  <c:v>15776.867337999747</c:v>
                </c:pt>
                <c:pt idx="313">
                  <c:v>18611.573349156719</c:v>
                </c:pt>
                <c:pt idx="314">
                  <c:v>13657.253707803249</c:v>
                </c:pt>
                <c:pt idx="315">
                  <c:v>14218.198282563853</c:v>
                </c:pt>
                <c:pt idx="316">
                  <c:v>15793.059679925285</c:v>
                </c:pt>
                <c:pt idx="317">
                  <c:v>16795.168344637972</c:v>
                </c:pt>
                <c:pt idx="318">
                  <c:v>17828.018201144401</c:v>
                </c:pt>
                <c:pt idx="319">
                  <c:v>18127.079386092104</c:v>
                </c:pt>
                <c:pt idx="320">
                  <c:v>18281.837355943633</c:v>
                </c:pt>
                <c:pt idx="321">
                  <c:v>15507.551990103497</c:v>
                </c:pt>
                <c:pt idx="322">
                  <c:v>14628.970590019657</c:v>
                </c:pt>
                <c:pt idx="323">
                  <c:v>15117.811325001778</c:v>
                </c:pt>
                <c:pt idx="324">
                  <c:v>14295.433591348143</c:v>
                </c:pt>
                <c:pt idx="325">
                  <c:v>13676.170960196461</c:v>
                </c:pt>
                <c:pt idx="326">
                  <c:v>10126.106620999521</c:v>
                </c:pt>
                <c:pt idx="327">
                  <c:v>14437.766493352807</c:v>
                </c:pt>
                <c:pt idx="328">
                  <c:v>17446.469853624545</c:v>
                </c:pt>
                <c:pt idx="329">
                  <c:v>18820.548943564438</c:v>
                </c:pt>
                <c:pt idx="330">
                  <c:v>14871.987402338778</c:v>
                </c:pt>
                <c:pt idx="331">
                  <c:v>17023.010006688608</c:v>
                </c:pt>
                <c:pt idx="332">
                  <c:v>13858.78360203052</c:v>
                </c:pt>
                <c:pt idx="333">
                  <c:v>12128.755370308256</c:v>
                </c:pt>
                <c:pt idx="334">
                  <c:v>14696.343506001622</c:v>
                </c:pt>
                <c:pt idx="335">
                  <c:v>17786.866648007468</c:v>
                </c:pt>
                <c:pt idx="336">
                  <c:v>14492.582025076556</c:v>
                </c:pt>
                <c:pt idx="337">
                  <c:v>16104.478982424567</c:v>
                </c:pt>
                <c:pt idx="338">
                  <c:v>13354.749827637128</c:v>
                </c:pt>
                <c:pt idx="339">
                  <c:v>16603.770767172042</c:v>
                </c:pt>
                <c:pt idx="340">
                  <c:v>15929.861791375308</c:v>
                </c:pt>
                <c:pt idx="341">
                  <c:v>13519.303565586426</c:v>
                </c:pt>
                <c:pt idx="342">
                  <c:v>16882.975573528489</c:v>
                </c:pt>
                <c:pt idx="343">
                  <c:v>14814.263574276285</c:v>
                </c:pt>
                <c:pt idx="344">
                  <c:v>13587.080552120005</c:v>
                </c:pt>
                <c:pt idx="345">
                  <c:v>17512.069993633319</c:v>
                </c:pt>
                <c:pt idx="346">
                  <c:v>13232.909277682138</c:v>
                </c:pt>
                <c:pt idx="347">
                  <c:v>15696.124677968432</c:v>
                </c:pt>
                <c:pt idx="348">
                  <c:v>16214.637938589109</c:v>
                </c:pt>
                <c:pt idx="349">
                  <c:v>12476.543955180703</c:v>
                </c:pt>
                <c:pt idx="350">
                  <c:v>16122.504395948998</c:v>
                </c:pt>
                <c:pt idx="351">
                  <c:v>15660.832294771768</c:v>
                </c:pt>
                <c:pt idx="352">
                  <c:v>15779.857366920638</c:v>
                </c:pt>
                <c:pt idx="353">
                  <c:v>16205.105991379305</c:v>
                </c:pt>
                <c:pt idx="354">
                  <c:v>11979.929978013573</c:v>
                </c:pt>
                <c:pt idx="355">
                  <c:v>17961.033722328993</c:v>
                </c:pt>
                <c:pt idx="356">
                  <c:v>12074.52374275136</c:v>
                </c:pt>
                <c:pt idx="357">
                  <c:v>16757.678401762932</c:v>
                </c:pt>
                <c:pt idx="358">
                  <c:v>16491.281905038995</c:v>
                </c:pt>
                <c:pt idx="359">
                  <c:v>14432.276393406441</c:v>
                </c:pt>
                <c:pt idx="360">
                  <c:v>14959.053081798593</c:v>
                </c:pt>
                <c:pt idx="361">
                  <c:v>14007.944074234669</c:v>
                </c:pt>
                <c:pt idx="362">
                  <c:v>13038.968298957827</c:v>
                </c:pt>
                <c:pt idx="363">
                  <c:v>17439.651071087941</c:v>
                </c:pt>
                <c:pt idx="364">
                  <c:v>14081.781939659621</c:v>
                </c:pt>
                <c:pt idx="365">
                  <c:v>12586.843920793939</c:v>
                </c:pt>
                <c:pt idx="366">
                  <c:v>13995.457764800742</c:v>
                </c:pt>
                <c:pt idx="367">
                  <c:v>18530.954827553214</c:v>
                </c:pt>
                <c:pt idx="368">
                  <c:v>15424.218080859728</c:v>
                </c:pt>
                <c:pt idx="369">
                  <c:v>13785.149929878411</c:v>
                </c:pt>
                <c:pt idx="370">
                  <c:v>17877.745498852943</c:v>
                </c:pt>
                <c:pt idx="371">
                  <c:v>14359.026514587176</c:v>
                </c:pt>
                <c:pt idx="372">
                  <c:v>14793.442037590403</c:v>
                </c:pt>
                <c:pt idx="373">
                  <c:v>14994.690308543202</c:v>
                </c:pt>
                <c:pt idx="374">
                  <c:v>11819.561232592238</c:v>
                </c:pt>
                <c:pt idx="375">
                  <c:v>19548.020801564926</c:v>
                </c:pt>
                <c:pt idx="376">
                  <c:v>18675.976102500405</c:v>
                </c:pt>
                <c:pt idx="377">
                  <c:v>15854.029624319279</c:v>
                </c:pt>
                <c:pt idx="378">
                  <c:v>14273.554802703691</c:v>
                </c:pt>
                <c:pt idx="379">
                  <c:v>13363.570263757321</c:v>
                </c:pt>
                <c:pt idx="380">
                  <c:v>14095.248553553394</c:v>
                </c:pt>
                <c:pt idx="381">
                  <c:v>16499.636120108877</c:v>
                </c:pt>
                <c:pt idx="382">
                  <c:v>18008.095836000928</c:v>
                </c:pt>
                <c:pt idx="383">
                  <c:v>15253.518821612413</c:v>
                </c:pt>
                <c:pt idx="384">
                  <c:v>15907.913518764319</c:v>
                </c:pt>
                <c:pt idx="385">
                  <c:v>13150.452200791691</c:v>
                </c:pt>
                <c:pt idx="386">
                  <c:v>16454.144945687931</c:v>
                </c:pt>
                <c:pt idx="387">
                  <c:v>17653.068328383255</c:v>
                </c:pt>
                <c:pt idx="388">
                  <c:v>17270.172609618101</c:v>
                </c:pt>
                <c:pt idx="389">
                  <c:v>13733.246449841268</c:v>
                </c:pt>
                <c:pt idx="390">
                  <c:v>15548.625440213993</c:v>
                </c:pt>
                <c:pt idx="391">
                  <c:v>14312.283813062619</c:v>
                </c:pt>
                <c:pt idx="392">
                  <c:v>13039.268357045401</c:v>
                </c:pt>
                <c:pt idx="393">
                  <c:v>16988.108634167053</c:v>
                </c:pt>
                <c:pt idx="394">
                  <c:v>17861.068594157823</c:v>
                </c:pt>
                <c:pt idx="395">
                  <c:v>15114.708199490311</c:v>
                </c:pt>
                <c:pt idx="396">
                  <c:v>17849.938504423524</c:v>
                </c:pt>
                <c:pt idx="397">
                  <c:v>19488.257247621867</c:v>
                </c:pt>
                <c:pt idx="398">
                  <c:v>15733.147034629048</c:v>
                </c:pt>
                <c:pt idx="399">
                  <c:v>14931.405063742097</c:v>
                </c:pt>
                <c:pt idx="400">
                  <c:v>15403.421977457969</c:v>
                </c:pt>
                <c:pt idx="401">
                  <c:v>16543.97242441717</c:v>
                </c:pt>
                <c:pt idx="402">
                  <c:v>15173.842813649102</c:v>
                </c:pt>
                <c:pt idx="403">
                  <c:v>13778.936643608899</c:v>
                </c:pt>
                <c:pt idx="404">
                  <c:v>12864.37265652287</c:v>
                </c:pt>
                <c:pt idx="405">
                  <c:v>15855.028523078769</c:v>
                </c:pt>
                <c:pt idx="406">
                  <c:v>15575.875393652022</c:v>
                </c:pt>
                <c:pt idx="407">
                  <c:v>14669.756613655383</c:v>
                </c:pt>
                <c:pt idx="408">
                  <c:v>14316.013244047417</c:v>
                </c:pt>
                <c:pt idx="409">
                  <c:v>18810.307507404304</c:v>
                </c:pt>
                <c:pt idx="410">
                  <c:v>16637.184498385421</c:v>
                </c:pt>
                <c:pt idx="411">
                  <c:v>13237.200683883908</c:v>
                </c:pt>
                <c:pt idx="412">
                  <c:v>11545.65651796079</c:v>
                </c:pt>
                <c:pt idx="413">
                  <c:v>16096.046870278729</c:v>
                </c:pt>
                <c:pt idx="414">
                  <c:v>14679.617186797417</c:v>
                </c:pt>
                <c:pt idx="415">
                  <c:v>12829.630000909885</c:v>
                </c:pt>
                <c:pt idx="416">
                  <c:v>14093.067514154161</c:v>
                </c:pt>
                <c:pt idx="417">
                  <c:v>9804.0785530990834</c:v>
                </c:pt>
                <c:pt idx="418">
                  <c:v>17359.554771865245</c:v>
                </c:pt>
                <c:pt idx="419">
                  <c:v>15257.71066135607</c:v>
                </c:pt>
                <c:pt idx="420">
                  <c:v>12076.209948879612</c:v>
                </c:pt>
                <c:pt idx="421">
                  <c:v>19677.088782222883</c:v>
                </c:pt>
                <c:pt idx="422">
                  <c:v>15685.4514718685</c:v>
                </c:pt>
                <c:pt idx="423">
                  <c:v>15886.739540137942</c:v>
                </c:pt>
                <c:pt idx="424">
                  <c:v>15468.301208418097</c:v>
                </c:pt>
                <c:pt idx="425">
                  <c:v>17059.826699304434</c:v>
                </c:pt>
                <c:pt idx="426">
                  <c:v>17144.372570555282</c:v>
                </c:pt>
                <c:pt idx="427">
                  <c:v>17601.75866841196</c:v>
                </c:pt>
                <c:pt idx="428">
                  <c:v>19269.257563287767</c:v>
                </c:pt>
                <c:pt idx="429">
                  <c:v>12871.475391310692</c:v>
                </c:pt>
                <c:pt idx="430">
                  <c:v>14408.065493752718</c:v>
                </c:pt>
                <c:pt idx="431">
                  <c:v>15927.726454967691</c:v>
                </c:pt>
                <c:pt idx="432">
                  <c:v>14028.573372802861</c:v>
                </c:pt>
                <c:pt idx="433">
                  <c:v>14103.440721439118</c:v>
                </c:pt>
                <c:pt idx="434">
                  <c:v>15889.422658103394</c:v>
                </c:pt>
                <c:pt idx="435">
                  <c:v>19182.362713644306</c:v>
                </c:pt>
                <c:pt idx="436">
                  <c:v>18097.197029134211</c:v>
                </c:pt>
                <c:pt idx="437">
                  <c:v>16843.793069398198</c:v>
                </c:pt>
                <c:pt idx="438">
                  <c:v>16103.820385857525</c:v>
                </c:pt>
                <c:pt idx="439">
                  <c:v>14636.665866812726</c:v>
                </c:pt>
                <c:pt idx="440">
                  <c:v>15286.384522542518</c:v>
                </c:pt>
                <c:pt idx="441">
                  <c:v>15947.056763756758</c:v>
                </c:pt>
                <c:pt idx="442">
                  <c:v>15036.327029720758</c:v>
                </c:pt>
                <c:pt idx="443">
                  <c:v>15935.451891013128</c:v>
                </c:pt>
                <c:pt idx="444">
                  <c:v>19766.911925767508</c:v>
                </c:pt>
                <c:pt idx="445">
                  <c:v>17237.510558097656</c:v>
                </c:pt>
                <c:pt idx="446">
                  <c:v>13608.413423589305</c:v>
                </c:pt>
                <c:pt idx="447">
                  <c:v>17300.202997302582</c:v>
                </c:pt>
                <c:pt idx="448">
                  <c:v>12417.393144045953</c:v>
                </c:pt>
                <c:pt idx="449">
                  <c:v>15251.531350103722</c:v>
                </c:pt>
                <c:pt idx="450">
                  <c:v>14660.445503264591</c:v>
                </c:pt>
                <c:pt idx="451">
                  <c:v>13082.644184355908</c:v>
                </c:pt>
                <c:pt idx="452">
                  <c:v>15928.898075131707</c:v>
                </c:pt>
                <c:pt idx="453">
                  <c:v>18035.937193476788</c:v>
                </c:pt>
                <c:pt idx="454">
                  <c:v>13151.052596669966</c:v>
                </c:pt>
                <c:pt idx="455">
                  <c:v>12293.255454781824</c:v>
                </c:pt>
                <c:pt idx="456">
                  <c:v>16482.837292079515</c:v>
                </c:pt>
                <c:pt idx="457">
                  <c:v>13092.618687675644</c:v>
                </c:pt>
                <c:pt idx="458">
                  <c:v>14881.491374373885</c:v>
                </c:pt>
                <c:pt idx="459">
                  <c:v>15457.42927032065</c:v>
                </c:pt>
                <c:pt idx="460">
                  <c:v>16269.80361991475</c:v>
                </c:pt>
                <c:pt idx="461">
                  <c:v>18348.884197604082</c:v>
                </c:pt>
                <c:pt idx="462">
                  <c:v>13817.727493915394</c:v>
                </c:pt>
                <c:pt idx="463">
                  <c:v>12357.79337096398</c:v>
                </c:pt>
                <c:pt idx="464">
                  <c:v>14762.720263861229</c:v>
                </c:pt>
                <c:pt idx="465">
                  <c:v>12774.080433602023</c:v>
                </c:pt>
                <c:pt idx="466">
                  <c:v>13972.497164932149</c:v>
                </c:pt>
                <c:pt idx="467">
                  <c:v>14914.815073534699</c:v>
                </c:pt>
                <c:pt idx="468">
                  <c:v>12378.148162361078</c:v>
                </c:pt>
                <c:pt idx="469">
                  <c:v>15564.447101609006</c:v>
                </c:pt>
                <c:pt idx="470">
                  <c:v>16214.315682758028</c:v>
                </c:pt>
                <c:pt idx="471">
                  <c:v>16718.188132923337</c:v>
                </c:pt>
                <c:pt idx="472">
                  <c:v>18278.003942475494</c:v>
                </c:pt>
                <c:pt idx="473">
                  <c:v>18609.913832840943</c:v>
                </c:pt>
                <c:pt idx="474">
                  <c:v>13487.795974652077</c:v>
                </c:pt>
                <c:pt idx="475">
                  <c:v>15387.29500812486</c:v>
                </c:pt>
                <c:pt idx="476">
                  <c:v>15375.696636827348</c:v>
                </c:pt>
                <c:pt idx="477">
                  <c:v>15068.141328949518</c:v>
                </c:pt>
                <c:pt idx="478">
                  <c:v>12666.528416607212</c:v>
                </c:pt>
                <c:pt idx="479">
                  <c:v>16740.785279168493</c:v>
                </c:pt>
                <c:pt idx="480">
                  <c:v>18726.316171300219</c:v>
                </c:pt>
                <c:pt idx="481">
                  <c:v>11941.155583273012</c:v>
                </c:pt>
                <c:pt idx="482">
                  <c:v>13552.296956289949</c:v>
                </c:pt>
                <c:pt idx="483">
                  <c:v>14430.218269852892</c:v>
                </c:pt>
                <c:pt idx="484">
                  <c:v>14225.757981996581</c:v>
                </c:pt>
                <c:pt idx="485">
                  <c:v>15825.680343184817</c:v>
                </c:pt>
                <c:pt idx="486">
                  <c:v>16180.190200409126</c:v>
                </c:pt>
                <c:pt idx="487">
                  <c:v>16192.659532676355</c:v>
                </c:pt>
                <c:pt idx="488">
                  <c:v>15251.346470449455</c:v>
                </c:pt>
                <c:pt idx="489">
                  <c:v>16679.410042424715</c:v>
                </c:pt>
                <c:pt idx="490">
                  <c:v>16535.788236130495</c:v>
                </c:pt>
                <c:pt idx="491">
                  <c:v>14905.533625642993</c:v>
                </c:pt>
                <c:pt idx="492">
                  <c:v>15716.319153665301</c:v>
                </c:pt>
                <c:pt idx="493">
                  <c:v>12192.364904910006</c:v>
                </c:pt>
                <c:pt idx="494">
                  <c:v>14810.110123881199</c:v>
                </c:pt>
                <c:pt idx="495">
                  <c:v>18226.968725205694</c:v>
                </c:pt>
                <c:pt idx="496">
                  <c:v>20435.422361195444</c:v>
                </c:pt>
                <c:pt idx="497">
                  <c:v>17340.701753202611</c:v>
                </c:pt>
                <c:pt idx="498">
                  <c:v>15806.684065273514</c:v>
                </c:pt>
                <c:pt idx="499">
                  <c:v>14340.903000102655</c:v>
                </c:pt>
                <c:pt idx="500">
                  <c:v>19014.121610710423</c:v>
                </c:pt>
                <c:pt idx="501">
                  <c:v>18196.557611373813</c:v>
                </c:pt>
                <c:pt idx="502">
                  <c:v>14443.451361652022</c:v>
                </c:pt>
                <c:pt idx="503">
                  <c:v>12262.281636840438</c:v>
                </c:pt>
                <c:pt idx="504">
                  <c:v>12738.147934386288</c:v>
                </c:pt>
                <c:pt idx="505">
                  <c:v>19147.29326565229</c:v>
                </c:pt>
                <c:pt idx="506">
                  <c:v>14714.443119838674</c:v>
                </c:pt>
                <c:pt idx="507">
                  <c:v>14286.786429312859</c:v>
                </c:pt>
                <c:pt idx="508">
                  <c:v>19008.910096713174</c:v>
                </c:pt>
                <c:pt idx="509">
                  <c:v>14016.702402105842</c:v>
                </c:pt>
                <c:pt idx="510">
                  <c:v>12719.75904835403</c:v>
                </c:pt>
                <c:pt idx="511">
                  <c:v>17318.19272207153</c:v>
                </c:pt>
                <c:pt idx="512">
                  <c:v>14247.341402633749</c:v>
                </c:pt>
                <c:pt idx="513">
                  <c:v>15787.189536933744</c:v>
                </c:pt>
                <c:pt idx="514">
                  <c:v>19651.537775532794</c:v>
                </c:pt>
                <c:pt idx="515">
                  <c:v>16481.735940726678</c:v>
                </c:pt>
                <c:pt idx="516">
                  <c:v>19440.073525013617</c:v>
                </c:pt>
                <c:pt idx="517">
                  <c:v>14069.391263248155</c:v>
                </c:pt>
                <c:pt idx="518">
                  <c:v>16002.299357555703</c:v>
                </c:pt>
                <c:pt idx="519">
                  <c:v>18925.571537122727</c:v>
                </c:pt>
                <c:pt idx="520">
                  <c:v>14783.588765750266</c:v>
                </c:pt>
                <c:pt idx="521">
                  <c:v>14153.250861115974</c:v>
                </c:pt>
                <c:pt idx="522">
                  <c:v>16202.665232408792</c:v>
                </c:pt>
                <c:pt idx="523">
                  <c:v>15953.433039749283</c:v>
                </c:pt>
                <c:pt idx="524">
                  <c:v>12648.428161004045</c:v>
                </c:pt>
                <c:pt idx="525">
                  <c:v>18192.781146027159</c:v>
                </c:pt>
                <c:pt idx="526">
                  <c:v>13776.330140445205</c:v>
                </c:pt>
                <c:pt idx="527">
                  <c:v>11666.01050142364</c:v>
                </c:pt>
                <c:pt idx="528">
                  <c:v>14540.789109836351</c:v>
                </c:pt>
                <c:pt idx="529">
                  <c:v>17378.646341312666</c:v>
                </c:pt>
                <c:pt idx="530">
                  <c:v>12713.79747927708</c:v>
                </c:pt>
                <c:pt idx="531">
                  <c:v>16137.619911856766</c:v>
                </c:pt>
                <c:pt idx="532">
                  <c:v>18268.903555231129</c:v>
                </c:pt>
                <c:pt idx="533">
                  <c:v>14186.340806740629</c:v>
                </c:pt>
                <c:pt idx="534">
                  <c:v>12299.517327665655</c:v>
                </c:pt>
                <c:pt idx="535">
                  <c:v>15091.211537618832</c:v>
                </c:pt>
                <c:pt idx="536">
                  <c:v>14893.533972277915</c:v>
                </c:pt>
                <c:pt idx="537">
                  <c:v>14130.495880966186</c:v>
                </c:pt>
                <c:pt idx="538">
                  <c:v>16954.11063728407</c:v>
                </c:pt>
                <c:pt idx="539">
                  <c:v>17519.109596841816</c:v>
                </c:pt>
                <c:pt idx="540">
                  <c:v>14822.06454886157</c:v>
                </c:pt>
                <c:pt idx="541">
                  <c:v>14646.153942694433</c:v>
                </c:pt>
                <c:pt idx="542">
                  <c:v>15685.827986765798</c:v>
                </c:pt>
                <c:pt idx="543">
                  <c:v>18193.118983419921</c:v>
                </c:pt>
                <c:pt idx="544">
                  <c:v>16241.495574590926</c:v>
                </c:pt>
                <c:pt idx="545">
                  <c:v>14451.343890186261</c:v>
                </c:pt>
                <c:pt idx="546">
                  <c:v>16895.656992861444</c:v>
                </c:pt>
                <c:pt idx="547">
                  <c:v>13421.031553181536</c:v>
                </c:pt>
                <c:pt idx="548">
                  <c:v>15711.027842026808</c:v>
                </c:pt>
                <c:pt idx="549">
                  <c:v>11359.626315867898</c:v>
                </c:pt>
                <c:pt idx="550">
                  <c:v>15354.631165289507</c:v>
                </c:pt>
                <c:pt idx="551">
                  <c:v>19892.578532044859</c:v>
                </c:pt>
                <c:pt idx="552">
                  <c:v>13478.579876694663</c:v>
                </c:pt>
                <c:pt idx="553">
                  <c:v>19841.698281451274</c:v>
                </c:pt>
                <c:pt idx="554">
                  <c:v>15096.615264510016</c:v>
                </c:pt>
                <c:pt idx="555">
                  <c:v>15330.452226588552</c:v>
                </c:pt>
                <c:pt idx="556">
                  <c:v>17051.723623033435</c:v>
                </c:pt>
                <c:pt idx="557">
                  <c:v>15300.395078565789</c:v>
                </c:pt>
                <c:pt idx="558">
                  <c:v>15257.905936670153</c:v>
                </c:pt>
                <c:pt idx="559">
                  <c:v>18130.789287496889</c:v>
                </c:pt>
                <c:pt idx="560">
                  <c:v>14399.576657780011</c:v>
                </c:pt>
                <c:pt idx="561">
                  <c:v>12855.631250408309</c:v>
                </c:pt>
                <c:pt idx="562">
                  <c:v>14757.531848634551</c:v>
                </c:pt>
                <c:pt idx="563">
                  <c:v>11779.228975502079</c:v>
                </c:pt>
                <c:pt idx="564">
                  <c:v>15317.524165695928</c:v>
                </c:pt>
                <c:pt idx="565">
                  <c:v>18517.295819066399</c:v>
                </c:pt>
                <c:pt idx="566">
                  <c:v>13860.561098392378</c:v>
                </c:pt>
                <c:pt idx="567">
                  <c:v>16527.945863524164</c:v>
                </c:pt>
                <c:pt idx="568">
                  <c:v>15795.49039357392</c:v>
                </c:pt>
                <c:pt idx="569">
                  <c:v>18444.984149954736</c:v>
                </c:pt>
                <c:pt idx="570">
                  <c:v>12759.429926675581</c:v>
                </c:pt>
                <c:pt idx="571">
                  <c:v>12867.121408822048</c:v>
                </c:pt>
                <c:pt idx="572">
                  <c:v>15836.909570403806</c:v>
                </c:pt>
                <c:pt idx="573">
                  <c:v>13082.769901737371</c:v>
                </c:pt>
                <c:pt idx="574">
                  <c:v>17202.252499665134</c:v>
                </c:pt>
                <c:pt idx="575">
                  <c:v>15053.346709063962</c:v>
                </c:pt>
                <c:pt idx="576">
                  <c:v>14792.670510463295</c:v>
                </c:pt>
                <c:pt idx="577">
                  <c:v>15581.887475689671</c:v>
                </c:pt>
                <c:pt idx="578">
                  <c:v>15410.858540966137</c:v>
                </c:pt>
                <c:pt idx="579">
                  <c:v>16803.838739382591</c:v>
                </c:pt>
                <c:pt idx="580">
                  <c:v>10115.124275255495</c:v>
                </c:pt>
                <c:pt idx="581">
                  <c:v>15037.761920375191</c:v>
                </c:pt>
                <c:pt idx="582">
                  <c:v>12983.150760195496</c:v>
                </c:pt>
                <c:pt idx="583">
                  <c:v>12996.991000176864</c:v>
                </c:pt>
                <c:pt idx="584">
                  <c:v>15637.698696228099</c:v>
                </c:pt>
                <c:pt idx="585">
                  <c:v>18324.475631083824</c:v>
                </c:pt>
                <c:pt idx="586">
                  <c:v>19808.960340381458</c:v>
                </c:pt>
                <c:pt idx="587">
                  <c:v>14115.617008443878</c:v>
                </c:pt>
                <c:pt idx="588">
                  <c:v>13646.548796953557</c:v>
                </c:pt>
                <c:pt idx="589">
                  <c:v>15358.127067248137</c:v>
                </c:pt>
                <c:pt idx="590">
                  <c:v>12755.726808992978</c:v>
                </c:pt>
                <c:pt idx="591">
                  <c:v>18650.183746567531</c:v>
                </c:pt>
                <c:pt idx="592">
                  <c:v>17164.553258116484</c:v>
                </c:pt>
                <c:pt idx="593">
                  <c:v>16609.114892480935</c:v>
                </c:pt>
                <c:pt idx="594">
                  <c:v>17340.824746536586</c:v>
                </c:pt>
                <c:pt idx="595">
                  <c:v>15322.398105768809</c:v>
                </c:pt>
                <c:pt idx="596">
                  <c:v>13828.069961449788</c:v>
                </c:pt>
                <c:pt idx="597">
                  <c:v>16329.783955218732</c:v>
                </c:pt>
                <c:pt idx="598">
                  <c:v>16054.621143565088</c:v>
                </c:pt>
                <c:pt idx="599">
                  <c:v>20714.008146175347</c:v>
                </c:pt>
                <c:pt idx="600">
                  <c:v>13870.611872094985</c:v>
                </c:pt>
                <c:pt idx="601">
                  <c:v>14840.966990477733</c:v>
                </c:pt>
                <c:pt idx="602">
                  <c:v>18343.87847024342</c:v>
                </c:pt>
                <c:pt idx="603">
                  <c:v>13877.038070038458</c:v>
                </c:pt>
                <c:pt idx="604">
                  <c:v>16870.917344008078</c:v>
                </c:pt>
                <c:pt idx="605">
                  <c:v>14682.214683564105</c:v>
                </c:pt>
                <c:pt idx="606">
                  <c:v>14925.934977008936</c:v>
                </c:pt>
                <c:pt idx="607">
                  <c:v>20705.277638275169</c:v>
                </c:pt>
                <c:pt idx="608">
                  <c:v>18387.475208360942</c:v>
                </c:pt>
                <c:pt idx="609">
                  <c:v>15975.588000815776</c:v>
                </c:pt>
                <c:pt idx="610">
                  <c:v>11043.132062702016</c:v>
                </c:pt>
                <c:pt idx="611">
                  <c:v>14056.672660310329</c:v>
                </c:pt>
                <c:pt idx="612">
                  <c:v>14544.806638776512</c:v>
                </c:pt>
                <c:pt idx="613">
                  <c:v>14363.484315243793</c:v>
                </c:pt>
                <c:pt idx="614">
                  <c:v>15712.49240972434</c:v>
                </c:pt>
                <c:pt idx="615">
                  <c:v>15662.448934680933</c:v>
                </c:pt>
                <c:pt idx="616">
                  <c:v>14087.049630955926</c:v>
                </c:pt>
                <c:pt idx="617">
                  <c:v>17616.677229326458</c:v>
                </c:pt>
                <c:pt idx="618">
                  <c:v>17619.179938904897</c:v>
                </c:pt>
                <c:pt idx="619">
                  <c:v>11598.075754697713</c:v>
                </c:pt>
                <c:pt idx="620">
                  <c:v>18033.655482765775</c:v>
                </c:pt>
                <c:pt idx="621">
                  <c:v>19605.955500702552</c:v>
                </c:pt>
                <c:pt idx="622">
                  <c:v>14890.91477176441</c:v>
                </c:pt>
                <c:pt idx="623">
                  <c:v>17712.149873194612</c:v>
                </c:pt>
                <c:pt idx="624">
                  <c:v>11418.403219014221</c:v>
                </c:pt>
                <c:pt idx="625">
                  <c:v>15641.34266002766</c:v>
                </c:pt>
                <c:pt idx="626">
                  <c:v>15248.693052579456</c:v>
                </c:pt>
                <c:pt idx="627">
                  <c:v>13524.209267184733</c:v>
                </c:pt>
                <c:pt idx="628">
                  <c:v>13439.933884804967</c:v>
                </c:pt>
                <c:pt idx="629">
                  <c:v>12593.553341417795</c:v>
                </c:pt>
                <c:pt idx="630">
                  <c:v>16269.61884909613</c:v>
                </c:pt>
                <c:pt idx="631">
                  <c:v>14138.940113107234</c:v>
                </c:pt>
                <c:pt idx="632">
                  <c:v>16198.335041678363</c:v>
                </c:pt>
                <c:pt idx="633">
                  <c:v>13778.952190644188</c:v>
                </c:pt>
                <c:pt idx="634">
                  <c:v>15044.45294266947</c:v>
                </c:pt>
                <c:pt idx="635">
                  <c:v>13673.601131869222</c:v>
                </c:pt>
                <c:pt idx="636">
                  <c:v>17205.812772454236</c:v>
                </c:pt>
                <c:pt idx="637">
                  <c:v>17322.385736978315</c:v>
                </c:pt>
                <c:pt idx="638">
                  <c:v>14933.17180055419</c:v>
                </c:pt>
                <c:pt idx="639">
                  <c:v>14315.309596928919</c:v>
                </c:pt>
                <c:pt idx="640">
                  <c:v>15721.718850539561</c:v>
                </c:pt>
                <c:pt idx="641">
                  <c:v>13712.051735711793</c:v>
                </c:pt>
                <c:pt idx="642">
                  <c:v>18191.194669488767</c:v>
                </c:pt>
                <c:pt idx="643">
                  <c:v>14907.014527978446</c:v>
                </c:pt>
                <c:pt idx="644">
                  <c:v>17032.901090319243</c:v>
                </c:pt>
                <c:pt idx="645">
                  <c:v>14617.853783115879</c:v>
                </c:pt>
                <c:pt idx="646">
                  <c:v>16936.732503164341</c:v>
                </c:pt>
                <c:pt idx="647">
                  <c:v>12011.320082357443</c:v>
                </c:pt>
                <c:pt idx="648">
                  <c:v>16692.563600884514</c:v>
                </c:pt>
                <c:pt idx="649">
                  <c:v>16321.566493198732</c:v>
                </c:pt>
                <c:pt idx="650">
                  <c:v>13474.895791349871</c:v>
                </c:pt>
                <c:pt idx="651">
                  <c:v>15921.834416266238</c:v>
                </c:pt>
                <c:pt idx="652">
                  <c:v>17009.324791422234</c:v>
                </c:pt>
                <c:pt idx="653">
                  <c:v>15734.51910732647</c:v>
                </c:pt>
                <c:pt idx="654">
                  <c:v>14579.738640950454</c:v>
                </c:pt>
                <c:pt idx="655">
                  <c:v>13664.462245318708</c:v>
                </c:pt>
                <c:pt idx="656">
                  <c:v>16729.707203969348</c:v>
                </c:pt>
                <c:pt idx="657">
                  <c:v>14164.282518821037</c:v>
                </c:pt>
                <c:pt idx="658">
                  <c:v>15725.099336178639</c:v>
                </c:pt>
                <c:pt idx="659">
                  <c:v>15639.541281518588</c:v>
                </c:pt>
                <c:pt idx="660">
                  <c:v>16011.948595938635</c:v>
                </c:pt>
                <c:pt idx="661">
                  <c:v>12160.863772518287</c:v>
                </c:pt>
                <c:pt idx="662">
                  <c:v>16365.148731288778</c:v>
                </c:pt>
                <c:pt idx="663">
                  <c:v>16601.772910696072</c:v>
                </c:pt>
                <c:pt idx="664">
                  <c:v>13725.434332525905</c:v>
                </c:pt>
                <c:pt idx="665">
                  <c:v>17519.966756622642</c:v>
                </c:pt>
                <c:pt idx="666">
                  <c:v>12734.226721484267</c:v>
                </c:pt>
                <c:pt idx="667">
                  <c:v>15012.348911902005</c:v>
                </c:pt>
                <c:pt idx="668">
                  <c:v>15563.873721686185</c:v>
                </c:pt>
                <c:pt idx="669">
                  <c:v>12205.795749610435</c:v>
                </c:pt>
                <c:pt idx="670">
                  <c:v>17266.947903889806</c:v>
                </c:pt>
                <c:pt idx="671">
                  <c:v>16099.414087862173</c:v>
                </c:pt>
                <c:pt idx="672">
                  <c:v>12490.526448162333</c:v>
                </c:pt>
                <c:pt idx="673">
                  <c:v>14389.464006466998</c:v>
                </c:pt>
                <c:pt idx="674">
                  <c:v>14374.107529325591</c:v>
                </c:pt>
                <c:pt idx="675">
                  <c:v>14941.261053831429</c:v>
                </c:pt>
                <c:pt idx="676">
                  <c:v>17933.583019410533</c:v>
                </c:pt>
                <c:pt idx="677">
                  <c:v>15027.879461105802</c:v>
                </c:pt>
                <c:pt idx="678">
                  <c:v>12549.661236377018</c:v>
                </c:pt>
                <c:pt idx="679">
                  <c:v>20757.626099975136</c:v>
                </c:pt>
                <c:pt idx="680">
                  <c:v>12841.036422875995</c:v>
                </c:pt>
                <c:pt idx="681">
                  <c:v>17010.177137060629</c:v>
                </c:pt>
                <c:pt idx="682">
                  <c:v>13984.220653422186</c:v>
                </c:pt>
                <c:pt idx="683">
                  <c:v>15818.31728530629</c:v>
                </c:pt>
                <c:pt idx="684">
                  <c:v>14964.244931129913</c:v>
                </c:pt>
                <c:pt idx="685">
                  <c:v>13781.470428065317</c:v>
                </c:pt>
                <c:pt idx="686">
                  <c:v>18808.290046454622</c:v>
                </c:pt>
                <c:pt idx="687">
                  <c:v>15450.94444966093</c:v>
                </c:pt>
                <c:pt idx="688">
                  <c:v>19136.444074101291</c:v>
                </c:pt>
                <c:pt idx="689">
                  <c:v>15752.791214086685</c:v>
                </c:pt>
                <c:pt idx="690">
                  <c:v>16469.146170743134</c:v>
                </c:pt>
                <c:pt idx="691">
                  <c:v>13428.234609470774</c:v>
                </c:pt>
                <c:pt idx="692">
                  <c:v>16123.227619997968</c:v>
                </c:pt>
                <c:pt idx="693">
                  <c:v>15000.767271208311</c:v>
                </c:pt>
                <c:pt idx="694">
                  <c:v>15283.283068034441</c:v>
                </c:pt>
                <c:pt idx="695">
                  <c:v>15949.97751806942</c:v>
                </c:pt>
                <c:pt idx="696">
                  <c:v>15519.191776659498</c:v>
                </c:pt>
                <c:pt idx="697">
                  <c:v>14230.169250970132</c:v>
                </c:pt>
                <c:pt idx="698">
                  <c:v>13855.243528951425</c:v>
                </c:pt>
                <c:pt idx="699">
                  <c:v>13520.893784728671</c:v>
                </c:pt>
                <c:pt idx="700">
                  <c:v>15239.530848891389</c:v>
                </c:pt>
                <c:pt idx="701">
                  <c:v>15852.058981830491</c:v>
                </c:pt>
                <c:pt idx="702">
                  <c:v>16172.431760940661</c:v>
                </c:pt>
                <c:pt idx="703">
                  <c:v>15948.690749589172</c:v>
                </c:pt>
                <c:pt idx="704">
                  <c:v>15399.632070343554</c:v>
                </c:pt>
                <c:pt idx="705">
                  <c:v>15164.639008474696</c:v>
                </c:pt>
                <c:pt idx="706">
                  <c:v>14280.134529818808</c:v>
                </c:pt>
                <c:pt idx="707">
                  <c:v>12526.002003739492</c:v>
                </c:pt>
                <c:pt idx="708">
                  <c:v>17241.907250592201</c:v>
                </c:pt>
                <c:pt idx="709">
                  <c:v>14399.613824297898</c:v>
                </c:pt>
                <c:pt idx="710">
                  <c:v>14554.496504107548</c:v>
                </c:pt>
                <c:pt idx="711">
                  <c:v>15977.133118100006</c:v>
                </c:pt>
                <c:pt idx="712">
                  <c:v>17296.273188017563</c:v>
                </c:pt>
                <c:pt idx="713">
                  <c:v>15623.562106337671</c:v>
                </c:pt>
                <c:pt idx="714">
                  <c:v>18480.285437457518</c:v>
                </c:pt>
                <c:pt idx="715">
                  <c:v>16552.553350764767</c:v>
                </c:pt>
                <c:pt idx="716">
                  <c:v>18776.195667034175</c:v>
                </c:pt>
                <c:pt idx="717">
                  <c:v>14367.464140372558</c:v>
                </c:pt>
                <c:pt idx="718">
                  <c:v>16364.670197064132</c:v>
                </c:pt>
                <c:pt idx="719">
                  <c:v>15707.247366445252</c:v>
                </c:pt>
                <c:pt idx="720">
                  <c:v>12893.180467240702</c:v>
                </c:pt>
                <c:pt idx="721">
                  <c:v>16424.603804036946</c:v>
                </c:pt>
                <c:pt idx="722">
                  <c:v>13000.384180778121</c:v>
                </c:pt>
                <c:pt idx="723">
                  <c:v>13394.881863543584</c:v>
                </c:pt>
                <c:pt idx="724">
                  <c:v>18570.269483594315</c:v>
                </c:pt>
                <c:pt idx="725">
                  <c:v>12030.155014244821</c:v>
                </c:pt>
                <c:pt idx="726">
                  <c:v>16879.775095327583</c:v>
                </c:pt>
                <c:pt idx="727">
                  <c:v>11580.154096512018</c:v>
                </c:pt>
                <c:pt idx="728">
                  <c:v>14956.428418889833</c:v>
                </c:pt>
                <c:pt idx="729">
                  <c:v>15605.624166936197</c:v>
                </c:pt>
                <c:pt idx="730">
                  <c:v>15470.41716626464</c:v>
                </c:pt>
                <c:pt idx="731">
                  <c:v>15108.356390422197</c:v>
                </c:pt>
                <c:pt idx="732">
                  <c:v>14002.800726877624</c:v>
                </c:pt>
                <c:pt idx="733">
                  <c:v>13883.73563703276</c:v>
                </c:pt>
                <c:pt idx="734">
                  <c:v>13303.334332106846</c:v>
                </c:pt>
                <c:pt idx="735">
                  <c:v>13630.445737217917</c:v>
                </c:pt>
                <c:pt idx="736">
                  <c:v>17319.153118664508</c:v>
                </c:pt>
                <c:pt idx="737">
                  <c:v>14032.260441257389</c:v>
                </c:pt>
                <c:pt idx="738">
                  <c:v>15063.690913205137</c:v>
                </c:pt>
                <c:pt idx="739">
                  <c:v>14728.764597820376</c:v>
                </c:pt>
                <c:pt idx="740">
                  <c:v>14874.531706432419</c:v>
                </c:pt>
                <c:pt idx="741">
                  <c:v>16269.251336156925</c:v>
                </c:pt>
                <c:pt idx="742">
                  <c:v>15133.676633683834</c:v>
                </c:pt>
                <c:pt idx="743">
                  <c:v>13140.290926103249</c:v>
                </c:pt>
                <c:pt idx="744">
                  <c:v>14758.077246087449</c:v>
                </c:pt>
                <c:pt idx="745">
                  <c:v>13921.42053475285</c:v>
                </c:pt>
                <c:pt idx="746">
                  <c:v>17650.621062428108</c:v>
                </c:pt>
                <c:pt idx="747">
                  <c:v>17083.330478790253</c:v>
                </c:pt>
                <c:pt idx="748">
                  <c:v>19980.779484194594</c:v>
                </c:pt>
                <c:pt idx="749">
                  <c:v>15599.513371089442</c:v>
                </c:pt>
                <c:pt idx="750">
                  <c:v>17847.701659287231</c:v>
                </c:pt>
                <c:pt idx="751">
                  <c:v>12878.200221258945</c:v>
                </c:pt>
                <c:pt idx="752">
                  <c:v>12022.840685522373</c:v>
                </c:pt>
                <c:pt idx="753">
                  <c:v>15032.234905345467</c:v>
                </c:pt>
                <c:pt idx="754">
                  <c:v>17909.590044196779</c:v>
                </c:pt>
                <c:pt idx="755">
                  <c:v>13812.082952426654</c:v>
                </c:pt>
                <c:pt idx="756">
                  <c:v>14956.603335705135</c:v>
                </c:pt>
                <c:pt idx="757">
                  <c:v>14819.168467900054</c:v>
                </c:pt>
                <c:pt idx="758">
                  <c:v>18748.40120497673</c:v>
                </c:pt>
                <c:pt idx="759">
                  <c:v>19595.938146508361</c:v>
                </c:pt>
                <c:pt idx="760">
                  <c:v>15450.001364402293</c:v>
                </c:pt>
                <c:pt idx="761">
                  <c:v>14310.06201982122</c:v>
                </c:pt>
                <c:pt idx="762">
                  <c:v>14527.851521112956</c:v>
                </c:pt>
                <c:pt idx="763">
                  <c:v>15843.801816196503</c:v>
                </c:pt>
                <c:pt idx="764">
                  <c:v>14546.621869420422</c:v>
                </c:pt>
                <c:pt idx="765">
                  <c:v>16279.268337682617</c:v>
                </c:pt>
                <c:pt idx="766">
                  <c:v>17861.474548669568</c:v>
                </c:pt>
                <c:pt idx="767">
                  <c:v>13923.456493309443</c:v>
                </c:pt>
                <c:pt idx="768">
                  <c:v>19087.94674708381</c:v>
                </c:pt>
                <c:pt idx="769">
                  <c:v>13282.185804645536</c:v>
                </c:pt>
                <c:pt idx="770">
                  <c:v>17697.509363011155</c:v>
                </c:pt>
                <c:pt idx="771">
                  <c:v>16660.300874088131</c:v>
                </c:pt>
                <c:pt idx="772">
                  <c:v>16450.689088189323</c:v>
                </c:pt>
                <c:pt idx="773">
                  <c:v>16134.955615793851</c:v>
                </c:pt>
                <c:pt idx="774">
                  <c:v>16633.827968204332</c:v>
                </c:pt>
                <c:pt idx="775">
                  <c:v>16128.294163981398</c:v>
                </c:pt>
                <c:pt idx="776">
                  <c:v>12637.497635748581</c:v>
                </c:pt>
                <c:pt idx="777">
                  <c:v>15240.67141351067</c:v>
                </c:pt>
                <c:pt idx="778">
                  <c:v>14650.551972330528</c:v>
                </c:pt>
                <c:pt idx="779">
                  <c:v>18925.659503313418</c:v>
                </c:pt>
                <c:pt idx="780">
                  <c:v>13843.516810434519</c:v>
                </c:pt>
                <c:pt idx="781">
                  <c:v>13057.608070208042</c:v>
                </c:pt>
                <c:pt idx="782">
                  <c:v>14769.423386302766</c:v>
                </c:pt>
                <c:pt idx="783">
                  <c:v>14201.576217796719</c:v>
                </c:pt>
                <c:pt idx="784">
                  <c:v>13949.852282216592</c:v>
                </c:pt>
                <c:pt idx="785">
                  <c:v>11739.742615322832</c:v>
                </c:pt>
                <c:pt idx="786">
                  <c:v>14664.832945407283</c:v>
                </c:pt>
                <c:pt idx="787">
                  <c:v>13824.190870458893</c:v>
                </c:pt>
                <c:pt idx="788">
                  <c:v>15534.074527307072</c:v>
                </c:pt>
                <c:pt idx="789">
                  <c:v>13415.53520428135</c:v>
                </c:pt>
                <c:pt idx="790">
                  <c:v>11283.692941924166</c:v>
                </c:pt>
                <c:pt idx="791">
                  <c:v>18702.215697940337</c:v>
                </c:pt>
                <c:pt idx="792">
                  <c:v>15798.117976787829</c:v>
                </c:pt>
                <c:pt idx="793">
                  <c:v>18012.164805862576</c:v>
                </c:pt>
                <c:pt idx="794">
                  <c:v>15487.238737769972</c:v>
                </c:pt>
                <c:pt idx="795">
                  <c:v>13889.004620813685</c:v>
                </c:pt>
                <c:pt idx="796">
                  <c:v>16667.4830027524</c:v>
                </c:pt>
                <c:pt idx="797">
                  <c:v>15204.679431332414</c:v>
                </c:pt>
                <c:pt idx="798">
                  <c:v>16932.177970347519</c:v>
                </c:pt>
                <c:pt idx="799">
                  <c:v>15111.421701385891</c:v>
                </c:pt>
                <c:pt idx="800">
                  <c:v>18022.215501320843</c:v>
                </c:pt>
                <c:pt idx="801">
                  <c:v>15957.947263638636</c:v>
                </c:pt>
                <c:pt idx="802">
                  <c:v>11910.876296537959</c:v>
                </c:pt>
                <c:pt idx="803">
                  <c:v>19847.344326974915</c:v>
                </c:pt>
                <c:pt idx="804">
                  <c:v>14153.99281851448</c:v>
                </c:pt>
                <c:pt idx="805">
                  <c:v>18172.671123205168</c:v>
                </c:pt>
                <c:pt idx="806">
                  <c:v>16632.290352749511</c:v>
                </c:pt>
                <c:pt idx="807">
                  <c:v>13471.353272687866</c:v>
                </c:pt>
                <c:pt idx="808">
                  <c:v>16019.744581634259</c:v>
                </c:pt>
                <c:pt idx="809">
                  <c:v>14358.080744653618</c:v>
                </c:pt>
                <c:pt idx="810">
                  <c:v>16280.186782920773</c:v>
                </c:pt>
                <c:pt idx="811">
                  <c:v>16859.194807560274</c:v>
                </c:pt>
                <c:pt idx="812">
                  <c:v>18737.986094582095</c:v>
                </c:pt>
                <c:pt idx="813">
                  <c:v>17390.709636106585</c:v>
                </c:pt>
                <c:pt idx="814">
                  <c:v>12964.798297575167</c:v>
                </c:pt>
                <c:pt idx="815">
                  <c:v>19785.642968336691</c:v>
                </c:pt>
                <c:pt idx="816">
                  <c:v>18345.201123346262</c:v>
                </c:pt>
                <c:pt idx="817">
                  <c:v>17011.203051966939</c:v>
                </c:pt>
                <c:pt idx="818">
                  <c:v>19803.520297138697</c:v>
                </c:pt>
                <c:pt idx="819">
                  <c:v>14814.923155325037</c:v>
                </c:pt>
                <c:pt idx="820">
                  <c:v>17333.931057669492</c:v>
                </c:pt>
                <c:pt idx="821">
                  <c:v>13014.488469315573</c:v>
                </c:pt>
                <c:pt idx="822">
                  <c:v>16053.949789369746</c:v>
                </c:pt>
                <c:pt idx="823">
                  <c:v>16762.324735407783</c:v>
                </c:pt>
                <c:pt idx="824">
                  <c:v>15652.320590888859</c:v>
                </c:pt>
                <c:pt idx="825">
                  <c:v>15567.3889063812</c:v>
                </c:pt>
                <c:pt idx="826">
                  <c:v>15488.28824534806</c:v>
                </c:pt>
                <c:pt idx="827">
                  <c:v>16583.521499246999</c:v>
                </c:pt>
                <c:pt idx="828">
                  <c:v>13664.644316563108</c:v>
                </c:pt>
                <c:pt idx="829">
                  <c:v>13815.470660390325</c:v>
                </c:pt>
                <c:pt idx="830">
                  <c:v>18530.406289739327</c:v>
                </c:pt>
                <c:pt idx="831">
                  <c:v>17110.226642918347</c:v>
                </c:pt>
                <c:pt idx="832">
                  <c:v>14097.862958241125</c:v>
                </c:pt>
                <c:pt idx="833">
                  <c:v>16671.499463975899</c:v>
                </c:pt>
                <c:pt idx="834">
                  <c:v>18019.748031124996</c:v>
                </c:pt>
                <c:pt idx="835">
                  <c:v>16923.250865463571</c:v>
                </c:pt>
                <c:pt idx="836">
                  <c:v>18359.45891924878</c:v>
                </c:pt>
                <c:pt idx="837">
                  <c:v>15652.495356874511</c:v>
                </c:pt>
                <c:pt idx="838">
                  <c:v>13802.629249087577</c:v>
                </c:pt>
                <c:pt idx="839">
                  <c:v>14841.432842301581</c:v>
                </c:pt>
                <c:pt idx="840">
                  <c:v>14217.599562603749</c:v>
                </c:pt>
                <c:pt idx="841">
                  <c:v>19074.791689182006</c:v>
                </c:pt>
                <c:pt idx="842">
                  <c:v>17180.815613761672</c:v>
                </c:pt>
                <c:pt idx="843">
                  <c:v>14558.0194354301</c:v>
                </c:pt>
                <c:pt idx="844">
                  <c:v>13817.593989691559</c:v>
                </c:pt>
                <c:pt idx="845">
                  <c:v>12535.634904459885</c:v>
                </c:pt>
                <c:pt idx="846">
                  <c:v>16987.903555831752</c:v>
                </c:pt>
                <c:pt idx="847">
                  <c:v>13506.812814728253</c:v>
                </c:pt>
                <c:pt idx="848">
                  <c:v>17822.778211693465</c:v>
                </c:pt>
                <c:pt idx="849">
                  <c:v>15677.373978065363</c:v>
                </c:pt>
                <c:pt idx="850">
                  <c:v>15411.720242490326</c:v>
                </c:pt>
                <c:pt idx="851">
                  <c:v>15458.628311717386</c:v>
                </c:pt>
                <c:pt idx="852">
                  <c:v>13575.357364840898</c:v>
                </c:pt>
                <c:pt idx="853">
                  <c:v>13492.523357297456</c:v>
                </c:pt>
                <c:pt idx="854">
                  <c:v>16769.081719717833</c:v>
                </c:pt>
                <c:pt idx="855">
                  <c:v>15349.162999550363</c:v>
                </c:pt>
                <c:pt idx="856">
                  <c:v>14156.251332039632</c:v>
                </c:pt>
                <c:pt idx="857">
                  <c:v>18329.567992309287</c:v>
                </c:pt>
                <c:pt idx="858">
                  <c:v>14564.711974520204</c:v>
                </c:pt>
                <c:pt idx="859">
                  <c:v>12518.324906357913</c:v>
                </c:pt>
                <c:pt idx="860">
                  <c:v>16805.70755444737</c:v>
                </c:pt>
                <c:pt idx="861">
                  <c:v>16477.63901357579</c:v>
                </c:pt>
                <c:pt idx="862">
                  <c:v>13444.070359829195</c:v>
                </c:pt>
                <c:pt idx="863">
                  <c:v>15214.645685412184</c:v>
                </c:pt>
                <c:pt idx="864">
                  <c:v>16242.876299317863</c:v>
                </c:pt>
                <c:pt idx="865">
                  <c:v>13508.378539442849</c:v>
                </c:pt>
                <c:pt idx="866">
                  <c:v>14358.736873280917</c:v>
                </c:pt>
                <c:pt idx="867">
                  <c:v>13918.709147668262</c:v>
                </c:pt>
                <c:pt idx="868">
                  <c:v>13437.728999321285</c:v>
                </c:pt>
                <c:pt idx="869">
                  <c:v>16594.895860852335</c:v>
                </c:pt>
                <c:pt idx="870">
                  <c:v>14188.924640451154</c:v>
                </c:pt>
                <c:pt idx="871">
                  <c:v>13551.332112920405</c:v>
                </c:pt>
                <c:pt idx="872">
                  <c:v>14601.973550506973</c:v>
                </c:pt>
                <c:pt idx="873">
                  <c:v>15548.858778419892</c:v>
                </c:pt>
                <c:pt idx="874">
                  <c:v>14561.009038970484</c:v>
                </c:pt>
                <c:pt idx="875">
                  <c:v>15412.964316389283</c:v>
                </c:pt>
                <c:pt idx="876">
                  <c:v>17042.718884240006</c:v>
                </c:pt>
                <c:pt idx="877">
                  <c:v>16707.953956014575</c:v>
                </c:pt>
                <c:pt idx="878">
                  <c:v>13517.851002321337</c:v>
                </c:pt>
                <c:pt idx="879">
                  <c:v>14827.949949026506</c:v>
                </c:pt>
                <c:pt idx="880">
                  <c:v>14728.965536219903</c:v>
                </c:pt>
                <c:pt idx="881">
                  <c:v>12666.058119836558</c:v>
                </c:pt>
                <c:pt idx="882">
                  <c:v>15492.857955495791</c:v>
                </c:pt>
                <c:pt idx="883">
                  <c:v>11901.419240241155</c:v>
                </c:pt>
                <c:pt idx="884">
                  <c:v>15500.243698748667</c:v>
                </c:pt>
                <c:pt idx="885">
                  <c:v>17018.9466111613</c:v>
                </c:pt>
                <c:pt idx="886">
                  <c:v>14726.332540311443</c:v>
                </c:pt>
                <c:pt idx="887">
                  <c:v>15633.797456713566</c:v>
                </c:pt>
                <c:pt idx="888">
                  <c:v>13489.657419075893</c:v>
                </c:pt>
                <c:pt idx="889">
                  <c:v>16426.784113190897</c:v>
                </c:pt>
                <c:pt idx="890">
                  <c:v>16266.881234451801</c:v>
                </c:pt>
                <c:pt idx="891">
                  <c:v>16806.759929073549</c:v>
                </c:pt>
                <c:pt idx="892">
                  <c:v>16389.788485090099</c:v>
                </c:pt>
                <c:pt idx="893">
                  <c:v>16814.629143784321</c:v>
                </c:pt>
                <c:pt idx="894">
                  <c:v>11458.9404519339</c:v>
                </c:pt>
                <c:pt idx="895">
                  <c:v>16667.237681018702</c:v>
                </c:pt>
                <c:pt idx="896">
                  <c:v>16028.246213167049</c:v>
                </c:pt>
                <c:pt idx="897">
                  <c:v>15336.749417110586</c:v>
                </c:pt>
                <c:pt idx="898">
                  <c:v>16397.456883378069</c:v>
                </c:pt>
                <c:pt idx="899">
                  <c:v>15699.637878211441</c:v>
                </c:pt>
                <c:pt idx="900">
                  <c:v>15678.373049125277</c:v>
                </c:pt>
                <c:pt idx="901">
                  <c:v>16449.948709414497</c:v>
                </c:pt>
                <c:pt idx="902">
                  <c:v>15955.681532905985</c:v>
                </c:pt>
                <c:pt idx="903">
                  <c:v>14130.88728037108</c:v>
                </c:pt>
                <c:pt idx="904">
                  <c:v>11735.039279465649</c:v>
                </c:pt>
                <c:pt idx="905">
                  <c:v>16594.030920903409</c:v>
                </c:pt>
                <c:pt idx="906">
                  <c:v>12439.521238169082</c:v>
                </c:pt>
                <c:pt idx="907">
                  <c:v>16352.944610103461</c:v>
                </c:pt>
                <c:pt idx="908">
                  <c:v>15019.261782167934</c:v>
                </c:pt>
                <c:pt idx="909">
                  <c:v>17054.26610924369</c:v>
                </c:pt>
                <c:pt idx="910">
                  <c:v>15643.038525045329</c:v>
                </c:pt>
                <c:pt idx="911">
                  <c:v>14675.862615467695</c:v>
                </c:pt>
                <c:pt idx="912">
                  <c:v>17478.899227608996</c:v>
                </c:pt>
                <c:pt idx="913">
                  <c:v>16873.200603323476</c:v>
                </c:pt>
                <c:pt idx="914">
                  <c:v>13725.096169020651</c:v>
                </c:pt>
                <c:pt idx="915">
                  <c:v>14429.737435197785</c:v>
                </c:pt>
                <c:pt idx="916">
                  <c:v>15013.88968338323</c:v>
                </c:pt>
                <c:pt idx="917">
                  <c:v>11664.898217102389</c:v>
                </c:pt>
                <c:pt idx="918">
                  <c:v>14915.755592599962</c:v>
                </c:pt>
                <c:pt idx="919">
                  <c:v>12964.802158504541</c:v>
                </c:pt>
                <c:pt idx="920">
                  <c:v>16801.12214299566</c:v>
                </c:pt>
                <c:pt idx="921">
                  <c:v>16560.149025540803</c:v>
                </c:pt>
                <c:pt idx="922">
                  <c:v>15694.187751144282</c:v>
                </c:pt>
                <c:pt idx="923">
                  <c:v>16838.753713220882</c:v>
                </c:pt>
                <c:pt idx="924">
                  <c:v>12351.956782923162</c:v>
                </c:pt>
                <c:pt idx="925">
                  <c:v>18219.676911187762</c:v>
                </c:pt>
                <c:pt idx="926">
                  <c:v>17730.698615770078</c:v>
                </c:pt>
                <c:pt idx="927">
                  <c:v>17284.151917646246</c:v>
                </c:pt>
                <c:pt idx="928">
                  <c:v>11108.564755453293</c:v>
                </c:pt>
                <c:pt idx="929">
                  <c:v>12223.528748565375</c:v>
                </c:pt>
                <c:pt idx="930">
                  <c:v>16972.649020435518</c:v>
                </c:pt>
                <c:pt idx="931">
                  <c:v>13614.855907757248</c:v>
                </c:pt>
                <c:pt idx="932">
                  <c:v>12480.59467950709</c:v>
                </c:pt>
                <c:pt idx="933">
                  <c:v>13509.30280638327</c:v>
                </c:pt>
                <c:pt idx="934">
                  <c:v>15690.088108034264</c:v>
                </c:pt>
                <c:pt idx="935">
                  <c:v>15389.244205479485</c:v>
                </c:pt>
                <c:pt idx="936">
                  <c:v>16068.816498601855</c:v>
                </c:pt>
                <c:pt idx="937">
                  <c:v>13557.264654227725</c:v>
                </c:pt>
                <c:pt idx="938">
                  <c:v>18263.215488663813</c:v>
                </c:pt>
                <c:pt idx="939">
                  <c:v>15708.902435062137</c:v>
                </c:pt>
                <c:pt idx="940">
                  <c:v>12494.826470147464</c:v>
                </c:pt>
                <c:pt idx="941">
                  <c:v>15624.360241403816</c:v>
                </c:pt>
                <c:pt idx="942">
                  <c:v>12814.354603392394</c:v>
                </c:pt>
                <c:pt idx="943">
                  <c:v>13652.473783968198</c:v>
                </c:pt>
                <c:pt idx="944">
                  <c:v>12651.737959114531</c:v>
                </c:pt>
                <c:pt idx="945">
                  <c:v>14726.026154788649</c:v>
                </c:pt>
                <c:pt idx="946">
                  <c:v>16306.835412197304</c:v>
                </c:pt>
                <c:pt idx="947">
                  <c:v>12907.714274137961</c:v>
                </c:pt>
                <c:pt idx="948">
                  <c:v>15631.373913044727</c:v>
                </c:pt>
                <c:pt idx="949">
                  <c:v>17787.529337018117</c:v>
                </c:pt>
                <c:pt idx="950">
                  <c:v>15035.223230412512</c:v>
                </c:pt>
                <c:pt idx="951">
                  <c:v>18420.42207060388</c:v>
                </c:pt>
                <c:pt idx="952">
                  <c:v>14757.716050201598</c:v>
                </c:pt>
                <c:pt idx="953">
                  <c:v>14105.042519025505</c:v>
                </c:pt>
                <c:pt idx="954">
                  <c:v>14057.917433742534</c:v>
                </c:pt>
                <c:pt idx="955">
                  <c:v>17054.76893396927</c:v>
                </c:pt>
                <c:pt idx="956">
                  <c:v>17296.694429055457</c:v>
                </c:pt>
                <c:pt idx="957">
                  <c:v>12471.046454467652</c:v>
                </c:pt>
                <c:pt idx="958">
                  <c:v>17646.311977188649</c:v>
                </c:pt>
                <c:pt idx="959">
                  <c:v>15765.821172309876</c:v>
                </c:pt>
                <c:pt idx="960">
                  <c:v>14546.037020168678</c:v>
                </c:pt>
                <c:pt idx="961">
                  <c:v>18418.334524526708</c:v>
                </c:pt>
                <c:pt idx="962">
                  <c:v>19428.468030068601</c:v>
                </c:pt>
                <c:pt idx="963">
                  <c:v>15089.770674700545</c:v>
                </c:pt>
                <c:pt idx="964">
                  <c:v>14699.727693182056</c:v>
                </c:pt>
                <c:pt idx="965">
                  <c:v>17336.405462873194</c:v>
                </c:pt>
                <c:pt idx="966">
                  <c:v>16757.973616534749</c:v>
                </c:pt>
                <c:pt idx="967">
                  <c:v>15068.293058060743</c:v>
                </c:pt>
                <c:pt idx="968">
                  <c:v>16848.505482700049</c:v>
                </c:pt>
                <c:pt idx="969">
                  <c:v>11279.005866923086</c:v>
                </c:pt>
                <c:pt idx="970">
                  <c:v>15386.916086629686</c:v>
                </c:pt>
                <c:pt idx="971">
                  <c:v>14801.96014165893</c:v>
                </c:pt>
                <c:pt idx="972">
                  <c:v>18188.618507930954</c:v>
                </c:pt>
                <c:pt idx="973">
                  <c:v>17833.382761835586</c:v>
                </c:pt>
                <c:pt idx="974">
                  <c:v>12783.591333686809</c:v>
                </c:pt>
                <c:pt idx="975">
                  <c:v>13793.012863303305</c:v>
                </c:pt>
                <c:pt idx="976">
                  <c:v>15343.324975603902</c:v>
                </c:pt>
                <c:pt idx="977">
                  <c:v>13954.999337629915</c:v>
                </c:pt>
                <c:pt idx="978">
                  <c:v>14226.615411843735</c:v>
                </c:pt>
                <c:pt idx="979">
                  <c:v>18123.97820646561</c:v>
                </c:pt>
                <c:pt idx="980">
                  <c:v>17521.04705589974</c:v>
                </c:pt>
                <c:pt idx="981">
                  <c:v>15421.00099834637</c:v>
                </c:pt>
                <c:pt idx="982">
                  <c:v>14417.673550532385</c:v>
                </c:pt>
                <c:pt idx="983">
                  <c:v>16314.908697432082</c:v>
                </c:pt>
                <c:pt idx="984">
                  <c:v>14400.32466900709</c:v>
                </c:pt>
                <c:pt idx="985">
                  <c:v>15526.371225124129</c:v>
                </c:pt>
                <c:pt idx="986">
                  <c:v>15929.345898185949</c:v>
                </c:pt>
                <c:pt idx="987">
                  <c:v>18191.574107928638</c:v>
                </c:pt>
                <c:pt idx="988">
                  <c:v>16818.809249021437</c:v>
                </c:pt>
                <c:pt idx="989">
                  <c:v>17437.524758931781</c:v>
                </c:pt>
                <c:pt idx="990">
                  <c:v>14474.058788903352</c:v>
                </c:pt>
                <c:pt idx="991">
                  <c:v>13306.470031824354</c:v>
                </c:pt>
                <c:pt idx="992">
                  <c:v>13961.248210010219</c:v>
                </c:pt>
                <c:pt idx="993">
                  <c:v>16067.899232922748</c:v>
                </c:pt>
                <c:pt idx="994">
                  <c:v>16838.289803595111</c:v>
                </c:pt>
                <c:pt idx="995">
                  <c:v>14068.570859785788</c:v>
                </c:pt>
                <c:pt idx="996">
                  <c:v>18292.94039029102</c:v>
                </c:pt>
                <c:pt idx="997">
                  <c:v>18036.862899370954</c:v>
                </c:pt>
                <c:pt idx="998">
                  <c:v>17525.063024511539</c:v>
                </c:pt>
                <c:pt idx="999">
                  <c:v>15825.923993744855</c:v>
                </c:pt>
              </c:numCache>
            </c:numRef>
          </c:yVal>
          <c:smooth val="0"/>
        </c:ser>
        <c:ser>
          <c:idx val="1"/>
          <c:order val="1"/>
          <c:tx>
            <c:v>Scenario 2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'MC Results'!$E$8:$E$1007</c:f>
              <c:numCache>
                <c:formatCode>0.00</c:formatCode>
                <c:ptCount val="1000"/>
                <c:pt idx="0">
                  <c:v>0.96903293258035761</c:v>
                </c:pt>
                <c:pt idx="1">
                  <c:v>0.98827697473463516</c:v>
                </c:pt>
                <c:pt idx="2">
                  <c:v>0.90197842837580433</c:v>
                </c:pt>
                <c:pt idx="3">
                  <c:v>0.97986157495079862</c:v>
                </c:pt>
                <c:pt idx="4">
                  <c:v>0.94707614821833142</c:v>
                </c:pt>
                <c:pt idx="5">
                  <c:v>0.9383687463407212</c:v>
                </c:pt>
                <c:pt idx="6">
                  <c:v>0.90819578913813537</c:v>
                </c:pt>
                <c:pt idx="7">
                  <c:v>0.8270367707494195</c:v>
                </c:pt>
                <c:pt idx="8">
                  <c:v>0.85403310669862065</c:v>
                </c:pt>
                <c:pt idx="9">
                  <c:v>0.80964508121668233</c:v>
                </c:pt>
                <c:pt idx="10">
                  <c:v>0.94445761322239585</c:v>
                </c:pt>
                <c:pt idx="11">
                  <c:v>0.83486314100980008</c:v>
                </c:pt>
                <c:pt idx="12">
                  <c:v>0.95795960670795166</c:v>
                </c:pt>
                <c:pt idx="13">
                  <c:v>0.9170532300125569</c:v>
                </c:pt>
                <c:pt idx="14">
                  <c:v>0.95518830432707047</c:v>
                </c:pt>
                <c:pt idx="15">
                  <c:v>0.95214397306974574</c:v>
                </c:pt>
                <c:pt idx="16">
                  <c:v>0.9347300904472251</c:v>
                </c:pt>
                <c:pt idx="17">
                  <c:v>0.79769203685144796</c:v>
                </c:pt>
                <c:pt idx="18">
                  <c:v>0.95143642902099224</c:v>
                </c:pt>
                <c:pt idx="19">
                  <c:v>0.93579091963785122</c:v>
                </c:pt>
                <c:pt idx="20">
                  <c:v>0.81537749497126288</c:v>
                </c:pt>
                <c:pt idx="21">
                  <c:v>0.80346236404016513</c:v>
                </c:pt>
                <c:pt idx="22">
                  <c:v>0.97534105906197133</c:v>
                </c:pt>
                <c:pt idx="23">
                  <c:v>0.90149527478739722</c:v>
                </c:pt>
                <c:pt idx="24">
                  <c:v>0.91899715524560155</c:v>
                </c:pt>
                <c:pt idx="25">
                  <c:v>0.73099287309436445</c:v>
                </c:pt>
                <c:pt idx="26">
                  <c:v>0.93536467115419253</c:v>
                </c:pt>
                <c:pt idx="27">
                  <c:v>0.77245467253565447</c:v>
                </c:pt>
                <c:pt idx="28">
                  <c:v>0.94611263079969143</c:v>
                </c:pt>
                <c:pt idx="29">
                  <c:v>0.94088619387199213</c:v>
                </c:pt>
                <c:pt idx="30">
                  <c:v>0.8519060544681214</c:v>
                </c:pt>
                <c:pt idx="31">
                  <c:v>0.82225255688563159</c:v>
                </c:pt>
                <c:pt idx="32">
                  <c:v>0.73244695698570839</c:v>
                </c:pt>
                <c:pt idx="33">
                  <c:v>0.93834629664820568</c:v>
                </c:pt>
                <c:pt idx="34">
                  <c:v>0.80084331439991818</c:v>
                </c:pt>
                <c:pt idx="35">
                  <c:v>0.84117213259649515</c:v>
                </c:pt>
                <c:pt idx="36">
                  <c:v>0.77422541013776769</c:v>
                </c:pt>
                <c:pt idx="37">
                  <c:v>0.88631209871731009</c:v>
                </c:pt>
                <c:pt idx="38">
                  <c:v>0.94784860096625767</c:v>
                </c:pt>
                <c:pt idx="39">
                  <c:v>0.80673924987930812</c:v>
                </c:pt>
                <c:pt idx="40">
                  <c:v>0.90937151980869235</c:v>
                </c:pt>
                <c:pt idx="41">
                  <c:v>0.83685671296692787</c:v>
                </c:pt>
                <c:pt idx="42">
                  <c:v>0.95121781619082313</c:v>
                </c:pt>
                <c:pt idx="43">
                  <c:v>0.78807237186011558</c:v>
                </c:pt>
                <c:pt idx="44">
                  <c:v>0.95311922932632009</c:v>
                </c:pt>
                <c:pt idx="45">
                  <c:v>0.89906906676972576</c:v>
                </c:pt>
                <c:pt idx="46">
                  <c:v>0.8845615897559207</c:v>
                </c:pt>
                <c:pt idx="47">
                  <c:v>0.8447358091090561</c:v>
                </c:pt>
                <c:pt idx="48">
                  <c:v>0.93283826250008062</c:v>
                </c:pt>
                <c:pt idx="49">
                  <c:v>0.87123180639240083</c:v>
                </c:pt>
                <c:pt idx="50">
                  <c:v>0.97976006345010447</c:v>
                </c:pt>
                <c:pt idx="51">
                  <c:v>0.93901858764168533</c:v>
                </c:pt>
                <c:pt idx="52">
                  <c:v>0.72120546509054284</c:v>
                </c:pt>
                <c:pt idx="53">
                  <c:v>0.95637247874349463</c:v>
                </c:pt>
                <c:pt idx="54">
                  <c:v>0.92221836097503207</c:v>
                </c:pt>
                <c:pt idx="55">
                  <c:v>0.75938813245380898</c:v>
                </c:pt>
                <c:pt idx="56">
                  <c:v>0.88781224159501249</c:v>
                </c:pt>
                <c:pt idx="57">
                  <c:v>0.90979860390760714</c:v>
                </c:pt>
                <c:pt idx="58">
                  <c:v>0.96016495688684422</c:v>
                </c:pt>
                <c:pt idx="59">
                  <c:v>0.95127899066876409</c:v>
                </c:pt>
                <c:pt idx="60">
                  <c:v>0.93694733949170883</c:v>
                </c:pt>
                <c:pt idx="61">
                  <c:v>0.94729986515328213</c:v>
                </c:pt>
                <c:pt idx="62">
                  <c:v>0.98427216788972527</c:v>
                </c:pt>
                <c:pt idx="63">
                  <c:v>0.88067245335390953</c:v>
                </c:pt>
                <c:pt idx="64">
                  <c:v>0.95743770292180097</c:v>
                </c:pt>
                <c:pt idx="65">
                  <c:v>0.86730423421666403</c:v>
                </c:pt>
                <c:pt idx="66">
                  <c:v>0.89734965108132014</c:v>
                </c:pt>
                <c:pt idx="67">
                  <c:v>0.92775751521268801</c:v>
                </c:pt>
                <c:pt idx="68">
                  <c:v>0.88341202580049805</c:v>
                </c:pt>
                <c:pt idx="69">
                  <c:v>0.82549882581716161</c:v>
                </c:pt>
                <c:pt idx="70">
                  <c:v>0.96788155947324328</c:v>
                </c:pt>
                <c:pt idx="71">
                  <c:v>0.82832823421294832</c:v>
                </c:pt>
                <c:pt idx="72">
                  <c:v>0.93440025892649747</c:v>
                </c:pt>
                <c:pt idx="73">
                  <c:v>0.98187137242918676</c:v>
                </c:pt>
                <c:pt idx="74">
                  <c:v>0.95835777116326359</c:v>
                </c:pt>
                <c:pt idx="75">
                  <c:v>0.96217956565919693</c:v>
                </c:pt>
                <c:pt idx="76">
                  <c:v>0.85182777440922086</c:v>
                </c:pt>
                <c:pt idx="77">
                  <c:v>0.88613232197346625</c:v>
                </c:pt>
                <c:pt idx="78">
                  <c:v>0.96586569130941546</c:v>
                </c:pt>
                <c:pt idx="79">
                  <c:v>0.95818324198223381</c:v>
                </c:pt>
                <c:pt idx="80">
                  <c:v>0.75676069444318195</c:v>
                </c:pt>
                <c:pt idx="81">
                  <c:v>0.73988754473890717</c:v>
                </c:pt>
                <c:pt idx="82">
                  <c:v>0.86999246421408172</c:v>
                </c:pt>
                <c:pt idx="83">
                  <c:v>0.8314168528100514</c:v>
                </c:pt>
                <c:pt idx="84">
                  <c:v>0.93608456021274078</c:v>
                </c:pt>
                <c:pt idx="85">
                  <c:v>0.93407857239628589</c:v>
                </c:pt>
                <c:pt idx="86">
                  <c:v>0.9643415303623013</c:v>
                </c:pt>
                <c:pt idx="87">
                  <c:v>0.93130302251162234</c:v>
                </c:pt>
                <c:pt idx="88">
                  <c:v>0.96988580454806606</c:v>
                </c:pt>
                <c:pt idx="89">
                  <c:v>0.91714383484221296</c:v>
                </c:pt>
                <c:pt idx="90">
                  <c:v>0.93163935941697984</c:v>
                </c:pt>
                <c:pt idx="91">
                  <c:v>0.95857555476531653</c:v>
                </c:pt>
                <c:pt idx="92">
                  <c:v>0.96960705989071427</c:v>
                </c:pt>
                <c:pt idx="93">
                  <c:v>0.87536136349457916</c:v>
                </c:pt>
                <c:pt idx="94">
                  <c:v>0.92618127633032232</c:v>
                </c:pt>
                <c:pt idx="95">
                  <c:v>0.92137329867224294</c:v>
                </c:pt>
                <c:pt idx="96">
                  <c:v>0.96211353442158054</c:v>
                </c:pt>
                <c:pt idx="97">
                  <c:v>0.89218084331875303</c:v>
                </c:pt>
                <c:pt idx="98">
                  <c:v>0.84162832093783357</c:v>
                </c:pt>
                <c:pt idx="99">
                  <c:v>0.84429871040565674</c:v>
                </c:pt>
                <c:pt idx="100">
                  <c:v>0.94810062775192616</c:v>
                </c:pt>
                <c:pt idx="101">
                  <c:v>0.97244604114733302</c:v>
                </c:pt>
                <c:pt idx="102">
                  <c:v>0.97021866112210797</c:v>
                </c:pt>
                <c:pt idx="103">
                  <c:v>0.84572064596575558</c:v>
                </c:pt>
                <c:pt idx="104">
                  <c:v>0.97461153336952755</c:v>
                </c:pt>
                <c:pt idx="105">
                  <c:v>0.79295709400271908</c:v>
                </c:pt>
                <c:pt idx="106">
                  <c:v>0.90544252249277157</c:v>
                </c:pt>
                <c:pt idx="107">
                  <c:v>0.86227869251714495</c:v>
                </c:pt>
                <c:pt idx="108">
                  <c:v>0.89454119491359263</c:v>
                </c:pt>
                <c:pt idx="109">
                  <c:v>0.9420697617367132</c:v>
                </c:pt>
                <c:pt idx="110">
                  <c:v>0.76300201245495769</c:v>
                </c:pt>
                <c:pt idx="111">
                  <c:v>0.85495136933768279</c:v>
                </c:pt>
                <c:pt idx="112">
                  <c:v>0.96264237739245184</c:v>
                </c:pt>
                <c:pt idx="113">
                  <c:v>0.89469276001093034</c:v>
                </c:pt>
                <c:pt idx="114">
                  <c:v>0.9726347588294586</c:v>
                </c:pt>
                <c:pt idx="115">
                  <c:v>0.85180863219980707</c:v>
                </c:pt>
                <c:pt idx="116">
                  <c:v>0.79128837296690435</c:v>
                </c:pt>
                <c:pt idx="117">
                  <c:v>0.96651918487302291</c:v>
                </c:pt>
                <c:pt idx="118">
                  <c:v>0.90051617502886028</c:v>
                </c:pt>
                <c:pt idx="119">
                  <c:v>0.93077275883613986</c:v>
                </c:pt>
                <c:pt idx="120">
                  <c:v>0.75141101058706106</c:v>
                </c:pt>
                <c:pt idx="121">
                  <c:v>0.88111922449178137</c:v>
                </c:pt>
                <c:pt idx="122">
                  <c:v>0.8111768209151462</c:v>
                </c:pt>
                <c:pt idx="123">
                  <c:v>0.96978186150328138</c:v>
                </c:pt>
                <c:pt idx="124">
                  <c:v>0.96187640051038037</c:v>
                </c:pt>
                <c:pt idx="125">
                  <c:v>0.8599870585630387</c:v>
                </c:pt>
                <c:pt idx="126">
                  <c:v>0.95871791446607169</c:v>
                </c:pt>
                <c:pt idx="127">
                  <c:v>0.88067011675978546</c:v>
                </c:pt>
                <c:pt idx="128">
                  <c:v>0.77354655191279931</c:v>
                </c:pt>
                <c:pt idx="129">
                  <c:v>0.98259582954772906</c:v>
                </c:pt>
                <c:pt idx="130">
                  <c:v>0.97435508130075599</c:v>
                </c:pt>
                <c:pt idx="131">
                  <c:v>0.89185669071874396</c:v>
                </c:pt>
                <c:pt idx="132">
                  <c:v>0.96867819549857637</c:v>
                </c:pt>
                <c:pt idx="133">
                  <c:v>0.9199161293046314</c:v>
                </c:pt>
                <c:pt idx="134">
                  <c:v>0.92990912271169901</c:v>
                </c:pt>
                <c:pt idx="135">
                  <c:v>0.84557808629832565</c:v>
                </c:pt>
                <c:pt idx="136">
                  <c:v>0.94082529365357503</c:v>
                </c:pt>
                <c:pt idx="137">
                  <c:v>0.88867423479243235</c:v>
                </c:pt>
                <c:pt idx="138">
                  <c:v>0.93459456700111687</c:v>
                </c:pt>
                <c:pt idx="139">
                  <c:v>0.82939961077223223</c:v>
                </c:pt>
                <c:pt idx="140">
                  <c:v>0.95912531585408312</c:v>
                </c:pt>
                <c:pt idx="141">
                  <c:v>0.95968292856211401</c:v>
                </c:pt>
                <c:pt idx="142">
                  <c:v>0.84275870674642783</c:v>
                </c:pt>
                <c:pt idx="143">
                  <c:v>0.96478346031380946</c:v>
                </c:pt>
                <c:pt idx="144">
                  <c:v>0.84585897891229966</c:v>
                </c:pt>
                <c:pt idx="145">
                  <c:v>0.93916579602857464</c:v>
                </c:pt>
                <c:pt idx="146">
                  <c:v>0.95912727042997381</c:v>
                </c:pt>
                <c:pt idx="147">
                  <c:v>0.94905836090397888</c:v>
                </c:pt>
                <c:pt idx="148">
                  <c:v>0.71734866451575185</c:v>
                </c:pt>
                <c:pt idx="149">
                  <c:v>0.92100319792965357</c:v>
                </c:pt>
                <c:pt idx="150">
                  <c:v>0.8557105645323092</c:v>
                </c:pt>
                <c:pt idx="151">
                  <c:v>0.85516659160083797</c:v>
                </c:pt>
                <c:pt idx="152">
                  <c:v>0.85835280153393101</c:v>
                </c:pt>
                <c:pt idx="153">
                  <c:v>0.81671828598814589</c:v>
                </c:pt>
                <c:pt idx="154">
                  <c:v>0.72213108571065565</c:v>
                </c:pt>
                <c:pt idx="155">
                  <c:v>0.95124528673359821</c:v>
                </c:pt>
                <c:pt idx="156">
                  <c:v>0.851052854463485</c:v>
                </c:pt>
                <c:pt idx="157">
                  <c:v>0.92704580889751598</c:v>
                </c:pt>
                <c:pt idx="158">
                  <c:v>0.96564644478203987</c:v>
                </c:pt>
                <c:pt idx="159">
                  <c:v>0.84436414101779</c:v>
                </c:pt>
                <c:pt idx="160">
                  <c:v>0.92761024827044314</c:v>
                </c:pt>
                <c:pt idx="161">
                  <c:v>0.94202601975816602</c:v>
                </c:pt>
                <c:pt idx="162">
                  <c:v>0.96950820291133133</c:v>
                </c:pt>
                <c:pt idx="163">
                  <c:v>0.77581514121282624</c:v>
                </c:pt>
                <c:pt idx="164">
                  <c:v>0.74204799735998872</c:v>
                </c:pt>
                <c:pt idx="165">
                  <c:v>0.93131726987888719</c:v>
                </c:pt>
                <c:pt idx="166">
                  <c:v>0.91958380289415032</c:v>
                </c:pt>
                <c:pt idx="167">
                  <c:v>0.95656068842147246</c:v>
                </c:pt>
                <c:pt idx="168">
                  <c:v>0.95883423935546663</c:v>
                </c:pt>
                <c:pt idx="169">
                  <c:v>0.78638125986115326</c:v>
                </c:pt>
                <c:pt idx="170">
                  <c:v>0.73175824444042536</c:v>
                </c:pt>
                <c:pt idx="171">
                  <c:v>0.79480888202944322</c:v>
                </c:pt>
                <c:pt idx="172">
                  <c:v>0.76204607294788707</c:v>
                </c:pt>
                <c:pt idx="173">
                  <c:v>0.91589206550857594</c:v>
                </c:pt>
                <c:pt idx="174">
                  <c:v>0.8734606004868134</c:v>
                </c:pt>
                <c:pt idx="175">
                  <c:v>0.84151283204662874</c:v>
                </c:pt>
                <c:pt idx="176">
                  <c:v>0.80629506040115773</c:v>
                </c:pt>
                <c:pt idx="177">
                  <c:v>0.83258283253362675</c:v>
                </c:pt>
                <c:pt idx="178">
                  <c:v>0.83459098120331188</c:v>
                </c:pt>
                <c:pt idx="179">
                  <c:v>0.75120274788447772</c:v>
                </c:pt>
                <c:pt idx="180">
                  <c:v>0.93715378644635505</c:v>
                </c:pt>
                <c:pt idx="181">
                  <c:v>0.7953152283808389</c:v>
                </c:pt>
                <c:pt idx="182">
                  <c:v>0.94360167234413894</c:v>
                </c:pt>
                <c:pt idx="183">
                  <c:v>0.78304214047414189</c:v>
                </c:pt>
                <c:pt idx="184">
                  <c:v>0.8807817467006489</c:v>
                </c:pt>
                <c:pt idx="185">
                  <c:v>0.98224330599302323</c:v>
                </c:pt>
                <c:pt idx="186">
                  <c:v>0.83490004998066292</c:v>
                </c:pt>
                <c:pt idx="187">
                  <c:v>0.9371165850227432</c:v>
                </c:pt>
                <c:pt idx="188">
                  <c:v>0.85591869232546736</c:v>
                </c:pt>
                <c:pt idx="189">
                  <c:v>0.9176070720422892</c:v>
                </c:pt>
                <c:pt idx="190">
                  <c:v>0.90706258843710463</c:v>
                </c:pt>
                <c:pt idx="191">
                  <c:v>0.98095525928483762</c:v>
                </c:pt>
                <c:pt idx="192">
                  <c:v>0.93963136655635271</c:v>
                </c:pt>
                <c:pt idx="193">
                  <c:v>0.91154752960796825</c:v>
                </c:pt>
                <c:pt idx="194">
                  <c:v>0.91831348417429226</c:v>
                </c:pt>
                <c:pt idx="195">
                  <c:v>0.71924445959826511</c:v>
                </c:pt>
                <c:pt idx="196">
                  <c:v>0.96880189979369891</c:v>
                </c:pt>
                <c:pt idx="197">
                  <c:v>0.93896844846180549</c:v>
                </c:pt>
                <c:pt idx="198">
                  <c:v>0.94453251649716718</c:v>
                </c:pt>
                <c:pt idx="199">
                  <c:v>0.95692075283427636</c:v>
                </c:pt>
                <c:pt idx="200">
                  <c:v>0.94745017840907719</c:v>
                </c:pt>
                <c:pt idx="201">
                  <c:v>0.97499966014452966</c:v>
                </c:pt>
                <c:pt idx="202">
                  <c:v>0.94429053722131751</c:v>
                </c:pt>
                <c:pt idx="203">
                  <c:v>0.95406998784037667</c:v>
                </c:pt>
                <c:pt idx="204">
                  <c:v>0.95688426717614361</c:v>
                </c:pt>
                <c:pt idx="205">
                  <c:v>0.96635573546046394</c:v>
                </c:pt>
                <c:pt idx="206">
                  <c:v>0.94614778947092182</c:v>
                </c:pt>
                <c:pt idx="207">
                  <c:v>0.83465801211756796</c:v>
                </c:pt>
                <c:pt idx="208">
                  <c:v>0.89825649840629684</c:v>
                </c:pt>
                <c:pt idx="209">
                  <c:v>0.78530949838290454</c:v>
                </c:pt>
                <c:pt idx="210">
                  <c:v>0.95926565522449669</c:v>
                </c:pt>
                <c:pt idx="211">
                  <c:v>0.94151253599359386</c:v>
                </c:pt>
                <c:pt idx="212">
                  <c:v>0.85970960602870128</c:v>
                </c:pt>
                <c:pt idx="213">
                  <c:v>0.93188669703554816</c:v>
                </c:pt>
                <c:pt idx="214">
                  <c:v>0.91099830498404688</c:v>
                </c:pt>
                <c:pt idx="215">
                  <c:v>0.89554343284213955</c:v>
                </c:pt>
                <c:pt idx="216">
                  <c:v>0.93362689881428929</c:v>
                </c:pt>
                <c:pt idx="217">
                  <c:v>0.96491722496782362</c:v>
                </c:pt>
                <c:pt idx="218">
                  <c:v>0.74115729241528649</c:v>
                </c:pt>
                <c:pt idx="219">
                  <c:v>0.95750460759466183</c:v>
                </c:pt>
                <c:pt idx="220">
                  <c:v>0.81226399096987156</c:v>
                </c:pt>
                <c:pt idx="221">
                  <c:v>0.87339097743930072</c:v>
                </c:pt>
                <c:pt idx="222">
                  <c:v>0.91245419268069061</c:v>
                </c:pt>
                <c:pt idx="223">
                  <c:v>0.9573198087292194</c:v>
                </c:pt>
                <c:pt idx="224">
                  <c:v>0.96124623374539897</c:v>
                </c:pt>
                <c:pt idx="225">
                  <c:v>0.90184401922393698</c:v>
                </c:pt>
                <c:pt idx="226">
                  <c:v>0.92265708915717959</c:v>
                </c:pt>
                <c:pt idx="227">
                  <c:v>0.82684967911903695</c:v>
                </c:pt>
                <c:pt idx="228">
                  <c:v>0.78417086759891852</c:v>
                </c:pt>
                <c:pt idx="229">
                  <c:v>0.87964830491577395</c:v>
                </c:pt>
                <c:pt idx="230">
                  <c:v>0.87743120333670022</c:v>
                </c:pt>
                <c:pt idx="231">
                  <c:v>0.80923035078913585</c:v>
                </c:pt>
                <c:pt idx="232">
                  <c:v>0.96872404789005417</c:v>
                </c:pt>
                <c:pt idx="233">
                  <c:v>0.86979691862624464</c:v>
                </c:pt>
                <c:pt idx="234">
                  <c:v>0.92511875011530731</c:v>
                </c:pt>
                <c:pt idx="235">
                  <c:v>0.96024801626894418</c:v>
                </c:pt>
                <c:pt idx="236">
                  <c:v>0.95648651605526536</c:v>
                </c:pt>
                <c:pt idx="237">
                  <c:v>0.92346569982234605</c:v>
                </c:pt>
                <c:pt idx="238">
                  <c:v>0.86590944438758288</c:v>
                </c:pt>
                <c:pt idx="239">
                  <c:v>0.9419339703123335</c:v>
                </c:pt>
                <c:pt idx="240">
                  <c:v>0.87001339043074388</c:v>
                </c:pt>
                <c:pt idx="241">
                  <c:v>0.94808502988877597</c:v>
                </c:pt>
                <c:pt idx="242">
                  <c:v>0.89813130802086438</c:v>
                </c:pt>
                <c:pt idx="243">
                  <c:v>0.68630402574989913</c:v>
                </c:pt>
                <c:pt idx="244">
                  <c:v>0.74126910011064906</c:v>
                </c:pt>
                <c:pt idx="245">
                  <c:v>0.98087636793131017</c:v>
                </c:pt>
                <c:pt idx="246">
                  <c:v>0.94891250294857055</c:v>
                </c:pt>
                <c:pt idx="247">
                  <c:v>0.85885006949790133</c:v>
                </c:pt>
                <c:pt idx="248">
                  <c:v>0.97962006003507351</c:v>
                </c:pt>
                <c:pt idx="249">
                  <c:v>0.91754121820505241</c:v>
                </c:pt>
                <c:pt idx="250">
                  <c:v>0.89809402652936443</c:v>
                </c:pt>
                <c:pt idx="251">
                  <c:v>0.97849644184362372</c:v>
                </c:pt>
                <c:pt idx="252">
                  <c:v>0.8773406599677851</c:v>
                </c:pt>
                <c:pt idx="253">
                  <c:v>0.79728482661136169</c:v>
                </c:pt>
                <c:pt idx="254">
                  <c:v>0.82699322027819155</c:v>
                </c:pt>
                <c:pt idx="255">
                  <c:v>0.81648916491143186</c:v>
                </c:pt>
                <c:pt idx="256">
                  <c:v>0.94540391697805359</c:v>
                </c:pt>
                <c:pt idx="257">
                  <c:v>0.63079642083563348</c:v>
                </c:pt>
                <c:pt idx="258">
                  <c:v>0.92602551087127072</c:v>
                </c:pt>
                <c:pt idx="259">
                  <c:v>0.91585780181625753</c:v>
                </c:pt>
                <c:pt idx="260">
                  <c:v>0.97268451719466742</c:v>
                </c:pt>
                <c:pt idx="261">
                  <c:v>0.72497660936501451</c:v>
                </c:pt>
                <c:pt idx="262">
                  <c:v>0.82673359831165938</c:v>
                </c:pt>
                <c:pt idx="263">
                  <c:v>0.97455680548287271</c:v>
                </c:pt>
                <c:pt idx="264">
                  <c:v>0.91587196920107505</c:v>
                </c:pt>
                <c:pt idx="265">
                  <c:v>0.8182671098143971</c:v>
                </c:pt>
                <c:pt idx="266">
                  <c:v>0.96924541605794468</c:v>
                </c:pt>
                <c:pt idx="267">
                  <c:v>0.98223427961515508</c:v>
                </c:pt>
                <c:pt idx="268">
                  <c:v>0.83892136710912446</c:v>
                </c:pt>
                <c:pt idx="269">
                  <c:v>0.72985000607387662</c:v>
                </c:pt>
                <c:pt idx="270">
                  <c:v>0.75247103933842963</c:v>
                </c:pt>
                <c:pt idx="271">
                  <c:v>0.85249000297007105</c:v>
                </c:pt>
                <c:pt idx="272">
                  <c:v>0.94024341539913558</c:v>
                </c:pt>
                <c:pt idx="273">
                  <c:v>0.90749391852464678</c:v>
                </c:pt>
                <c:pt idx="274">
                  <c:v>0.75748122588720135</c:v>
                </c:pt>
                <c:pt idx="275">
                  <c:v>0.8581389587368109</c:v>
                </c:pt>
                <c:pt idx="276">
                  <c:v>0.82979374467779743</c:v>
                </c:pt>
                <c:pt idx="277">
                  <c:v>0.85956654665427745</c:v>
                </c:pt>
                <c:pt idx="278">
                  <c:v>0.92232508462223894</c:v>
                </c:pt>
                <c:pt idx="279">
                  <c:v>0.73782034157707921</c:v>
                </c:pt>
                <c:pt idx="280">
                  <c:v>0.79984914117160999</c:v>
                </c:pt>
                <c:pt idx="281">
                  <c:v>0.82777074039566045</c:v>
                </c:pt>
                <c:pt idx="282">
                  <c:v>0.91424481478470598</c:v>
                </c:pt>
                <c:pt idx="283">
                  <c:v>0.90391457001923248</c:v>
                </c:pt>
                <c:pt idx="284">
                  <c:v>0.80485822899336923</c:v>
                </c:pt>
                <c:pt idx="285">
                  <c:v>0.94328141419701228</c:v>
                </c:pt>
                <c:pt idx="286">
                  <c:v>0.86899998494356745</c:v>
                </c:pt>
                <c:pt idx="287">
                  <c:v>0.94440409078233944</c:v>
                </c:pt>
                <c:pt idx="288">
                  <c:v>0.9202291028163947</c:v>
                </c:pt>
                <c:pt idx="289">
                  <c:v>0.95762963730598893</c:v>
                </c:pt>
                <c:pt idx="290">
                  <c:v>0.93297169707842298</c:v>
                </c:pt>
                <c:pt idx="291">
                  <c:v>0.93648920899093246</c:v>
                </c:pt>
                <c:pt idx="292">
                  <c:v>0.9119628635781345</c:v>
                </c:pt>
                <c:pt idx="293">
                  <c:v>0.77797187524027578</c:v>
                </c:pt>
                <c:pt idx="294">
                  <c:v>0.85897283971247829</c:v>
                </c:pt>
                <c:pt idx="295">
                  <c:v>0.91505643606851228</c:v>
                </c:pt>
                <c:pt idx="296">
                  <c:v>0.88631421665138266</c:v>
                </c:pt>
                <c:pt idx="297">
                  <c:v>0.86428717768873686</c:v>
                </c:pt>
                <c:pt idx="298">
                  <c:v>0.90389239443146874</c:v>
                </c:pt>
                <c:pt idx="299">
                  <c:v>0.79805689590924567</c:v>
                </c:pt>
                <c:pt idx="300">
                  <c:v>0.77024134015042423</c:v>
                </c:pt>
                <c:pt idx="301">
                  <c:v>0.68876342772663213</c:v>
                </c:pt>
                <c:pt idx="302">
                  <c:v>0.82858977097222142</c:v>
                </c:pt>
                <c:pt idx="303">
                  <c:v>0.93685578698755445</c:v>
                </c:pt>
                <c:pt idx="304">
                  <c:v>0.90224054632653594</c:v>
                </c:pt>
                <c:pt idx="305">
                  <c:v>0.94901636592875938</c:v>
                </c:pt>
                <c:pt idx="306">
                  <c:v>0.78553070111097567</c:v>
                </c:pt>
                <c:pt idx="307">
                  <c:v>0.96557792799118736</c:v>
                </c:pt>
                <c:pt idx="308">
                  <c:v>0.96117339151061598</c:v>
                </c:pt>
                <c:pt idx="309">
                  <c:v>0.88203178719452691</c:v>
                </c:pt>
                <c:pt idx="310">
                  <c:v>0.73841953589788012</c:v>
                </c:pt>
                <c:pt idx="311">
                  <c:v>0.78626996220362244</c:v>
                </c:pt>
                <c:pt idx="312">
                  <c:v>0.92554808475289874</c:v>
                </c:pt>
                <c:pt idx="313">
                  <c:v>0.75391502604825378</c:v>
                </c:pt>
                <c:pt idx="314">
                  <c:v>0.9242410054711967</c:v>
                </c:pt>
                <c:pt idx="315">
                  <c:v>0.99087523637363173</c:v>
                </c:pt>
                <c:pt idx="316">
                  <c:v>0.76745495631471128</c:v>
                </c:pt>
                <c:pt idx="317">
                  <c:v>0.9352574268429138</c:v>
                </c:pt>
                <c:pt idx="318">
                  <c:v>0.97104257865847743</c:v>
                </c:pt>
                <c:pt idx="319">
                  <c:v>0.9693738490475764</c:v>
                </c:pt>
                <c:pt idx="320">
                  <c:v>0.95676289289259775</c:v>
                </c:pt>
                <c:pt idx="321">
                  <c:v>0.74782384029603222</c:v>
                </c:pt>
                <c:pt idx="322">
                  <c:v>0.85115210589823009</c:v>
                </c:pt>
                <c:pt idx="323">
                  <c:v>0.91904066433644815</c:v>
                </c:pt>
                <c:pt idx="324">
                  <c:v>0.87303016006712086</c:v>
                </c:pt>
                <c:pt idx="325">
                  <c:v>0.77001528253170215</c:v>
                </c:pt>
                <c:pt idx="326">
                  <c:v>0.75691648509071263</c:v>
                </c:pt>
                <c:pt idx="327">
                  <c:v>0.97252314949574648</c:v>
                </c:pt>
                <c:pt idx="328">
                  <c:v>0.94345279061318199</c:v>
                </c:pt>
                <c:pt idx="329">
                  <c:v>0.95341513934457489</c:v>
                </c:pt>
                <c:pt idx="330">
                  <c:v>0.93922148105371139</c:v>
                </c:pt>
                <c:pt idx="331">
                  <c:v>0.9361954259956089</c:v>
                </c:pt>
                <c:pt idx="332">
                  <c:v>0.67659179899136568</c:v>
                </c:pt>
                <c:pt idx="333">
                  <c:v>0.83233971196985002</c:v>
                </c:pt>
                <c:pt idx="334">
                  <c:v>0.79703868310334958</c:v>
                </c:pt>
                <c:pt idx="335">
                  <c:v>0.9396841402237941</c:v>
                </c:pt>
                <c:pt idx="336">
                  <c:v>0.95965809296315108</c:v>
                </c:pt>
                <c:pt idx="337">
                  <c:v>0.93832809806552342</c:v>
                </c:pt>
                <c:pt idx="338">
                  <c:v>0.95262446917305232</c:v>
                </c:pt>
                <c:pt idx="339">
                  <c:v>0.8327320463598904</c:v>
                </c:pt>
                <c:pt idx="340">
                  <c:v>0.96782788400719222</c:v>
                </c:pt>
                <c:pt idx="341">
                  <c:v>0.90286209335263823</c:v>
                </c:pt>
                <c:pt idx="342">
                  <c:v>0.87096948926483064</c:v>
                </c:pt>
                <c:pt idx="343">
                  <c:v>0.95256464613457847</c:v>
                </c:pt>
                <c:pt idx="344">
                  <c:v>0.95539774188987381</c:v>
                </c:pt>
                <c:pt idx="345">
                  <c:v>0.72787950289195502</c:v>
                </c:pt>
                <c:pt idx="346">
                  <c:v>0.8608170395399134</c:v>
                </c:pt>
                <c:pt idx="347">
                  <c:v>0.77366963119203913</c:v>
                </c:pt>
                <c:pt idx="348">
                  <c:v>0.95520644536437249</c:v>
                </c:pt>
                <c:pt idx="349">
                  <c:v>0.81896693784718577</c:v>
                </c:pt>
                <c:pt idx="350">
                  <c:v>0.86167147232280894</c:v>
                </c:pt>
                <c:pt idx="351">
                  <c:v>0.88851974809155942</c:v>
                </c:pt>
                <c:pt idx="352">
                  <c:v>0.84717025620247677</c:v>
                </c:pt>
                <c:pt idx="353">
                  <c:v>0.74187847169526777</c:v>
                </c:pt>
                <c:pt idx="354">
                  <c:v>0.96766879696486585</c:v>
                </c:pt>
                <c:pt idx="355">
                  <c:v>0.85678924379443133</c:v>
                </c:pt>
                <c:pt idx="356">
                  <c:v>0.9704261899357105</c:v>
                </c:pt>
                <c:pt idx="357">
                  <c:v>0.95619168228701323</c:v>
                </c:pt>
                <c:pt idx="358">
                  <c:v>0.86130489863127746</c:v>
                </c:pt>
                <c:pt idx="359">
                  <c:v>0.82172394163888152</c:v>
                </c:pt>
                <c:pt idx="360">
                  <c:v>0.80452583344227913</c:v>
                </c:pt>
                <c:pt idx="361">
                  <c:v>0.92841451803711883</c:v>
                </c:pt>
                <c:pt idx="362">
                  <c:v>0.88452812224560762</c:v>
                </c:pt>
                <c:pt idx="363">
                  <c:v>0.77289548871772384</c:v>
                </c:pt>
                <c:pt idx="364">
                  <c:v>0.75912967430891654</c:v>
                </c:pt>
                <c:pt idx="365">
                  <c:v>0.78428479619363423</c:v>
                </c:pt>
                <c:pt idx="366">
                  <c:v>0.96934102086860252</c:v>
                </c:pt>
                <c:pt idx="367">
                  <c:v>0.92303000397011559</c:v>
                </c:pt>
                <c:pt idx="368">
                  <c:v>0.93629941019248086</c:v>
                </c:pt>
                <c:pt idx="369">
                  <c:v>0.87580647381946797</c:v>
                </c:pt>
                <c:pt idx="370">
                  <c:v>0.96387845898451729</c:v>
                </c:pt>
                <c:pt idx="371">
                  <c:v>0.7248669962205313</c:v>
                </c:pt>
                <c:pt idx="372">
                  <c:v>0.84844076616038333</c:v>
                </c:pt>
                <c:pt idx="373">
                  <c:v>0.97734597498332887</c:v>
                </c:pt>
                <c:pt idx="374">
                  <c:v>0.90677694828362077</c:v>
                </c:pt>
                <c:pt idx="375">
                  <c:v>0.93398270830390828</c:v>
                </c:pt>
                <c:pt idx="376">
                  <c:v>0.61876985766709269</c:v>
                </c:pt>
                <c:pt idx="377">
                  <c:v>0.93317352641775131</c:v>
                </c:pt>
                <c:pt idx="378">
                  <c:v>0.85493189332592578</c:v>
                </c:pt>
                <c:pt idx="379">
                  <c:v>0.8928700059491832</c:v>
                </c:pt>
                <c:pt idx="380">
                  <c:v>0.91694008925696646</c:v>
                </c:pt>
                <c:pt idx="381">
                  <c:v>0.8606157218253625</c:v>
                </c:pt>
                <c:pt idx="382">
                  <c:v>0.82032637161656841</c:v>
                </c:pt>
                <c:pt idx="383">
                  <c:v>0.8484306457071511</c:v>
                </c:pt>
                <c:pt idx="384">
                  <c:v>0.84813119432113682</c:v>
                </c:pt>
                <c:pt idx="385">
                  <c:v>0.96529668374546307</c:v>
                </c:pt>
                <c:pt idx="386">
                  <c:v>0.85943040371393575</c:v>
                </c:pt>
                <c:pt idx="387">
                  <c:v>0.74970510322428341</c:v>
                </c:pt>
                <c:pt idx="388">
                  <c:v>0.89786769764262508</c:v>
                </c:pt>
                <c:pt idx="389">
                  <c:v>0.91435594641688034</c:v>
                </c:pt>
                <c:pt idx="390">
                  <c:v>0.85031732719694464</c:v>
                </c:pt>
                <c:pt idx="391">
                  <c:v>0.97449856641359422</c:v>
                </c:pt>
                <c:pt idx="392">
                  <c:v>0.93694902265197344</c:v>
                </c:pt>
                <c:pt idx="393">
                  <c:v>0.95476546022368747</c:v>
                </c:pt>
                <c:pt idx="394">
                  <c:v>0.86569647770945901</c:v>
                </c:pt>
                <c:pt idx="395">
                  <c:v>0.94184961735187533</c:v>
                </c:pt>
                <c:pt idx="396">
                  <c:v>0.96070689311829849</c:v>
                </c:pt>
                <c:pt idx="397">
                  <c:v>0.93821824184310965</c:v>
                </c:pt>
                <c:pt idx="398">
                  <c:v>0.96921971209994739</c:v>
                </c:pt>
                <c:pt idx="399">
                  <c:v>0.96671370843625715</c:v>
                </c:pt>
                <c:pt idx="400">
                  <c:v>0.93467465119244242</c:v>
                </c:pt>
                <c:pt idx="401">
                  <c:v>0.84870723494211819</c:v>
                </c:pt>
                <c:pt idx="402">
                  <c:v>0.74226163212157137</c:v>
                </c:pt>
                <c:pt idx="403">
                  <c:v>0.78715511747421885</c:v>
                </c:pt>
                <c:pt idx="404">
                  <c:v>0.96847419329976736</c:v>
                </c:pt>
                <c:pt idx="405">
                  <c:v>0.86849081881760903</c:v>
                </c:pt>
                <c:pt idx="406">
                  <c:v>0.97472062630198386</c:v>
                </c:pt>
                <c:pt idx="407">
                  <c:v>0.88487129397670583</c:v>
                </c:pt>
                <c:pt idx="408">
                  <c:v>0.96670136804375617</c:v>
                </c:pt>
                <c:pt idx="409">
                  <c:v>0.89915917301696813</c:v>
                </c:pt>
                <c:pt idx="410">
                  <c:v>0.74064395068866407</c:v>
                </c:pt>
                <c:pt idx="411">
                  <c:v>0.90958220535735812</c:v>
                </c:pt>
                <c:pt idx="412">
                  <c:v>0.83629361615395936</c:v>
                </c:pt>
                <c:pt idx="413">
                  <c:v>0.65003019195139711</c:v>
                </c:pt>
                <c:pt idx="414">
                  <c:v>0.97315373440224051</c:v>
                </c:pt>
                <c:pt idx="415">
                  <c:v>0.79942679040818254</c:v>
                </c:pt>
                <c:pt idx="416">
                  <c:v>0.8369091872386305</c:v>
                </c:pt>
                <c:pt idx="417">
                  <c:v>0.89513427742231988</c:v>
                </c:pt>
                <c:pt idx="418">
                  <c:v>0.96315041962087777</c:v>
                </c:pt>
                <c:pt idx="419">
                  <c:v>0.88011688457000248</c:v>
                </c:pt>
                <c:pt idx="420">
                  <c:v>0.95436434163892458</c:v>
                </c:pt>
                <c:pt idx="421">
                  <c:v>0.94341225666780626</c:v>
                </c:pt>
                <c:pt idx="422">
                  <c:v>0.95408600156819023</c:v>
                </c:pt>
                <c:pt idx="423">
                  <c:v>0.71674326933255972</c:v>
                </c:pt>
                <c:pt idx="424">
                  <c:v>0.76014838759115522</c:v>
                </c:pt>
                <c:pt idx="425">
                  <c:v>0.74863760389680056</c:v>
                </c:pt>
                <c:pt idx="426">
                  <c:v>0.86166504840108216</c:v>
                </c:pt>
                <c:pt idx="427">
                  <c:v>0.75836056636257909</c:v>
                </c:pt>
                <c:pt idx="428">
                  <c:v>0.8107810777200064</c:v>
                </c:pt>
                <c:pt idx="429">
                  <c:v>0.72823738922155234</c:v>
                </c:pt>
                <c:pt idx="430">
                  <c:v>0.90846580205066019</c:v>
                </c:pt>
                <c:pt idx="431">
                  <c:v>0.8543995134746093</c:v>
                </c:pt>
                <c:pt idx="432">
                  <c:v>0.95182702644693107</c:v>
                </c:pt>
                <c:pt idx="433">
                  <c:v>0.86991913448135894</c:v>
                </c:pt>
                <c:pt idx="434">
                  <c:v>0.72784596867157969</c:v>
                </c:pt>
                <c:pt idx="435">
                  <c:v>0.92308286335844469</c:v>
                </c:pt>
                <c:pt idx="436">
                  <c:v>0.92029723094675464</c:v>
                </c:pt>
                <c:pt idx="437">
                  <c:v>0.9762330713823284</c:v>
                </c:pt>
                <c:pt idx="438">
                  <c:v>0.85924233384021442</c:v>
                </c:pt>
                <c:pt idx="439">
                  <c:v>0.94438566783678324</c:v>
                </c:pt>
                <c:pt idx="440">
                  <c:v>0.97021041411792608</c:v>
                </c:pt>
                <c:pt idx="441">
                  <c:v>0.86873061781652139</c:v>
                </c:pt>
                <c:pt idx="442">
                  <c:v>0.96404397700917532</c:v>
                </c:pt>
                <c:pt idx="443">
                  <c:v>0.94011933089768163</c:v>
                </c:pt>
                <c:pt idx="444">
                  <c:v>0.93391384846013903</c:v>
                </c:pt>
                <c:pt idx="445">
                  <c:v>0.77212099979291871</c:v>
                </c:pt>
                <c:pt idx="446">
                  <c:v>0.89995450459378257</c:v>
                </c:pt>
                <c:pt idx="447">
                  <c:v>0.82349881637656686</c:v>
                </c:pt>
                <c:pt idx="448">
                  <c:v>0.92770813125388973</c:v>
                </c:pt>
                <c:pt idx="449">
                  <c:v>0.91178309209947939</c:v>
                </c:pt>
                <c:pt idx="450">
                  <c:v>0.9251207484653523</c:v>
                </c:pt>
                <c:pt idx="451">
                  <c:v>0.93658178471772557</c:v>
                </c:pt>
                <c:pt idx="452">
                  <c:v>0.93649959718818798</c:v>
                </c:pt>
                <c:pt idx="453">
                  <c:v>0.92957632323395423</c:v>
                </c:pt>
                <c:pt idx="454">
                  <c:v>0.86606210803127415</c:v>
                </c:pt>
                <c:pt idx="455">
                  <c:v>0.94857997759475166</c:v>
                </c:pt>
                <c:pt idx="456">
                  <c:v>0.90335406076488645</c:v>
                </c:pt>
                <c:pt idx="457">
                  <c:v>0.96023971859627544</c:v>
                </c:pt>
                <c:pt idx="458">
                  <c:v>0.93641545911390911</c:v>
                </c:pt>
                <c:pt idx="459">
                  <c:v>0.86235225635786428</c:v>
                </c:pt>
                <c:pt idx="460">
                  <c:v>0.97421435176225502</c:v>
                </c:pt>
                <c:pt idx="461">
                  <c:v>0.95237456406092447</c:v>
                </c:pt>
                <c:pt idx="462">
                  <c:v>0.91864912200967708</c:v>
                </c:pt>
                <c:pt idx="463">
                  <c:v>0.94275652019311806</c:v>
                </c:pt>
                <c:pt idx="464">
                  <c:v>0.96314675575139508</c:v>
                </c:pt>
                <c:pt idx="465">
                  <c:v>0.97351744927919226</c:v>
                </c:pt>
                <c:pt idx="466">
                  <c:v>0.96611474363206784</c:v>
                </c:pt>
                <c:pt idx="467">
                  <c:v>0.95164341927637675</c:v>
                </c:pt>
                <c:pt idx="468">
                  <c:v>0.8423368181413885</c:v>
                </c:pt>
                <c:pt idx="469">
                  <c:v>0.91802214947511152</c:v>
                </c:pt>
                <c:pt idx="470">
                  <c:v>0.88801139440501098</c:v>
                </c:pt>
                <c:pt idx="471">
                  <c:v>0.97657804722048103</c:v>
                </c:pt>
                <c:pt idx="472">
                  <c:v>0.9752732866175382</c:v>
                </c:pt>
                <c:pt idx="473">
                  <c:v>0.9152521661750519</c:v>
                </c:pt>
                <c:pt idx="474">
                  <c:v>0.65935537311156034</c:v>
                </c:pt>
                <c:pt idx="475">
                  <c:v>0.96138635110665571</c:v>
                </c:pt>
                <c:pt idx="476">
                  <c:v>0.90234970925252389</c:v>
                </c:pt>
                <c:pt idx="477">
                  <c:v>0.7704705074328918</c:v>
                </c:pt>
                <c:pt idx="478">
                  <c:v>0.96234949126237335</c:v>
                </c:pt>
                <c:pt idx="479">
                  <c:v>0.81655100177238982</c:v>
                </c:pt>
                <c:pt idx="480">
                  <c:v>0.94538470301158051</c:v>
                </c:pt>
                <c:pt idx="481">
                  <c:v>0.85923358509069647</c:v>
                </c:pt>
                <c:pt idx="482">
                  <c:v>0.84907229832907749</c:v>
                </c:pt>
                <c:pt idx="483">
                  <c:v>0.92703550438858073</c:v>
                </c:pt>
                <c:pt idx="484">
                  <c:v>0.92539449457605427</c:v>
                </c:pt>
                <c:pt idx="485">
                  <c:v>0.93433332815697223</c:v>
                </c:pt>
                <c:pt idx="486">
                  <c:v>0.88378155311943007</c:v>
                </c:pt>
                <c:pt idx="487">
                  <c:v>0.65256150032107285</c:v>
                </c:pt>
                <c:pt idx="488">
                  <c:v>0.95009536681455498</c:v>
                </c:pt>
                <c:pt idx="489">
                  <c:v>0.77038897871323941</c:v>
                </c:pt>
                <c:pt idx="490">
                  <c:v>0.92951025628440043</c:v>
                </c:pt>
                <c:pt idx="491">
                  <c:v>0.73147287255411286</c:v>
                </c:pt>
                <c:pt idx="492">
                  <c:v>0.94592708364705236</c:v>
                </c:pt>
                <c:pt idx="493">
                  <c:v>0.90222249184845249</c:v>
                </c:pt>
                <c:pt idx="494">
                  <c:v>0.80153354436514967</c:v>
                </c:pt>
                <c:pt idx="495">
                  <c:v>0.87311382234847901</c:v>
                </c:pt>
                <c:pt idx="496">
                  <c:v>0.92893343645265769</c:v>
                </c:pt>
                <c:pt idx="497">
                  <c:v>0.96669070243902633</c:v>
                </c:pt>
                <c:pt idx="498">
                  <c:v>0.59236099390771513</c:v>
                </c:pt>
                <c:pt idx="499">
                  <c:v>0.93620811635156231</c:v>
                </c:pt>
                <c:pt idx="500">
                  <c:v>0.96487777275282216</c:v>
                </c:pt>
                <c:pt idx="501">
                  <c:v>0.85926835211299513</c:v>
                </c:pt>
                <c:pt idx="502">
                  <c:v>0.74866261141485801</c:v>
                </c:pt>
                <c:pt idx="503">
                  <c:v>0.95250992188957195</c:v>
                </c:pt>
                <c:pt idx="504">
                  <c:v>0.94673113293941169</c:v>
                </c:pt>
                <c:pt idx="505">
                  <c:v>0.89870858838517309</c:v>
                </c:pt>
                <c:pt idx="506">
                  <c:v>0.85736976344658711</c:v>
                </c:pt>
                <c:pt idx="507">
                  <c:v>0.95390992023899279</c:v>
                </c:pt>
                <c:pt idx="508">
                  <c:v>0.87917151820194261</c:v>
                </c:pt>
                <c:pt idx="509">
                  <c:v>0.88747371457890867</c:v>
                </c:pt>
                <c:pt idx="510">
                  <c:v>0.85351524132865297</c:v>
                </c:pt>
                <c:pt idx="511">
                  <c:v>0.65367186503672348</c:v>
                </c:pt>
                <c:pt idx="512">
                  <c:v>0.91311748325636743</c:v>
                </c:pt>
                <c:pt idx="513">
                  <c:v>0.80371307255693392</c:v>
                </c:pt>
                <c:pt idx="514">
                  <c:v>0.98386667670500316</c:v>
                </c:pt>
                <c:pt idx="515">
                  <c:v>0.96341331016071219</c:v>
                </c:pt>
                <c:pt idx="516">
                  <c:v>0.85807710046358965</c:v>
                </c:pt>
                <c:pt idx="517">
                  <c:v>0.88886056822902781</c:v>
                </c:pt>
                <c:pt idx="518">
                  <c:v>0.95302778957344791</c:v>
                </c:pt>
                <c:pt idx="519">
                  <c:v>0.91061081466544269</c:v>
                </c:pt>
                <c:pt idx="520">
                  <c:v>0.9496406545643028</c:v>
                </c:pt>
                <c:pt idx="521">
                  <c:v>0.93664867782470129</c:v>
                </c:pt>
                <c:pt idx="522">
                  <c:v>0.94054626850164536</c:v>
                </c:pt>
                <c:pt idx="523">
                  <c:v>0.70628396204405575</c:v>
                </c:pt>
                <c:pt idx="524">
                  <c:v>0.69933126069417073</c:v>
                </c:pt>
                <c:pt idx="525">
                  <c:v>0.96176482494410787</c:v>
                </c:pt>
                <c:pt idx="526">
                  <c:v>0.97002075792940445</c:v>
                </c:pt>
                <c:pt idx="527">
                  <c:v>0.83104453220618091</c:v>
                </c:pt>
                <c:pt idx="528">
                  <c:v>0.95123245846824678</c:v>
                </c:pt>
                <c:pt idx="529">
                  <c:v>0.75732608252584588</c:v>
                </c:pt>
                <c:pt idx="530">
                  <c:v>0.89152267210728331</c:v>
                </c:pt>
                <c:pt idx="531">
                  <c:v>0.96341604784948975</c:v>
                </c:pt>
                <c:pt idx="532">
                  <c:v>0.86437583686153363</c:v>
                </c:pt>
                <c:pt idx="533">
                  <c:v>0.90878141768885268</c:v>
                </c:pt>
                <c:pt idx="534">
                  <c:v>0.90051228315874643</c:v>
                </c:pt>
                <c:pt idx="535">
                  <c:v>0.96032032014485491</c:v>
                </c:pt>
                <c:pt idx="536">
                  <c:v>0.70528753451633719</c:v>
                </c:pt>
                <c:pt idx="537">
                  <c:v>0.95857443592687286</c:v>
                </c:pt>
                <c:pt idx="538">
                  <c:v>0.83934888460395141</c:v>
                </c:pt>
                <c:pt idx="539">
                  <c:v>0.87905254568147495</c:v>
                </c:pt>
                <c:pt idx="540">
                  <c:v>0.95758962568289918</c:v>
                </c:pt>
                <c:pt idx="541">
                  <c:v>0.84534651353595092</c:v>
                </c:pt>
                <c:pt idx="542">
                  <c:v>0.94127231182138171</c:v>
                </c:pt>
                <c:pt idx="543">
                  <c:v>0.75371372060689779</c:v>
                </c:pt>
                <c:pt idx="544">
                  <c:v>0.96689405720014077</c:v>
                </c:pt>
                <c:pt idx="545">
                  <c:v>0.91050564882317042</c:v>
                </c:pt>
                <c:pt idx="546">
                  <c:v>0.92142155247835322</c:v>
                </c:pt>
                <c:pt idx="547">
                  <c:v>0.85725675923538647</c:v>
                </c:pt>
                <c:pt idx="548">
                  <c:v>0.91612803218057826</c:v>
                </c:pt>
                <c:pt idx="549">
                  <c:v>0.88468442391082847</c:v>
                </c:pt>
                <c:pt idx="550">
                  <c:v>0.96329629437962616</c:v>
                </c:pt>
                <c:pt idx="551">
                  <c:v>0.92627904134616457</c:v>
                </c:pt>
                <c:pt idx="552">
                  <c:v>0.92456831265531481</c:v>
                </c:pt>
                <c:pt idx="553">
                  <c:v>0.78220855976945469</c:v>
                </c:pt>
                <c:pt idx="554">
                  <c:v>0.67720840847633168</c:v>
                </c:pt>
                <c:pt idx="555">
                  <c:v>0.93961995946020771</c:v>
                </c:pt>
                <c:pt idx="556">
                  <c:v>0.95910447325213277</c:v>
                </c:pt>
                <c:pt idx="557">
                  <c:v>0.95008907699111844</c:v>
                </c:pt>
                <c:pt idx="558">
                  <c:v>0.75145048290651184</c:v>
                </c:pt>
                <c:pt idx="559">
                  <c:v>0.96769737808232947</c:v>
                </c:pt>
                <c:pt idx="560">
                  <c:v>0.9033453316735125</c:v>
                </c:pt>
                <c:pt idx="561">
                  <c:v>0.82116733303098344</c:v>
                </c:pt>
                <c:pt idx="562">
                  <c:v>0.94837376400019902</c:v>
                </c:pt>
                <c:pt idx="563">
                  <c:v>0.78924523162980487</c:v>
                </c:pt>
                <c:pt idx="564">
                  <c:v>0.92216296805147957</c:v>
                </c:pt>
                <c:pt idx="565">
                  <c:v>0.94640980761267146</c:v>
                </c:pt>
                <c:pt idx="566">
                  <c:v>0.83850366568558865</c:v>
                </c:pt>
                <c:pt idx="567">
                  <c:v>0.82677394930101955</c:v>
                </c:pt>
                <c:pt idx="568">
                  <c:v>0.83597611618440382</c:v>
                </c:pt>
                <c:pt idx="569">
                  <c:v>0.82122450778890088</c:v>
                </c:pt>
                <c:pt idx="570">
                  <c:v>0.9474496335773428</c:v>
                </c:pt>
                <c:pt idx="571">
                  <c:v>0.88810785615075249</c:v>
                </c:pt>
                <c:pt idx="572">
                  <c:v>0.91281601416210534</c:v>
                </c:pt>
                <c:pt idx="573">
                  <c:v>0.9284938384798449</c:v>
                </c:pt>
                <c:pt idx="574">
                  <c:v>0.93321728170671903</c:v>
                </c:pt>
                <c:pt idx="575">
                  <c:v>0.95862944981834208</c:v>
                </c:pt>
                <c:pt idx="576">
                  <c:v>0.89540835029623578</c:v>
                </c:pt>
                <c:pt idx="577">
                  <c:v>0.72690812529796944</c:v>
                </c:pt>
                <c:pt idx="578">
                  <c:v>0.94775514259877047</c:v>
                </c:pt>
                <c:pt idx="579">
                  <c:v>0.92228123792698802</c:v>
                </c:pt>
                <c:pt idx="580">
                  <c:v>0.90942691971610656</c:v>
                </c:pt>
                <c:pt idx="581">
                  <c:v>0.86957187959117666</c:v>
                </c:pt>
                <c:pt idx="582">
                  <c:v>0.92038598023134832</c:v>
                </c:pt>
                <c:pt idx="583">
                  <c:v>0.79666542927167316</c:v>
                </c:pt>
                <c:pt idx="584">
                  <c:v>0.75114674788922065</c:v>
                </c:pt>
                <c:pt idx="585">
                  <c:v>0.90945780095527773</c:v>
                </c:pt>
                <c:pt idx="586">
                  <c:v>0.91336754876785564</c:v>
                </c:pt>
                <c:pt idx="587">
                  <c:v>0.79054081340860383</c:v>
                </c:pt>
                <c:pt idx="588">
                  <c:v>0.77582007250994212</c:v>
                </c:pt>
                <c:pt idx="589">
                  <c:v>0.95528469888478229</c:v>
                </c:pt>
                <c:pt idx="590">
                  <c:v>0.89439085214467706</c:v>
                </c:pt>
                <c:pt idx="591">
                  <c:v>0.97930448502675249</c:v>
                </c:pt>
                <c:pt idx="592">
                  <c:v>0.9593310443412405</c:v>
                </c:pt>
                <c:pt idx="593">
                  <c:v>0.83841679253930135</c:v>
                </c:pt>
                <c:pt idx="594">
                  <c:v>0.94760460346332231</c:v>
                </c:pt>
                <c:pt idx="595">
                  <c:v>0.79601536112267524</c:v>
                </c:pt>
                <c:pt idx="596">
                  <c:v>0.91143672371983542</c:v>
                </c:pt>
                <c:pt idx="597">
                  <c:v>0.74087989401074617</c:v>
                </c:pt>
                <c:pt idx="598">
                  <c:v>0.93235739159854691</c:v>
                </c:pt>
                <c:pt idx="599">
                  <c:v>0.9772531924243506</c:v>
                </c:pt>
                <c:pt idx="600">
                  <c:v>0.97278659171379667</c:v>
                </c:pt>
                <c:pt idx="601">
                  <c:v>0.92939141005978032</c:v>
                </c:pt>
                <c:pt idx="602">
                  <c:v>0.93775939319009338</c:v>
                </c:pt>
                <c:pt idx="603">
                  <c:v>0.7456635879014254</c:v>
                </c:pt>
                <c:pt idx="604">
                  <c:v>0.87526695241519059</c:v>
                </c:pt>
                <c:pt idx="605">
                  <c:v>0.97043444692313829</c:v>
                </c:pt>
                <c:pt idx="606">
                  <c:v>0.75844839949640774</c:v>
                </c:pt>
                <c:pt idx="607">
                  <c:v>0.94996341809312912</c:v>
                </c:pt>
                <c:pt idx="608">
                  <c:v>0.76479158280790938</c:v>
                </c:pt>
                <c:pt idx="609">
                  <c:v>0.84925829991099555</c:v>
                </c:pt>
                <c:pt idx="610">
                  <c:v>0.94354205478115016</c:v>
                </c:pt>
                <c:pt idx="611">
                  <c:v>0.79375629039219475</c:v>
                </c:pt>
                <c:pt idx="612">
                  <c:v>0.84441320976280498</c:v>
                </c:pt>
                <c:pt idx="613">
                  <c:v>0.84685816558264237</c:v>
                </c:pt>
                <c:pt idx="614">
                  <c:v>0.92468962235190433</c:v>
                </c:pt>
                <c:pt idx="615">
                  <c:v>0.88534621402769298</c:v>
                </c:pt>
                <c:pt idx="616">
                  <c:v>0.84186984748237792</c:v>
                </c:pt>
                <c:pt idx="617">
                  <c:v>0.79467533741982388</c:v>
                </c:pt>
                <c:pt idx="618">
                  <c:v>0.84832578780122858</c:v>
                </c:pt>
                <c:pt idx="619">
                  <c:v>0.8034635736886182</c:v>
                </c:pt>
                <c:pt idx="620">
                  <c:v>0.8940281730590891</c:v>
                </c:pt>
                <c:pt idx="621">
                  <c:v>0.93512690607902871</c:v>
                </c:pt>
                <c:pt idx="622">
                  <c:v>0.84240624862163105</c:v>
                </c:pt>
                <c:pt idx="623">
                  <c:v>0.94872338046023796</c:v>
                </c:pt>
                <c:pt idx="624">
                  <c:v>0.94577950119213161</c:v>
                </c:pt>
                <c:pt idx="625">
                  <c:v>0.92715088070456286</c:v>
                </c:pt>
                <c:pt idx="626">
                  <c:v>0.87926610075479639</c:v>
                </c:pt>
                <c:pt idx="627">
                  <c:v>0.95044621000021734</c:v>
                </c:pt>
                <c:pt idx="628">
                  <c:v>0.88361223134053257</c:v>
                </c:pt>
                <c:pt idx="629">
                  <c:v>0.97333026282565549</c:v>
                </c:pt>
                <c:pt idx="630">
                  <c:v>0.78383782119380419</c:v>
                </c:pt>
                <c:pt idx="631">
                  <c:v>0.79176035809643963</c:v>
                </c:pt>
                <c:pt idx="632">
                  <c:v>0.80256343016012055</c:v>
                </c:pt>
                <c:pt idx="633">
                  <c:v>0.91508244370325853</c:v>
                </c:pt>
                <c:pt idx="634">
                  <c:v>0.8804406504056751</c:v>
                </c:pt>
                <c:pt idx="635">
                  <c:v>0.93222896658798393</c:v>
                </c:pt>
                <c:pt idx="636">
                  <c:v>0.83546278065303525</c:v>
                </c:pt>
                <c:pt idx="637">
                  <c:v>0.89847512697075627</c:v>
                </c:pt>
                <c:pt idx="638">
                  <c:v>0.91548280678135585</c:v>
                </c:pt>
                <c:pt idx="639">
                  <c:v>0.86505922318913764</c:v>
                </c:pt>
                <c:pt idx="640">
                  <c:v>0.90473625297604299</c:v>
                </c:pt>
                <c:pt idx="641">
                  <c:v>0.80545255597152476</c:v>
                </c:pt>
                <c:pt idx="642">
                  <c:v>0.75906669078139544</c:v>
                </c:pt>
                <c:pt idx="643">
                  <c:v>0.95702820824079837</c:v>
                </c:pt>
                <c:pt idx="644">
                  <c:v>0.96095337608948883</c:v>
                </c:pt>
                <c:pt idx="645">
                  <c:v>0.80555904860110072</c:v>
                </c:pt>
                <c:pt idx="646">
                  <c:v>0.9374657927447827</c:v>
                </c:pt>
                <c:pt idx="647">
                  <c:v>0.91226389203264091</c:v>
                </c:pt>
                <c:pt idx="648">
                  <c:v>0.88673635245995031</c:v>
                </c:pt>
                <c:pt idx="649">
                  <c:v>0.82405989575536576</c:v>
                </c:pt>
                <c:pt idx="650">
                  <c:v>0.85091823056320992</c:v>
                </c:pt>
                <c:pt idx="651">
                  <c:v>0.9292961491927697</c:v>
                </c:pt>
                <c:pt idx="652">
                  <c:v>0.9005988951840378</c:v>
                </c:pt>
                <c:pt idx="653">
                  <c:v>0.90462401451765673</c:v>
                </c:pt>
                <c:pt idx="654">
                  <c:v>0.89800658111717624</c:v>
                </c:pt>
                <c:pt idx="655">
                  <c:v>0.75087684376459241</c:v>
                </c:pt>
                <c:pt idx="656">
                  <c:v>0.97966905654710335</c:v>
                </c:pt>
                <c:pt idx="657">
                  <c:v>0.87061468312665435</c:v>
                </c:pt>
                <c:pt idx="658">
                  <c:v>0.83471918023568681</c:v>
                </c:pt>
                <c:pt idx="659">
                  <c:v>0.968744636664433</c:v>
                </c:pt>
                <c:pt idx="660">
                  <c:v>0.97147017024410809</c:v>
                </c:pt>
                <c:pt idx="661">
                  <c:v>0.9186028777921933</c:v>
                </c:pt>
                <c:pt idx="662">
                  <c:v>0.95379515888581334</c:v>
                </c:pt>
                <c:pt idx="663">
                  <c:v>0.76261746541567421</c:v>
                </c:pt>
                <c:pt idx="664">
                  <c:v>0.9535399011121557</c:v>
                </c:pt>
                <c:pt idx="665">
                  <c:v>0.8531504630132194</c:v>
                </c:pt>
                <c:pt idx="666">
                  <c:v>0.93062722587657465</c:v>
                </c:pt>
                <c:pt idx="667">
                  <c:v>0.95311395247184927</c:v>
                </c:pt>
                <c:pt idx="668">
                  <c:v>0.93992916808217397</c:v>
                </c:pt>
                <c:pt idx="669">
                  <c:v>0.92335499126423648</c:v>
                </c:pt>
                <c:pt idx="670">
                  <c:v>0.96061043992131867</c:v>
                </c:pt>
                <c:pt idx="671">
                  <c:v>0.82854473009052598</c:v>
                </c:pt>
                <c:pt idx="672">
                  <c:v>0.97655787534541139</c:v>
                </c:pt>
                <c:pt idx="673">
                  <c:v>0.93619380488466319</c:v>
                </c:pt>
                <c:pt idx="674">
                  <c:v>0.94608735431494306</c:v>
                </c:pt>
                <c:pt idx="675">
                  <c:v>0.85171256645088311</c:v>
                </c:pt>
                <c:pt idx="676">
                  <c:v>0.95157654070763953</c:v>
                </c:pt>
                <c:pt idx="677">
                  <c:v>0.89934057094623032</c:v>
                </c:pt>
                <c:pt idx="678">
                  <c:v>0.86039710624493393</c:v>
                </c:pt>
                <c:pt idx="679">
                  <c:v>0.76272548726988609</c:v>
                </c:pt>
                <c:pt idx="680">
                  <c:v>0.94325010462578007</c:v>
                </c:pt>
                <c:pt idx="681">
                  <c:v>0.96212656104943983</c:v>
                </c:pt>
                <c:pt idx="682">
                  <c:v>0.90697133220780612</c:v>
                </c:pt>
                <c:pt idx="683">
                  <c:v>0.90742401154463947</c:v>
                </c:pt>
                <c:pt idx="684">
                  <c:v>0.93857233632088144</c:v>
                </c:pt>
                <c:pt idx="685">
                  <c:v>0.85474672201485369</c:v>
                </c:pt>
                <c:pt idx="686">
                  <c:v>0.85669637047411151</c:v>
                </c:pt>
                <c:pt idx="687">
                  <c:v>0.79370390758158593</c:v>
                </c:pt>
                <c:pt idx="688">
                  <c:v>0.95219273827204465</c:v>
                </c:pt>
                <c:pt idx="689">
                  <c:v>0.93607952851821918</c:v>
                </c:pt>
                <c:pt idx="690">
                  <c:v>0.93141928189329981</c:v>
                </c:pt>
                <c:pt idx="691">
                  <c:v>0.93469792469864443</c:v>
                </c:pt>
                <c:pt idx="692">
                  <c:v>0.90780024475163534</c:v>
                </c:pt>
                <c:pt idx="693">
                  <c:v>0.781253641037432</c:v>
                </c:pt>
                <c:pt idx="694">
                  <c:v>0.77765464070674195</c:v>
                </c:pt>
                <c:pt idx="695">
                  <c:v>0.96526119194926308</c:v>
                </c:pt>
                <c:pt idx="696">
                  <c:v>0.75606222832618364</c:v>
                </c:pt>
                <c:pt idx="697">
                  <c:v>0.89980605860681417</c:v>
                </c:pt>
                <c:pt idx="698">
                  <c:v>0.9389129424448841</c:v>
                </c:pt>
                <c:pt idx="699">
                  <c:v>0.96080829941992729</c:v>
                </c:pt>
                <c:pt idx="700">
                  <c:v>0.94459196821790092</c:v>
                </c:pt>
                <c:pt idx="701">
                  <c:v>0.90906689977438337</c:v>
                </c:pt>
                <c:pt idx="702">
                  <c:v>0.76300080611577781</c:v>
                </c:pt>
                <c:pt idx="703">
                  <c:v>0.77423843365870648</c:v>
                </c:pt>
                <c:pt idx="704">
                  <c:v>0.86548842598602904</c:v>
                </c:pt>
                <c:pt idx="705">
                  <c:v>0.96782376989822461</c:v>
                </c:pt>
                <c:pt idx="706">
                  <c:v>0.926996857734112</c:v>
                </c:pt>
                <c:pt idx="707">
                  <c:v>0.89908995684890791</c:v>
                </c:pt>
                <c:pt idx="708">
                  <c:v>0.78234468254023604</c:v>
                </c:pt>
                <c:pt idx="709">
                  <c:v>0.9483784145105485</c:v>
                </c:pt>
                <c:pt idx="710">
                  <c:v>0.9524919141231154</c:v>
                </c:pt>
                <c:pt idx="711">
                  <c:v>0.96261076948097968</c:v>
                </c:pt>
                <c:pt idx="712">
                  <c:v>0.88357701918208442</c:v>
                </c:pt>
                <c:pt idx="713">
                  <c:v>0.99234825360814294</c:v>
                </c:pt>
                <c:pt idx="714">
                  <c:v>0.95440408186087011</c:v>
                </c:pt>
                <c:pt idx="715">
                  <c:v>0.78656030221951545</c:v>
                </c:pt>
                <c:pt idx="716">
                  <c:v>0.9620171170759062</c:v>
                </c:pt>
                <c:pt idx="717">
                  <c:v>0.93958737524301894</c:v>
                </c:pt>
                <c:pt idx="718">
                  <c:v>0.92089999309934145</c:v>
                </c:pt>
                <c:pt idx="719">
                  <c:v>0.82568097409507624</c:v>
                </c:pt>
                <c:pt idx="720">
                  <c:v>0.95078877667324524</c:v>
                </c:pt>
                <c:pt idx="721">
                  <c:v>0.83820021271084411</c:v>
                </c:pt>
                <c:pt idx="722">
                  <c:v>0.94773513499530382</c:v>
                </c:pt>
                <c:pt idx="723">
                  <c:v>0.89613933165047399</c:v>
                </c:pt>
                <c:pt idx="724">
                  <c:v>0.97837249275965732</c:v>
                </c:pt>
                <c:pt idx="725">
                  <c:v>0.78110239723040209</c:v>
                </c:pt>
                <c:pt idx="726">
                  <c:v>0.96094965308702474</c:v>
                </c:pt>
                <c:pt idx="727">
                  <c:v>0.83786613109164554</c:v>
                </c:pt>
                <c:pt idx="728">
                  <c:v>0.85381075938829765</c:v>
                </c:pt>
                <c:pt idx="729">
                  <c:v>0.87477875750437017</c:v>
                </c:pt>
                <c:pt idx="730">
                  <c:v>0.96162337101848805</c:v>
                </c:pt>
                <c:pt idx="731">
                  <c:v>0.83181686822645629</c:v>
                </c:pt>
                <c:pt idx="732">
                  <c:v>0.95769073626366175</c:v>
                </c:pt>
                <c:pt idx="733">
                  <c:v>0.73950056164443345</c:v>
                </c:pt>
                <c:pt idx="734">
                  <c:v>0.93133630347460938</c:v>
                </c:pt>
                <c:pt idx="735">
                  <c:v>0.9384155263664512</c:v>
                </c:pt>
                <c:pt idx="736">
                  <c:v>0.93221122424268588</c:v>
                </c:pt>
                <c:pt idx="737">
                  <c:v>0.81507009928806728</c:v>
                </c:pt>
                <c:pt idx="738">
                  <c:v>0.9419515360196693</c:v>
                </c:pt>
                <c:pt idx="739">
                  <c:v>0.83770847390108083</c:v>
                </c:pt>
                <c:pt idx="740">
                  <c:v>0.94327069966531008</c:v>
                </c:pt>
                <c:pt idx="741">
                  <c:v>0.88413349454657419</c:v>
                </c:pt>
                <c:pt idx="742">
                  <c:v>0.95220434672333576</c:v>
                </c:pt>
                <c:pt idx="743">
                  <c:v>0.79966947704069935</c:v>
                </c:pt>
                <c:pt idx="744">
                  <c:v>0.87768449156830841</c:v>
                </c:pt>
                <c:pt idx="745">
                  <c:v>0.91864147911355221</c:v>
                </c:pt>
                <c:pt idx="746">
                  <c:v>0.89388407107345291</c:v>
                </c:pt>
                <c:pt idx="747">
                  <c:v>0.92754715072817373</c:v>
                </c:pt>
                <c:pt idx="748">
                  <c:v>0.86706870929268431</c:v>
                </c:pt>
                <c:pt idx="749">
                  <c:v>0.79757050917051486</c:v>
                </c:pt>
                <c:pt idx="750">
                  <c:v>0.86934589235255599</c:v>
                </c:pt>
                <c:pt idx="751">
                  <c:v>0.95819836401385361</c:v>
                </c:pt>
                <c:pt idx="752">
                  <c:v>0.78565594773513947</c:v>
                </c:pt>
                <c:pt idx="753">
                  <c:v>0.81289675566032449</c:v>
                </c:pt>
                <c:pt idx="754">
                  <c:v>0.79545418549748126</c:v>
                </c:pt>
                <c:pt idx="755">
                  <c:v>0.93009316290509148</c:v>
                </c:pt>
                <c:pt idx="756">
                  <c:v>0.88757716258607045</c:v>
                </c:pt>
                <c:pt idx="757">
                  <c:v>0.90704707311902588</c:v>
                </c:pt>
                <c:pt idx="758">
                  <c:v>0.93583738751463397</c:v>
                </c:pt>
                <c:pt idx="759">
                  <c:v>0.86478438775424993</c:v>
                </c:pt>
                <c:pt idx="760">
                  <c:v>0.97830234977610742</c:v>
                </c:pt>
                <c:pt idx="761">
                  <c:v>0.95977258558899647</c:v>
                </c:pt>
                <c:pt idx="762">
                  <c:v>0.88135105425147542</c:v>
                </c:pt>
                <c:pt idx="763">
                  <c:v>0.92163842812128016</c:v>
                </c:pt>
                <c:pt idx="764">
                  <c:v>0.84079420394712057</c:v>
                </c:pt>
                <c:pt idx="765">
                  <c:v>0.80638439528150085</c:v>
                </c:pt>
                <c:pt idx="766">
                  <c:v>0.9415469157115951</c:v>
                </c:pt>
                <c:pt idx="767">
                  <c:v>0.70951753896916891</c:v>
                </c:pt>
                <c:pt idx="768">
                  <c:v>0.89914569779039977</c:v>
                </c:pt>
                <c:pt idx="769">
                  <c:v>0.94946299826203739</c:v>
                </c:pt>
                <c:pt idx="770">
                  <c:v>0.89191955785593013</c:v>
                </c:pt>
                <c:pt idx="771">
                  <c:v>0.93304051517444586</c:v>
                </c:pt>
                <c:pt idx="772">
                  <c:v>0.89852047714893479</c:v>
                </c:pt>
                <c:pt idx="773">
                  <c:v>0.83919006925000961</c:v>
                </c:pt>
                <c:pt idx="774">
                  <c:v>0.90340305613738425</c:v>
                </c:pt>
                <c:pt idx="775">
                  <c:v>0.86588114377353476</c:v>
                </c:pt>
                <c:pt idx="776">
                  <c:v>0.74119356151342597</c:v>
                </c:pt>
                <c:pt idx="777">
                  <c:v>0.92124991414153046</c:v>
                </c:pt>
                <c:pt idx="778">
                  <c:v>0.85282799567783285</c:v>
                </c:pt>
                <c:pt idx="779">
                  <c:v>0.96644268781978959</c:v>
                </c:pt>
                <c:pt idx="780">
                  <c:v>0.93541733794830617</c:v>
                </c:pt>
                <c:pt idx="781">
                  <c:v>0.92957372255378778</c:v>
                </c:pt>
                <c:pt idx="782">
                  <c:v>0.91128815424208587</c:v>
                </c:pt>
                <c:pt idx="783">
                  <c:v>0.93843946022021063</c:v>
                </c:pt>
                <c:pt idx="784">
                  <c:v>0.972386560421172</c:v>
                </c:pt>
                <c:pt idx="785">
                  <c:v>0.92676623113571011</c:v>
                </c:pt>
                <c:pt idx="786">
                  <c:v>0.90212018046646103</c:v>
                </c:pt>
                <c:pt idx="787">
                  <c:v>0.89041919468274733</c:v>
                </c:pt>
                <c:pt idx="788">
                  <c:v>0.78317213205301495</c:v>
                </c:pt>
                <c:pt idx="789">
                  <c:v>0.89827138075923973</c:v>
                </c:pt>
                <c:pt idx="790">
                  <c:v>0.72309429960602634</c:v>
                </c:pt>
                <c:pt idx="791">
                  <c:v>0.83852170418371608</c:v>
                </c:pt>
                <c:pt idx="792">
                  <c:v>0.85650710237780392</c:v>
                </c:pt>
                <c:pt idx="793">
                  <c:v>0.73735980419571701</c:v>
                </c:pt>
                <c:pt idx="794">
                  <c:v>0.93741439119066372</c:v>
                </c:pt>
                <c:pt idx="795">
                  <c:v>0.95752955166254483</c:v>
                </c:pt>
                <c:pt idx="796">
                  <c:v>0.83603827707925704</c:v>
                </c:pt>
                <c:pt idx="797">
                  <c:v>0.9646952036791947</c:v>
                </c:pt>
                <c:pt idx="798">
                  <c:v>0.90164464059272098</c:v>
                </c:pt>
                <c:pt idx="799">
                  <c:v>0.98092263239239896</c:v>
                </c:pt>
                <c:pt idx="800">
                  <c:v>0.93439518700852053</c:v>
                </c:pt>
                <c:pt idx="801">
                  <c:v>0.8315704689246235</c:v>
                </c:pt>
                <c:pt idx="802">
                  <c:v>0.96586831512656657</c:v>
                </c:pt>
                <c:pt idx="803">
                  <c:v>0.88735524230415397</c:v>
                </c:pt>
                <c:pt idx="804">
                  <c:v>0.82913466245269674</c:v>
                </c:pt>
                <c:pt idx="805">
                  <c:v>0.92076399681653731</c:v>
                </c:pt>
                <c:pt idx="806">
                  <c:v>0.74620453877534854</c:v>
                </c:pt>
                <c:pt idx="807">
                  <c:v>0.89130133666193168</c:v>
                </c:pt>
                <c:pt idx="808">
                  <c:v>0.7836061456117327</c:v>
                </c:pt>
                <c:pt idx="809">
                  <c:v>0.82515352923716845</c:v>
                </c:pt>
                <c:pt idx="810">
                  <c:v>0.92728688111059165</c:v>
                </c:pt>
                <c:pt idx="811">
                  <c:v>0.93808996131280797</c:v>
                </c:pt>
                <c:pt idx="812">
                  <c:v>0.87806895972918519</c:v>
                </c:pt>
                <c:pt idx="813">
                  <c:v>0.96325689890657129</c:v>
                </c:pt>
                <c:pt idx="814">
                  <c:v>0.8681012854532586</c:v>
                </c:pt>
                <c:pt idx="815">
                  <c:v>0.74873836350953915</c:v>
                </c:pt>
                <c:pt idx="816">
                  <c:v>0.83424079437641407</c:v>
                </c:pt>
                <c:pt idx="817">
                  <c:v>0.98291286442513726</c:v>
                </c:pt>
                <c:pt idx="818">
                  <c:v>0.93609338420806187</c:v>
                </c:pt>
                <c:pt idx="819">
                  <c:v>0.90441292651847327</c:v>
                </c:pt>
                <c:pt idx="820">
                  <c:v>0.92102811897491166</c:v>
                </c:pt>
                <c:pt idx="821">
                  <c:v>0.97678423400708336</c:v>
                </c:pt>
                <c:pt idx="822">
                  <c:v>0.90185176906157882</c:v>
                </c:pt>
                <c:pt idx="823">
                  <c:v>0.79807387083865</c:v>
                </c:pt>
                <c:pt idx="824">
                  <c:v>0.97879265549120653</c:v>
                </c:pt>
                <c:pt idx="825">
                  <c:v>0.88934345549995397</c:v>
                </c:pt>
                <c:pt idx="826">
                  <c:v>0.85734993835302387</c:v>
                </c:pt>
                <c:pt idx="827">
                  <c:v>0.91883132957700608</c:v>
                </c:pt>
                <c:pt idx="828">
                  <c:v>0.96652706624656215</c:v>
                </c:pt>
                <c:pt idx="829">
                  <c:v>0.93650821696081432</c:v>
                </c:pt>
                <c:pt idx="830">
                  <c:v>0.849045279853333</c:v>
                </c:pt>
                <c:pt idx="831">
                  <c:v>0.72968834086984991</c:v>
                </c:pt>
                <c:pt idx="832">
                  <c:v>0.93076521514917088</c:v>
                </c:pt>
                <c:pt idx="833">
                  <c:v>0.86278345899932185</c:v>
                </c:pt>
                <c:pt idx="834">
                  <c:v>0.94462407579794982</c:v>
                </c:pt>
                <c:pt idx="835">
                  <c:v>0.85871961520607609</c:v>
                </c:pt>
                <c:pt idx="836">
                  <c:v>0.92651450323262474</c:v>
                </c:pt>
                <c:pt idx="837">
                  <c:v>0.86489342067167341</c:v>
                </c:pt>
                <c:pt idx="838">
                  <c:v>0.95874961228270716</c:v>
                </c:pt>
                <c:pt idx="839">
                  <c:v>0.92890710808103427</c:v>
                </c:pt>
                <c:pt idx="840">
                  <c:v>0.93757735370761486</c:v>
                </c:pt>
                <c:pt idx="841">
                  <c:v>0.95316809368418998</c:v>
                </c:pt>
                <c:pt idx="842">
                  <c:v>0.93158136657241064</c:v>
                </c:pt>
                <c:pt idx="843">
                  <c:v>0.95260592445358727</c:v>
                </c:pt>
                <c:pt idx="844">
                  <c:v>0.81489821059299405</c:v>
                </c:pt>
                <c:pt idx="845">
                  <c:v>0.79016054728968088</c:v>
                </c:pt>
                <c:pt idx="846">
                  <c:v>0.90809532932802617</c:v>
                </c:pt>
                <c:pt idx="847">
                  <c:v>0.89891357256754345</c:v>
                </c:pt>
                <c:pt idx="848">
                  <c:v>0.72075992822560631</c:v>
                </c:pt>
                <c:pt idx="849">
                  <c:v>0.9645858912726919</c:v>
                </c:pt>
                <c:pt idx="850">
                  <c:v>0.89129113923607051</c:v>
                </c:pt>
                <c:pt idx="851">
                  <c:v>0.95713739243549467</c:v>
                </c:pt>
                <c:pt idx="852">
                  <c:v>0.96462185048806726</c:v>
                </c:pt>
                <c:pt idx="853">
                  <c:v>0.76739417761847828</c:v>
                </c:pt>
                <c:pt idx="854">
                  <c:v>0.63123787008242849</c:v>
                </c:pt>
                <c:pt idx="855">
                  <c:v>0.86195707505413843</c:v>
                </c:pt>
                <c:pt idx="856">
                  <c:v>0.96775589950787555</c:v>
                </c:pt>
                <c:pt idx="857">
                  <c:v>0.91150049083186202</c:v>
                </c:pt>
                <c:pt idx="858">
                  <c:v>0.71980172356118377</c:v>
                </c:pt>
                <c:pt idx="859">
                  <c:v>0.76620823724274423</c:v>
                </c:pt>
                <c:pt idx="860">
                  <c:v>0.95371309046708408</c:v>
                </c:pt>
                <c:pt idx="861">
                  <c:v>0.86467094693522784</c:v>
                </c:pt>
                <c:pt idx="862">
                  <c:v>0.87132851118765831</c:v>
                </c:pt>
                <c:pt idx="863">
                  <c:v>0.87853509766581661</c:v>
                </c:pt>
                <c:pt idx="864">
                  <c:v>0.85406274262250148</c:v>
                </c:pt>
                <c:pt idx="865">
                  <c:v>0.9116930818280492</c:v>
                </c:pt>
                <c:pt idx="866">
                  <c:v>0.93851725834699973</c:v>
                </c:pt>
                <c:pt idx="867">
                  <c:v>0.84008912734632313</c:v>
                </c:pt>
                <c:pt idx="868">
                  <c:v>0.81830533328885746</c:v>
                </c:pt>
                <c:pt idx="869">
                  <c:v>0.85940724321984518</c:v>
                </c:pt>
                <c:pt idx="870">
                  <c:v>0.85284201369830259</c:v>
                </c:pt>
                <c:pt idx="871">
                  <c:v>0.85912048192146917</c:v>
                </c:pt>
                <c:pt idx="872">
                  <c:v>0.60625057100209179</c:v>
                </c:pt>
                <c:pt idx="873">
                  <c:v>0.92130098602624277</c:v>
                </c:pt>
                <c:pt idx="874">
                  <c:v>0.82171539840217434</c:v>
                </c:pt>
                <c:pt idx="875">
                  <c:v>0.86380966901726985</c:v>
                </c:pt>
                <c:pt idx="876">
                  <c:v>0.96381120523296704</c:v>
                </c:pt>
                <c:pt idx="877">
                  <c:v>0.88282667046969721</c:v>
                </c:pt>
                <c:pt idx="878">
                  <c:v>0.94414268020365255</c:v>
                </c:pt>
                <c:pt idx="879">
                  <c:v>0.86772674614137124</c:v>
                </c:pt>
                <c:pt idx="880">
                  <c:v>0.81736650328541183</c:v>
                </c:pt>
                <c:pt idx="881">
                  <c:v>0.91849069621741453</c:v>
                </c:pt>
                <c:pt idx="882">
                  <c:v>0.73922162198159835</c:v>
                </c:pt>
                <c:pt idx="883">
                  <c:v>0.82363116504038636</c:v>
                </c:pt>
                <c:pt idx="884">
                  <c:v>0.78770537894186299</c:v>
                </c:pt>
                <c:pt idx="885">
                  <c:v>0.8995533492026262</c:v>
                </c:pt>
                <c:pt idx="886">
                  <c:v>0.71668826552583298</c:v>
                </c:pt>
                <c:pt idx="887">
                  <c:v>0.8318861778499842</c:v>
                </c:pt>
                <c:pt idx="888">
                  <c:v>0.98618051312701738</c:v>
                </c:pt>
                <c:pt idx="889">
                  <c:v>0.9606192806037217</c:v>
                </c:pt>
                <c:pt idx="890">
                  <c:v>0.90214824506533264</c:v>
                </c:pt>
                <c:pt idx="891">
                  <c:v>0.85262033489485844</c:v>
                </c:pt>
                <c:pt idx="892">
                  <c:v>0.83041239277728707</c:v>
                </c:pt>
                <c:pt idx="893">
                  <c:v>0.94198939725199482</c:v>
                </c:pt>
                <c:pt idx="894">
                  <c:v>0.92881051158457661</c:v>
                </c:pt>
                <c:pt idx="895">
                  <c:v>0.6517909449760676</c:v>
                </c:pt>
                <c:pt idx="896">
                  <c:v>0.87733045497324547</c:v>
                </c:pt>
                <c:pt idx="897">
                  <c:v>0.92401194438487178</c:v>
                </c:pt>
                <c:pt idx="898">
                  <c:v>0.94839615067125671</c:v>
                </c:pt>
                <c:pt idx="899">
                  <c:v>0.80850081592166756</c:v>
                </c:pt>
                <c:pt idx="900">
                  <c:v>0.88614109897055549</c:v>
                </c:pt>
                <c:pt idx="901">
                  <c:v>0.91203938405097718</c:v>
                </c:pt>
                <c:pt idx="902">
                  <c:v>0.77335251217633116</c:v>
                </c:pt>
                <c:pt idx="903">
                  <c:v>0.94014507104450029</c:v>
                </c:pt>
                <c:pt idx="904">
                  <c:v>0.8791277901741692</c:v>
                </c:pt>
                <c:pt idx="905">
                  <c:v>0.82728520204863987</c:v>
                </c:pt>
                <c:pt idx="906">
                  <c:v>0.95864275176299685</c:v>
                </c:pt>
                <c:pt idx="907">
                  <c:v>0.79059070795766406</c:v>
                </c:pt>
                <c:pt idx="908">
                  <c:v>0.92681113723475905</c:v>
                </c:pt>
                <c:pt idx="909">
                  <c:v>0.97627924828602164</c:v>
                </c:pt>
                <c:pt idx="910">
                  <c:v>0.95887230723581474</c:v>
                </c:pt>
                <c:pt idx="911">
                  <c:v>0.95685116503776912</c:v>
                </c:pt>
                <c:pt idx="912">
                  <c:v>0.94960441728686695</c:v>
                </c:pt>
                <c:pt idx="913">
                  <c:v>0.91332395836337232</c:v>
                </c:pt>
                <c:pt idx="914">
                  <c:v>0.87129795745385685</c:v>
                </c:pt>
                <c:pt idx="915">
                  <c:v>0.93790753205924327</c:v>
                </c:pt>
                <c:pt idx="916">
                  <c:v>0.73181768579486206</c:v>
                </c:pt>
                <c:pt idx="917">
                  <c:v>0.92957344203599312</c:v>
                </c:pt>
                <c:pt idx="918">
                  <c:v>0.90016869086189433</c:v>
                </c:pt>
                <c:pt idx="919">
                  <c:v>0.73846418485893461</c:v>
                </c:pt>
                <c:pt idx="920">
                  <c:v>0.94524593433772375</c:v>
                </c:pt>
                <c:pt idx="921">
                  <c:v>0.83057415655855726</c:v>
                </c:pt>
                <c:pt idx="922">
                  <c:v>0.93969420762310418</c:v>
                </c:pt>
                <c:pt idx="923">
                  <c:v>0.94111541050700342</c:v>
                </c:pt>
                <c:pt idx="924">
                  <c:v>0.96771930306420484</c:v>
                </c:pt>
                <c:pt idx="925">
                  <c:v>0.95195736994293245</c:v>
                </c:pt>
                <c:pt idx="926">
                  <c:v>0.80386758961079607</c:v>
                </c:pt>
                <c:pt idx="927">
                  <c:v>0.93944896207950412</c:v>
                </c:pt>
                <c:pt idx="928">
                  <c:v>0.72069726040368653</c:v>
                </c:pt>
                <c:pt idx="929">
                  <c:v>0.90651972293706096</c:v>
                </c:pt>
                <c:pt idx="930">
                  <c:v>0.8581946403387769</c:v>
                </c:pt>
                <c:pt idx="931">
                  <c:v>0.83390973111750788</c:v>
                </c:pt>
                <c:pt idx="932">
                  <c:v>0.94943609283356123</c:v>
                </c:pt>
                <c:pt idx="933">
                  <c:v>0.76978088791953025</c:v>
                </c:pt>
                <c:pt idx="934">
                  <c:v>0.94763768644613222</c:v>
                </c:pt>
                <c:pt idx="935">
                  <c:v>0.74367245404792492</c:v>
                </c:pt>
                <c:pt idx="936">
                  <c:v>0.77926996433721629</c:v>
                </c:pt>
                <c:pt idx="937">
                  <c:v>0.95121135155342806</c:v>
                </c:pt>
                <c:pt idx="938">
                  <c:v>0.93738934740494928</c:v>
                </c:pt>
                <c:pt idx="939">
                  <c:v>0.92311435952741927</c:v>
                </c:pt>
                <c:pt idx="940">
                  <c:v>0.92289604943525427</c:v>
                </c:pt>
                <c:pt idx="941">
                  <c:v>0.94409673910144609</c:v>
                </c:pt>
                <c:pt idx="942">
                  <c:v>0.83802097902393435</c:v>
                </c:pt>
                <c:pt idx="943">
                  <c:v>0.85540630700051645</c:v>
                </c:pt>
                <c:pt idx="944">
                  <c:v>0.82562007781545588</c:v>
                </c:pt>
                <c:pt idx="945">
                  <c:v>0.92891562448862319</c:v>
                </c:pt>
                <c:pt idx="946">
                  <c:v>0.96934944569659187</c:v>
                </c:pt>
                <c:pt idx="947">
                  <c:v>0.87829760901914888</c:v>
                </c:pt>
                <c:pt idx="948">
                  <c:v>0.85498447257718846</c:v>
                </c:pt>
                <c:pt idx="949">
                  <c:v>0.78657919746376681</c:v>
                </c:pt>
                <c:pt idx="950">
                  <c:v>0.80254586325573063</c:v>
                </c:pt>
                <c:pt idx="951">
                  <c:v>0.90514992794270421</c:v>
                </c:pt>
                <c:pt idx="952">
                  <c:v>0.77818456820275728</c:v>
                </c:pt>
                <c:pt idx="953">
                  <c:v>0.92723534753961623</c:v>
                </c:pt>
                <c:pt idx="954">
                  <c:v>0.98063144757458409</c:v>
                </c:pt>
                <c:pt idx="955">
                  <c:v>0.91628455558342159</c:v>
                </c:pt>
                <c:pt idx="956">
                  <c:v>0.86603499212887158</c:v>
                </c:pt>
                <c:pt idx="957">
                  <c:v>0.90008691528419393</c:v>
                </c:pt>
                <c:pt idx="958">
                  <c:v>0.92381889289999819</c:v>
                </c:pt>
                <c:pt idx="959">
                  <c:v>0.95193949985839721</c:v>
                </c:pt>
                <c:pt idx="960">
                  <c:v>0.91917138419601452</c:v>
                </c:pt>
                <c:pt idx="961">
                  <c:v>0.94843660715285649</c:v>
                </c:pt>
                <c:pt idx="962">
                  <c:v>0.77407658190469364</c:v>
                </c:pt>
                <c:pt idx="963">
                  <c:v>0.96069327775963387</c:v>
                </c:pt>
                <c:pt idx="964">
                  <c:v>0.8153144328549784</c:v>
                </c:pt>
                <c:pt idx="965">
                  <c:v>0.82853265870380788</c:v>
                </c:pt>
                <c:pt idx="966">
                  <c:v>0.84606549600347281</c:v>
                </c:pt>
                <c:pt idx="967">
                  <c:v>0.9376825777964336</c:v>
                </c:pt>
                <c:pt idx="968">
                  <c:v>0.89118059816959927</c:v>
                </c:pt>
                <c:pt idx="969">
                  <c:v>0.95130132980812943</c:v>
                </c:pt>
                <c:pt idx="970">
                  <c:v>0.81809048383094374</c:v>
                </c:pt>
                <c:pt idx="971">
                  <c:v>0.85965087413721464</c:v>
                </c:pt>
                <c:pt idx="972">
                  <c:v>0.92447719434758868</c:v>
                </c:pt>
                <c:pt idx="973">
                  <c:v>0.95522935405489739</c:v>
                </c:pt>
                <c:pt idx="974">
                  <c:v>0.98665892724159698</c:v>
                </c:pt>
                <c:pt idx="975">
                  <c:v>0.73389755927806699</c:v>
                </c:pt>
                <c:pt idx="976">
                  <c:v>0.79444953640802596</c:v>
                </c:pt>
                <c:pt idx="977">
                  <c:v>0.96239759481535581</c:v>
                </c:pt>
                <c:pt idx="978">
                  <c:v>0.95277659970657191</c:v>
                </c:pt>
                <c:pt idx="979">
                  <c:v>0.85190637523930168</c:v>
                </c:pt>
                <c:pt idx="980">
                  <c:v>0.86356547867659428</c:v>
                </c:pt>
                <c:pt idx="981">
                  <c:v>0.84011077322066152</c:v>
                </c:pt>
                <c:pt idx="982">
                  <c:v>0.95589785363769253</c:v>
                </c:pt>
                <c:pt idx="983">
                  <c:v>0.83710908251800009</c:v>
                </c:pt>
                <c:pt idx="984">
                  <c:v>0.82137250153576313</c:v>
                </c:pt>
                <c:pt idx="985">
                  <c:v>0.86475656621758146</c:v>
                </c:pt>
                <c:pt idx="986">
                  <c:v>0.9684088132299824</c:v>
                </c:pt>
                <c:pt idx="987">
                  <c:v>0.91714200011194413</c:v>
                </c:pt>
                <c:pt idx="988">
                  <c:v>0.85267232660837333</c:v>
                </c:pt>
                <c:pt idx="989">
                  <c:v>0.87441965824635703</c:v>
                </c:pt>
                <c:pt idx="990">
                  <c:v>0.971241146673403</c:v>
                </c:pt>
                <c:pt idx="991">
                  <c:v>0.93618701328142417</c:v>
                </c:pt>
                <c:pt idx="992">
                  <c:v>0.73262855992449549</c:v>
                </c:pt>
                <c:pt idx="993">
                  <c:v>0.96032253743614038</c:v>
                </c:pt>
                <c:pt idx="994">
                  <c:v>0.95885495322808223</c:v>
                </c:pt>
                <c:pt idx="995">
                  <c:v>0.79524928040861254</c:v>
                </c:pt>
                <c:pt idx="996">
                  <c:v>0.81072384520526042</c:v>
                </c:pt>
                <c:pt idx="997">
                  <c:v>0.94096972942032031</c:v>
                </c:pt>
                <c:pt idx="998">
                  <c:v>0.82285921213903013</c:v>
                </c:pt>
                <c:pt idx="999">
                  <c:v>0.95493868686942229</c:v>
                </c:pt>
              </c:numCache>
            </c:numRef>
          </c:xVal>
          <c:yVal>
            <c:numRef>
              <c:f>'MC Results'!$F$8:$F$1007</c:f>
              <c:numCache>
                <c:formatCode>"$"#,##0</c:formatCode>
                <c:ptCount val="1000"/>
                <c:pt idx="0">
                  <c:v>6243.3431463953812</c:v>
                </c:pt>
                <c:pt idx="1">
                  <c:v>6133.2971729017436</c:v>
                </c:pt>
                <c:pt idx="2">
                  <c:v>5752.5512022382363</c:v>
                </c:pt>
                <c:pt idx="3">
                  <c:v>7101.1114033614112</c:v>
                </c:pt>
                <c:pt idx="4">
                  <c:v>5749.0297504709888</c:v>
                </c:pt>
                <c:pt idx="5">
                  <c:v>5981.6832086366321</c:v>
                </c:pt>
                <c:pt idx="6">
                  <c:v>4823.6263544657431</c:v>
                </c:pt>
                <c:pt idx="7">
                  <c:v>3986.4463569412906</c:v>
                </c:pt>
                <c:pt idx="8">
                  <c:v>7132.0379184959083</c:v>
                </c:pt>
                <c:pt idx="9">
                  <c:v>5494.3261000250068</c:v>
                </c:pt>
                <c:pt idx="10">
                  <c:v>5450.1457292326777</c:v>
                </c:pt>
                <c:pt idx="11">
                  <c:v>3335.2456250334467</c:v>
                </c:pt>
                <c:pt idx="12">
                  <c:v>7661.1536058629054</c:v>
                </c:pt>
                <c:pt idx="13">
                  <c:v>6397.1165374930379</c:v>
                </c:pt>
                <c:pt idx="14">
                  <c:v>6359.0901351790408</c:v>
                </c:pt>
                <c:pt idx="15">
                  <c:v>7057.8956097224291</c:v>
                </c:pt>
                <c:pt idx="16">
                  <c:v>4964.3368817146447</c:v>
                </c:pt>
                <c:pt idx="17">
                  <c:v>2771.9795726372081</c:v>
                </c:pt>
                <c:pt idx="18">
                  <c:v>5716.7417204753665</c:v>
                </c:pt>
                <c:pt idx="19">
                  <c:v>5160.1387810762171</c:v>
                </c:pt>
                <c:pt idx="20">
                  <c:v>9166.4128962046852</c:v>
                </c:pt>
                <c:pt idx="21">
                  <c:v>5119.6970799257751</c:v>
                </c:pt>
                <c:pt idx="22">
                  <c:v>5015.2364042182071</c:v>
                </c:pt>
                <c:pt idx="23">
                  <c:v>3855.4695623563612</c:v>
                </c:pt>
                <c:pt idx="24">
                  <c:v>3885.3803545095675</c:v>
                </c:pt>
                <c:pt idx="25">
                  <c:v>2487.8916460849687</c:v>
                </c:pt>
                <c:pt idx="26">
                  <c:v>9048.6807743248428</c:v>
                </c:pt>
                <c:pt idx="27">
                  <c:v>3130.0452245437004</c:v>
                </c:pt>
                <c:pt idx="28">
                  <c:v>5157.1296505882619</c:v>
                </c:pt>
                <c:pt idx="29">
                  <c:v>7542.1973592582754</c:v>
                </c:pt>
                <c:pt idx="30">
                  <c:v>13263.95533249083</c:v>
                </c:pt>
                <c:pt idx="31">
                  <c:v>6801.6991290714641</c:v>
                </c:pt>
                <c:pt idx="32">
                  <c:v>4808.7969613466757</c:v>
                </c:pt>
                <c:pt idx="33">
                  <c:v>8956.7858748247909</c:v>
                </c:pt>
                <c:pt idx="34">
                  <c:v>2226.2497561411824</c:v>
                </c:pt>
                <c:pt idx="35">
                  <c:v>5819.130661532884</c:v>
                </c:pt>
                <c:pt idx="36">
                  <c:v>3556.3443515496556</c:v>
                </c:pt>
                <c:pt idx="37">
                  <c:v>8069.7938294460255</c:v>
                </c:pt>
                <c:pt idx="38">
                  <c:v>9761.4185828147711</c:v>
                </c:pt>
                <c:pt idx="39">
                  <c:v>3172.0583226065742</c:v>
                </c:pt>
                <c:pt idx="40">
                  <c:v>4531.9979684233094</c:v>
                </c:pt>
                <c:pt idx="41">
                  <c:v>4192.6443640710822</c:v>
                </c:pt>
                <c:pt idx="42">
                  <c:v>4826.1517255200852</c:v>
                </c:pt>
                <c:pt idx="43">
                  <c:v>2206.68348078905</c:v>
                </c:pt>
                <c:pt idx="44">
                  <c:v>5634.8552461863819</c:v>
                </c:pt>
                <c:pt idx="45">
                  <c:v>4528.1132946845291</c:v>
                </c:pt>
                <c:pt idx="46">
                  <c:v>4221.0981415103197</c:v>
                </c:pt>
                <c:pt idx="47">
                  <c:v>4076.2404888834894</c:v>
                </c:pt>
                <c:pt idx="48">
                  <c:v>4153.7729659899578</c:v>
                </c:pt>
                <c:pt idx="49">
                  <c:v>5149.8165833060966</c:v>
                </c:pt>
                <c:pt idx="50">
                  <c:v>9085.4366541961881</c:v>
                </c:pt>
                <c:pt idx="51">
                  <c:v>5463.6111136014224</c:v>
                </c:pt>
                <c:pt idx="52">
                  <c:v>7168.8076195836175</c:v>
                </c:pt>
                <c:pt idx="53">
                  <c:v>4420.7710106546519</c:v>
                </c:pt>
                <c:pt idx="54">
                  <c:v>5080.8236189080917</c:v>
                </c:pt>
                <c:pt idx="55">
                  <c:v>3329.6614540905784</c:v>
                </c:pt>
                <c:pt idx="56">
                  <c:v>5094.1322497350729</c:v>
                </c:pt>
                <c:pt idx="57">
                  <c:v>6042.0749097860626</c:v>
                </c:pt>
                <c:pt idx="58">
                  <c:v>4851.1788369875076</c:v>
                </c:pt>
                <c:pt idx="59">
                  <c:v>6120.5505386251834</c:v>
                </c:pt>
                <c:pt idx="60">
                  <c:v>5126.726366134003</c:v>
                </c:pt>
                <c:pt idx="61">
                  <c:v>7352.7375858834785</c:v>
                </c:pt>
                <c:pt idx="62">
                  <c:v>5494.0087936917562</c:v>
                </c:pt>
                <c:pt idx="63">
                  <c:v>8149.6506788850656</c:v>
                </c:pt>
                <c:pt idx="64">
                  <c:v>8679.4367542942873</c:v>
                </c:pt>
                <c:pt idx="65">
                  <c:v>4172.0619992481188</c:v>
                </c:pt>
                <c:pt idx="66">
                  <c:v>4803.795440257526</c:v>
                </c:pt>
                <c:pt idx="67">
                  <c:v>4741.8737877436706</c:v>
                </c:pt>
                <c:pt idx="68">
                  <c:v>4255.443993496664</c:v>
                </c:pt>
                <c:pt idx="69">
                  <c:v>3835.6996082655578</c:v>
                </c:pt>
                <c:pt idx="70">
                  <c:v>6153.7187401521887</c:v>
                </c:pt>
                <c:pt idx="71">
                  <c:v>6062.1487736661229</c:v>
                </c:pt>
                <c:pt idx="72">
                  <c:v>8291.3676776823377</c:v>
                </c:pt>
                <c:pt idx="73">
                  <c:v>4868.6522496391462</c:v>
                </c:pt>
                <c:pt idx="74">
                  <c:v>5972.3826746040677</c:v>
                </c:pt>
                <c:pt idx="75">
                  <c:v>10226.922759976604</c:v>
                </c:pt>
                <c:pt idx="76">
                  <c:v>3092.0525023105106</c:v>
                </c:pt>
                <c:pt idx="77">
                  <c:v>7953.5723906293124</c:v>
                </c:pt>
                <c:pt idx="78">
                  <c:v>6658.4157889330891</c:v>
                </c:pt>
                <c:pt idx="79">
                  <c:v>5215.9592845643419</c:v>
                </c:pt>
                <c:pt idx="80">
                  <c:v>1927.1578854203249</c:v>
                </c:pt>
                <c:pt idx="81">
                  <c:v>7850.4652816424978</c:v>
                </c:pt>
                <c:pt idx="82">
                  <c:v>6686.8660392136717</c:v>
                </c:pt>
                <c:pt idx="83">
                  <c:v>4091.3726870887249</c:v>
                </c:pt>
                <c:pt idx="84">
                  <c:v>4457.0662523967667</c:v>
                </c:pt>
                <c:pt idx="85">
                  <c:v>5816.9096826549185</c:v>
                </c:pt>
                <c:pt idx="86">
                  <c:v>5939.5202662057336</c:v>
                </c:pt>
                <c:pt idx="87">
                  <c:v>5405.8359420665711</c:v>
                </c:pt>
                <c:pt idx="88">
                  <c:v>5177.4461928461624</c:v>
                </c:pt>
                <c:pt idx="89">
                  <c:v>6807.2827306766194</c:v>
                </c:pt>
                <c:pt idx="90">
                  <c:v>5418.7238841597091</c:v>
                </c:pt>
                <c:pt idx="91">
                  <c:v>7000.7178377279452</c:v>
                </c:pt>
                <c:pt idx="92">
                  <c:v>3839.8396308564211</c:v>
                </c:pt>
                <c:pt idx="93">
                  <c:v>4639.7550059492951</c:v>
                </c:pt>
                <c:pt idx="94">
                  <c:v>5919.6865366821221</c:v>
                </c:pt>
                <c:pt idx="95">
                  <c:v>6267.1242278666905</c:v>
                </c:pt>
                <c:pt idx="96">
                  <c:v>13723.947888102741</c:v>
                </c:pt>
                <c:pt idx="97">
                  <c:v>7670.983708247285</c:v>
                </c:pt>
                <c:pt idx="98">
                  <c:v>3977.5608625655018</c:v>
                </c:pt>
                <c:pt idx="99">
                  <c:v>3908.2912580818406</c:v>
                </c:pt>
                <c:pt idx="100">
                  <c:v>4763.9391558462376</c:v>
                </c:pt>
                <c:pt idx="101">
                  <c:v>6963.1123196577355</c:v>
                </c:pt>
                <c:pt idx="102">
                  <c:v>5764.605577664166</c:v>
                </c:pt>
                <c:pt idx="103">
                  <c:v>7347.2714347990895</c:v>
                </c:pt>
                <c:pt idx="104">
                  <c:v>7676.9152483115085</c:v>
                </c:pt>
                <c:pt idx="105">
                  <c:v>8795.5801838340631</c:v>
                </c:pt>
                <c:pt idx="106">
                  <c:v>5481.850927345462</c:v>
                </c:pt>
                <c:pt idx="107">
                  <c:v>3397.4162698530381</c:v>
                </c:pt>
                <c:pt idx="108">
                  <c:v>5421.7908145062574</c:v>
                </c:pt>
                <c:pt idx="109">
                  <c:v>4964.4592865257937</c:v>
                </c:pt>
                <c:pt idx="110">
                  <c:v>8180.8874789665688</c:v>
                </c:pt>
                <c:pt idx="111">
                  <c:v>3645.913978176332</c:v>
                </c:pt>
                <c:pt idx="112">
                  <c:v>5193.3057464837448</c:v>
                </c:pt>
                <c:pt idx="113">
                  <c:v>5074.1109254357525</c:v>
                </c:pt>
                <c:pt idx="114">
                  <c:v>4325.009531307116</c:v>
                </c:pt>
                <c:pt idx="115">
                  <c:v>6386.1437025767955</c:v>
                </c:pt>
                <c:pt idx="116">
                  <c:v>9153.6762232986312</c:v>
                </c:pt>
                <c:pt idx="117">
                  <c:v>7538.1697841335235</c:v>
                </c:pt>
                <c:pt idx="118">
                  <c:v>4866.8681163473766</c:v>
                </c:pt>
                <c:pt idx="119">
                  <c:v>5169.0072770501783</c:v>
                </c:pt>
                <c:pt idx="120">
                  <c:v>1599.7577990411446</c:v>
                </c:pt>
                <c:pt idx="121">
                  <c:v>5325.1029772156462</c:v>
                </c:pt>
                <c:pt idx="122">
                  <c:v>3436.445493361683</c:v>
                </c:pt>
                <c:pt idx="123">
                  <c:v>4797.7029868837762</c:v>
                </c:pt>
                <c:pt idx="124">
                  <c:v>4659.8827275811873</c:v>
                </c:pt>
                <c:pt idx="125">
                  <c:v>3383.8008034835329</c:v>
                </c:pt>
                <c:pt idx="126">
                  <c:v>5693.1109198373397</c:v>
                </c:pt>
                <c:pt idx="127">
                  <c:v>6438.5389061980595</c:v>
                </c:pt>
                <c:pt idx="128">
                  <c:v>6060.9738567370732</c:v>
                </c:pt>
                <c:pt idx="129">
                  <c:v>6351.6336119716716</c:v>
                </c:pt>
                <c:pt idx="130">
                  <c:v>6337.15083848009</c:v>
                </c:pt>
                <c:pt idx="131">
                  <c:v>4671.7342127872289</c:v>
                </c:pt>
                <c:pt idx="132">
                  <c:v>5146.5940911603157</c:v>
                </c:pt>
                <c:pt idx="133">
                  <c:v>8740.000635964594</c:v>
                </c:pt>
                <c:pt idx="134">
                  <c:v>6657.6327488222478</c:v>
                </c:pt>
                <c:pt idx="135">
                  <c:v>3849.2762084206988</c:v>
                </c:pt>
                <c:pt idx="136">
                  <c:v>6799.0991271687399</c:v>
                </c:pt>
                <c:pt idx="137">
                  <c:v>4441.1027859814531</c:v>
                </c:pt>
                <c:pt idx="138">
                  <c:v>9010.9889761993763</c:v>
                </c:pt>
                <c:pt idx="139">
                  <c:v>3620.7778283893726</c:v>
                </c:pt>
                <c:pt idx="140">
                  <c:v>4467.3384318272447</c:v>
                </c:pt>
                <c:pt idx="141">
                  <c:v>5537.1846409610116</c:v>
                </c:pt>
                <c:pt idx="142">
                  <c:v>3388.0032905537482</c:v>
                </c:pt>
                <c:pt idx="143">
                  <c:v>5096.6885069016844</c:v>
                </c:pt>
                <c:pt idx="144">
                  <c:v>4757.3123791423413</c:v>
                </c:pt>
                <c:pt idx="145">
                  <c:v>5379.6396600157104</c:v>
                </c:pt>
                <c:pt idx="146">
                  <c:v>8047.4479410973981</c:v>
                </c:pt>
                <c:pt idx="147">
                  <c:v>6725.9772978215824</c:v>
                </c:pt>
                <c:pt idx="148">
                  <c:v>2166.2997904799445</c:v>
                </c:pt>
                <c:pt idx="149">
                  <c:v>5692.9298658150865</c:v>
                </c:pt>
                <c:pt idx="150">
                  <c:v>3186.114533037603</c:v>
                </c:pt>
                <c:pt idx="151">
                  <c:v>3550.8888445955276</c:v>
                </c:pt>
                <c:pt idx="152">
                  <c:v>6771.15488892536</c:v>
                </c:pt>
                <c:pt idx="153">
                  <c:v>4994.0034965728955</c:v>
                </c:pt>
                <c:pt idx="154">
                  <c:v>1807.1334570011575</c:v>
                </c:pt>
                <c:pt idx="155">
                  <c:v>4983.7060065803034</c:v>
                </c:pt>
                <c:pt idx="156">
                  <c:v>5035.8390467433674</c:v>
                </c:pt>
                <c:pt idx="157">
                  <c:v>4566.8411773497537</c:v>
                </c:pt>
                <c:pt idx="158">
                  <c:v>4825.6590756577543</c:v>
                </c:pt>
                <c:pt idx="159">
                  <c:v>4562.6305122378571</c:v>
                </c:pt>
                <c:pt idx="160">
                  <c:v>6077.6446816605267</c:v>
                </c:pt>
                <c:pt idx="161">
                  <c:v>4340.026986302033</c:v>
                </c:pt>
                <c:pt idx="162">
                  <c:v>6121.211610894482</c:v>
                </c:pt>
                <c:pt idx="163">
                  <c:v>2563.3602820458664</c:v>
                </c:pt>
                <c:pt idx="164">
                  <c:v>2969.0128260363012</c:v>
                </c:pt>
                <c:pt idx="165">
                  <c:v>5586.7995295954688</c:v>
                </c:pt>
                <c:pt idx="166">
                  <c:v>7090.5482296579376</c:v>
                </c:pt>
                <c:pt idx="167">
                  <c:v>7036.3422344225364</c:v>
                </c:pt>
                <c:pt idx="168">
                  <c:v>9388.7632954069522</c:v>
                </c:pt>
                <c:pt idx="169">
                  <c:v>2783.7650044114084</c:v>
                </c:pt>
                <c:pt idx="170">
                  <c:v>7018.3270268565457</c:v>
                </c:pt>
                <c:pt idx="171">
                  <c:v>5062.3901615652239</c:v>
                </c:pt>
                <c:pt idx="172">
                  <c:v>1599.3535582462678</c:v>
                </c:pt>
                <c:pt idx="173">
                  <c:v>7075.3575349286448</c:v>
                </c:pt>
                <c:pt idx="174">
                  <c:v>6572.0209208341785</c:v>
                </c:pt>
                <c:pt idx="175">
                  <c:v>8016.7328473264342</c:v>
                </c:pt>
                <c:pt idx="176">
                  <c:v>4774.2644250977655</c:v>
                </c:pt>
                <c:pt idx="177">
                  <c:v>3007.5712393333065</c:v>
                </c:pt>
                <c:pt idx="178">
                  <c:v>5674.6540533124335</c:v>
                </c:pt>
                <c:pt idx="179">
                  <c:v>2306.7831195817134</c:v>
                </c:pt>
                <c:pt idx="180">
                  <c:v>8390.4159495431395</c:v>
                </c:pt>
                <c:pt idx="181">
                  <c:v>8489.4765305916262</c:v>
                </c:pt>
                <c:pt idx="182">
                  <c:v>7936.7381280691288</c:v>
                </c:pt>
                <c:pt idx="183">
                  <c:v>2412.5351325748793</c:v>
                </c:pt>
                <c:pt idx="184">
                  <c:v>6308.8364643391724</c:v>
                </c:pt>
                <c:pt idx="185">
                  <c:v>7168.0801792820139</c:v>
                </c:pt>
                <c:pt idx="186">
                  <c:v>3473.4087838138985</c:v>
                </c:pt>
                <c:pt idx="187">
                  <c:v>11576.334522265148</c:v>
                </c:pt>
                <c:pt idx="188">
                  <c:v>4097.5491274677925</c:v>
                </c:pt>
                <c:pt idx="189">
                  <c:v>6404.8648069218589</c:v>
                </c:pt>
                <c:pt idx="190">
                  <c:v>5501.7105891543433</c:v>
                </c:pt>
                <c:pt idx="191">
                  <c:v>6250.5532807824138</c:v>
                </c:pt>
                <c:pt idx="192">
                  <c:v>8459.659612856829</c:v>
                </c:pt>
                <c:pt idx="193">
                  <c:v>4692.5012201493164</c:v>
                </c:pt>
                <c:pt idx="194">
                  <c:v>7144.9522705033305</c:v>
                </c:pt>
                <c:pt idx="195">
                  <c:v>1683.5348660410407</c:v>
                </c:pt>
                <c:pt idx="196">
                  <c:v>4645.7572632131132</c:v>
                </c:pt>
                <c:pt idx="197">
                  <c:v>6251.5687786686394</c:v>
                </c:pt>
                <c:pt idx="198">
                  <c:v>8072.2512129309334</c:v>
                </c:pt>
                <c:pt idx="199">
                  <c:v>6655.2557978439463</c:v>
                </c:pt>
                <c:pt idx="200">
                  <c:v>6322.5223463669554</c:v>
                </c:pt>
                <c:pt idx="201">
                  <c:v>5759.2939252903243</c:v>
                </c:pt>
                <c:pt idx="202">
                  <c:v>8525.3562631055629</c:v>
                </c:pt>
                <c:pt idx="203">
                  <c:v>4054.636905740163</c:v>
                </c:pt>
                <c:pt idx="204">
                  <c:v>6109.0771715809633</c:v>
                </c:pt>
                <c:pt idx="205">
                  <c:v>5041.4458124090361</c:v>
                </c:pt>
                <c:pt idx="206">
                  <c:v>10677.126559348795</c:v>
                </c:pt>
                <c:pt idx="207">
                  <c:v>3138.7152131504358</c:v>
                </c:pt>
                <c:pt idx="208">
                  <c:v>9124.9973448175442</c:v>
                </c:pt>
                <c:pt idx="209">
                  <c:v>3032.4573699996054</c:v>
                </c:pt>
                <c:pt idx="210">
                  <c:v>7952.8419667579365</c:v>
                </c:pt>
                <c:pt idx="211">
                  <c:v>4300.1577317332467</c:v>
                </c:pt>
                <c:pt idx="212">
                  <c:v>3222.5639385597597</c:v>
                </c:pt>
                <c:pt idx="213">
                  <c:v>3765.6055054211251</c:v>
                </c:pt>
                <c:pt idx="214">
                  <c:v>5273.5397692645065</c:v>
                </c:pt>
                <c:pt idx="215">
                  <c:v>5856.3770442098639</c:v>
                </c:pt>
                <c:pt idx="216">
                  <c:v>5650.2962583586786</c:v>
                </c:pt>
                <c:pt idx="217">
                  <c:v>6178.9153650389981</c:v>
                </c:pt>
                <c:pt idx="218">
                  <c:v>1646.2305669448433</c:v>
                </c:pt>
                <c:pt idx="219">
                  <c:v>4995.9254117758883</c:v>
                </c:pt>
                <c:pt idx="220">
                  <c:v>4296.8209720410669</c:v>
                </c:pt>
                <c:pt idx="221">
                  <c:v>6357.9763028658381</c:v>
                </c:pt>
                <c:pt idx="222">
                  <c:v>8918.2744261218813</c:v>
                </c:pt>
                <c:pt idx="223">
                  <c:v>5409.791239254253</c:v>
                </c:pt>
                <c:pt idx="224">
                  <c:v>7086.0368155252199</c:v>
                </c:pt>
                <c:pt idx="225">
                  <c:v>5130.9853977673547</c:v>
                </c:pt>
                <c:pt idx="226">
                  <c:v>4692.0273368648241</c:v>
                </c:pt>
                <c:pt idx="227">
                  <c:v>4013.8469708456573</c:v>
                </c:pt>
                <c:pt idx="228">
                  <c:v>6130.3630177156156</c:v>
                </c:pt>
                <c:pt idx="229">
                  <c:v>5344.6254638606033</c:v>
                </c:pt>
                <c:pt idx="230">
                  <c:v>4586.247920996967</c:v>
                </c:pt>
                <c:pt idx="231">
                  <c:v>3716.5426900750267</c:v>
                </c:pt>
                <c:pt idx="232">
                  <c:v>6286.6001722622841</c:v>
                </c:pt>
                <c:pt idx="233">
                  <c:v>4119.6994234688882</c:v>
                </c:pt>
                <c:pt idx="234">
                  <c:v>14872.294191124194</c:v>
                </c:pt>
                <c:pt idx="235">
                  <c:v>9816.1018609174898</c:v>
                </c:pt>
                <c:pt idx="236">
                  <c:v>7164.3900493448264</c:v>
                </c:pt>
                <c:pt idx="237">
                  <c:v>7941.711368366271</c:v>
                </c:pt>
                <c:pt idx="238">
                  <c:v>5299.9183331266586</c:v>
                </c:pt>
                <c:pt idx="239">
                  <c:v>4043.8114803144031</c:v>
                </c:pt>
                <c:pt idx="240">
                  <c:v>5761.7335957023288</c:v>
                </c:pt>
                <c:pt idx="241">
                  <c:v>5583.3995412978211</c:v>
                </c:pt>
                <c:pt idx="242">
                  <c:v>4930.447443843057</c:v>
                </c:pt>
                <c:pt idx="243">
                  <c:v>1850.6763174600712</c:v>
                </c:pt>
                <c:pt idx="244">
                  <c:v>2292.111924231273</c:v>
                </c:pt>
                <c:pt idx="245">
                  <c:v>4387.5345008794638</c:v>
                </c:pt>
                <c:pt idx="246">
                  <c:v>5793.8369212068728</c:v>
                </c:pt>
                <c:pt idx="247">
                  <c:v>5587.5749109306407</c:v>
                </c:pt>
                <c:pt idx="248">
                  <c:v>4620.9314390654172</c:v>
                </c:pt>
                <c:pt idx="249">
                  <c:v>6819.7247753664797</c:v>
                </c:pt>
                <c:pt idx="250">
                  <c:v>12561.32436492874</c:v>
                </c:pt>
                <c:pt idx="251">
                  <c:v>6471.5149613519852</c:v>
                </c:pt>
                <c:pt idx="252">
                  <c:v>5833.1205556479654</c:v>
                </c:pt>
                <c:pt idx="253">
                  <c:v>7548.4234678789353</c:v>
                </c:pt>
                <c:pt idx="254">
                  <c:v>4980.0034731691476</c:v>
                </c:pt>
                <c:pt idx="255">
                  <c:v>4655.4037039460045</c:v>
                </c:pt>
                <c:pt idx="256">
                  <c:v>3946.2035233030047</c:v>
                </c:pt>
                <c:pt idx="257">
                  <c:v>7132.4927052417243</c:v>
                </c:pt>
                <c:pt idx="258">
                  <c:v>6014.0928238956458</c:v>
                </c:pt>
                <c:pt idx="259">
                  <c:v>4489.9958719348078</c:v>
                </c:pt>
                <c:pt idx="260">
                  <c:v>9762.4457272508371</c:v>
                </c:pt>
                <c:pt idx="261">
                  <c:v>3932.6357307558992</c:v>
                </c:pt>
                <c:pt idx="262">
                  <c:v>7637.7121750473552</c:v>
                </c:pt>
                <c:pt idx="263">
                  <c:v>6144.8362030712678</c:v>
                </c:pt>
                <c:pt idx="264">
                  <c:v>5658.2687423574007</c:v>
                </c:pt>
                <c:pt idx="265">
                  <c:v>3134.6153910378885</c:v>
                </c:pt>
                <c:pt idx="266">
                  <c:v>5701.0041163582446</c:v>
                </c:pt>
                <c:pt idx="267">
                  <c:v>5826.5595617143854</c:v>
                </c:pt>
                <c:pt idx="268">
                  <c:v>2577.134494097199</c:v>
                </c:pt>
                <c:pt idx="269">
                  <c:v>3790.6571897779704</c:v>
                </c:pt>
                <c:pt idx="270">
                  <c:v>1519.938404428121</c:v>
                </c:pt>
                <c:pt idx="271">
                  <c:v>5363.9849384859417</c:v>
                </c:pt>
                <c:pt idx="272">
                  <c:v>7558.982882405272</c:v>
                </c:pt>
                <c:pt idx="273">
                  <c:v>4440.2010604474053</c:v>
                </c:pt>
                <c:pt idx="274">
                  <c:v>9126.4409029510207</c:v>
                </c:pt>
                <c:pt idx="275">
                  <c:v>4041.6957506707636</c:v>
                </c:pt>
                <c:pt idx="276">
                  <c:v>6928.8630757514647</c:v>
                </c:pt>
                <c:pt idx="277">
                  <c:v>5331.2333028487856</c:v>
                </c:pt>
                <c:pt idx="278">
                  <c:v>6760.8388793976901</c:v>
                </c:pt>
                <c:pt idx="279">
                  <c:v>1596.3122646978127</c:v>
                </c:pt>
                <c:pt idx="280">
                  <c:v>2666.0580113313722</c:v>
                </c:pt>
                <c:pt idx="281">
                  <c:v>6318.2184703785815</c:v>
                </c:pt>
                <c:pt idx="282">
                  <c:v>6427.4105749840455</c:v>
                </c:pt>
                <c:pt idx="283">
                  <c:v>4869.0016832569681</c:v>
                </c:pt>
                <c:pt idx="284">
                  <c:v>3897.8828356892559</c:v>
                </c:pt>
                <c:pt idx="285">
                  <c:v>10158.162892421189</c:v>
                </c:pt>
                <c:pt idx="286">
                  <c:v>5172.5218335834297</c:v>
                </c:pt>
                <c:pt idx="287">
                  <c:v>8411.8084421827607</c:v>
                </c:pt>
                <c:pt idx="288">
                  <c:v>4849.9351421893007</c:v>
                </c:pt>
                <c:pt idx="289">
                  <c:v>9242.6665594312926</c:v>
                </c:pt>
                <c:pt idx="290">
                  <c:v>8951.5845368351002</c:v>
                </c:pt>
                <c:pt idx="291">
                  <c:v>7386.1088341023069</c:v>
                </c:pt>
                <c:pt idx="292">
                  <c:v>10012.339578279374</c:v>
                </c:pt>
                <c:pt idx="293">
                  <c:v>1670.1357333285516</c:v>
                </c:pt>
                <c:pt idx="294">
                  <c:v>5583.4296931571098</c:v>
                </c:pt>
                <c:pt idx="295">
                  <c:v>6240.3207507922789</c:v>
                </c:pt>
                <c:pt idx="296">
                  <c:v>5891.072131358771</c:v>
                </c:pt>
                <c:pt idx="297">
                  <c:v>3924.9948735401204</c:v>
                </c:pt>
                <c:pt idx="298">
                  <c:v>5589.0363396428438</c:v>
                </c:pt>
                <c:pt idx="299">
                  <c:v>3682.2178560554648</c:v>
                </c:pt>
                <c:pt idx="300">
                  <c:v>6392.7694521320864</c:v>
                </c:pt>
                <c:pt idx="301">
                  <c:v>2970.4833608113495</c:v>
                </c:pt>
                <c:pt idx="302">
                  <c:v>4039.5950850578547</c:v>
                </c:pt>
                <c:pt idx="303">
                  <c:v>5209.9209813291909</c:v>
                </c:pt>
                <c:pt idx="304">
                  <c:v>11571.957856865243</c:v>
                </c:pt>
                <c:pt idx="305">
                  <c:v>6654.0963407700474</c:v>
                </c:pt>
                <c:pt idx="306">
                  <c:v>2489.4684141409789</c:v>
                </c:pt>
                <c:pt idx="307">
                  <c:v>4552.2997360383024</c:v>
                </c:pt>
                <c:pt idx="308">
                  <c:v>10098.517716055432</c:v>
                </c:pt>
                <c:pt idx="309">
                  <c:v>3444.1570475951171</c:v>
                </c:pt>
                <c:pt idx="310">
                  <c:v>1803.4976148769881</c:v>
                </c:pt>
                <c:pt idx="311">
                  <c:v>3384.5495819000853</c:v>
                </c:pt>
                <c:pt idx="312">
                  <c:v>5252.2318526710842</c:v>
                </c:pt>
                <c:pt idx="313">
                  <c:v>2306.1233511625164</c:v>
                </c:pt>
                <c:pt idx="314">
                  <c:v>7021.8105471003873</c:v>
                </c:pt>
                <c:pt idx="315">
                  <c:v>4869.3791330075992</c:v>
                </c:pt>
                <c:pt idx="316">
                  <c:v>8895.7611406173964</c:v>
                </c:pt>
                <c:pt idx="317">
                  <c:v>5561.2275009156401</c:v>
                </c:pt>
                <c:pt idx="318">
                  <c:v>6702.2532776821618</c:v>
                </c:pt>
                <c:pt idx="319">
                  <c:v>6452.1746605658009</c:v>
                </c:pt>
                <c:pt idx="320">
                  <c:v>6600.5527549326607</c:v>
                </c:pt>
                <c:pt idx="321">
                  <c:v>2792.40293081143</c:v>
                </c:pt>
                <c:pt idx="322">
                  <c:v>7009.829925185004</c:v>
                </c:pt>
                <c:pt idx="323">
                  <c:v>5537.3743705414718</c:v>
                </c:pt>
                <c:pt idx="324">
                  <c:v>4582.1241735200429</c:v>
                </c:pt>
                <c:pt idx="325">
                  <c:v>2007.3172997045285</c:v>
                </c:pt>
                <c:pt idx="326">
                  <c:v>2442.4326046754722</c:v>
                </c:pt>
                <c:pt idx="327">
                  <c:v>4478.8206239490046</c:v>
                </c:pt>
                <c:pt idx="328">
                  <c:v>8124.1705173373166</c:v>
                </c:pt>
                <c:pt idx="329">
                  <c:v>7268.5667682496205</c:v>
                </c:pt>
                <c:pt idx="330">
                  <c:v>5255.1513268601648</c:v>
                </c:pt>
                <c:pt idx="331">
                  <c:v>6291.7544237065922</c:v>
                </c:pt>
                <c:pt idx="332">
                  <c:v>2062.7331658377529</c:v>
                </c:pt>
                <c:pt idx="333">
                  <c:v>3242.5285864998859</c:v>
                </c:pt>
                <c:pt idx="334">
                  <c:v>4392.9846169342163</c:v>
                </c:pt>
                <c:pt idx="335">
                  <c:v>6213.7068519401655</c:v>
                </c:pt>
                <c:pt idx="336">
                  <c:v>4740.3280462469475</c:v>
                </c:pt>
                <c:pt idx="337">
                  <c:v>9536.3315963018485</c:v>
                </c:pt>
                <c:pt idx="338">
                  <c:v>7268.3185259653537</c:v>
                </c:pt>
                <c:pt idx="339">
                  <c:v>4240.7617663791143</c:v>
                </c:pt>
                <c:pt idx="340">
                  <c:v>8705.0344115455573</c:v>
                </c:pt>
                <c:pt idx="341">
                  <c:v>9695.234734788748</c:v>
                </c:pt>
                <c:pt idx="342">
                  <c:v>7996.8525199063697</c:v>
                </c:pt>
                <c:pt idx="343">
                  <c:v>8481.2720493944489</c:v>
                </c:pt>
                <c:pt idx="344">
                  <c:v>7396.5771253775902</c:v>
                </c:pt>
                <c:pt idx="345">
                  <c:v>1770.9834451180827</c:v>
                </c:pt>
                <c:pt idx="346">
                  <c:v>3615.8643532212118</c:v>
                </c:pt>
                <c:pt idx="347">
                  <c:v>2749.5422515813125</c:v>
                </c:pt>
                <c:pt idx="348">
                  <c:v>6792.7947191926714</c:v>
                </c:pt>
                <c:pt idx="349">
                  <c:v>5793.1433163202964</c:v>
                </c:pt>
                <c:pt idx="350">
                  <c:v>7047.6232406986046</c:v>
                </c:pt>
                <c:pt idx="351">
                  <c:v>3893.5014740691995</c:v>
                </c:pt>
                <c:pt idx="352">
                  <c:v>4023.5138514588657</c:v>
                </c:pt>
                <c:pt idx="353">
                  <c:v>1976.3208438422619</c:v>
                </c:pt>
                <c:pt idx="354">
                  <c:v>4495.9630889298105</c:v>
                </c:pt>
                <c:pt idx="355">
                  <c:v>11079.815971553191</c:v>
                </c:pt>
                <c:pt idx="356">
                  <c:v>4468.6863991045957</c:v>
                </c:pt>
                <c:pt idx="357">
                  <c:v>6450.4003027753142</c:v>
                </c:pt>
                <c:pt idx="358">
                  <c:v>8499.3208120233685</c:v>
                </c:pt>
                <c:pt idx="359">
                  <c:v>3443.5532356739855</c:v>
                </c:pt>
                <c:pt idx="360">
                  <c:v>2975.761756530881</c:v>
                </c:pt>
                <c:pt idx="361">
                  <c:v>4991.090652259466</c:v>
                </c:pt>
                <c:pt idx="362">
                  <c:v>4506.5708791059678</c:v>
                </c:pt>
                <c:pt idx="363">
                  <c:v>3637.0314942643813</c:v>
                </c:pt>
                <c:pt idx="364">
                  <c:v>2602.8182826993498</c:v>
                </c:pt>
                <c:pt idx="365">
                  <c:v>3305.7744630807756</c:v>
                </c:pt>
                <c:pt idx="366">
                  <c:v>6201.6852877220063</c:v>
                </c:pt>
                <c:pt idx="367">
                  <c:v>11324.777539378691</c:v>
                </c:pt>
                <c:pt idx="368">
                  <c:v>5356.5691519482598</c:v>
                </c:pt>
                <c:pt idx="369">
                  <c:v>4430.6762936640434</c:v>
                </c:pt>
                <c:pt idx="370">
                  <c:v>9651.4926880416842</c:v>
                </c:pt>
                <c:pt idx="371">
                  <c:v>3772.4539198699667</c:v>
                </c:pt>
                <c:pt idx="372">
                  <c:v>3260.3757047674703</c:v>
                </c:pt>
                <c:pt idx="373">
                  <c:v>9603.9415230357499</c:v>
                </c:pt>
                <c:pt idx="374">
                  <c:v>4537.748386085409</c:v>
                </c:pt>
                <c:pt idx="375">
                  <c:v>6937.8015358356179</c:v>
                </c:pt>
                <c:pt idx="376">
                  <c:v>-300.69325885449786</c:v>
                </c:pt>
                <c:pt idx="377">
                  <c:v>5069.1944594251363</c:v>
                </c:pt>
                <c:pt idx="378">
                  <c:v>3499.7265021497174</c:v>
                </c:pt>
                <c:pt idx="379">
                  <c:v>6293.4041990157702</c:v>
                </c:pt>
                <c:pt idx="380">
                  <c:v>6947.4744613423118</c:v>
                </c:pt>
                <c:pt idx="381">
                  <c:v>6085.4261424382958</c:v>
                </c:pt>
                <c:pt idx="382">
                  <c:v>3916.6651361938552</c:v>
                </c:pt>
                <c:pt idx="383">
                  <c:v>4820.0448909884963</c:v>
                </c:pt>
                <c:pt idx="384">
                  <c:v>4632.7022480336946</c:v>
                </c:pt>
                <c:pt idx="385">
                  <c:v>6580.1558422081634</c:v>
                </c:pt>
                <c:pt idx="386">
                  <c:v>5225.1912688083858</c:v>
                </c:pt>
                <c:pt idx="387">
                  <c:v>5958.6087302375736</c:v>
                </c:pt>
                <c:pt idx="388">
                  <c:v>5673.9650600427167</c:v>
                </c:pt>
                <c:pt idx="389">
                  <c:v>4311.924579283952</c:v>
                </c:pt>
                <c:pt idx="390">
                  <c:v>3530.0838233163945</c:v>
                </c:pt>
                <c:pt idx="391">
                  <c:v>6173.4376775117862</c:v>
                </c:pt>
                <c:pt idx="392">
                  <c:v>7765.2901787186911</c:v>
                </c:pt>
                <c:pt idx="393">
                  <c:v>8162.1405990636931</c:v>
                </c:pt>
                <c:pt idx="394">
                  <c:v>5054.9889914248524</c:v>
                </c:pt>
                <c:pt idx="395">
                  <c:v>5898.3305955981468</c:v>
                </c:pt>
                <c:pt idx="396">
                  <c:v>5966.1853178388446</c:v>
                </c:pt>
                <c:pt idx="397">
                  <c:v>6811.5897440801818</c:v>
                </c:pt>
                <c:pt idx="398">
                  <c:v>5154.4624227606464</c:v>
                </c:pt>
                <c:pt idx="399">
                  <c:v>8131.5702180443104</c:v>
                </c:pt>
                <c:pt idx="400">
                  <c:v>5449.8469494523806</c:v>
                </c:pt>
                <c:pt idx="401">
                  <c:v>3828.7291402670885</c:v>
                </c:pt>
                <c:pt idx="402">
                  <c:v>2914.4231804429146</c:v>
                </c:pt>
                <c:pt idx="403">
                  <c:v>2402.347191931286</c:v>
                </c:pt>
                <c:pt idx="404">
                  <c:v>4747.527151764375</c:v>
                </c:pt>
                <c:pt idx="405">
                  <c:v>4167.3949718486947</c:v>
                </c:pt>
                <c:pt idx="406">
                  <c:v>5728.9254838215211</c:v>
                </c:pt>
                <c:pt idx="407">
                  <c:v>3878.7061947270954</c:v>
                </c:pt>
                <c:pt idx="408">
                  <c:v>9293.0092274796752</c:v>
                </c:pt>
                <c:pt idx="409">
                  <c:v>6892.7255592348411</c:v>
                </c:pt>
                <c:pt idx="410">
                  <c:v>9609.2065921303201</c:v>
                </c:pt>
                <c:pt idx="411">
                  <c:v>4955.4415562002805</c:v>
                </c:pt>
                <c:pt idx="412">
                  <c:v>3368.8006456082062</c:v>
                </c:pt>
                <c:pt idx="413">
                  <c:v>1817.3249682231699</c:v>
                </c:pt>
                <c:pt idx="414">
                  <c:v>7907.5401638968497</c:v>
                </c:pt>
                <c:pt idx="415">
                  <c:v>2467.5912923990504</c:v>
                </c:pt>
                <c:pt idx="416">
                  <c:v>3244.859913673039</c:v>
                </c:pt>
                <c:pt idx="417">
                  <c:v>3745.1336822601766</c:v>
                </c:pt>
                <c:pt idx="418">
                  <c:v>5835.7917393979005</c:v>
                </c:pt>
                <c:pt idx="419">
                  <c:v>5479.9240113677824</c:v>
                </c:pt>
                <c:pt idx="420">
                  <c:v>5670.5177657342028</c:v>
                </c:pt>
                <c:pt idx="421">
                  <c:v>6792.3281697503253</c:v>
                </c:pt>
                <c:pt idx="422">
                  <c:v>5883.8998426699718</c:v>
                </c:pt>
                <c:pt idx="423">
                  <c:v>4729.5244154862376</c:v>
                </c:pt>
                <c:pt idx="424">
                  <c:v>2502.4641318451795</c:v>
                </c:pt>
                <c:pt idx="425">
                  <c:v>2554.1450403151407</c:v>
                </c:pt>
                <c:pt idx="426">
                  <c:v>6743.3583810322407</c:v>
                </c:pt>
                <c:pt idx="427">
                  <c:v>2435.7488933048407</c:v>
                </c:pt>
                <c:pt idx="428">
                  <c:v>4274.1961582438717</c:v>
                </c:pt>
                <c:pt idx="429">
                  <c:v>2492.2061146208475</c:v>
                </c:pt>
                <c:pt idx="430">
                  <c:v>9745.2587697064791</c:v>
                </c:pt>
                <c:pt idx="431">
                  <c:v>5351.7916127076705</c:v>
                </c:pt>
                <c:pt idx="432">
                  <c:v>4884.1702101680876</c:v>
                </c:pt>
                <c:pt idx="433">
                  <c:v>4920.3112009935176</c:v>
                </c:pt>
                <c:pt idx="434">
                  <c:v>2078.1796447258325</c:v>
                </c:pt>
                <c:pt idx="435">
                  <c:v>5957.1205732290964</c:v>
                </c:pt>
                <c:pt idx="436">
                  <c:v>8547.6452573069437</c:v>
                </c:pt>
                <c:pt idx="437">
                  <c:v>7974.1011016101866</c:v>
                </c:pt>
                <c:pt idx="438">
                  <c:v>3666.9770873548669</c:v>
                </c:pt>
                <c:pt idx="439">
                  <c:v>5291.5954340010485</c:v>
                </c:pt>
                <c:pt idx="440">
                  <c:v>6800.613750149766</c:v>
                </c:pt>
                <c:pt idx="441">
                  <c:v>4170.3524272603145</c:v>
                </c:pt>
                <c:pt idx="442">
                  <c:v>5559.6739817181897</c:v>
                </c:pt>
                <c:pt idx="443">
                  <c:v>5137.1431688161183</c:v>
                </c:pt>
                <c:pt idx="444">
                  <c:v>6693.2023007581383</c:v>
                </c:pt>
                <c:pt idx="445">
                  <c:v>4054.8470250957002</c:v>
                </c:pt>
                <c:pt idx="446">
                  <c:v>4681.7480668321732</c:v>
                </c:pt>
                <c:pt idx="447">
                  <c:v>8882.2023082886735</c:v>
                </c:pt>
                <c:pt idx="448">
                  <c:v>6107.3823648896368</c:v>
                </c:pt>
                <c:pt idx="449">
                  <c:v>3661.695878804634</c:v>
                </c:pt>
                <c:pt idx="450">
                  <c:v>10827.31768360901</c:v>
                </c:pt>
                <c:pt idx="451">
                  <c:v>4751.8602905348198</c:v>
                </c:pt>
                <c:pt idx="452">
                  <c:v>6745.6312013278603</c:v>
                </c:pt>
                <c:pt idx="453">
                  <c:v>7975.1163100892327</c:v>
                </c:pt>
                <c:pt idx="454">
                  <c:v>2733.4863016191766</c:v>
                </c:pt>
                <c:pt idx="455">
                  <c:v>6142.4365652995812</c:v>
                </c:pt>
                <c:pt idx="456">
                  <c:v>4577.5901741915786</c:v>
                </c:pt>
                <c:pt idx="457">
                  <c:v>5963.4543443390294</c:v>
                </c:pt>
                <c:pt idx="458">
                  <c:v>4862.4725119427249</c:v>
                </c:pt>
                <c:pt idx="459">
                  <c:v>3843.4488687511994</c:v>
                </c:pt>
                <c:pt idx="460">
                  <c:v>9406.5359771895874</c:v>
                </c:pt>
                <c:pt idx="461">
                  <c:v>6454.5850722505584</c:v>
                </c:pt>
                <c:pt idx="462">
                  <c:v>3992.7008162872662</c:v>
                </c:pt>
                <c:pt idx="463">
                  <c:v>4347.827620163881</c:v>
                </c:pt>
                <c:pt idx="464">
                  <c:v>5013.0996757148987</c:v>
                </c:pt>
                <c:pt idx="465">
                  <c:v>8933.7109815665281</c:v>
                </c:pt>
                <c:pt idx="466">
                  <c:v>8866.5815078329742</c:v>
                </c:pt>
                <c:pt idx="467">
                  <c:v>4950.4794296111413</c:v>
                </c:pt>
                <c:pt idx="468">
                  <c:v>4092.7719182514124</c:v>
                </c:pt>
                <c:pt idx="469">
                  <c:v>8312.6609251275058</c:v>
                </c:pt>
                <c:pt idx="470">
                  <c:v>4812.7861794227338</c:v>
                </c:pt>
                <c:pt idx="471">
                  <c:v>6198.9909990910419</c:v>
                </c:pt>
                <c:pt idx="472">
                  <c:v>5899.0017363239886</c:v>
                </c:pt>
                <c:pt idx="473">
                  <c:v>5559.5332440366874</c:v>
                </c:pt>
                <c:pt idx="474">
                  <c:v>2033.5357273839713</c:v>
                </c:pt>
                <c:pt idx="475">
                  <c:v>5941.8702760258184</c:v>
                </c:pt>
                <c:pt idx="476">
                  <c:v>4661.5735742846655</c:v>
                </c:pt>
                <c:pt idx="477">
                  <c:v>4239.5664586788225</c:v>
                </c:pt>
                <c:pt idx="478">
                  <c:v>4842.7697495732009</c:v>
                </c:pt>
                <c:pt idx="479">
                  <c:v>5260.3589475581311</c:v>
                </c:pt>
                <c:pt idx="480">
                  <c:v>6429.2177899608378</c:v>
                </c:pt>
                <c:pt idx="481">
                  <c:v>4430.6414445298769</c:v>
                </c:pt>
                <c:pt idx="482">
                  <c:v>7398.0388348931929</c:v>
                </c:pt>
                <c:pt idx="483">
                  <c:v>4603.3973681895859</c:v>
                </c:pt>
                <c:pt idx="484">
                  <c:v>5023.6581139961309</c:v>
                </c:pt>
                <c:pt idx="485">
                  <c:v>5611.1923064175535</c:v>
                </c:pt>
                <c:pt idx="486">
                  <c:v>3915.7563719671498</c:v>
                </c:pt>
                <c:pt idx="487">
                  <c:v>965.13046020683942</c:v>
                </c:pt>
                <c:pt idx="488">
                  <c:v>7169.9056261496926</c:v>
                </c:pt>
                <c:pt idx="489">
                  <c:v>3061.2243535356602</c:v>
                </c:pt>
                <c:pt idx="490">
                  <c:v>7556.908596187478</c:v>
                </c:pt>
                <c:pt idx="491">
                  <c:v>2041.8359801051163</c:v>
                </c:pt>
                <c:pt idx="492">
                  <c:v>5317.3800189529411</c:v>
                </c:pt>
                <c:pt idx="493">
                  <c:v>5811.3578133033443</c:v>
                </c:pt>
                <c:pt idx="494">
                  <c:v>3663.383481014559</c:v>
                </c:pt>
                <c:pt idx="495">
                  <c:v>5261.6940093839312</c:v>
                </c:pt>
                <c:pt idx="496">
                  <c:v>5885.4667179994822</c:v>
                </c:pt>
                <c:pt idx="497">
                  <c:v>7328.2807499699375</c:v>
                </c:pt>
                <c:pt idx="498">
                  <c:v>22.169376318388448</c:v>
                </c:pt>
                <c:pt idx="499">
                  <c:v>4904.658084695744</c:v>
                </c:pt>
                <c:pt idx="500">
                  <c:v>6894.3706147180055</c:v>
                </c:pt>
                <c:pt idx="501">
                  <c:v>4559.0711081195577</c:v>
                </c:pt>
                <c:pt idx="502">
                  <c:v>2815.9910276910241</c:v>
                </c:pt>
                <c:pt idx="503">
                  <c:v>4222.1755790409788</c:v>
                </c:pt>
                <c:pt idx="504">
                  <c:v>5733.5659152270609</c:v>
                </c:pt>
                <c:pt idx="505">
                  <c:v>5745.7329138353607</c:v>
                </c:pt>
                <c:pt idx="506">
                  <c:v>4208.941892650907</c:v>
                </c:pt>
                <c:pt idx="507">
                  <c:v>5250.5537876569551</c:v>
                </c:pt>
                <c:pt idx="508">
                  <c:v>8272.961838963136</c:v>
                </c:pt>
                <c:pt idx="509">
                  <c:v>3458.3314125815191</c:v>
                </c:pt>
                <c:pt idx="510">
                  <c:v>3117.4004090852204</c:v>
                </c:pt>
                <c:pt idx="511">
                  <c:v>4350.4842697262466</c:v>
                </c:pt>
                <c:pt idx="512">
                  <c:v>5091.5763594891059</c:v>
                </c:pt>
                <c:pt idx="513">
                  <c:v>5376.6207926986217</c:v>
                </c:pt>
                <c:pt idx="514">
                  <c:v>10308.459257388919</c:v>
                </c:pt>
                <c:pt idx="515">
                  <c:v>6625.8331222045135</c:v>
                </c:pt>
                <c:pt idx="516">
                  <c:v>5574.1262960560198</c:v>
                </c:pt>
                <c:pt idx="517">
                  <c:v>5267.0419375606816</c:v>
                </c:pt>
                <c:pt idx="518">
                  <c:v>6477.6601289530581</c:v>
                </c:pt>
                <c:pt idx="519">
                  <c:v>6302.1588593354181</c:v>
                </c:pt>
                <c:pt idx="520">
                  <c:v>4964.000333276419</c:v>
                </c:pt>
                <c:pt idx="521">
                  <c:v>4978.7232242010041</c:v>
                </c:pt>
                <c:pt idx="522">
                  <c:v>4926.2192368044125</c:v>
                </c:pt>
                <c:pt idx="523">
                  <c:v>2763.1194718177608</c:v>
                </c:pt>
                <c:pt idx="524">
                  <c:v>3950.9060723502225</c:v>
                </c:pt>
                <c:pt idx="525">
                  <c:v>8903.8367735137563</c:v>
                </c:pt>
                <c:pt idx="526">
                  <c:v>10075.679022349263</c:v>
                </c:pt>
                <c:pt idx="527">
                  <c:v>2625.5787429817115</c:v>
                </c:pt>
                <c:pt idx="528">
                  <c:v>5675.7753986777016</c:v>
                </c:pt>
                <c:pt idx="529">
                  <c:v>5636.3931243648558</c:v>
                </c:pt>
                <c:pt idx="530">
                  <c:v>4484.2720725878698</c:v>
                </c:pt>
                <c:pt idx="531">
                  <c:v>6436.573749029234</c:v>
                </c:pt>
                <c:pt idx="532">
                  <c:v>4241.8502370917813</c:v>
                </c:pt>
                <c:pt idx="533">
                  <c:v>5721.7377114696292</c:v>
                </c:pt>
                <c:pt idx="534">
                  <c:v>4826.1023234873473</c:v>
                </c:pt>
                <c:pt idx="535">
                  <c:v>5412.8086308574502</c:v>
                </c:pt>
                <c:pt idx="536">
                  <c:v>4217.4801629515105</c:v>
                </c:pt>
                <c:pt idx="537">
                  <c:v>5048.1316108831115</c:v>
                </c:pt>
                <c:pt idx="538">
                  <c:v>3986.442895162058</c:v>
                </c:pt>
                <c:pt idx="539">
                  <c:v>4724.9158072571472</c:v>
                </c:pt>
                <c:pt idx="540">
                  <c:v>6848.2380012634203</c:v>
                </c:pt>
                <c:pt idx="541">
                  <c:v>3307.025635838173</c:v>
                </c:pt>
                <c:pt idx="542">
                  <c:v>5287.1313535213103</c:v>
                </c:pt>
                <c:pt idx="543">
                  <c:v>2883.8522569678139</c:v>
                </c:pt>
                <c:pt idx="544">
                  <c:v>5718.9950785155306</c:v>
                </c:pt>
                <c:pt idx="545">
                  <c:v>5424.278802923146</c:v>
                </c:pt>
                <c:pt idx="546">
                  <c:v>6081.7545015807527</c:v>
                </c:pt>
                <c:pt idx="547">
                  <c:v>3365.2301618142342</c:v>
                </c:pt>
                <c:pt idx="548">
                  <c:v>5101.3147911763372</c:v>
                </c:pt>
                <c:pt idx="549">
                  <c:v>3729.5119954194579</c:v>
                </c:pt>
                <c:pt idx="550">
                  <c:v>9857.4148267684814</c:v>
                </c:pt>
                <c:pt idx="551">
                  <c:v>10767.58298730553</c:v>
                </c:pt>
                <c:pt idx="552">
                  <c:v>4136.1032499385701</c:v>
                </c:pt>
                <c:pt idx="553">
                  <c:v>3683.8539788201419</c:v>
                </c:pt>
                <c:pt idx="554">
                  <c:v>2466.2272854360522</c:v>
                </c:pt>
                <c:pt idx="555">
                  <c:v>5287.1186008590803</c:v>
                </c:pt>
                <c:pt idx="556">
                  <c:v>6107.9943113674935</c:v>
                </c:pt>
                <c:pt idx="557">
                  <c:v>4993.39733465276</c:v>
                </c:pt>
                <c:pt idx="558">
                  <c:v>6630.7916909298519</c:v>
                </c:pt>
                <c:pt idx="559">
                  <c:v>7520.586358817126</c:v>
                </c:pt>
                <c:pt idx="560">
                  <c:v>5194.1923815416294</c:v>
                </c:pt>
                <c:pt idx="561">
                  <c:v>9101.6101254352488</c:v>
                </c:pt>
                <c:pt idx="562">
                  <c:v>6122.3507345041498</c:v>
                </c:pt>
                <c:pt idx="563">
                  <c:v>4986.9552128276273</c:v>
                </c:pt>
                <c:pt idx="564">
                  <c:v>5744.1383307562628</c:v>
                </c:pt>
                <c:pt idx="565">
                  <c:v>6154.0545743718267</c:v>
                </c:pt>
                <c:pt idx="566">
                  <c:v>2951.0461769761132</c:v>
                </c:pt>
                <c:pt idx="567">
                  <c:v>4312.0389390741075</c:v>
                </c:pt>
                <c:pt idx="568">
                  <c:v>5847.2729699311885</c:v>
                </c:pt>
                <c:pt idx="569">
                  <c:v>3537.1269571391181</c:v>
                </c:pt>
                <c:pt idx="570">
                  <c:v>4518.2734007585741</c:v>
                </c:pt>
                <c:pt idx="571">
                  <c:v>4072.0582498513318</c:v>
                </c:pt>
                <c:pt idx="572">
                  <c:v>4549.0701856580863</c:v>
                </c:pt>
                <c:pt idx="573">
                  <c:v>3876.4729573511818</c:v>
                </c:pt>
                <c:pt idx="574">
                  <c:v>5806.4084231794486</c:v>
                </c:pt>
                <c:pt idx="575">
                  <c:v>4670.958469479735</c:v>
                </c:pt>
                <c:pt idx="576">
                  <c:v>6106.7501476439738</c:v>
                </c:pt>
                <c:pt idx="577">
                  <c:v>2885.7066793249219</c:v>
                </c:pt>
                <c:pt idx="578">
                  <c:v>9339.3259083715893</c:v>
                </c:pt>
                <c:pt idx="579">
                  <c:v>6886.19484198186</c:v>
                </c:pt>
                <c:pt idx="580">
                  <c:v>3237.5814350795563</c:v>
                </c:pt>
                <c:pt idx="581">
                  <c:v>4068.5247739138204</c:v>
                </c:pt>
                <c:pt idx="582">
                  <c:v>4936.1855740677092</c:v>
                </c:pt>
                <c:pt idx="583">
                  <c:v>3065.061646039519</c:v>
                </c:pt>
                <c:pt idx="584">
                  <c:v>1919.138390509524</c:v>
                </c:pt>
                <c:pt idx="585">
                  <c:v>8895.7954081819153</c:v>
                </c:pt>
                <c:pt idx="586">
                  <c:v>6196.0181227918983</c:v>
                </c:pt>
                <c:pt idx="587">
                  <c:v>2582.880141507108</c:v>
                </c:pt>
                <c:pt idx="588">
                  <c:v>2927.2541011457765</c:v>
                </c:pt>
                <c:pt idx="589">
                  <c:v>8126.4154196360141</c:v>
                </c:pt>
                <c:pt idx="590">
                  <c:v>4532.2015202001776</c:v>
                </c:pt>
                <c:pt idx="591">
                  <c:v>6171.2201745810635</c:v>
                </c:pt>
                <c:pt idx="592">
                  <c:v>6018.1522250165708</c:v>
                </c:pt>
                <c:pt idx="593">
                  <c:v>8574.4134783343998</c:v>
                </c:pt>
                <c:pt idx="594">
                  <c:v>6017.2939698069322</c:v>
                </c:pt>
                <c:pt idx="595">
                  <c:v>3395.3227993828186</c:v>
                </c:pt>
                <c:pt idx="596">
                  <c:v>3928.1760141656514</c:v>
                </c:pt>
                <c:pt idx="597">
                  <c:v>1813.9801145307556</c:v>
                </c:pt>
                <c:pt idx="598">
                  <c:v>5760.2745555489673</c:v>
                </c:pt>
                <c:pt idx="599">
                  <c:v>8918.5112789330906</c:v>
                </c:pt>
                <c:pt idx="600">
                  <c:v>4654.1544256236248</c:v>
                </c:pt>
                <c:pt idx="601">
                  <c:v>5003.7463638417312</c:v>
                </c:pt>
                <c:pt idx="602">
                  <c:v>12300.482333872844</c:v>
                </c:pt>
                <c:pt idx="603">
                  <c:v>5054.4047680874564</c:v>
                </c:pt>
                <c:pt idx="604">
                  <c:v>4399.1198693304896</c:v>
                </c:pt>
                <c:pt idx="605">
                  <c:v>4999.6762556358917</c:v>
                </c:pt>
                <c:pt idx="606">
                  <c:v>2768.7922672777418</c:v>
                </c:pt>
                <c:pt idx="607">
                  <c:v>11557.727357002364</c:v>
                </c:pt>
                <c:pt idx="608">
                  <c:v>3000.2406666119327</c:v>
                </c:pt>
                <c:pt idx="609">
                  <c:v>5082.1052564104066</c:v>
                </c:pt>
                <c:pt idx="610">
                  <c:v>4159.6866619465673</c:v>
                </c:pt>
                <c:pt idx="611">
                  <c:v>3485.7155756753114</c:v>
                </c:pt>
                <c:pt idx="612">
                  <c:v>4707.1053205019043</c:v>
                </c:pt>
                <c:pt idx="613">
                  <c:v>2717.8503046525716</c:v>
                </c:pt>
                <c:pt idx="614">
                  <c:v>5530.0490619061202</c:v>
                </c:pt>
                <c:pt idx="615">
                  <c:v>4662.3082869239579</c:v>
                </c:pt>
                <c:pt idx="616">
                  <c:v>3058.6512222378456</c:v>
                </c:pt>
                <c:pt idx="617">
                  <c:v>3564.1205373064736</c:v>
                </c:pt>
                <c:pt idx="618">
                  <c:v>6327.1349990816034</c:v>
                </c:pt>
                <c:pt idx="619">
                  <c:v>3076.0221309183353</c:v>
                </c:pt>
                <c:pt idx="620">
                  <c:v>5330.7344528849781</c:v>
                </c:pt>
                <c:pt idx="621">
                  <c:v>7059.1848367995099</c:v>
                </c:pt>
                <c:pt idx="622">
                  <c:v>3442.301130811873</c:v>
                </c:pt>
                <c:pt idx="623">
                  <c:v>6233.3109192332986</c:v>
                </c:pt>
                <c:pt idx="624">
                  <c:v>6967.9225336281243</c:v>
                </c:pt>
                <c:pt idx="625">
                  <c:v>8286.4910876052418</c:v>
                </c:pt>
                <c:pt idx="626">
                  <c:v>10496.206321896465</c:v>
                </c:pt>
                <c:pt idx="627">
                  <c:v>7856.6703188450683</c:v>
                </c:pt>
                <c:pt idx="628">
                  <c:v>3278.2295139058174</c:v>
                </c:pt>
                <c:pt idx="629">
                  <c:v>5261.1922605451964</c:v>
                </c:pt>
                <c:pt idx="630">
                  <c:v>5290.4679680193103</c:v>
                </c:pt>
                <c:pt idx="631">
                  <c:v>2515.5190350732751</c:v>
                </c:pt>
                <c:pt idx="632">
                  <c:v>5165.992923177364</c:v>
                </c:pt>
                <c:pt idx="633">
                  <c:v>4010.4162710016167</c:v>
                </c:pt>
                <c:pt idx="634">
                  <c:v>5105.0445338210857</c:v>
                </c:pt>
                <c:pt idx="635">
                  <c:v>6268.9765509749668</c:v>
                </c:pt>
                <c:pt idx="636">
                  <c:v>8486.4416305065806</c:v>
                </c:pt>
                <c:pt idx="637">
                  <c:v>9550.4929425197024</c:v>
                </c:pt>
                <c:pt idx="638">
                  <c:v>5487.8359159389938</c:v>
                </c:pt>
                <c:pt idx="639">
                  <c:v>4058.0277650817034</c:v>
                </c:pt>
                <c:pt idx="640">
                  <c:v>4979.1704388862927</c:v>
                </c:pt>
                <c:pt idx="641">
                  <c:v>3506.1164655233051</c:v>
                </c:pt>
                <c:pt idx="642">
                  <c:v>5193.4801223347149</c:v>
                </c:pt>
                <c:pt idx="643">
                  <c:v>5716.8594173602642</c:v>
                </c:pt>
                <c:pt idx="644">
                  <c:v>6005.5567606947616</c:v>
                </c:pt>
                <c:pt idx="645">
                  <c:v>2509.4227486459499</c:v>
                </c:pt>
                <c:pt idx="646">
                  <c:v>6386.594255011084</c:v>
                </c:pt>
                <c:pt idx="647">
                  <c:v>4046.3494319405668</c:v>
                </c:pt>
                <c:pt idx="648">
                  <c:v>5065.3360859855902</c:v>
                </c:pt>
                <c:pt idx="649">
                  <c:v>5874.5285991419087</c:v>
                </c:pt>
                <c:pt idx="650">
                  <c:v>5442.3758342683223</c:v>
                </c:pt>
                <c:pt idx="651">
                  <c:v>11655.780226512459</c:v>
                </c:pt>
                <c:pt idx="652">
                  <c:v>4692.9817766659889</c:v>
                </c:pt>
                <c:pt idx="653">
                  <c:v>5468.4051340036076</c:v>
                </c:pt>
                <c:pt idx="654">
                  <c:v>7685.8297656218838</c:v>
                </c:pt>
                <c:pt idx="655">
                  <c:v>1870.8841958210342</c:v>
                </c:pt>
                <c:pt idx="656">
                  <c:v>7373.3202077274136</c:v>
                </c:pt>
                <c:pt idx="657">
                  <c:v>6995.0994249848627</c:v>
                </c:pt>
                <c:pt idx="658">
                  <c:v>5739.5495309617063</c:v>
                </c:pt>
                <c:pt idx="659">
                  <c:v>5577.5636534723162</c:v>
                </c:pt>
                <c:pt idx="660">
                  <c:v>7419.044848425493</c:v>
                </c:pt>
                <c:pt idx="661">
                  <c:v>6901.7807988923614</c:v>
                </c:pt>
                <c:pt idx="662">
                  <c:v>6129.3560185638435</c:v>
                </c:pt>
                <c:pt idx="663">
                  <c:v>3361.4979106325814</c:v>
                </c:pt>
                <c:pt idx="664">
                  <c:v>6509.6814999090566</c:v>
                </c:pt>
                <c:pt idx="665">
                  <c:v>4599.6288189427232</c:v>
                </c:pt>
                <c:pt idx="666">
                  <c:v>4150.5322607381286</c:v>
                </c:pt>
                <c:pt idx="667">
                  <c:v>5064.2661327779006</c:v>
                </c:pt>
                <c:pt idx="668">
                  <c:v>5981.839740267169</c:v>
                </c:pt>
                <c:pt idx="669">
                  <c:v>4171.4265807478823</c:v>
                </c:pt>
                <c:pt idx="670">
                  <c:v>8719.4600568523019</c:v>
                </c:pt>
                <c:pt idx="671">
                  <c:v>3714.5813913451348</c:v>
                </c:pt>
                <c:pt idx="672">
                  <c:v>4839.0502772831678</c:v>
                </c:pt>
                <c:pt idx="673">
                  <c:v>5228.8539882633431</c:v>
                </c:pt>
                <c:pt idx="674">
                  <c:v>7161.5673474770247</c:v>
                </c:pt>
                <c:pt idx="675">
                  <c:v>3835.6824536009481</c:v>
                </c:pt>
                <c:pt idx="676">
                  <c:v>6516.9779552410509</c:v>
                </c:pt>
                <c:pt idx="677">
                  <c:v>4568.3618976976168</c:v>
                </c:pt>
                <c:pt idx="678">
                  <c:v>3335.884225330793</c:v>
                </c:pt>
                <c:pt idx="679">
                  <c:v>5946.4229180300499</c:v>
                </c:pt>
                <c:pt idx="680">
                  <c:v>4733.8999827108892</c:v>
                </c:pt>
                <c:pt idx="681">
                  <c:v>8351.180735535434</c:v>
                </c:pt>
                <c:pt idx="682">
                  <c:v>5092.6567252572422</c:v>
                </c:pt>
                <c:pt idx="683">
                  <c:v>9310.5250408949541</c:v>
                </c:pt>
                <c:pt idx="684">
                  <c:v>4838.8149932540337</c:v>
                </c:pt>
                <c:pt idx="685">
                  <c:v>4055.1583284665467</c:v>
                </c:pt>
                <c:pt idx="686">
                  <c:v>5311.8401001026341</c:v>
                </c:pt>
                <c:pt idx="687">
                  <c:v>3610.5012232516347</c:v>
                </c:pt>
                <c:pt idx="688">
                  <c:v>10248.664360653094</c:v>
                </c:pt>
                <c:pt idx="689">
                  <c:v>6089.9660135187241</c:v>
                </c:pt>
                <c:pt idx="690">
                  <c:v>5314.5397360489387</c:v>
                </c:pt>
                <c:pt idx="691">
                  <c:v>4976.1024932117498</c:v>
                </c:pt>
                <c:pt idx="692">
                  <c:v>8608.3745225706316</c:v>
                </c:pt>
                <c:pt idx="693">
                  <c:v>4281.3819524377686</c:v>
                </c:pt>
                <c:pt idx="694">
                  <c:v>4559.2045531891163</c:v>
                </c:pt>
                <c:pt idx="695">
                  <c:v>11556.288588330195</c:v>
                </c:pt>
                <c:pt idx="696">
                  <c:v>2979.5029932627367</c:v>
                </c:pt>
                <c:pt idx="697">
                  <c:v>5295.9332986896934</c:v>
                </c:pt>
                <c:pt idx="698">
                  <c:v>8713.6021790627292</c:v>
                </c:pt>
                <c:pt idx="699">
                  <c:v>5017.3605922623738</c:v>
                </c:pt>
                <c:pt idx="700">
                  <c:v>8062.2454231550437</c:v>
                </c:pt>
                <c:pt idx="701">
                  <c:v>5561.8665255760534</c:v>
                </c:pt>
                <c:pt idx="702">
                  <c:v>3588.4777837686756</c:v>
                </c:pt>
                <c:pt idx="703">
                  <c:v>2865.7621358395158</c:v>
                </c:pt>
                <c:pt idx="704">
                  <c:v>3370.8072066975287</c:v>
                </c:pt>
                <c:pt idx="705">
                  <c:v>9289.0846876766554</c:v>
                </c:pt>
                <c:pt idx="706">
                  <c:v>7111.1378849354078</c:v>
                </c:pt>
                <c:pt idx="707">
                  <c:v>5147.8031917471935</c:v>
                </c:pt>
                <c:pt idx="708">
                  <c:v>3392.0440482256249</c:v>
                </c:pt>
                <c:pt idx="709">
                  <c:v>6756.1169045469796</c:v>
                </c:pt>
                <c:pt idx="710">
                  <c:v>7386.112918748815</c:v>
                </c:pt>
                <c:pt idx="711">
                  <c:v>5731.0658936085947</c:v>
                </c:pt>
                <c:pt idx="712">
                  <c:v>6579.8178141064891</c:v>
                </c:pt>
                <c:pt idx="713">
                  <c:v>5463.4645749870333</c:v>
                </c:pt>
                <c:pt idx="714">
                  <c:v>7591.1167105439035</c:v>
                </c:pt>
                <c:pt idx="715">
                  <c:v>2809.323282838669</c:v>
                </c:pt>
                <c:pt idx="716">
                  <c:v>6247.0984189481878</c:v>
                </c:pt>
                <c:pt idx="717">
                  <c:v>4948.1584668374308</c:v>
                </c:pt>
                <c:pt idx="718">
                  <c:v>5097.3730124056801</c:v>
                </c:pt>
                <c:pt idx="719">
                  <c:v>4112.7369085773817</c:v>
                </c:pt>
                <c:pt idx="720">
                  <c:v>4486.4975932325269</c:v>
                </c:pt>
                <c:pt idx="721">
                  <c:v>7932.5034051925495</c:v>
                </c:pt>
                <c:pt idx="722">
                  <c:v>5115.1523025093957</c:v>
                </c:pt>
                <c:pt idx="723">
                  <c:v>4554.8003178674526</c:v>
                </c:pt>
                <c:pt idx="724">
                  <c:v>6578.6787725939075</c:v>
                </c:pt>
                <c:pt idx="725">
                  <c:v>2896.9379291448809</c:v>
                </c:pt>
                <c:pt idx="726">
                  <c:v>7436.0067587622734</c:v>
                </c:pt>
                <c:pt idx="727">
                  <c:v>3771.4483661786121</c:v>
                </c:pt>
                <c:pt idx="728">
                  <c:v>3598.7595209299066</c:v>
                </c:pt>
                <c:pt idx="729">
                  <c:v>4151.4217466391347</c:v>
                </c:pt>
                <c:pt idx="730">
                  <c:v>5978.0696502518795</c:v>
                </c:pt>
                <c:pt idx="731">
                  <c:v>3561.9545973384706</c:v>
                </c:pt>
                <c:pt idx="732">
                  <c:v>4944.4297315594376</c:v>
                </c:pt>
                <c:pt idx="733">
                  <c:v>1845.4417339593626</c:v>
                </c:pt>
                <c:pt idx="734">
                  <c:v>4668.8902605840467</c:v>
                </c:pt>
                <c:pt idx="735">
                  <c:v>5259.8067496532758</c:v>
                </c:pt>
                <c:pt idx="736">
                  <c:v>5667.2515069869178</c:v>
                </c:pt>
                <c:pt idx="737">
                  <c:v>3402.9536220494483</c:v>
                </c:pt>
                <c:pt idx="738">
                  <c:v>6490.5854205180458</c:v>
                </c:pt>
                <c:pt idx="739">
                  <c:v>5730.6897517067919</c:v>
                </c:pt>
                <c:pt idx="740">
                  <c:v>5034.6655666051502</c:v>
                </c:pt>
                <c:pt idx="741">
                  <c:v>4107.6939852985079</c:v>
                </c:pt>
                <c:pt idx="742">
                  <c:v>8355.3175890057737</c:v>
                </c:pt>
                <c:pt idx="743">
                  <c:v>3095.6795769824912</c:v>
                </c:pt>
                <c:pt idx="744">
                  <c:v>4069.9041655763608</c:v>
                </c:pt>
                <c:pt idx="745">
                  <c:v>5685.9263974124488</c:v>
                </c:pt>
                <c:pt idx="746">
                  <c:v>4755.2791079335457</c:v>
                </c:pt>
                <c:pt idx="747">
                  <c:v>12604.604426080436</c:v>
                </c:pt>
                <c:pt idx="748">
                  <c:v>6054.4851135928684</c:v>
                </c:pt>
                <c:pt idx="749">
                  <c:v>3479.6630202509059</c:v>
                </c:pt>
                <c:pt idx="750">
                  <c:v>11780.857470682775</c:v>
                </c:pt>
                <c:pt idx="751">
                  <c:v>4420.3790899755913</c:v>
                </c:pt>
                <c:pt idx="752">
                  <c:v>1924.9986035922498</c:v>
                </c:pt>
                <c:pt idx="753">
                  <c:v>3518.5337155680622</c:v>
                </c:pt>
                <c:pt idx="754">
                  <c:v>3738.8021795142031</c:v>
                </c:pt>
                <c:pt idx="755">
                  <c:v>4180.370477932739</c:v>
                </c:pt>
                <c:pt idx="756">
                  <c:v>4512.5279821202957</c:v>
                </c:pt>
                <c:pt idx="757">
                  <c:v>4784.1680560353661</c:v>
                </c:pt>
                <c:pt idx="758">
                  <c:v>6050.1268407063308</c:v>
                </c:pt>
                <c:pt idx="759">
                  <c:v>8166.644110991544</c:v>
                </c:pt>
                <c:pt idx="760">
                  <c:v>5344.8925854464796</c:v>
                </c:pt>
                <c:pt idx="761">
                  <c:v>5371.5585740257638</c:v>
                </c:pt>
                <c:pt idx="762">
                  <c:v>3696.5261652835698</c:v>
                </c:pt>
                <c:pt idx="763">
                  <c:v>5551.1610066201911</c:v>
                </c:pt>
                <c:pt idx="764">
                  <c:v>3779.5538666631974</c:v>
                </c:pt>
                <c:pt idx="765">
                  <c:v>3217.3317605328757</c:v>
                </c:pt>
                <c:pt idx="766">
                  <c:v>7786.149339485677</c:v>
                </c:pt>
                <c:pt idx="767">
                  <c:v>4070.4626938809979</c:v>
                </c:pt>
                <c:pt idx="768">
                  <c:v>5127.2631855190421</c:v>
                </c:pt>
                <c:pt idx="769">
                  <c:v>4705.7393156325888</c:v>
                </c:pt>
                <c:pt idx="770">
                  <c:v>4186.8753137306485</c:v>
                </c:pt>
                <c:pt idx="771">
                  <c:v>6738.1488361122492</c:v>
                </c:pt>
                <c:pt idx="772">
                  <c:v>4520.8268968416623</c:v>
                </c:pt>
                <c:pt idx="773">
                  <c:v>3798.6777127384785</c:v>
                </c:pt>
                <c:pt idx="774">
                  <c:v>5519.9081294779271</c:v>
                </c:pt>
                <c:pt idx="775">
                  <c:v>5830.2510155049076</c:v>
                </c:pt>
                <c:pt idx="776">
                  <c:v>1900.9590246654354</c:v>
                </c:pt>
                <c:pt idx="777">
                  <c:v>5525.4306229585873</c:v>
                </c:pt>
                <c:pt idx="778">
                  <c:v>6780.763288083067</c:v>
                </c:pt>
                <c:pt idx="779">
                  <c:v>12435.817326652646</c:v>
                </c:pt>
                <c:pt idx="780">
                  <c:v>4380.4260850237624</c:v>
                </c:pt>
                <c:pt idx="781">
                  <c:v>5472.8711056753191</c:v>
                </c:pt>
                <c:pt idx="782">
                  <c:v>4622.1700011206422</c:v>
                </c:pt>
                <c:pt idx="783">
                  <c:v>4870.3799991991355</c:v>
                </c:pt>
                <c:pt idx="784">
                  <c:v>5374.3808716030253</c:v>
                </c:pt>
                <c:pt idx="785">
                  <c:v>5712.9117591373097</c:v>
                </c:pt>
                <c:pt idx="786">
                  <c:v>10508.158857737113</c:v>
                </c:pt>
                <c:pt idx="787">
                  <c:v>6253.1268016063968</c:v>
                </c:pt>
                <c:pt idx="788">
                  <c:v>8239.0412882005767</c:v>
                </c:pt>
                <c:pt idx="789">
                  <c:v>6495.0793514029738</c:v>
                </c:pt>
                <c:pt idx="790">
                  <c:v>880.37046757838482</c:v>
                </c:pt>
                <c:pt idx="791">
                  <c:v>5726.8027640478631</c:v>
                </c:pt>
                <c:pt idx="792">
                  <c:v>5822.0900760750965</c:v>
                </c:pt>
                <c:pt idx="793">
                  <c:v>3343.6560432250926</c:v>
                </c:pt>
                <c:pt idx="794">
                  <c:v>5321.3757215520036</c:v>
                </c:pt>
                <c:pt idx="795">
                  <c:v>5339.474021440843</c:v>
                </c:pt>
                <c:pt idx="796">
                  <c:v>3801.4303261462369</c:v>
                </c:pt>
                <c:pt idx="797">
                  <c:v>4889.4803269194736</c:v>
                </c:pt>
                <c:pt idx="798">
                  <c:v>5711.8760224003645</c:v>
                </c:pt>
                <c:pt idx="799">
                  <c:v>5428.7756800282186</c:v>
                </c:pt>
                <c:pt idx="800">
                  <c:v>6314.3767057353461</c:v>
                </c:pt>
                <c:pt idx="801">
                  <c:v>7440.6965077694986</c:v>
                </c:pt>
                <c:pt idx="802">
                  <c:v>3769.1904975197176</c:v>
                </c:pt>
                <c:pt idx="803">
                  <c:v>5863.1955712278559</c:v>
                </c:pt>
                <c:pt idx="804">
                  <c:v>5440.2876204472996</c:v>
                </c:pt>
                <c:pt idx="805">
                  <c:v>6251.1223392001493</c:v>
                </c:pt>
                <c:pt idx="806">
                  <c:v>2769.5730110331233</c:v>
                </c:pt>
                <c:pt idx="807">
                  <c:v>9551.7390630584996</c:v>
                </c:pt>
                <c:pt idx="808">
                  <c:v>6380.3467174753496</c:v>
                </c:pt>
                <c:pt idx="809">
                  <c:v>9493.1350743469939</c:v>
                </c:pt>
                <c:pt idx="810">
                  <c:v>9295.0001598928757</c:v>
                </c:pt>
                <c:pt idx="811">
                  <c:v>6891.7272245295017</c:v>
                </c:pt>
                <c:pt idx="812">
                  <c:v>6305.7757021458565</c:v>
                </c:pt>
                <c:pt idx="813">
                  <c:v>9917.0389365763604</c:v>
                </c:pt>
                <c:pt idx="814">
                  <c:v>3321.7198871404535</c:v>
                </c:pt>
                <c:pt idx="815">
                  <c:v>2892.4769527057974</c:v>
                </c:pt>
                <c:pt idx="816">
                  <c:v>6596.6015490904056</c:v>
                </c:pt>
                <c:pt idx="817">
                  <c:v>6040.8414468444407</c:v>
                </c:pt>
                <c:pt idx="818">
                  <c:v>7036.892602146123</c:v>
                </c:pt>
                <c:pt idx="819">
                  <c:v>4789.4451285624973</c:v>
                </c:pt>
                <c:pt idx="820">
                  <c:v>8510.3590824121857</c:v>
                </c:pt>
                <c:pt idx="821">
                  <c:v>5273.3099686344176</c:v>
                </c:pt>
                <c:pt idx="822">
                  <c:v>7832.765661003783</c:v>
                </c:pt>
                <c:pt idx="823">
                  <c:v>8591.8505819519578</c:v>
                </c:pt>
                <c:pt idx="824">
                  <c:v>7384.8322124855786</c:v>
                </c:pt>
                <c:pt idx="825">
                  <c:v>9935.8247133418918</c:v>
                </c:pt>
                <c:pt idx="826">
                  <c:v>8075.8878589017468</c:v>
                </c:pt>
                <c:pt idx="827">
                  <c:v>6063.5651184666312</c:v>
                </c:pt>
                <c:pt idx="828">
                  <c:v>5319.9278418177819</c:v>
                </c:pt>
                <c:pt idx="829">
                  <c:v>4654.4753939994198</c:v>
                </c:pt>
                <c:pt idx="830">
                  <c:v>9006.5714949881403</c:v>
                </c:pt>
                <c:pt idx="831">
                  <c:v>5188.9030781888623</c:v>
                </c:pt>
                <c:pt idx="832">
                  <c:v>7159.0805054403309</c:v>
                </c:pt>
                <c:pt idx="833">
                  <c:v>8159.3553410271816</c:v>
                </c:pt>
                <c:pt idx="834">
                  <c:v>6426.1468137743786</c:v>
                </c:pt>
                <c:pt idx="835">
                  <c:v>4534.9004690165084</c:v>
                </c:pt>
                <c:pt idx="836">
                  <c:v>6024.8998360956484</c:v>
                </c:pt>
                <c:pt idx="837">
                  <c:v>3496.2359503586104</c:v>
                </c:pt>
                <c:pt idx="838">
                  <c:v>4371.1666392611251</c:v>
                </c:pt>
                <c:pt idx="839">
                  <c:v>5641.5081015504484</c:v>
                </c:pt>
                <c:pt idx="840">
                  <c:v>7244.49173757483</c:v>
                </c:pt>
                <c:pt idx="841">
                  <c:v>9246.7995446074201</c:v>
                </c:pt>
                <c:pt idx="842">
                  <c:v>6082.3297333854362</c:v>
                </c:pt>
                <c:pt idx="843">
                  <c:v>7896.8671788259835</c:v>
                </c:pt>
                <c:pt idx="844">
                  <c:v>6730.1591830921061</c:v>
                </c:pt>
                <c:pt idx="845">
                  <c:v>2583.0580639165114</c:v>
                </c:pt>
                <c:pt idx="846">
                  <c:v>5046.6458000856064</c:v>
                </c:pt>
                <c:pt idx="847">
                  <c:v>3790.3155864475871</c:v>
                </c:pt>
                <c:pt idx="848">
                  <c:v>2803.7647032576788</c:v>
                </c:pt>
                <c:pt idx="849">
                  <c:v>7562.3790637448938</c:v>
                </c:pt>
                <c:pt idx="850">
                  <c:v>6065.3442415267009</c:v>
                </c:pt>
                <c:pt idx="851">
                  <c:v>7177.6449692138212</c:v>
                </c:pt>
                <c:pt idx="852">
                  <c:v>3755.1851373308091</c:v>
                </c:pt>
                <c:pt idx="853">
                  <c:v>2608.6659138023774</c:v>
                </c:pt>
                <c:pt idx="854">
                  <c:v>-467.78297574998498</c:v>
                </c:pt>
                <c:pt idx="855">
                  <c:v>4499.2748182103041</c:v>
                </c:pt>
                <c:pt idx="856">
                  <c:v>5425.5842574092403</c:v>
                </c:pt>
                <c:pt idx="857">
                  <c:v>5699.8935903184974</c:v>
                </c:pt>
                <c:pt idx="858">
                  <c:v>2302.1628305998497</c:v>
                </c:pt>
                <c:pt idx="859">
                  <c:v>2225.6247652641719</c:v>
                </c:pt>
                <c:pt idx="860">
                  <c:v>6031.6452512273245</c:v>
                </c:pt>
                <c:pt idx="861">
                  <c:v>4620.4255230097588</c:v>
                </c:pt>
                <c:pt idx="862">
                  <c:v>3487.6635780190863</c:v>
                </c:pt>
                <c:pt idx="863">
                  <c:v>5146.8078587111477</c:v>
                </c:pt>
                <c:pt idx="864">
                  <c:v>4893.3682515972159</c:v>
                </c:pt>
                <c:pt idx="865">
                  <c:v>9814.2111488161136</c:v>
                </c:pt>
                <c:pt idx="866">
                  <c:v>6352.6400521848709</c:v>
                </c:pt>
                <c:pt idx="867">
                  <c:v>3248.3929058014519</c:v>
                </c:pt>
                <c:pt idx="868">
                  <c:v>6947.2992037296171</c:v>
                </c:pt>
                <c:pt idx="869">
                  <c:v>4516.1905225793062</c:v>
                </c:pt>
                <c:pt idx="870">
                  <c:v>4931.9337967554029</c:v>
                </c:pt>
                <c:pt idx="871">
                  <c:v>5445.9884007550118</c:v>
                </c:pt>
                <c:pt idx="872">
                  <c:v>2467.517999535336</c:v>
                </c:pt>
                <c:pt idx="873">
                  <c:v>5297.7325871509665</c:v>
                </c:pt>
                <c:pt idx="874">
                  <c:v>4554.8959254293441</c:v>
                </c:pt>
                <c:pt idx="875">
                  <c:v>7322.8151625419441</c:v>
                </c:pt>
                <c:pt idx="876">
                  <c:v>6211.1866608071541</c:v>
                </c:pt>
                <c:pt idx="877">
                  <c:v>5497.0585156765264</c:v>
                </c:pt>
                <c:pt idx="878">
                  <c:v>4568.1492712153367</c:v>
                </c:pt>
                <c:pt idx="879">
                  <c:v>3754.392944829724</c:v>
                </c:pt>
                <c:pt idx="880">
                  <c:v>3391.2998512289259</c:v>
                </c:pt>
                <c:pt idx="881">
                  <c:v>10225.611200323532</c:v>
                </c:pt>
                <c:pt idx="882">
                  <c:v>2600.2205675291416</c:v>
                </c:pt>
                <c:pt idx="883">
                  <c:v>2830.3529380080154</c:v>
                </c:pt>
                <c:pt idx="884">
                  <c:v>3644.157619520236</c:v>
                </c:pt>
                <c:pt idx="885">
                  <c:v>12177.0346418314</c:v>
                </c:pt>
                <c:pt idx="886">
                  <c:v>4459.1791764209265</c:v>
                </c:pt>
                <c:pt idx="887">
                  <c:v>3980.0799169556449</c:v>
                </c:pt>
                <c:pt idx="888">
                  <c:v>9399.0191572006715</c:v>
                </c:pt>
                <c:pt idx="889">
                  <c:v>9164.5261452482246</c:v>
                </c:pt>
                <c:pt idx="890">
                  <c:v>9025.1057996834243</c:v>
                </c:pt>
                <c:pt idx="891">
                  <c:v>4852.733888890677</c:v>
                </c:pt>
                <c:pt idx="892">
                  <c:v>5973.0673230564898</c:v>
                </c:pt>
                <c:pt idx="893">
                  <c:v>7616.6583066660442</c:v>
                </c:pt>
                <c:pt idx="894">
                  <c:v>3983.653706149616</c:v>
                </c:pt>
                <c:pt idx="895">
                  <c:v>3296.8155118027889</c:v>
                </c:pt>
                <c:pt idx="896">
                  <c:v>5026.6823372537028</c:v>
                </c:pt>
                <c:pt idx="897">
                  <c:v>10605.579866421644</c:v>
                </c:pt>
                <c:pt idx="898">
                  <c:v>5839.0340862066714</c:v>
                </c:pt>
                <c:pt idx="899">
                  <c:v>3183.8768430023406</c:v>
                </c:pt>
                <c:pt idx="900">
                  <c:v>6821.5281996833264</c:v>
                </c:pt>
                <c:pt idx="901">
                  <c:v>5553.8680126075478</c:v>
                </c:pt>
                <c:pt idx="902">
                  <c:v>2428.5244985241729</c:v>
                </c:pt>
                <c:pt idx="903">
                  <c:v>10694.568556625436</c:v>
                </c:pt>
                <c:pt idx="904">
                  <c:v>3880.1414903253899</c:v>
                </c:pt>
                <c:pt idx="905">
                  <c:v>6114.9477594076325</c:v>
                </c:pt>
                <c:pt idx="906">
                  <c:v>4106.9649768915724</c:v>
                </c:pt>
                <c:pt idx="907">
                  <c:v>3503.619600237294</c:v>
                </c:pt>
                <c:pt idx="908">
                  <c:v>8601.2195175727647</c:v>
                </c:pt>
                <c:pt idx="909">
                  <c:v>5541.544599668031</c:v>
                </c:pt>
                <c:pt idx="910">
                  <c:v>12924.879712203689</c:v>
                </c:pt>
                <c:pt idx="911">
                  <c:v>10656.247135617554</c:v>
                </c:pt>
                <c:pt idx="912">
                  <c:v>8372.7338583221372</c:v>
                </c:pt>
                <c:pt idx="913">
                  <c:v>9501.1899398496244</c:v>
                </c:pt>
                <c:pt idx="914">
                  <c:v>3464.0276321269539</c:v>
                </c:pt>
                <c:pt idx="915">
                  <c:v>6114.2027503252175</c:v>
                </c:pt>
                <c:pt idx="916">
                  <c:v>5343.5818262016028</c:v>
                </c:pt>
                <c:pt idx="917">
                  <c:v>4493.2125020589738</c:v>
                </c:pt>
                <c:pt idx="918">
                  <c:v>3601.2327890056104</c:v>
                </c:pt>
                <c:pt idx="919">
                  <c:v>1872.1517059846708</c:v>
                </c:pt>
                <c:pt idx="920">
                  <c:v>5742.0131082186499</c:v>
                </c:pt>
                <c:pt idx="921">
                  <c:v>4419.9910488190289</c:v>
                </c:pt>
                <c:pt idx="922">
                  <c:v>5941.4967758030143</c:v>
                </c:pt>
                <c:pt idx="923">
                  <c:v>5869.3941746370174</c:v>
                </c:pt>
                <c:pt idx="924">
                  <c:v>5205.8831160787868</c:v>
                </c:pt>
                <c:pt idx="925">
                  <c:v>15215.92247420672</c:v>
                </c:pt>
                <c:pt idx="926">
                  <c:v>5155.3749820566727</c:v>
                </c:pt>
                <c:pt idx="927">
                  <c:v>5958.7355451379935</c:v>
                </c:pt>
                <c:pt idx="928">
                  <c:v>1302.9195499230841</c:v>
                </c:pt>
                <c:pt idx="929">
                  <c:v>7673.412343203202</c:v>
                </c:pt>
                <c:pt idx="930">
                  <c:v>4683.2499414811464</c:v>
                </c:pt>
                <c:pt idx="931">
                  <c:v>3926.0995403840011</c:v>
                </c:pt>
                <c:pt idx="932">
                  <c:v>6417.7595868088056</c:v>
                </c:pt>
                <c:pt idx="933">
                  <c:v>2176.4542160844594</c:v>
                </c:pt>
                <c:pt idx="934">
                  <c:v>5581.335419258543</c:v>
                </c:pt>
                <c:pt idx="935">
                  <c:v>4346.6888959980752</c:v>
                </c:pt>
                <c:pt idx="936">
                  <c:v>7035.3687454143319</c:v>
                </c:pt>
                <c:pt idx="937">
                  <c:v>5072.3650516542311</c:v>
                </c:pt>
                <c:pt idx="938">
                  <c:v>15370.765722708513</c:v>
                </c:pt>
                <c:pt idx="939">
                  <c:v>6365.1475063093758</c:v>
                </c:pt>
                <c:pt idx="940">
                  <c:v>4727.5503155420447</c:v>
                </c:pt>
                <c:pt idx="941">
                  <c:v>5173.644342710707</c:v>
                </c:pt>
                <c:pt idx="942">
                  <c:v>3287.4240986450068</c:v>
                </c:pt>
                <c:pt idx="943">
                  <c:v>2800.7704889700954</c:v>
                </c:pt>
                <c:pt idx="944">
                  <c:v>3634.1939002141821</c:v>
                </c:pt>
                <c:pt idx="945">
                  <c:v>6342.1005723800463</c:v>
                </c:pt>
                <c:pt idx="946">
                  <c:v>5850.122809624173</c:v>
                </c:pt>
                <c:pt idx="947">
                  <c:v>3461.7359935839672</c:v>
                </c:pt>
                <c:pt idx="948">
                  <c:v>3694.2503920359022</c:v>
                </c:pt>
                <c:pt idx="949">
                  <c:v>3498.5519571672044</c:v>
                </c:pt>
                <c:pt idx="950">
                  <c:v>5541.8661785671438</c:v>
                </c:pt>
                <c:pt idx="951">
                  <c:v>11136.534291787937</c:v>
                </c:pt>
                <c:pt idx="952">
                  <c:v>3798.8472544283391</c:v>
                </c:pt>
                <c:pt idx="953">
                  <c:v>6176.356339808669</c:v>
                </c:pt>
                <c:pt idx="954">
                  <c:v>4772.4249883691418</c:v>
                </c:pt>
                <c:pt idx="955">
                  <c:v>9302.9048639640205</c:v>
                </c:pt>
                <c:pt idx="956">
                  <c:v>4990.1039842720256</c:v>
                </c:pt>
                <c:pt idx="957">
                  <c:v>4226.7848636258668</c:v>
                </c:pt>
                <c:pt idx="958">
                  <c:v>5410.9052838443813</c:v>
                </c:pt>
                <c:pt idx="959">
                  <c:v>5998.4811078441571</c:v>
                </c:pt>
                <c:pt idx="960">
                  <c:v>5412.6159134626469</c:v>
                </c:pt>
                <c:pt idx="961">
                  <c:v>7202.4196102181577</c:v>
                </c:pt>
                <c:pt idx="962">
                  <c:v>3698.0553618577324</c:v>
                </c:pt>
                <c:pt idx="963">
                  <c:v>5538.8864412846451</c:v>
                </c:pt>
                <c:pt idx="964">
                  <c:v>3201.3358312958208</c:v>
                </c:pt>
                <c:pt idx="965">
                  <c:v>3676.9134350924505</c:v>
                </c:pt>
                <c:pt idx="966">
                  <c:v>4888.2446258328591</c:v>
                </c:pt>
                <c:pt idx="967">
                  <c:v>6623.2462672829879</c:v>
                </c:pt>
                <c:pt idx="968">
                  <c:v>6948.0011125764076</c:v>
                </c:pt>
                <c:pt idx="969">
                  <c:v>4038.612412173939</c:v>
                </c:pt>
                <c:pt idx="970">
                  <c:v>4221.0903123649368</c:v>
                </c:pt>
                <c:pt idx="971">
                  <c:v>3801.5244448525077</c:v>
                </c:pt>
                <c:pt idx="972">
                  <c:v>10410.175578727261</c:v>
                </c:pt>
                <c:pt idx="973">
                  <c:v>7568.4595082461929</c:v>
                </c:pt>
                <c:pt idx="974">
                  <c:v>4765.5988346503564</c:v>
                </c:pt>
                <c:pt idx="975">
                  <c:v>3213.399717869228</c:v>
                </c:pt>
                <c:pt idx="976">
                  <c:v>2949.9600769081508</c:v>
                </c:pt>
                <c:pt idx="977">
                  <c:v>7822.2721415467395</c:v>
                </c:pt>
                <c:pt idx="978">
                  <c:v>4688.8725712102178</c:v>
                </c:pt>
                <c:pt idx="979">
                  <c:v>9259.0523118101937</c:v>
                </c:pt>
                <c:pt idx="980">
                  <c:v>4712.5452716963509</c:v>
                </c:pt>
                <c:pt idx="981">
                  <c:v>5790.8485754072526</c:v>
                </c:pt>
                <c:pt idx="982">
                  <c:v>4937.6776929926828</c:v>
                </c:pt>
                <c:pt idx="983">
                  <c:v>4518.27116574717</c:v>
                </c:pt>
                <c:pt idx="984">
                  <c:v>3998.2765040809786</c:v>
                </c:pt>
                <c:pt idx="985">
                  <c:v>5961.54285769338</c:v>
                </c:pt>
                <c:pt idx="986">
                  <c:v>5830.8765323361886</c:v>
                </c:pt>
                <c:pt idx="987">
                  <c:v>7435.5149573861945</c:v>
                </c:pt>
                <c:pt idx="988">
                  <c:v>3694.3471722484574</c:v>
                </c:pt>
                <c:pt idx="989">
                  <c:v>3768.5325403303491</c:v>
                </c:pt>
                <c:pt idx="990">
                  <c:v>5110.3104462978745</c:v>
                </c:pt>
                <c:pt idx="991">
                  <c:v>3804.2541962362102</c:v>
                </c:pt>
                <c:pt idx="992">
                  <c:v>3779.7411618314372</c:v>
                </c:pt>
                <c:pt idx="993">
                  <c:v>8037.604867703295</c:v>
                </c:pt>
                <c:pt idx="994">
                  <c:v>6776.1215627016054</c:v>
                </c:pt>
                <c:pt idx="995">
                  <c:v>3751.3331991910072</c:v>
                </c:pt>
                <c:pt idx="996">
                  <c:v>8235.8274613668382</c:v>
                </c:pt>
                <c:pt idx="997">
                  <c:v>12971.033774967085</c:v>
                </c:pt>
                <c:pt idx="998">
                  <c:v>3557.5394632221751</c:v>
                </c:pt>
                <c:pt idx="999">
                  <c:v>5951.8854667771047</c:v>
                </c:pt>
              </c:numCache>
            </c:numRef>
          </c:yVal>
          <c:smooth val="0"/>
        </c:ser>
        <c:ser>
          <c:idx val="2"/>
          <c:order val="2"/>
          <c:tx>
            <c:v>Scenario 3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'MC Results'!$G$8:$G$1007</c:f>
              <c:numCache>
                <c:formatCode>0.00</c:formatCode>
                <c:ptCount val="1000"/>
                <c:pt idx="0">
                  <c:v>0.95955438487938238</c:v>
                </c:pt>
                <c:pt idx="1">
                  <c:v>0.98118151470082915</c:v>
                </c:pt>
                <c:pt idx="2">
                  <c:v>0.93919984867211581</c:v>
                </c:pt>
                <c:pt idx="3">
                  <c:v>0.96768985960173437</c:v>
                </c:pt>
                <c:pt idx="4">
                  <c:v>0.93942054074185899</c:v>
                </c:pt>
                <c:pt idx="5">
                  <c:v>0.93910147450753634</c:v>
                </c:pt>
                <c:pt idx="6">
                  <c:v>0.90058891384757001</c:v>
                </c:pt>
                <c:pt idx="7">
                  <c:v>0.93164579290875249</c:v>
                </c:pt>
                <c:pt idx="8">
                  <c:v>0.94561953566704049</c:v>
                </c:pt>
                <c:pt idx="9">
                  <c:v>0.94139532707662554</c:v>
                </c:pt>
                <c:pt idx="10">
                  <c:v>0.94996220434774103</c:v>
                </c:pt>
                <c:pt idx="11">
                  <c:v>0.96732772463993522</c:v>
                </c:pt>
                <c:pt idx="12">
                  <c:v>0.94411749559089986</c:v>
                </c:pt>
                <c:pt idx="13">
                  <c:v>0.93870352425163217</c:v>
                </c:pt>
                <c:pt idx="14">
                  <c:v>0.94071357622835317</c:v>
                </c:pt>
                <c:pt idx="15">
                  <c:v>0.96053262946223339</c:v>
                </c:pt>
                <c:pt idx="16">
                  <c:v>0.96434142180082005</c:v>
                </c:pt>
                <c:pt idx="17">
                  <c:v>0.93195845650741016</c:v>
                </c:pt>
                <c:pt idx="18">
                  <c:v>0.9427023937637975</c:v>
                </c:pt>
                <c:pt idx="19">
                  <c:v>0.92575449118466502</c:v>
                </c:pt>
                <c:pt idx="20">
                  <c:v>0.90293552499924679</c:v>
                </c:pt>
                <c:pt idx="21">
                  <c:v>0.93939359057247807</c:v>
                </c:pt>
                <c:pt idx="22">
                  <c:v>0.97406992954670302</c:v>
                </c:pt>
                <c:pt idx="23">
                  <c:v>0.95739338409763763</c:v>
                </c:pt>
                <c:pt idx="24">
                  <c:v>0.96112620793384329</c:v>
                </c:pt>
                <c:pt idx="25">
                  <c:v>0.95355582687860641</c:v>
                </c:pt>
                <c:pt idx="26">
                  <c:v>0.92411279666926194</c:v>
                </c:pt>
                <c:pt idx="27">
                  <c:v>0.93919134395252335</c:v>
                </c:pt>
                <c:pt idx="28">
                  <c:v>0.96217792788312961</c:v>
                </c:pt>
                <c:pt idx="29">
                  <c:v>0.93396733422293865</c:v>
                </c:pt>
                <c:pt idx="30">
                  <c:v>0.95895265705063149</c:v>
                </c:pt>
                <c:pt idx="31">
                  <c:v>0.97067543379871601</c:v>
                </c:pt>
                <c:pt idx="32">
                  <c:v>0.93150860804814495</c:v>
                </c:pt>
                <c:pt idx="33">
                  <c:v>0.93834629664820568</c:v>
                </c:pt>
                <c:pt idx="34">
                  <c:v>0.93858063049472151</c:v>
                </c:pt>
                <c:pt idx="35">
                  <c:v>0.95764837055408525</c:v>
                </c:pt>
                <c:pt idx="36">
                  <c:v>0.89539019054330526</c:v>
                </c:pt>
                <c:pt idx="37">
                  <c:v>0.97136166540655489</c:v>
                </c:pt>
                <c:pt idx="38">
                  <c:v>0.96243331065228177</c:v>
                </c:pt>
                <c:pt idx="39">
                  <c:v>0.94788647203017495</c:v>
                </c:pt>
                <c:pt idx="40">
                  <c:v>0.90937151980869224</c:v>
                </c:pt>
                <c:pt idx="41">
                  <c:v>0.86569898315740068</c:v>
                </c:pt>
                <c:pt idx="42">
                  <c:v>0.95722995919861464</c:v>
                </c:pt>
                <c:pt idx="43">
                  <c:v>0.97815085214348518</c:v>
                </c:pt>
                <c:pt idx="44">
                  <c:v>0.94357774874342981</c:v>
                </c:pt>
                <c:pt idx="45">
                  <c:v>0.96636288025372141</c:v>
                </c:pt>
                <c:pt idx="46">
                  <c:v>0.96013245022739491</c:v>
                </c:pt>
                <c:pt idx="47">
                  <c:v>0.93265253996113739</c:v>
                </c:pt>
                <c:pt idx="48">
                  <c:v>0.94385896701641347</c:v>
                </c:pt>
                <c:pt idx="49">
                  <c:v>0.94555634945091405</c:v>
                </c:pt>
                <c:pt idx="50">
                  <c:v>0.96906761995534263</c:v>
                </c:pt>
                <c:pt idx="51">
                  <c:v>0.93284625154038714</c:v>
                </c:pt>
                <c:pt idx="52">
                  <c:v>0.92053635705997605</c:v>
                </c:pt>
                <c:pt idx="53">
                  <c:v>0.9557400851847907</c:v>
                </c:pt>
                <c:pt idx="54">
                  <c:v>0.94985562585409988</c:v>
                </c:pt>
                <c:pt idx="55">
                  <c:v>0.96617652621389516</c:v>
                </c:pt>
                <c:pt idx="56">
                  <c:v>0.92448158347589438</c:v>
                </c:pt>
                <c:pt idx="57">
                  <c:v>0.90129871576952425</c:v>
                </c:pt>
                <c:pt idx="58">
                  <c:v>0.94885673461516795</c:v>
                </c:pt>
                <c:pt idx="59">
                  <c:v>0.94757668466008327</c:v>
                </c:pt>
                <c:pt idx="60">
                  <c:v>0.93680254046183531</c:v>
                </c:pt>
                <c:pt idx="61">
                  <c:v>0.94090674419329035</c:v>
                </c:pt>
                <c:pt idx="62">
                  <c:v>0.98066966656578014</c:v>
                </c:pt>
                <c:pt idx="63">
                  <c:v>0.92930456232448</c:v>
                </c:pt>
                <c:pt idx="64">
                  <c:v>0.94625242357804518</c:v>
                </c:pt>
                <c:pt idx="65">
                  <c:v>0.95121963549650701</c:v>
                </c:pt>
                <c:pt idx="66">
                  <c:v>0.97727857272688001</c:v>
                </c:pt>
                <c:pt idx="67">
                  <c:v>0.9227752488068387</c:v>
                </c:pt>
                <c:pt idx="68">
                  <c:v>0.95092916771858871</c:v>
                </c:pt>
                <c:pt idx="69">
                  <c:v>0.94837558038294323</c:v>
                </c:pt>
                <c:pt idx="70">
                  <c:v>0.96584770801610542</c:v>
                </c:pt>
                <c:pt idx="71">
                  <c:v>0.96373291125609317</c:v>
                </c:pt>
                <c:pt idx="72">
                  <c:v>0.93201673462377799</c:v>
                </c:pt>
                <c:pt idx="73">
                  <c:v>0.96993047531527021</c:v>
                </c:pt>
                <c:pt idx="74">
                  <c:v>0.95835777116326359</c:v>
                </c:pt>
                <c:pt idx="75">
                  <c:v>0.95862784422808667</c:v>
                </c:pt>
                <c:pt idx="76">
                  <c:v>0.97176424310042542</c:v>
                </c:pt>
                <c:pt idx="77">
                  <c:v>0.92681463575017209</c:v>
                </c:pt>
                <c:pt idx="78">
                  <c:v>0.96272378770732159</c:v>
                </c:pt>
                <c:pt idx="79">
                  <c:v>0.95523585273487865</c:v>
                </c:pt>
                <c:pt idx="80">
                  <c:v>0.93853102405605393</c:v>
                </c:pt>
                <c:pt idx="81">
                  <c:v>0.92199072698095152</c:v>
                </c:pt>
                <c:pt idx="82">
                  <c:v>0.95366233637447295</c:v>
                </c:pt>
                <c:pt idx="83">
                  <c:v>0.90686559291871061</c:v>
                </c:pt>
                <c:pt idx="84">
                  <c:v>0.93283654292864115</c:v>
                </c:pt>
                <c:pt idx="85">
                  <c:v>0.93162829209713127</c:v>
                </c:pt>
                <c:pt idx="86">
                  <c:v>0.96142898551719491</c:v>
                </c:pt>
                <c:pt idx="87">
                  <c:v>0.94110527671886279</c:v>
                </c:pt>
                <c:pt idx="88">
                  <c:v>0.96952073693596574</c:v>
                </c:pt>
                <c:pt idx="89">
                  <c:v>0.93109965343721113</c:v>
                </c:pt>
                <c:pt idx="90">
                  <c:v>0.93095371048335385</c:v>
                </c:pt>
                <c:pt idx="91">
                  <c:v>0.9539546233305547</c:v>
                </c:pt>
                <c:pt idx="92">
                  <c:v>0.98234675954116146</c:v>
                </c:pt>
                <c:pt idx="93">
                  <c:v>0.90015397302295241</c:v>
                </c:pt>
                <c:pt idx="94">
                  <c:v>0.91493652825805638</c:v>
                </c:pt>
                <c:pt idx="95">
                  <c:v>0.91813661388602719</c:v>
                </c:pt>
                <c:pt idx="96">
                  <c:v>0.96211353442158054</c:v>
                </c:pt>
                <c:pt idx="97">
                  <c:v>0.95064108215931897</c:v>
                </c:pt>
                <c:pt idx="98">
                  <c:v>0.94904561283494604</c:v>
                </c:pt>
                <c:pt idx="99">
                  <c:v>0.94100469929442887</c:v>
                </c:pt>
                <c:pt idx="100">
                  <c:v>0.93969938612845638</c:v>
                </c:pt>
                <c:pt idx="101">
                  <c:v>0.97161219550449185</c:v>
                </c:pt>
                <c:pt idx="102">
                  <c:v>0.96449565968169426</c:v>
                </c:pt>
                <c:pt idx="103">
                  <c:v>0.96009466402665911</c:v>
                </c:pt>
                <c:pt idx="104">
                  <c:v>0.97174673048089033</c:v>
                </c:pt>
                <c:pt idx="105">
                  <c:v>0.92766347629983925</c:v>
                </c:pt>
                <c:pt idx="106">
                  <c:v>0.92580021578127281</c:v>
                </c:pt>
                <c:pt idx="107">
                  <c:v>0.9834831461378899</c:v>
                </c:pt>
                <c:pt idx="108">
                  <c:v>0.89286533313691474</c:v>
                </c:pt>
                <c:pt idx="109">
                  <c:v>0.9420697617367132</c:v>
                </c:pt>
                <c:pt idx="110">
                  <c:v>0.93450573680302584</c:v>
                </c:pt>
                <c:pt idx="111">
                  <c:v>0.96055447491486756</c:v>
                </c:pt>
                <c:pt idx="112">
                  <c:v>0.9606697188626957</c:v>
                </c:pt>
                <c:pt idx="113">
                  <c:v>0.96623777431905888</c:v>
                </c:pt>
                <c:pt idx="114">
                  <c:v>0.96799468260335186</c:v>
                </c:pt>
                <c:pt idx="115">
                  <c:v>0.88073633899699477</c:v>
                </c:pt>
                <c:pt idx="116">
                  <c:v>0.96558925814380014</c:v>
                </c:pt>
                <c:pt idx="117">
                  <c:v>0.96033727742661679</c:v>
                </c:pt>
                <c:pt idx="118">
                  <c:v>0.92115360214006325</c:v>
                </c:pt>
                <c:pt idx="119">
                  <c:v>0.93276233524861341</c:v>
                </c:pt>
                <c:pt idx="120">
                  <c:v>0.96705455406245244</c:v>
                </c:pt>
                <c:pt idx="121">
                  <c:v>0.96958505672470663</c:v>
                </c:pt>
                <c:pt idx="122">
                  <c:v>0.89162648985763915</c:v>
                </c:pt>
                <c:pt idx="123">
                  <c:v>0.96089954775475639</c:v>
                </c:pt>
                <c:pt idx="124">
                  <c:v>0.95885630014595535</c:v>
                </c:pt>
                <c:pt idx="125">
                  <c:v>0.96557960898718243</c:v>
                </c:pt>
                <c:pt idx="126">
                  <c:v>0.9587179144660718</c:v>
                </c:pt>
                <c:pt idx="127">
                  <c:v>0.94927196415432036</c:v>
                </c:pt>
                <c:pt idx="128">
                  <c:v>0.95579164626192858</c:v>
                </c:pt>
                <c:pt idx="129">
                  <c:v>0.97880807752488708</c:v>
                </c:pt>
                <c:pt idx="130">
                  <c:v>0.96396164374452353</c:v>
                </c:pt>
                <c:pt idx="131">
                  <c:v>0.9772951350240493</c:v>
                </c:pt>
                <c:pt idx="132">
                  <c:v>0.96867523600636662</c:v>
                </c:pt>
                <c:pt idx="133">
                  <c:v>0.9421675845350721</c:v>
                </c:pt>
                <c:pt idx="134">
                  <c:v>0.92352212041934623</c:v>
                </c:pt>
                <c:pt idx="135">
                  <c:v>0.9087571669690282</c:v>
                </c:pt>
                <c:pt idx="136">
                  <c:v>0.95160025801608561</c:v>
                </c:pt>
                <c:pt idx="137">
                  <c:v>0.93743155441288017</c:v>
                </c:pt>
                <c:pt idx="138">
                  <c:v>0.93102401449305283</c:v>
                </c:pt>
                <c:pt idx="139">
                  <c:v>0.98116296317920504</c:v>
                </c:pt>
                <c:pt idx="140">
                  <c:v>0.95692911505384537</c:v>
                </c:pt>
                <c:pt idx="141">
                  <c:v>0.97298296018070463</c:v>
                </c:pt>
                <c:pt idx="142">
                  <c:v>0.95782411519571076</c:v>
                </c:pt>
                <c:pt idx="143">
                  <c:v>0.96460500222901846</c:v>
                </c:pt>
                <c:pt idx="144">
                  <c:v>0.94632003428139733</c:v>
                </c:pt>
                <c:pt idx="145">
                  <c:v>0.93597587527267923</c:v>
                </c:pt>
                <c:pt idx="146">
                  <c:v>0.95768808739344946</c:v>
                </c:pt>
                <c:pt idx="147">
                  <c:v>0.94252599479480814</c:v>
                </c:pt>
                <c:pt idx="148">
                  <c:v>0.96339727997994762</c:v>
                </c:pt>
                <c:pt idx="149">
                  <c:v>0.91790381407117561</c:v>
                </c:pt>
                <c:pt idx="150">
                  <c:v>0.9585666456181694</c:v>
                </c:pt>
                <c:pt idx="151">
                  <c:v>0.939982334721714</c:v>
                </c:pt>
                <c:pt idx="152">
                  <c:v>0.95739151153380342</c:v>
                </c:pt>
                <c:pt idx="153">
                  <c:v>0.9651724681291074</c:v>
                </c:pt>
                <c:pt idx="154">
                  <c:v>0.91883963064900032</c:v>
                </c:pt>
                <c:pt idx="155">
                  <c:v>0.9449386978442863</c:v>
                </c:pt>
                <c:pt idx="156">
                  <c:v>0.94123572656681842</c:v>
                </c:pt>
                <c:pt idx="157">
                  <c:v>0.92647303488469601</c:v>
                </c:pt>
                <c:pt idx="158">
                  <c:v>0.95520536681096802</c:v>
                </c:pt>
                <c:pt idx="159">
                  <c:v>0.91846552166574158</c:v>
                </c:pt>
                <c:pt idx="160">
                  <c:v>0.95569798605988598</c:v>
                </c:pt>
                <c:pt idx="161">
                  <c:v>0.94422263664894424</c:v>
                </c:pt>
                <c:pt idx="162">
                  <c:v>0.95676313099363819</c:v>
                </c:pt>
                <c:pt idx="163">
                  <c:v>0.93150302847290356</c:v>
                </c:pt>
                <c:pt idx="164">
                  <c:v>0.87633842433773879</c:v>
                </c:pt>
                <c:pt idx="165">
                  <c:v>0.91762477272753895</c:v>
                </c:pt>
                <c:pt idx="166">
                  <c:v>0.913568580283038</c:v>
                </c:pt>
                <c:pt idx="167">
                  <c:v>0.9485377755527995</c:v>
                </c:pt>
                <c:pt idx="168">
                  <c:v>0.94869626343109803</c:v>
                </c:pt>
                <c:pt idx="169">
                  <c:v>0.95464075632099221</c:v>
                </c:pt>
                <c:pt idx="170">
                  <c:v>0.92161600030801138</c:v>
                </c:pt>
                <c:pt idx="171">
                  <c:v>0.90134496332931335</c:v>
                </c:pt>
                <c:pt idx="172">
                  <c:v>0.97164203683853523</c:v>
                </c:pt>
                <c:pt idx="173">
                  <c:v>0.94250547503857907</c:v>
                </c:pt>
                <c:pt idx="174">
                  <c:v>0.87934671948540966</c:v>
                </c:pt>
                <c:pt idx="175">
                  <c:v>0.95450540062403122</c:v>
                </c:pt>
                <c:pt idx="176">
                  <c:v>0.95050744959623401</c:v>
                </c:pt>
                <c:pt idx="177">
                  <c:v>0.9645946764798643</c:v>
                </c:pt>
                <c:pt idx="178">
                  <c:v>0.97562325270141015</c:v>
                </c:pt>
                <c:pt idx="179">
                  <c:v>0.9318520302016029</c:v>
                </c:pt>
                <c:pt idx="180">
                  <c:v>0.93353220906256595</c:v>
                </c:pt>
                <c:pt idx="181">
                  <c:v>0.92274768229319237</c:v>
                </c:pt>
                <c:pt idx="182">
                  <c:v>0.93934775790255587</c:v>
                </c:pt>
                <c:pt idx="183">
                  <c:v>0.94509511776896238</c:v>
                </c:pt>
                <c:pt idx="184">
                  <c:v>0.91471732273329209</c:v>
                </c:pt>
                <c:pt idx="185">
                  <c:v>0.98224330599302312</c:v>
                </c:pt>
                <c:pt idx="186">
                  <c:v>0.95483240877065811</c:v>
                </c:pt>
                <c:pt idx="187">
                  <c:v>0.95372863214809445</c:v>
                </c:pt>
                <c:pt idx="188">
                  <c:v>0.94438193480453869</c:v>
                </c:pt>
                <c:pt idx="189">
                  <c:v>0.9685202232220067</c:v>
                </c:pt>
                <c:pt idx="190">
                  <c:v>0.94636683181973003</c:v>
                </c:pt>
                <c:pt idx="191">
                  <c:v>0.97359162667445254</c:v>
                </c:pt>
                <c:pt idx="192">
                  <c:v>0.93320109013075236</c:v>
                </c:pt>
                <c:pt idx="193">
                  <c:v>0.90675822201033618</c:v>
                </c:pt>
                <c:pt idx="194">
                  <c:v>0.90190105034098811</c:v>
                </c:pt>
                <c:pt idx="195">
                  <c:v>0.96351566043073422</c:v>
                </c:pt>
                <c:pt idx="196">
                  <c:v>0.96012083634704481</c:v>
                </c:pt>
                <c:pt idx="197">
                  <c:v>0.95617887563161497</c:v>
                </c:pt>
                <c:pt idx="198">
                  <c:v>0.94431929288977778</c:v>
                </c:pt>
                <c:pt idx="199">
                  <c:v>0.95692075283427647</c:v>
                </c:pt>
                <c:pt idx="200">
                  <c:v>0.96483296197516921</c:v>
                </c:pt>
                <c:pt idx="201">
                  <c:v>0.97376270151024613</c:v>
                </c:pt>
                <c:pt idx="202">
                  <c:v>0.93989861005725861</c:v>
                </c:pt>
                <c:pt idx="203">
                  <c:v>0.95248050485121283</c:v>
                </c:pt>
                <c:pt idx="204">
                  <c:v>0.95137470195207485</c:v>
                </c:pt>
                <c:pt idx="205">
                  <c:v>0.97239372054622153</c:v>
                </c:pt>
                <c:pt idx="206">
                  <c:v>0.94692021484061595</c:v>
                </c:pt>
                <c:pt idx="207">
                  <c:v>0.92033482581315385</c:v>
                </c:pt>
                <c:pt idx="208">
                  <c:v>0.89132136524267946</c:v>
                </c:pt>
                <c:pt idx="209">
                  <c:v>0.93364671305653257</c:v>
                </c:pt>
                <c:pt idx="210">
                  <c:v>0.94655043071915723</c:v>
                </c:pt>
                <c:pt idx="211">
                  <c:v>0.98405569562870698</c:v>
                </c:pt>
                <c:pt idx="212">
                  <c:v>0.96128875672288261</c:v>
                </c:pt>
                <c:pt idx="213">
                  <c:v>0.97345551010177278</c:v>
                </c:pt>
                <c:pt idx="214">
                  <c:v>0.98755059927316402</c:v>
                </c:pt>
                <c:pt idx="215">
                  <c:v>0.94022086217112744</c:v>
                </c:pt>
                <c:pt idx="216">
                  <c:v>0.98096333114675405</c:v>
                </c:pt>
                <c:pt idx="217">
                  <c:v>0.96491722496782351</c:v>
                </c:pt>
                <c:pt idx="218">
                  <c:v>0.97711227382489918</c:v>
                </c:pt>
                <c:pt idx="219">
                  <c:v>0.94356460161422406</c:v>
                </c:pt>
                <c:pt idx="220">
                  <c:v>0.9401000429624663</c:v>
                </c:pt>
                <c:pt idx="221">
                  <c:v>0.93047407148813743</c:v>
                </c:pt>
                <c:pt idx="222">
                  <c:v>0.90599501466454724</c:v>
                </c:pt>
                <c:pt idx="223">
                  <c:v>0.95604167771649973</c:v>
                </c:pt>
                <c:pt idx="224">
                  <c:v>0.96040907888489713</c:v>
                </c:pt>
                <c:pt idx="225">
                  <c:v>0.94047333525128474</c:v>
                </c:pt>
                <c:pt idx="226">
                  <c:v>0.93335054064408585</c:v>
                </c:pt>
                <c:pt idx="227">
                  <c:v>0.91869945129903519</c:v>
                </c:pt>
                <c:pt idx="228">
                  <c:v>0.9638808647948599</c:v>
                </c:pt>
                <c:pt idx="229">
                  <c:v>0.92448314320688418</c:v>
                </c:pt>
                <c:pt idx="230">
                  <c:v>0.9142550327864738</c:v>
                </c:pt>
                <c:pt idx="231">
                  <c:v>0.93405367827715768</c:v>
                </c:pt>
                <c:pt idx="232">
                  <c:v>0.95918936834521751</c:v>
                </c:pt>
                <c:pt idx="233">
                  <c:v>0.96087308124637627</c:v>
                </c:pt>
                <c:pt idx="234">
                  <c:v>0.91957722365157846</c:v>
                </c:pt>
                <c:pt idx="235">
                  <c:v>0.9532063411207583</c:v>
                </c:pt>
                <c:pt idx="236">
                  <c:v>0.94796889362429704</c:v>
                </c:pt>
                <c:pt idx="237">
                  <c:v>0.91545897828001155</c:v>
                </c:pt>
                <c:pt idx="238">
                  <c:v>0.9159769928603021</c:v>
                </c:pt>
                <c:pt idx="239">
                  <c:v>0.937488147563459</c:v>
                </c:pt>
                <c:pt idx="240">
                  <c:v>0.92499261187475046</c:v>
                </c:pt>
                <c:pt idx="241">
                  <c:v>0.93422851745264457</c:v>
                </c:pt>
                <c:pt idx="242">
                  <c:v>0.89325538226584156</c:v>
                </c:pt>
                <c:pt idx="243">
                  <c:v>0.93289875785242371</c:v>
                </c:pt>
                <c:pt idx="244">
                  <c:v>0.92409493235016749</c:v>
                </c:pt>
                <c:pt idx="245">
                  <c:v>0.97409838504239832</c:v>
                </c:pt>
                <c:pt idx="246">
                  <c:v>0.9743329929317992</c:v>
                </c:pt>
                <c:pt idx="247">
                  <c:v>0.90442196139944186</c:v>
                </c:pt>
                <c:pt idx="248">
                  <c:v>0.97629340009807875</c:v>
                </c:pt>
                <c:pt idx="249">
                  <c:v>0.94384674379400657</c:v>
                </c:pt>
                <c:pt idx="250">
                  <c:v>0.91839442204763277</c:v>
                </c:pt>
                <c:pt idx="251">
                  <c:v>0.9713294821336742</c:v>
                </c:pt>
                <c:pt idx="252">
                  <c:v>0.90210891029573315</c:v>
                </c:pt>
                <c:pt idx="253">
                  <c:v>0.8960917007343514</c:v>
                </c:pt>
                <c:pt idx="254">
                  <c:v>0.93505586189875856</c:v>
                </c:pt>
                <c:pt idx="255">
                  <c:v>0.97674287009366645</c:v>
                </c:pt>
                <c:pt idx="256">
                  <c:v>0.95313750279725395</c:v>
                </c:pt>
                <c:pt idx="257">
                  <c:v>0.91576065740642665</c:v>
                </c:pt>
                <c:pt idx="258">
                  <c:v>0.95124699446493333</c:v>
                </c:pt>
                <c:pt idx="259">
                  <c:v>0.96672467862187095</c:v>
                </c:pt>
                <c:pt idx="260">
                  <c:v>0.96569424248505265</c:v>
                </c:pt>
                <c:pt idx="261">
                  <c:v>0.86394912236558896</c:v>
                </c:pt>
                <c:pt idx="262">
                  <c:v>0.93519474599408758</c:v>
                </c:pt>
                <c:pt idx="263">
                  <c:v>0.96804253837026133</c:v>
                </c:pt>
                <c:pt idx="264">
                  <c:v>0.90308478007655091</c:v>
                </c:pt>
                <c:pt idx="265">
                  <c:v>0.94999733721325186</c:v>
                </c:pt>
                <c:pt idx="266">
                  <c:v>0.97819145156842269</c:v>
                </c:pt>
                <c:pt idx="267">
                  <c:v>0.97481289996442522</c:v>
                </c:pt>
                <c:pt idx="268">
                  <c:v>0.96011335872458747</c:v>
                </c:pt>
                <c:pt idx="269">
                  <c:v>0.94465283779534559</c:v>
                </c:pt>
                <c:pt idx="270">
                  <c:v>0.96526009613873498</c:v>
                </c:pt>
                <c:pt idx="271">
                  <c:v>0.95167072792994034</c:v>
                </c:pt>
                <c:pt idx="272">
                  <c:v>0.93566967005598667</c:v>
                </c:pt>
                <c:pt idx="273">
                  <c:v>0.9440868381607519</c:v>
                </c:pt>
                <c:pt idx="274">
                  <c:v>0.94240377309069512</c:v>
                </c:pt>
                <c:pt idx="275">
                  <c:v>0.94821100609442921</c:v>
                </c:pt>
                <c:pt idx="276">
                  <c:v>0.95660054033985165</c:v>
                </c:pt>
                <c:pt idx="277">
                  <c:v>0.94250687643708952</c:v>
                </c:pt>
                <c:pt idx="278">
                  <c:v>0.96110566420037591</c:v>
                </c:pt>
                <c:pt idx="279">
                  <c:v>0.9646415156716952</c:v>
                </c:pt>
                <c:pt idx="280">
                  <c:v>0.94285187954768201</c:v>
                </c:pt>
                <c:pt idx="281">
                  <c:v>0.95370769812407108</c:v>
                </c:pt>
                <c:pt idx="282">
                  <c:v>0.95175495303789603</c:v>
                </c:pt>
                <c:pt idx="283">
                  <c:v>0.9296679025532737</c:v>
                </c:pt>
                <c:pt idx="284">
                  <c:v>0.9159095754222486</c:v>
                </c:pt>
                <c:pt idx="285">
                  <c:v>0.93873059523662272</c:v>
                </c:pt>
                <c:pt idx="286">
                  <c:v>0.95368245099769489</c:v>
                </c:pt>
                <c:pt idx="287">
                  <c:v>0.94377738489481222</c:v>
                </c:pt>
                <c:pt idx="288">
                  <c:v>0.95902043481999932</c:v>
                </c:pt>
                <c:pt idx="289">
                  <c:v>0.95473607531337723</c:v>
                </c:pt>
                <c:pt idx="290">
                  <c:v>0.93271024232965005</c:v>
                </c:pt>
                <c:pt idx="291">
                  <c:v>0.93566401531813348</c:v>
                </c:pt>
                <c:pt idx="292">
                  <c:v>0.91189824130059782</c:v>
                </c:pt>
                <c:pt idx="293">
                  <c:v>0.93850425071216859</c:v>
                </c:pt>
                <c:pt idx="294">
                  <c:v>0.94693820153929065</c:v>
                </c:pt>
                <c:pt idx="295">
                  <c:v>0.91117104527255577</c:v>
                </c:pt>
                <c:pt idx="296">
                  <c:v>0.91868819540633728</c:v>
                </c:pt>
                <c:pt idx="297">
                  <c:v>0.94507715660478198</c:v>
                </c:pt>
                <c:pt idx="298">
                  <c:v>0.90079379661038572</c:v>
                </c:pt>
                <c:pt idx="299">
                  <c:v>0.94039059563377692</c:v>
                </c:pt>
                <c:pt idx="300">
                  <c:v>0.95228184158619289</c:v>
                </c:pt>
                <c:pt idx="301">
                  <c:v>0.95495543395357108</c:v>
                </c:pt>
                <c:pt idx="302">
                  <c:v>0.95427525488814591</c:v>
                </c:pt>
                <c:pt idx="303">
                  <c:v>0.93259897639074985</c:v>
                </c:pt>
                <c:pt idx="304">
                  <c:v>0.94289075835554681</c:v>
                </c:pt>
                <c:pt idx="305">
                  <c:v>0.9437427701713248</c:v>
                </c:pt>
                <c:pt idx="306">
                  <c:v>0.94297537781639251</c:v>
                </c:pt>
                <c:pt idx="307">
                  <c:v>0.96242620395145462</c:v>
                </c:pt>
                <c:pt idx="308">
                  <c:v>0.96117339151061587</c:v>
                </c:pt>
                <c:pt idx="309">
                  <c:v>0.97816921535111168</c:v>
                </c:pt>
                <c:pt idx="310">
                  <c:v>0.94895034541950629</c:v>
                </c:pt>
                <c:pt idx="311">
                  <c:v>0.93284548898712027</c:v>
                </c:pt>
                <c:pt idx="312">
                  <c:v>0.92056174011280556</c:v>
                </c:pt>
                <c:pt idx="313">
                  <c:v>0.92739815577022222</c:v>
                </c:pt>
                <c:pt idx="314">
                  <c:v>0.92206650888977126</c:v>
                </c:pt>
                <c:pt idx="315">
                  <c:v>0.98703552995802779</c:v>
                </c:pt>
                <c:pt idx="316">
                  <c:v>0.9733022656997945</c:v>
                </c:pt>
                <c:pt idx="317">
                  <c:v>0.93196803454572097</c:v>
                </c:pt>
                <c:pt idx="318">
                  <c:v>0.96900062518065755</c:v>
                </c:pt>
                <c:pt idx="319">
                  <c:v>0.9679738350977265</c:v>
                </c:pt>
                <c:pt idx="320">
                  <c:v>0.9440509180417388</c:v>
                </c:pt>
                <c:pt idx="321">
                  <c:v>0.92730772688387675</c:v>
                </c:pt>
                <c:pt idx="322">
                  <c:v>0.96183042877435665</c:v>
                </c:pt>
                <c:pt idx="323">
                  <c:v>0.96009681977820738</c:v>
                </c:pt>
                <c:pt idx="324">
                  <c:v>0.91952520598299392</c:v>
                </c:pt>
                <c:pt idx="325">
                  <c:v>0.94590361256833633</c:v>
                </c:pt>
                <c:pt idx="326">
                  <c:v>0.95464847524415963</c:v>
                </c:pt>
                <c:pt idx="327">
                  <c:v>0.96525162824169475</c:v>
                </c:pt>
                <c:pt idx="328">
                  <c:v>0.93578505315050331</c:v>
                </c:pt>
                <c:pt idx="329">
                  <c:v>0.95285195932867239</c:v>
                </c:pt>
                <c:pt idx="330">
                  <c:v>0.93346502055789626</c:v>
                </c:pt>
                <c:pt idx="331">
                  <c:v>0.9361954259956089</c:v>
                </c:pt>
                <c:pt idx="332">
                  <c:v>0.90709983873958822</c:v>
                </c:pt>
                <c:pt idx="333">
                  <c:v>0.93520555949163042</c:v>
                </c:pt>
                <c:pt idx="334">
                  <c:v>0.93284649297532063</c:v>
                </c:pt>
                <c:pt idx="335">
                  <c:v>0.93968414022379421</c:v>
                </c:pt>
                <c:pt idx="336">
                  <c:v>0.96125296452079811</c:v>
                </c:pt>
                <c:pt idx="337">
                  <c:v>0.93829744817559035</c:v>
                </c:pt>
                <c:pt idx="338">
                  <c:v>0.95122154785395696</c:v>
                </c:pt>
                <c:pt idx="339">
                  <c:v>0.95103478654913409</c:v>
                </c:pt>
                <c:pt idx="340">
                  <c:v>0.96233994931052402</c:v>
                </c:pt>
                <c:pt idx="341">
                  <c:v>0.91676863044789147</c:v>
                </c:pt>
                <c:pt idx="342">
                  <c:v>0.91556777494587571</c:v>
                </c:pt>
                <c:pt idx="343">
                  <c:v>0.95256464613457859</c:v>
                </c:pt>
                <c:pt idx="344">
                  <c:v>0.95134829434715973</c:v>
                </c:pt>
                <c:pt idx="345">
                  <c:v>0.97234886393665065</c:v>
                </c:pt>
                <c:pt idx="346">
                  <c:v>0.94088343096433769</c:v>
                </c:pt>
                <c:pt idx="347">
                  <c:v>0.95300633749276331</c:v>
                </c:pt>
                <c:pt idx="348">
                  <c:v>0.9457684283849257</c:v>
                </c:pt>
                <c:pt idx="349">
                  <c:v>0.92782370488445065</c:v>
                </c:pt>
                <c:pt idx="350">
                  <c:v>0.88198828707761923</c:v>
                </c:pt>
                <c:pt idx="351">
                  <c:v>0.97938691543638434</c:v>
                </c:pt>
                <c:pt idx="352">
                  <c:v>0.93438887680134908</c:v>
                </c:pt>
                <c:pt idx="353">
                  <c:v>0.93671431714028364</c:v>
                </c:pt>
                <c:pt idx="354">
                  <c:v>0.96766879696486574</c:v>
                </c:pt>
                <c:pt idx="355">
                  <c:v>0.86953979873562037</c:v>
                </c:pt>
                <c:pt idx="356">
                  <c:v>0.96584027117156523</c:v>
                </c:pt>
                <c:pt idx="357">
                  <c:v>0.94578486589134503</c:v>
                </c:pt>
                <c:pt idx="358">
                  <c:v>0.95616286540356821</c:v>
                </c:pt>
                <c:pt idx="359">
                  <c:v>0.90123166389798093</c:v>
                </c:pt>
                <c:pt idx="360">
                  <c:v>0.94447023669059216</c:v>
                </c:pt>
                <c:pt idx="361">
                  <c:v>0.94210189999502725</c:v>
                </c:pt>
                <c:pt idx="362">
                  <c:v>0.88199938368488162</c:v>
                </c:pt>
                <c:pt idx="363">
                  <c:v>0.89818799790375314</c:v>
                </c:pt>
                <c:pt idx="364">
                  <c:v>0.95377905984535616</c:v>
                </c:pt>
                <c:pt idx="365">
                  <c:v>0.93323002848740233</c:v>
                </c:pt>
                <c:pt idx="366">
                  <c:v>0.96252040009597961</c:v>
                </c:pt>
                <c:pt idx="367">
                  <c:v>0.91855054353548926</c:v>
                </c:pt>
                <c:pt idx="368">
                  <c:v>0.93179301063061493</c:v>
                </c:pt>
                <c:pt idx="369">
                  <c:v>0.92410578614181538</c:v>
                </c:pt>
                <c:pt idx="370">
                  <c:v>0.95691645794642299</c:v>
                </c:pt>
                <c:pt idx="371">
                  <c:v>0.94061613644201503</c:v>
                </c:pt>
                <c:pt idx="372">
                  <c:v>0.94745473730375918</c:v>
                </c:pt>
                <c:pt idx="373">
                  <c:v>0.97734597498332876</c:v>
                </c:pt>
                <c:pt idx="374">
                  <c:v>0.92506043844487007</c:v>
                </c:pt>
                <c:pt idx="375">
                  <c:v>0.94128929000818928</c:v>
                </c:pt>
                <c:pt idx="376">
                  <c:v>0.95684865038302669</c:v>
                </c:pt>
                <c:pt idx="377">
                  <c:v>0.9331735264177512</c:v>
                </c:pt>
                <c:pt idx="378">
                  <c:v>0.92405783006241937</c:v>
                </c:pt>
                <c:pt idx="379">
                  <c:v>0.9408664767962861</c:v>
                </c:pt>
                <c:pt idx="380">
                  <c:v>0.97199035822602831</c:v>
                </c:pt>
                <c:pt idx="381">
                  <c:v>0.93690659829866707</c:v>
                </c:pt>
                <c:pt idx="382">
                  <c:v>0.92084442183997928</c:v>
                </c:pt>
                <c:pt idx="383">
                  <c:v>0.91161505366909223</c:v>
                </c:pt>
                <c:pt idx="384">
                  <c:v>0.8836735451840716</c:v>
                </c:pt>
                <c:pt idx="385">
                  <c:v>0.96075178236489878</c:v>
                </c:pt>
                <c:pt idx="386">
                  <c:v>0.95736680331147661</c:v>
                </c:pt>
                <c:pt idx="387">
                  <c:v>0.94620442699968899</c:v>
                </c:pt>
                <c:pt idx="388">
                  <c:v>0.96258359639594138</c:v>
                </c:pt>
                <c:pt idx="389">
                  <c:v>0.90692944899117089</c:v>
                </c:pt>
                <c:pt idx="390">
                  <c:v>0.95773762198789825</c:v>
                </c:pt>
                <c:pt idx="391">
                  <c:v>0.96592622595737199</c:v>
                </c:pt>
                <c:pt idx="392">
                  <c:v>0.93408232630193755</c:v>
                </c:pt>
                <c:pt idx="393">
                  <c:v>0.94836407548220691</c:v>
                </c:pt>
                <c:pt idx="394">
                  <c:v>0.95698364405352609</c:v>
                </c:pt>
                <c:pt idx="395">
                  <c:v>0.93695544658564534</c:v>
                </c:pt>
                <c:pt idx="396">
                  <c:v>0.96070689311829838</c:v>
                </c:pt>
                <c:pt idx="397">
                  <c:v>0.93821532514094752</c:v>
                </c:pt>
                <c:pt idx="398">
                  <c:v>0.95849520824034284</c:v>
                </c:pt>
                <c:pt idx="399">
                  <c:v>0.95879472893939499</c:v>
                </c:pt>
                <c:pt idx="400">
                  <c:v>0.97249041136914371</c:v>
                </c:pt>
                <c:pt idx="401">
                  <c:v>0.94489302322232194</c:v>
                </c:pt>
                <c:pt idx="402">
                  <c:v>0.92180395156323236</c:v>
                </c:pt>
                <c:pt idx="403">
                  <c:v>0.93751817460192055</c:v>
                </c:pt>
                <c:pt idx="404">
                  <c:v>0.96596407269413209</c:v>
                </c:pt>
                <c:pt idx="405">
                  <c:v>0.95699601307142956</c:v>
                </c:pt>
                <c:pt idx="406">
                  <c:v>0.97162357847957015</c:v>
                </c:pt>
                <c:pt idx="407">
                  <c:v>0.95683335522482538</c:v>
                </c:pt>
                <c:pt idx="408">
                  <c:v>0.96224955657099287</c:v>
                </c:pt>
                <c:pt idx="409">
                  <c:v>0.89787980597087802</c:v>
                </c:pt>
                <c:pt idx="410">
                  <c:v>0.92580834445856763</c:v>
                </c:pt>
                <c:pt idx="411">
                  <c:v>0.94740437024704316</c:v>
                </c:pt>
                <c:pt idx="412">
                  <c:v>0.88511497588653465</c:v>
                </c:pt>
                <c:pt idx="413">
                  <c:v>0.92605374453114919</c:v>
                </c:pt>
                <c:pt idx="414">
                  <c:v>0.97122707921259011</c:v>
                </c:pt>
                <c:pt idx="415">
                  <c:v>0.92841955753786121</c:v>
                </c:pt>
                <c:pt idx="416">
                  <c:v>0.91478819871180883</c:v>
                </c:pt>
                <c:pt idx="417">
                  <c:v>0.88379871747363969</c:v>
                </c:pt>
                <c:pt idx="418">
                  <c:v>0.96474972849508167</c:v>
                </c:pt>
                <c:pt idx="419">
                  <c:v>0.86885658610410987</c:v>
                </c:pt>
                <c:pt idx="420">
                  <c:v>0.94141277851458272</c:v>
                </c:pt>
                <c:pt idx="421">
                  <c:v>0.94048172827810383</c:v>
                </c:pt>
                <c:pt idx="422">
                  <c:v>0.95408600156819023</c:v>
                </c:pt>
                <c:pt idx="423">
                  <c:v>0.92620966122536352</c:v>
                </c:pt>
                <c:pt idx="424">
                  <c:v>0.97634666233844958</c:v>
                </c:pt>
                <c:pt idx="425">
                  <c:v>0.91819892823059901</c:v>
                </c:pt>
                <c:pt idx="426">
                  <c:v>0.94181884421714757</c:v>
                </c:pt>
                <c:pt idx="427">
                  <c:v>0.95307001255540846</c:v>
                </c:pt>
                <c:pt idx="428">
                  <c:v>0.95995323719026904</c:v>
                </c:pt>
                <c:pt idx="429">
                  <c:v>0.95398248482488301</c:v>
                </c:pt>
                <c:pt idx="430">
                  <c:v>0.90541987554256753</c:v>
                </c:pt>
                <c:pt idx="431">
                  <c:v>0.91920776260232318</c:v>
                </c:pt>
                <c:pt idx="432">
                  <c:v>0.95182702644693096</c:v>
                </c:pt>
                <c:pt idx="433">
                  <c:v>0.91010010177507517</c:v>
                </c:pt>
                <c:pt idx="434">
                  <c:v>0.94750286538359174</c:v>
                </c:pt>
                <c:pt idx="435">
                  <c:v>0.96364466536612614</c:v>
                </c:pt>
                <c:pt idx="436">
                  <c:v>0.92019906898460113</c:v>
                </c:pt>
                <c:pt idx="437">
                  <c:v>0.96568504357650864</c:v>
                </c:pt>
                <c:pt idx="438">
                  <c:v>0.9688802989085652</c:v>
                </c:pt>
                <c:pt idx="439">
                  <c:v>0.94506929546545915</c:v>
                </c:pt>
                <c:pt idx="440">
                  <c:v>0.97302868862199143</c:v>
                </c:pt>
                <c:pt idx="441">
                  <c:v>0.94896525837922452</c:v>
                </c:pt>
                <c:pt idx="442">
                  <c:v>0.96262264973299039</c:v>
                </c:pt>
                <c:pt idx="443">
                  <c:v>0.94824068811175199</c:v>
                </c:pt>
                <c:pt idx="444">
                  <c:v>0.93357122068606424</c:v>
                </c:pt>
                <c:pt idx="445">
                  <c:v>0.95251704957723138</c:v>
                </c:pt>
                <c:pt idx="446">
                  <c:v>0.96909157419257208</c:v>
                </c:pt>
                <c:pt idx="447">
                  <c:v>0.91186641022269521</c:v>
                </c:pt>
                <c:pt idx="448">
                  <c:v>0.94625485760877459</c:v>
                </c:pt>
                <c:pt idx="449">
                  <c:v>0.97523472454308446</c:v>
                </c:pt>
                <c:pt idx="450">
                  <c:v>0.91779692385719081</c:v>
                </c:pt>
                <c:pt idx="451">
                  <c:v>0.93325398228442924</c:v>
                </c:pt>
                <c:pt idx="452">
                  <c:v>0.93168991123831846</c:v>
                </c:pt>
                <c:pt idx="453">
                  <c:v>0.92957632323395412</c:v>
                </c:pt>
                <c:pt idx="454">
                  <c:v>0.98533085054703839</c:v>
                </c:pt>
                <c:pt idx="455">
                  <c:v>0.96475010722603427</c:v>
                </c:pt>
                <c:pt idx="456">
                  <c:v>0.92513316355840658</c:v>
                </c:pt>
                <c:pt idx="457">
                  <c:v>0.95060669510865436</c:v>
                </c:pt>
                <c:pt idx="458">
                  <c:v>0.97575441820636843</c:v>
                </c:pt>
                <c:pt idx="459">
                  <c:v>0.94802621863547287</c:v>
                </c:pt>
                <c:pt idx="460">
                  <c:v>0.96264818538327801</c:v>
                </c:pt>
                <c:pt idx="461">
                  <c:v>0.94812125801565483</c:v>
                </c:pt>
                <c:pt idx="462">
                  <c:v>0.97820555518032226</c:v>
                </c:pt>
                <c:pt idx="463">
                  <c:v>0.94370201434579937</c:v>
                </c:pt>
                <c:pt idx="464">
                  <c:v>0.95993312967214039</c:v>
                </c:pt>
                <c:pt idx="465">
                  <c:v>0.96683721276441525</c:v>
                </c:pt>
                <c:pt idx="466">
                  <c:v>0.96611474363206773</c:v>
                </c:pt>
                <c:pt idx="467">
                  <c:v>0.94774295342890857</c:v>
                </c:pt>
                <c:pt idx="468">
                  <c:v>0.95183984889629758</c:v>
                </c:pt>
                <c:pt idx="469">
                  <c:v>0.95110110225246935</c:v>
                </c:pt>
                <c:pt idx="470">
                  <c:v>0.95276867238759011</c:v>
                </c:pt>
                <c:pt idx="471">
                  <c:v>0.96560561104779441</c:v>
                </c:pt>
                <c:pt idx="472">
                  <c:v>0.97121897305045879</c:v>
                </c:pt>
                <c:pt idx="473">
                  <c:v>0.95043915479309315</c:v>
                </c:pt>
                <c:pt idx="474">
                  <c:v>0.83938606651240399</c:v>
                </c:pt>
                <c:pt idx="475">
                  <c:v>0.95898580137819323</c:v>
                </c:pt>
                <c:pt idx="476">
                  <c:v>0.92275635130519462</c:v>
                </c:pt>
                <c:pt idx="477">
                  <c:v>0.97017288095225673</c:v>
                </c:pt>
                <c:pt idx="478">
                  <c:v>0.96234949126237312</c:v>
                </c:pt>
                <c:pt idx="479">
                  <c:v>0.94391490321052318</c:v>
                </c:pt>
                <c:pt idx="480">
                  <c:v>0.94343054240633728</c:v>
                </c:pt>
                <c:pt idx="481">
                  <c:v>0.95889105533574936</c:v>
                </c:pt>
                <c:pt idx="482">
                  <c:v>0.94553549166480966</c:v>
                </c:pt>
                <c:pt idx="483">
                  <c:v>0.95133508528069366</c:v>
                </c:pt>
                <c:pt idx="484">
                  <c:v>0.91884103691262431</c:v>
                </c:pt>
                <c:pt idx="485">
                  <c:v>0.92943770626051703</c:v>
                </c:pt>
                <c:pt idx="486">
                  <c:v>0.961685115154438</c:v>
                </c:pt>
                <c:pt idx="487">
                  <c:v>0.94520342981473804</c:v>
                </c:pt>
                <c:pt idx="488">
                  <c:v>0.93902911416708368</c:v>
                </c:pt>
                <c:pt idx="489">
                  <c:v>0.93817755088924737</c:v>
                </c:pt>
                <c:pt idx="490">
                  <c:v>0.94130537025765648</c:v>
                </c:pt>
                <c:pt idx="491">
                  <c:v>0.89221197698312071</c:v>
                </c:pt>
                <c:pt idx="492">
                  <c:v>0.9440412250956316</c:v>
                </c:pt>
                <c:pt idx="493">
                  <c:v>0.95096075279739445</c:v>
                </c:pt>
                <c:pt idx="494">
                  <c:v>0.94041835494075698</c:v>
                </c:pt>
                <c:pt idx="495">
                  <c:v>0.92271973890890635</c:v>
                </c:pt>
                <c:pt idx="496">
                  <c:v>0.96255972148070801</c:v>
                </c:pt>
                <c:pt idx="497">
                  <c:v>0.96074646596835922</c:v>
                </c:pt>
                <c:pt idx="498">
                  <c:v>0.96755843204951408</c:v>
                </c:pt>
                <c:pt idx="499">
                  <c:v>0.93812743221667527</c:v>
                </c:pt>
                <c:pt idx="500">
                  <c:v>0.96116654895448783</c:v>
                </c:pt>
                <c:pt idx="501">
                  <c:v>0.95713483769816254</c:v>
                </c:pt>
                <c:pt idx="502">
                  <c:v>0.94708844737603137</c:v>
                </c:pt>
                <c:pt idx="503">
                  <c:v>0.94833634546013412</c:v>
                </c:pt>
                <c:pt idx="504">
                  <c:v>0.9383966939548205</c:v>
                </c:pt>
                <c:pt idx="505">
                  <c:v>0.94763038592300819</c:v>
                </c:pt>
                <c:pt idx="506">
                  <c:v>0.96185651875310074</c:v>
                </c:pt>
                <c:pt idx="507">
                  <c:v>0.94200483835126492</c:v>
                </c:pt>
                <c:pt idx="508">
                  <c:v>0.9186862391075008</c:v>
                </c:pt>
                <c:pt idx="509">
                  <c:v>0.96397828001051278</c:v>
                </c:pt>
                <c:pt idx="510">
                  <c:v>0.97626723694829254</c:v>
                </c:pt>
                <c:pt idx="511">
                  <c:v>0.88200297478154221</c:v>
                </c:pt>
                <c:pt idx="512">
                  <c:v>0.92062744500917648</c:v>
                </c:pt>
                <c:pt idx="513">
                  <c:v>0.89942258210563231</c:v>
                </c:pt>
                <c:pt idx="514">
                  <c:v>0.97416504315217067</c:v>
                </c:pt>
                <c:pt idx="515">
                  <c:v>0.96892073989382732</c:v>
                </c:pt>
                <c:pt idx="516">
                  <c:v>0.93067039015889197</c:v>
                </c:pt>
                <c:pt idx="517">
                  <c:v>0.8815783597860396</c:v>
                </c:pt>
                <c:pt idx="518">
                  <c:v>0.94949311790183089</c:v>
                </c:pt>
                <c:pt idx="519">
                  <c:v>0.90529520063210955</c:v>
                </c:pt>
                <c:pt idx="520">
                  <c:v>0.94523573898667312</c:v>
                </c:pt>
                <c:pt idx="521">
                  <c:v>0.9366486778247014</c:v>
                </c:pt>
                <c:pt idx="522">
                  <c:v>0.93514913025371438</c:v>
                </c:pt>
                <c:pt idx="523">
                  <c:v>0.86321209644969854</c:v>
                </c:pt>
                <c:pt idx="524">
                  <c:v>0.91316454404552716</c:v>
                </c:pt>
                <c:pt idx="525">
                  <c:v>0.95988375934602532</c:v>
                </c:pt>
                <c:pt idx="526">
                  <c:v>0.96975524567836802</c:v>
                </c:pt>
                <c:pt idx="527">
                  <c:v>0.9542107666833971</c:v>
                </c:pt>
                <c:pt idx="528">
                  <c:v>0.94683600088801367</c:v>
                </c:pt>
                <c:pt idx="529">
                  <c:v>0.95912433206026515</c:v>
                </c:pt>
                <c:pt idx="530">
                  <c:v>0.94732914876340535</c:v>
                </c:pt>
                <c:pt idx="531">
                  <c:v>0.94599854263762118</c:v>
                </c:pt>
                <c:pt idx="532">
                  <c:v>0.95864673529788291</c:v>
                </c:pt>
                <c:pt idx="533">
                  <c:v>0.94380260233112001</c:v>
                </c:pt>
                <c:pt idx="534">
                  <c:v>0.87927666469241439</c:v>
                </c:pt>
                <c:pt idx="535">
                  <c:v>0.95250608668146119</c:v>
                </c:pt>
                <c:pt idx="536">
                  <c:v>0.90134017528827926</c:v>
                </c:pt>
                <c:pt idx="537">
                  <c:v>0.95174964210478141</c:v>
                </c:pt>
                <c:pt idx="538">
                  <c:v>0.94018688105436365</c:v>
                </c:pt>
                <c:pt idx="539">
                  <c:v>0.94064476553392407</c:v>
                </c:pt>
                <c:pt idx="540">
                  <c:v>0.95758962568289907</c:v>
                </c:pt>
                <c:pt idx="541">
                  <c:v>0.96716155401964343</c:v>
                </c:pt>
                <c:pt idx="542">
                  <c:v>0.9412723118213816</c:v>
                </c:pt>
                <c:pt idx="543">
                  <c:v>0.93874862362867029</c:v>
                </c:pt>
                <c:pt idx="544">
                  <c:v>0.95514886445883074</c:v>
                </c:pt>
                <c:pt idx="545">
                  <c:v>0.90711163925023475</c:v>
                </c:pt>
                <c:pt idx="546">
                  <c:v>0.91304653192616447</c:v>
                </c:pt>
                <c:pt idx="547">
                  <c:v>0.94346498921437849</c:v>
                </c:pt>
                <c:pt idx="548">
                  <c:v>0.92710737516275232</c:v>
                </c:pt>
                <c:pt idx="549">
                  <c:v>0.92251984823684885</c:v>
                </c:pt>
                <c:pt idx="550">
                  <c:v>0.9517512767418379</c:v>
                </c:pt>
                <c:pt idx="551">
                  <c:v>0.96882882762036271</c:v>
                </c:pt>
                <c:pt idx="552">
                  <c:v>0.91786242031491871</c:v>
                </c:pt>
                <c:pt idx="553">
                  <c:v>0.94407427915780229</c:v>
                </c:pt>
                <c:pt idx="554">
                  <c:v>0.93565238272197582</c:v>
                </c:pt>
                <c:pt idx="555">
                  <c:v>0.93053118186743222</c:v>
                </c:pt>
                <c:pt idx="556">
                  <c:v>0.95807186167584391</c:v>
                </c:pt>
                <c:pt idx="557">
                  <c:v>0.9398299766463627</c:v>
                </c:pt>
                <c:pt idx="558">
                  <c:v>0.8848199826867249</c:v>
                </c:pt>
                <c:pt idx="559">
                  <c:v>0.95940597414276607</c:v>
                </c:pt>
                <c:pt idx="560">
                  <c:v>0.92549447102571358</c:v>
                </c:pt>
                <c:pt idx="561">
                  <c:v>0.95273829641014629</c:v>
                </c:pt>
                <c:pt idx="562">
                  <c:v>0.94100074866280026</c:v>
                </c:pt>
                <c:pt idx="563">
                  <c:v>0.94635261631632384</c:v>
                </c:pt>
                <c:pt idx="564">
                  <c:v>0.92187514892858036</c:v>
                </c:pt>
                <c:pt idx="565">
                  <c:v>0.94865515845454729</c:v>
                </c:pt>
                <c:pt idx="566">
                  <c:v>0.9487349875839759</c:v>
                </c:pt>
                <c:pt idx="567">
                  <c:v>0.94983761332375383</c:v>
                </c:pt>
                <c:pt idx="568">
                  <c:v>0.93413970765633969</c:v>
                </c:pt>
                <c:pt idx="569">
                  <c:v>0.94115296688000916</c:v>
                </c:pt>
                <c:pt idx="570">
                  <c:v>0.94167250064027586</c:v>
                </c:pt>
                <c:pt idx="571">
                  <c:v>0.93468255816909673</c:v>
                </c:pt>
                <c:pt idx="572">
                  <c:v>0.97479490171276006</c:v>
                </c:pt>
                <c:pt idx="573">
                  <c:v>0.96275292871110807</c:v>
                </c:pt>
                <c:pt idx="574">
                  <c:v>0.93128472710177645</c:v>
                </c:pt>
                <c:pt idx="575">
                  <c:v>0.96738523301646084</c:v>
                </c:pt>
                <c:pt idx="576">
                  <c:v>0.91421791408534658</c:v>
                </c:pt>
                <c:pt idx="577">
                  <c:v>0.92076111896921176</c:v>
                </c:pt>
                <c:pt idx="578">
                  <c:v>0.94775514259877069</c:v>
                </c:pt>
                <c:pt idx="579">
                  <c:v>0.93422150901359224</c:v>
                </c:pt>
                <c:pt idx="580">
                  <c:v>0.95008806059084905</c:v>
                </c:pt>
                <c:pt idx="581">
                  <c:v>0.94810633242917952</c:v>
                </c:pt>
                <c:pt idx="582">
                  <c:v>0.92038598023134821</c:v>
                </c:pt>
                <c:pt idx="583">
                  <c:v>0.92667661811229252</c:v>
                </c:pt>
                <c:pt idx="584">
                  <c:v>0.97364082153842868</c:v>
                </c:pt>
                <c:pt idx="585">
                  <c:v>0.9579164704886638</c:v>
                </c:pt>
                <c:pt idx="586">
                  <c:v>0.96206257998072586</c:v>
                </c:pt>
                <c:pt idx="587">
                  <c:v>0.97521255590964873</c:v>
                </c:pt>
                <c:pt idx="588">
                  <c:v>0.91469165067787439</c:v>
                </c:pt>
                <c:pt idx="589">
                  <c:v>0.94222053069004674</c:v>
                </c:pt>
                <c:pt idx="590">
                  <c:v>0.92083755270535483</c:v>
                </c:pt>
                <c:pt idx="591">
                  <c:v>0.97065649784113583</c:v>
                </c:pt>
                <c:pt idx="592">
                  <c:v>0.95690485134893466</c:v>
                </c:pt>
                <c:pt idx="593">
                  <c:v>0.90242228541069558</c:v>
                </c:pt>
                <c:pt idx="594">
                  <c:v>0.95067319406417139</c:v>
                </c:pt>
                <c:pt idx="595">
                  <c:v>0.91752614689029821</c:v>
                </c:pt>
                <c:pt idx="596">
                  <c:v>0.95950635148149854</c:v>
                </c:pt>
                <c:pt idx="597">
                  <c:v>0.94273012736288941</c:v>
                </c:pt>
                <c:pt idx="598">
                  <c:v>0.96556928053236479</c:v>
                </c:pt>
                <c:pt idx="599">
                  <c:v>0.97393910391479632</c:v>
                </c:pt>
                <c:pt idx="600">
                  <c:v>0.96515776586683366</c:v>
                </c:pt>
                <c:pt idx="601">
                  <c:v>0.93576035861546791</c:v>
                </c:pt>
                <c:pt idx="602">
                  <c:v>0.97310413140719099</c:v>
                </c:pt>
                <c:pt idx="603">
                  <c:v>0.94376466437014628</c:v>
                </c:pt>
                <c:pt idx="604">
                  <c:v>0.96035896700799483</c:v>
                </c:pt>
                <c:pt idx="605">
                  <c:v>0.9594020733941222</c:v>
                </c:pt>
                <c:pt idx="606">
                  <c:v>0.90919489856797042</c:v>
                </c:pt>
                <c:pt idx="607">
                  <c:v>0.94996297098808979</c:v>
                </c:pt>
                <c:pt idx="608">
                  <c:v>0.95968541259973006</c:v>
                </c:pt>
                <c:pt idx="609">
                  <c:v>0.91312844233533985</c:v>
                </c:pt>
                <c:pt idx="610">
                  <c:v>0.93791762835605796</c:v>
                </c:pt>
                <c:pt idx="611">
                  <c:v>0.93142814732302071</c:v>
                </c:pt>
                <c:pt idx="612">
                  <c:v>0.96776486186398336</c:v>
                </c:pt>
                <c:pt idx="613">
                  <c:v>0.9693318527144843</c:v>
                </c:pt>
                <c:pt idx="614">
                  <c:v>0.94052640672964827</c:v>
                </c:pt>
                <c:pt idx="615">
                  <c:v>0.98079393178657226</c:v>
                </c:pt>
                <c:pt idx="616">
                  <c:v>0.97043015549724854</c:v>
                </c:pt>
                <c:pt idx="617">
                  <c:v>0.95468808264569027</c:v>
                </c:pt>
                <c:pt idx="618">
                  <c:v>0.93471512969498038</c:v>
                </c:pt>
                <c:pt idx="619">
                  <c:v>0.9411361426068996</c:v>
                </c:pt>
                <c:pt idx="620">
                  <c:v>0.9336899977953026</c:v>
                </c:pt>
                <c:pt idx="621">
                  <c:v>0.9293767906800825</c:v>
                </c:pt>
                <c:pt idx="622">
                  <c:v>0.94139590705453835</c:v>
                </c:pt>
                <c:pt idx="623">
                  <c:v>0.94616873379730382</c:v>
                </c:pt>
                <c:pt idx="624">
                  <c:v>0.94009943818971853</c:v>
                </c:pt>
                <c:pt idx="625">
                  <c:v>0.97106271659573085</c:v>
                </c:pt>
                <c:pt idx="626">
                  <c:v>0.893267288284324</c:v>
                </c:pt>
                <c:pt idx="627">
                  <c:v>0.94510108538743731</c:v>
                </c:pt>
                <c:pt idx="628">
                  <c:v>0.95941352674088387</c:v>
                </c:pt>
                <c:pt idx="629">
                  <c:v>0.96622457184892963</c:v>
                </c:pt>
                <c:pt idx="630">
                  <c:v>0.92509480635812458</c:v>
                </c:pt>
                <c:pt idx="631">
                  <c:v>0.94695498019627045</c:v>
                </c:pt>
                <c:pt idx="632">
                  <c:v>0.92367794767651534</c:v>
                </c:pt>
                <c:pt idx="633">
                  <c:v>0.96808149123359322</c:v>
                </c:pt>
                <c:pt idx="634">
                  <c:v>0.89500786525284992</c:v>
                </c:pt>
                <c:pt idx="635">
                  <c:v>0.92232929827068411</c:v>
                </c:pt>
                <c:pt idx="636">
                  <c:v>0.90480742273126558</c:v>
                </c:pt>
                <c:pt idx="637">
                  <c:v>0.89442331882052184</c:v>
                </c:pt>
                <c:pt idx="638">
                  <c:v>0.90429598859476479</c:v>
                </c:pt>
                <c:pt idx="639">
                  <c:v>0.94848541520886487</c:v>
                </c:pt>
                <c:pt idx="640">
                  <c:v>0.96515865815591295</c:v>
                </c:pt>
                <c:pt idx="641">
                  <c:v>0.95451399363810108</c:v>
                </c:pt>
                <c:pt idx="642">
                  <c:v>0.97848831032562855</c:v>
                </c:pt>
                <c:pt idx="643">
                  <c:v>0.9552773669513912</c:v>
                </c:pt>
                <c:pt idx="644">
                  <c:v>0.94866911610705906</c:v>
                </c:pt>
                <c:pt idx="645">
                  <c:v>0.93397376255902353</c:v>
                </c:pt>
                <c:pt idx="646">
                  <c:v>0.93144859435055671</c:v>
                </c:pt>
                <c:pt idx="647">
                  <c:v>0.90848364910073887</c:v>
                </c:pt>
                <c:pt idx="648">
                  <c:v>0.93722488434443552</c:v>
                </c:pt>
                <c:pt idx="649">
                  <c:v>0.97677249782140452</c:v>
                </c:pt>
                <c:pt idx="650">
                  <c:v>0.95388963440238939</c:v>
                </c:pt>
                <c:pt idx="651">
                  <c:v>0.95345411328530105</c:v>
                </c:pt>
                <c:pt idx="652">
                  <c:v>0.97157332853231471</c:v>
                </c:pt>
                <c:pt idx="653">
                  <c:v>0.89564869244483492</c:v>
                </c:pt>
                <c:pt idx="654">
                  <c:v>0.94195986679476418</c:v>
                </c:pt>
                <c:pt idx="655">
                  <c:v>0.95343425657300829</c:v>
                </c:pt>
                <c:pt idx="656">
                  <c:v>0.97336021557710151</c:v>
                </c:pt>
                <c:pt idx="657">
                  <c:v>0.9179212668362744</c:v>
                </c:pt>
                <c:pt idx="658">
                  <c:v>0.94664529596772995</c:v>
                </c:pt>
                <c:pt idx="659">
                  <c:v>0.96113597703154097</c:v>
                </c:pt>
                <c:pt idx="660">
                  <c:v>0.96359341492534545</c:v>
                </c:pt>
                <c:pt idx="661">
                  <c:v>0.9147879462983588</c:v>
                </c:pt>
                <c:pt idx="662">
                  <c:v>0.94297504094039208</c:v>
                </c:pt>
                <c:pt idx="663">
                  <c:v>0.90380431507681425</c:v>
                </c:pt>
                <c:pt idx="664">
                  <c:v>0.94102792913178912</c:v>
                </c:pt>
                <c:pt idx="665">
                  <c:v>0.95116236494797968</c:v>
                </c:pt>
                <c:pt idx="666">
                  <c:v>0.93027509028378741</c:v>
                </c:pt>
                <c:pt idx="667">
                  <c:v>0.96503698060505116</c:v>
                </c:pt>
                <c:pt idx="668">
                  <c:v>0.93427606472284974</c:v>
                </c:pt>
                <c:pt idx="669">
                  <c:v>0.93646639549193922</c:v>
                </c:pt>
                <c:pt idx="670">
                  <c:v>0.95431991698918517</c:v>
                </c:pt>
                <c:pt idx="671">
                  <c:v>0.95824231149422923</c:v>
                </c:pt>
                <c:pt idx="672">
                  <c:v>0.97127676058205215</c:v>
                </c:pt>
                <c:pt idx="673">
                  <c:v>0.93242094602927073</c:v>
                </c:pt>
                <c:pt idx="674">
                  <c:v>0.94063805196238082</c:v>
                </c:pt>
                <c:pt idx="675">
                  <c:v>0.92625077568718006</c:v>
                </c:pt>
                <c:pt idx="676">
                  <c:v>0.94091949487616078</c:v>
                </c:pt>
                <c:pt idx="677">
                  <c:v>0.96055633135417917</c:v>
                </c:pt>
                <c:pt idx="678">
                  <c:v>0.94729400077634829</c:v>
                </c:pt>
                <c:pt idx="679">
                  <c:v>0.91342400304378146</c:v>
                </c:pt>
                <c:pt idx="680">
                  <c:v>0.97810860952251388</c:v>
                </c:pt>
                <c:pt idx="681">
                  <c:v>0.95370365019518544</c:v>
                </c:pt>
                <c:pt idx="682">
                  <c:v>0.94096487372293414</c:v>
                </c:pt>
                <c:pt idx="683">
                  <c:v>0.90450838202656403</c:v>
                </c:pt>
                <c:pt idx="684">
                  <c:v>0.95342255414107813</c:v>
                </c:pt>
                <c:pt idx="685">
                  <c:v>0.95296867985086275</c:v>
                </c:pt>
                <c:pt idx="686">
                  <c:v>0.95871373886156963</c:v>
                </c:pt>
                <c:pt idx="687">
                  <c:v>0.94753806036856381</c:v>
                </c:pt>
                <c:pt idx="688">
                  <c:v>0.94874718925139945</c:v>
                </c:pt>
                <c:pt idx="689">
                  <c:v>0.93043869026420167</c:v>
                </c:pt>
                <c:pt idx="690">
                  <c:v>0.92907398976950062</c:v>
                </c:pt>
                <c:pt idx="691">
                  <c:v>0.93332890599809382</c:v>
                </c:pt>
                <c:pt idx="692">
                  <c:v>0.96828302072574335</c:v>
                </c:pt>
                <c:pt idx="693">
                  <c:v>0.90262372701949856</c:v>
                </c:pt>
                <c:pt idx="694">
                  <c:v>0.94949155204482483</c:v>
                </c:pt>
                <c:pt idx="695">
                  <c:v>0.96222809061701087</c:v>
                </c:pt>
                <c:pt idx="696">
                  <c:v>0.95401060133506554</c:v>
                </c:pt>
                <c:pt idx="697">
                  <c:v>0.95767429876181964</c:v>
                </c:pt>
                <c:pt idx="698">
                  <c:v>0.9362641715966975</c:v>
                </c:pt>
                <c:pt idx="699">
                  <c:v>0.95246324944129013</c:v>
                </c:pt>
                <c:pt idx="700">
                  <c:v>0.94319005918558452</c:v>
                </c:pt>
                <c:pt idx="701">
                  <c:v>0.9020646466807638</c:v>
                </c:pt>
                <c:pt idx="702">
                  <c:v>0.90651366079892459</c:v>
                </c:pt>
                <c:pt idx="703">
                  <c:v>0.93853521480661528</c:v>
                </c:pt>
                <c:pt idx="704">
                  <c:v>0.97079154042827764</c:v>
                </c:pt>
                <c:pt idx="705">
                  <c:v>0.96006858632300229</c:v>
                </c:pt>
                <c:pt idx="706">
                  <c:v>0.92019129885881767</c:v>
                </c:pt>
                <c:pt idx="707">
                  <c:v>0.90818952618420412</c:v>
                </c:pt>
                <c:pt idx="708">
                  <c:v>0.92893626376199889</c:v>
                </c:pt>
                <c:pt idx="709">
                  <c:v>0.93739252473064816</c:v>
                </c:pt>
                <c:pt idx="710">
                  <c:v>0.96538849198971866</c:v>
                </c:pt>
                <c:pt idx="711">
                  <c:v>0.96399137081280362</c:v>
                </c:pt>
                <c:pt idx="712">
                  <c:v>0.96503929141445199</c:v>
                </c:pt>
                <c:pt idx="713">
                  <c:v>0.98539665420564648</c:v>
                </c:pt>
                <c:pt idx="714">
                  <c:v>0.95089253927946671</c:v>
                </c:pt>
                <c:pt idx="715">
                  <c:v>0.96077536365656147</c:v>
                </c:pt>
                <c:pt idx="716">
                  <c:v>0.96201374033301645</c:v>
                </c:pt>
                <c:pt idx="717">
                  <c:v>0.97444793898591864</c:v>
                </c:pt>
                <c:pt idx="718">
                  <c:v>0.95802021426648543</c:v>
                </c:pt>
                <c:pt idx="719">
                  <c:v>0.91358427140099308</c:v>
                </c:pt>
                <c:pt idx="720">
                  <c:v>0.95194449361887179</c:v>
                </c:pt>
                <c:pt idx="721">
                  <c:v>0.93341504100789374</c:v>
                </c:pt>
                <c:pt idx="722">
                  <c:v>0.93828164690403226</c:v>
                </c:pt>
                <c:pt idx="723">
                  <c:v>0.91610219316613017</c:v>
                </c:pt>
                <c:pt idx="724">
                  <c:v>0.97723440168555542</c:v>
                </c:pt>
                <c:pt idx="725">
                  <c:v>0.91470636232686575</c:v>
                </c:pt>
                <c:pt idx="726">
                  <c:v>0.95619911469644392</c:v>
                </c:pt>
                <c:pt idx="727">
                  <c:v>0.93486199724227148</c:v>
                </c:pt>
                <c:pt idx="728">
                  <c:v>0.94768351564422892</c:v>
                </c:pt>
                <c:pt idx="729">
                  <c:v>0.94753347434690727</c:v>
                </c:pt>
                <c:pt idx="730">
                  <c:v>0.9556470349590076</c:v>
                </c:pt>
                <c:pt idx="731">
                  <c:v>0.96718788990383864</c:v>
                </c:pt>
                <c:pt idx="732">
                  <c:v>0.94973356105697437</c:v>
                </c:pt>
                <c:pt idx="733">
                  <c:v>0.96029709657266527</c:v>
                </c:pt>
                <c:pt idx="734">
                  <c:v>0.94961478261690468</c:v>
                </c:pt>
                <c:pt idx="735">
                  <c:v>0.93314782649819961</c:v>
                </c:pt>
                <c:pt idx="736">
                  <c:v>0.93159430289976464</c:v>
                </c:pt>
                <c:pt idx="737">
                  <c:v>0.9625352142857253</c:v>
                </c:pt>
                <c:pt idx="738">
                  <c:v>0.93282771197595116</c:v>
                </c:pt>
                <c:pt idx="739">
                  <c:v>0.97152246103431106</c:v>
                </c:pt>
                <c:pt idx="740">
                  <c:v>0.97191807614798509</c:v>
                </c:pt>
                <c:pt idx="741">
                  <c:v>0.98784742293901195</c:v>
                </c:pt>
                <c:pt idx="742">
                  <c:v>0.9421309084151851</c:v>
                </c:pt>
                <c:pt idx="743">
                  <c:v>0.93407494411346503</c:v>
                </c:pt>
                <c:pt idx="744">
                  <c:v>0.95899158784753347</c:v>
                </c:pt>
                <c:pt idx="745">
                  <c:v>0.9108969104004031</c:v>
                </c:pt>
                <c:pt idx="746">
                  <c:v>0.9571049418291796</c:v>
                </c:pt>
                <c:pt idx="747">
                  <c:v>0.93623255881312528</c:v>
                </c:pt>
                <c:pt idx="748">
                  <c:v>0.88890335658260755</c:v>
                </c:pt>
                <c:pt idx="749">
                  <c:v>0.94945516574489397</c:v>
                </c:pt>
                <c:pt idx="750">
                  <c:v>0.94094392644179514</c:v>
                </c:pt>
                <c:pt idx="751">
                  <c:v>0.9581983640138535</c:v>
                </c:pt>
                <c:pt idx="752">
                  <c:v>0.97534444459864533</c:v>
                </c:pt>
                <c:pt idx="753">
                  <c:v>0.96231464058889427</c:v>
                </c:pt>
                <c:pt idx="754">
                  <c:v>0.94495101014128047</c:v>
                </c:pt>
                <c:pt idx="755">
                  <c:v>0.94317549556744962</c:v>
                </c:pt>
                <c:pt idx="756">
                  <c:v>0.91687327881888581</c:v>
                </c:pt>
                <c:pt idx="757">
                  <c:v>0.93764170451610573</c:v>
                </c:pt>
                <c:pt idx="758">
                  <c:v>0.95428894311987134</c:v>
                </c:pt>
                <c:pt idx="759">
                  <c:v>0.9282176544511761</c:v>
                </c:pt>
                <c:pt idx="760">
                  <c:v>0.97273971646697943</c:v>
                </c:pt>
                <c:pt idx="761">
                  <c:v>0.95363309662161821</c:v>
                </c:pt>
                <c:pt idx="762">
                  <c:v>0.9277613237477047</c:v>
                </c:pt>
                <c:pt idx="763">
                  <c:v>0.96191592945658355</c:v>
                </c:pt>
                <c:pt idx="764">
                  <c:v>0.92838386964953812</c:v>
                </c:pt>
                <c:pt idx="765">
                  <c:v>0.92514399689749505</c:v>
                </c:pt>
                <c:pt idx="766">
                  <c:v>0.93441075780885408</c:v>
                </c:pt>
                <c:pt idx="767">
                  <c:v>0.9278522587027983</c:v>
                </c:pt>
                <c:pt idx="768">
                  <c:v>0.9650443295462332</c:v>
                </c:pt>
                <c:pt idx="769">
                  <c:v>0.96828187770012031</c:v>
                </c:pt>
                <c:pt idx="770">
                  <c:v>0.97694538667921704</c:v>
                </c:pt>
                <c:pt idx="771">
                  <c:v>0.95505755613784049</c:v>
                </c:pt>
                <c:pt idx="772">
                  <c:v>0.95186362499204891</c:v>
                </c:pt>
                <c:pt idx="773">
                  <c:v>0.93399140197797692</c:v>
                </c:pt>
                <c:pt idx="774">
                  <c:v>0.95433489294766716</c:v>
                </c:pt>
                <c:pt idx="775">
                  <c:v>0.86705749861791204</c:v>
                </c:pt>
                <c:pt idx="776">
                  <c:v>0.93088280347889474</c:v>
                </c:pt>
                <c:pt idx="777">
                  <c:v>0.91329268388048468</c:v>
                </c:pt>
                <c:pt idx="778">
                  <c:v>0.91200509799411145</c:v>
                </c:pt>
                <c:pt idx="779">
                  <c:v>0.95725373561947336</c:v>
                </c:pt>
                <c:pt idx="780">
                  <c:v>0.95701670550605256</c:v>
                </c:pt>
                <c:pt idx="781">
                  <c:v>0.91837554065610993</c:v>
                </c:pt>
                <c:pt idx="782">
                  <c:v>0.98180598787470563</c:v>
                </c:pt>
                <c:pt idx="783">
                  <c:v>0.93228428753422588</c:v>
                </c:pt>
                <c:pt idx="784">
                  <c:v>0.96754429820208143</c:v>
                </c:pt>
                <c:pt idx="785">
                  <c:v>0.96592539058909899</c:v>
                </c:pt>
                <c:pt idx="786">
                  <c:v>0.93368997951114241</c:v>
                </c:pt>
                <c:pt idx="787">
                  <c:v>0.94315415074765374</c:v>
                </c:pt>
                <c:pt idx="788">
                  <c:v>0.92208564148855254</c:v>
                </c:pt>
                <c:pt idx="789">
                  <c:v>0.94065180741592913</c:v>
                </c:pt>
                <c:pt idx="790">
                  <c:v>0.97101857456170038</c:v>
                </c:pt>
                <c:pt idx="791">
                  <c:v>0.91825983213139994</c:v>
                </c:pt>
                <c:pt idx="792">
                  <c:v>0.93882641677925616</c:v>
                </c:pt>
                <c:pt idx="793">
                  <c:v>0.88653440665834482</c:v>
                </c:pt>
                <c:pt idx="794">
                  <c:v>0.93741439103957225</c:v>
                </c:pt>
                <c:pt idx="795">
                  <c:v>0.94594044391717591</c:v>
                </c:pt>
                <c:pt idx="796">
                  <c:v>0.98142559329804757</c:v>
                </c:pt>
                <c:pt idx="797">
                  <c:v>0.98639517434270085</c:v>
                </c:pt>
                <c:pt idx="798">
                  <c:v>0.89167466642201276</c:v>
                </c:pt>
                <c:pt idx="799">
                  <c:v>0.97531956671623321</c:v>
                </c:pt>
                <c:pt idx="800">
                  <c:v>0.97628143100589604</c:v>
                </c:pt>
                <c:pt idx="801">
                  <c:v>0.93625428442985015</c:v>
                </c:pt>
                <c:pt idx="802">
                  <c:v>0.96294951684488739</c:v>
                </c:pt>
                <c:pt idx="803">
                  <c:v>0.94918895161212591</c:v>
                </c:pt>
                <c:pt idx="804">
                  <c:v>0.94638346308299393</c:v>
                </c:pt>
                <c:pt idx="805">
                  <c:v>0.9590173161606208</c:v>
                </c:pt>
                <c:pt idx="806">
                  <c:v>0.93330133166078522</c:v>
                </c:pt>
                <c:pt idx="807">
                  <c:v>0.88436424855520557</c:v>
                </c:pt>
                <c:pt idx="808">
                  <c:v>0.93854414148754739</c:v>
                </c:pt>
                <c:pt idx="809">
                  <c:v>0.94499073672519429</c:v>
                </c:pt>
                <c:pt idx="810">
                  <c:v>0.92175942149403678</c:v>
                </c:pt>
                <c:pt idx="811">
                  <c:v>0.97723599105442549</c:v>
                </c:pt>
                <c:pt idx="812">
                  <c:v>0.87806895972918519</c:v>
                </c:pt>
                <c:pt idx="813">
                  <c:v>0.95187267329379122</c:v>
                </c:pt>
                <c:pt idx="814">
                  <c:v>0.95304451579055205</c:v>
                </c:pt>
                <c:pt idx="815">
                  <c:v>0.9396285886126301</c:v>
                </c:pt>
                <c:pt idx="816">
                  <c:v>0.93232643488739808</c:v>
                </c:pt>
                <c:pt idx="817">
                  <c:v>0.98290972371518914</c:v>
                </c:pt>
                <c:pt idx="818">
                  <c:v>0.9285839934593012</c:v>
                </c:pt>
                <c:pt idx="819">
                  <c:v>0.96142742227415701</c:v>
                </c:pt>
                <c:pt idx="820">
                  <c:v>0.91925464919581845</c:v>
                </c:pt>
                <c:pt idx="821">
                  <c:v>0.96910273242309175</c:v>
                </c:pt>
                <c:pt idx="822">
                  <c:v>0.90128065569315186</c:v>
                </c:pt>
                <c:pt idx="823">
                  <c:v>0.93728504623753439</c:v>
                </c:pt>
                <c:pt idx="824">
                  <c:v>0.97879265549120653</c:v>
                </c:pt>
                <c:pt idx="825">
                  <c:v>0.9625318606038159</c:v>
                </c:pt>
                <c:pt idx="826">
                  <c:v>0.94343099945807551</c:v>
                </c:pt>
                <c:pt idx="827">
                  <c:v>0.91319951152215251</c:v>
                </c:pt>
                <c:pt idx="828">
                  <c:v>0.95623150208465235</c:v>
                </c:pt>
                <c:pt idx="829">
                  <c:v>0.96327781721610972</c:v>
                </c:pt>
                <c:pt idx="830">
                  <c:v>0.92618397082409332</c:v>
                </c:pt>
                <c:pt idx="831">
                  <c:v>0.93885136052209339</c:v>
                </c:pt>
                <c:pt idx="832">
                  <c:v>0.9429802539521317</c:v>
                </c:pt>
                <c:pt idx="833">
                  <c:v>0.94496266586487021</c:v>
                </c:pt>
                <c:pt idx="834">
                  <c:v>0.94321477620053296</c:v>
                </c:pt>
                <c:pt idx="835">
                  <c:v>0.95469477289971683</c:v>
                </c:pt>
                <c:pt idx="836">
                  <c:v>0.96744994673139795</c:v>
                </c:pt>
                <c:pt idx="837">
                  <c:v>0.97379869907386118</c:v>
                </c:pt>
                <c:pt idx="838">
                  <c:v>0.96585400607203631</c:v>
                </c:pt>
                <c:pt idx="839">
                  <c:v>0.93332940362609995</c:v>
                </c:pt>
                <c:pt idx="840">
                  <c:v>0.92979986671744097</c:v>
                </c:pt>
                <c:pt idx="841">
                  <c:v>0.95001739664308937</c:v>
                </c:pt>
                <c:pt idx="842">
                  <c:v>0.93323303009151459</c:v>
                </c:pt>
                <c:pt idx="843">
                  <c:v>0.94478672966090227</c:v>
                </c:pt>
                <c:pt idx="844">
                  <c:v>0.93480779413163995</c:v>
                </c:pt>
                <c:pt idx="845">
                  <c:v>0.92792529565751292</c:v>
                </c:pt>
                <c:pt idx="846">
                  <c:v>0.95564819338474516</c:v>
                </c:pt>
                <c:pt idx="847">
                  <c:v>0.94774561844718153</c:v>
                </c:pt>
                <c:pt idx="848">
                  <c:v>0.9169176501292331</c:v>
                </c:pt>
                <c:pt idx="849">
                  <c:v>0.95993784942417748</c:v>
                </c:pt>
                <c:pt idx="850">
                  <c:v>0.96895374093644748</c:v>
                </c:pt>
                <c:pt idx="851">
                  <c:v>0.95271178214178431</c:v>
                </c:pt>
                <c:pt idx="852">
                  <c:v>0.97311854687180743</c:v>
                </c:pt>
                <c:pt idx="853">
                  <c:v>0.94590324295205197</c:v>
                </c:pt>
                <c:pt idx="854">
                  <c:v>0.97977256855021622</c:v>
                </c:pt>
                <c:pt idx="855">
                  <c:v>0.95180701922512534</c:v>
                </c:pt>
                <c:pt idx="856">
                  <c:v>0.96775286635102875</c:v>
                </c:pt>
                <c:pt idx="857">
                  <c:v>0.95456592492510017</c:v>
                </c:pt>
                <c:pt idx="858">
                  <c:v>0.94395609027555194</c:v>
                </c:pt>
                <c:pt idx="859">
                  <c:v>0.95828316210868847</c:v>
                </c:pt>
                <c:pt idx="860">
                  <c:v>0.94752326185657876</c:v>
                </c:pt>
                <c:pt idx="861">
                  <c:v>0.96518911676536912</c:v>
                </c:pt>
                <c:pt idx="862">
                  <c:v>0.92827535131238204</c:v>
                </c:pt>
                <c:pt idx="863">
                  <c:v>0.87526280200752993</c:v>
                </c:pt>
                <c:pt idx="864">
                  <c:v>0.94909672578200466</c:v>
                </c:pt>
                <c:pt idx="865">
                  <c:v>0.9044338727268737</c:v>
                </c:pt>
                <c:pt idx="866">
                  <c:v>0.93000382467498488</c:v>
                </c:pt>
                <c:pt idx="867">
                  <c:v>0.96755805812580764</c:v>
                </c:pt>
                <c:pt idx="868">
                  <c:v>0.93438026194016122</c:v>
                </c:pt>
                <c:pt idx="869">
                  <c:v>0.90379334792829957</c:v>
                </c:pt>
                <c:pt idx="870">
                  <c:v>0.9540620861618806</c:v>
                </c:pt>
                <c:pt idx="871">
                  <c:v>0.9455854622594646</c:v>
                </c:pt>
                <c:pt idx="872">
                  <c:v>0.93183992407289096</c:v>
                </c:pt>
                <c:pt idx="873">
                  <c:v>0.91324326490662378</c:v>
                </c:pt>
                <c:pt idx="874">
                  <c:v>0.89894823495664555</c:v>
                </c:pt>
                <c:pt idx="875">
                  <c:v>0.93567804797675458</c:v>
                </c:pt>
                <c:pt idx="876">
                  <c:v>0.95933443708171073</c:v>
                </c:pt>
                <c:pt idx="877">
                  <c:v>0.87629071077711396</c:v>
                </c:pt>
                <c:pt idx="878">
                  <c:v>0.93716391556204659</c:v>
                </c:pt>
                <c:pt idx="879">
                  <c:v>0.95354465045633341</c:v>
                </c:pt>
                <c:pt idx="880">
                  <c:v>0.9530403552597031</c:v>
                </c:pt>
                <c:pt idx="881">
                  <c:v>0.97763292170164773</c:v>
                </c:pt>
                <c:pt idx="882">
                  <c:v>0.94202987247640535</c:v>
                </c:pt>
                <c:pt idx="883">
                  <c:v>0.94484368024203125</c:v>
                </c:pt>
                <c:pt idx="884">
                  <c:v>0.90198035105706587</c:v>
                </c:pt>
                <c:pt idx="885">
                  <c:v>0.92123034753361621</c:v>
                </c:pt>
                <c:pt idx="886">
                  <c:v>0.96128830246430774</c:v>
                </c:pt>
                <c:pt idx="887">
                  <c:v>0.92280018894458804</c:v>
                </c:pt>
                <c:pt idx="888">
                  <c:v>0.97364920153004486</c:v>
                </c:pt>
                <c:pt idx="889">
                  <c:v>0.95516564832373507</c:v>
                </c:pt>
                <c:pt idx="890">
                  <c:v>0.89575023061176706</c:v>
                </c:pt>
                <c:pt idx="891">
                  <c:v>0.92042216596875359</c:v>
                </c:pt>
                <c:pt idx="892">
                  <c:v>0.98415313063914067</c:v>
                </c:pt>
                <c:pt idx="893">
                  <c:v>0.93580957311494983</c:v>
                </c:pt>
                <c:pt idx="894">
                  <c:v>0.95004011117110387</c:v>
                </c:pt>
                <c:pt idx="895">
                  <c:v>0.9726291271785954</c:v>
                </c:pt>
                <c:pt idx="896">
                  <c:v>0.96050208982017549</c:v>
                </c:pt>
                <c:pt idx="897">
                  <c:v>0.94822825501927599</c:v>
                </c:pt>
                <c:pt idx="898">
                  <c:v>0.96927188691136101</c:v>
                </c:pt>
                <c:pt idx="899">
                  <c:v>0.92925241979568318</c:v>
                </c:pt>
                <c:pt idx="900">
                  <c:v>0.9389512724355682</c:v>
                </c:pt>
                <c:pt idx="901">
                  <c:v>0.91031753661285131</c:v>
                </c:pt>
                <c:pt idx="902">
                  <c:v>0.94606134890277582</c:v>
                </c:pt>
                <c:pt idx="903">
                  <c:v>0.9343050870587033</c:v>
                </c:pt>
                <c:pt idx="904">
                  <c:v>0.9211986458125303</c:v>
                </c:pt>
                <c:pt idx="905">
                  <c:v>0.96474508960930971</c:v>
                </c:pt>
                <c:pt idx="906">
                  <c:v>0.96569547129662725</c:v>
                </c:pt>
                <c:pt idx="907">
                  <c:v>0.9600312723785398</c:v>
                </c:pt>
                <c:pt idx="908">
                  <c:v>0.94655219430081183</c:v>
                </c:pt>
                <c:pt idx="909">
                  <c:v>0.97627924773993713</c:v>
                </c:pt>
                <c:pt idx="910">
                  <c:v>0.95409739621097445</c:v>
                </c:pt>
                <c:pt idx="911">
                  <c:v>0.94891695230279605</c:v>
                </c:pt>
                <c:pt idx="912">
                  <c:v>0.94713550146459258</c:v>
                </c:pt>
                <c:pt idx="913">
                  <c:v>0.90725243794215471</c:v>
                </c:pt>
                <c:pt idx="914">
                  <c:v>0.95233533621709066</c:v>
                </c:pt>
                <c:pt idx="915">
                  <c:v>0.93027243812904126</c:v>
                </c:pt>
                <c:pt idx="916">
                  <c:v>0.88153564603564105</c:v>
                </c:pt>
                <c:pt idx="917">
                  <c:v>0.92211916779287173</c:v>
                </c:pt>
                <c:pt idx="918">
                  <c:v>0.97036793753142825</c:v>
                </c:pt>
                <c:pt idx="919">
                  <c:v>0.93795371518626813</c:v>
                </c:pt>
                <c:pt idx="920">
                  <c:v>0.93783655954991296</c:v>
                </c:pt>
                <c:pt idx="921">
                  <c:v>0.93124380151041564</c:v>
                </c:pt>
                <c:pt idx="922">
                  <c:v>0.93636314152023292</c:v>
                </c:pt>
                <c:pt idx="923">
                  <c:v>0.94937710646802742</c:v>
                </c:pt>
                <c:pt idx="924">
                  <c:v>0.96339058715843051</c:v>
                </c:pt>
                <c:pt idx="925">
                  <c:v>0.94746469734882122</c:v>
                </c:pt>
                <c:pt idx="926">
                  <c:v>0.89818444500163441</c:v>
                </c:pt>
                <c:pt idx="927">
                  <c:v>0.93750161730854498</c:v>
                </c:pt>
                <c:pt idx="928">
                  <c:v>0.93072925956182062</c:v>
                </c:pt>
                <c:pt idx="929">
                  <c:v>0.95731000051776283</c:v>
                </c:pt>
                <c:pt idx="930">
                  <c:v>0.93849567703644543</c:v>
                </c:pt>
                <c:pt idx="931">
                  <c:v>0.94866502957363297</c:v>
                </c:pt>
                <c:pt idx="932">
                  <c:v>0.94707833449373158</c:v>
                </c:pt>
                <c:pt idx="933">
                  <c:v>0.96015537556049058</c:v>
                </c:pt>
                <c:pt idx="934">
                  <c:v>0.93528661443028527</c:v>
                </c:pt>
                <c:pt idx="935">
                  <c:v>0.96522122577439273</c:v>
                </c:pt>
                <c:pt idx="936">
                  <c:v>0.88002096363376803</c:v>
                </c:pt>
                <c:pt idx="937">
                  <c:v>0.95121135155342795</c:v>
                </c:pt>
                <c:pt idx="938">
                  <c:v>0.93738934740494928</c:v>
                </c:pt>
                <c:pt idx="939">
                  <c:v>0.91268889462757552</c:v>
                </c:pt>
                <c:pt idx="940">
                  <c:v>0.92153470134525606</c:v>
                </c:pt>
                <c:pt idx="941">
                  <c:v>0.93526025874827445</c:v>
                </c:pt>
                <c:pt idx="942">
                  <c:v>0.92642063773433203</c:v>
                </c:pt>
                <c:pt idx="943">
                  <c:v>0.96356352436706738</c:v>
                </c:pt>
                <c:pt idx="944">
                  <c:v>0.8883575354930946</c:v>
                </c:pt>
                <c:pt idx="945">
                  <c:v>0.92062019637718362</c:v>
                </c:pt>
                <c:pt idx="946">
                  <c:v>0.96242258564223437</c:v>
                </c:pt>
                <c:pt idx="947">
                  <c:v>0.95014018505757258</c:v>
                </c:pt>
                <c:pt idx="948">
                  <c:v>0.96292857228364304</c:v>
                </c:pt>
                <c:pt idx="949">
                  <c:v>0.92231971877913232</c:v>
                </c:pt>
                <c:pt idx="950">
                  <c:v>0.93006519851476277</c:v>
                </c:pt>
                <c:pt idx="951">
                  <c:v>0.92767388955106167</c:v>
                </c:pt>
                <c:pt idx="952">
                  <c:v>0.91845664182553854</c:v>
                </c:pt>
                <c:pt idx="953">
                  <c:v>0.93869339878185509</c:v>
                </c:pt>
                <c:pt idx="954">
                  <c:v>0.97401233237585205</c:v>
                </c:pt>
                <c:pt idx="955">
                  <c:v>0.91086266255005466</c:v>
                </c:pt>
                <c:pt idx="956">
                  <c:v>0.92227116600429171</c:v>
                </c:pt>
                <c:pt idx="957">
                  <c:v>0.947851026091169</c:v>
                </c:pt>
                <c:pt idx="958">
                  <c:v>0.94741190833015421</c:v>
                </c:pt>
                <c:pt idx="959">
                  <c:v>0.94771162033152367</c:v>
                </c:pt>
                <c:pt idx="960">
                  <c:v>0.92299030680649519</c:v>
                </c:pt>
                <c:pt idx="961">
                  <c:v>0.94843660715285649</c:v>
                </c:pt>
                <c:pt idx="962">
                  <c:v>0.94115885002961253</c:v>
                </c:pt>
                <c:pt idx="963">
                  <c:v>0.9549236685431759</c:v>
                </c:pt>
                <c:pt idx="964">
                  <c:v>0.92937761869582203</c:v>
                </c:pt>
                <c:pt idx="965">
                  <c:v>0.95373696397274799</c:v>
                </c:pt>
                <c:pt idx="966">
                  <c:v>0.91534810712721526</c:v>
                </c:pt>
                <c:pt idx="967">
                  <c:v>0.92995192945776817</c:v>
                </c:pt>
                <c:pt idx="968">
                  <c:v>0.93186441746383042</c:v>
                </c:pt>
                <c:pt idx="969">
                  <c:v>0.94060356011742208</c:v>
                </c:pt>
                <c:pt idx="970">
                  <c:v>0.95918944958576913</c:v>
                </c:pt>
                <c:pt idx="971">
                  <c:v>0.94162276592420535</c:v>
                </c:pt>
                <c:pt idx="972">
                  <c:v>0.91361483960582834</c:v>
                </c:pt>
                <c:pt idx="973">
                  <c:v>0.96212610546397581</c:v>
                </c:pt>
                <c:pt idx="974">
                  <c:v>0.9796613590742913</c:v>
                </c:pt>
                <c:pt idx="975">
                  <c:v>0.9214637246017634</c:v>
                </c:pt>
                <c:pt idx="976">
                  <c:v>0.91370192901496372</c:v>
                </c:pt>
                <c:pt idx="977">
                  <c:v>0.95944871955550037</c:v>
                </c:pt>
                <c:pt idx="978">
                  <c:v>0.96256219773954976</c:v>
                </c:pt>
                <c:pt idx="979">
                  <c:v>0.93778317674350298</c:v>
                </c:pt>
                <c:pt idx="980">
                  <c:v>0.9271311445217626</c:v>
                </c:pt>
                <c:pt idx="981">
                  <c:v>0.96873220509823166</c:v>
                </c:pt>
                <c:pt idx="982">
                  <c:v>0.95079745148851091</c:v>
                </c:pt>
                <c:pt idx="983">
                  <c:v>0.95292659740950947</c:v>
                </c:pt>
                <c:pt idx="984">
                  <c:v>0.90687051991326961</c:v>
                </c:pt>
                <c:pt idx="985">
                  <c:v>0.93048443788642721</c:v>
                </c:pt>
                <c:pt idx="986">
                  <c:v>0.96663925008135521</c:v>
                </c:pt>
                <c:pt idx="987">
                  <c:v>0.91714198621393639</c:v>
                </c:pt>
                <c:pt idx="988">
                  <c:v>0.96735560487119399</c:v>
                </c:pt>
                <c:pt idx="989">
                  <c:v>0.98575940079571311</c:v>
                </c:pt>
                <c:pt idx="990">
                  <c:v>0.96754841733420194</c:v>
                </c:pt>
                <c:pt idx="991">
                  <c:v>0.93417958405022317</c:v>
                </c:pt>
                <c:pt idx="992">
                  <c:v>0.91043095256055628</c:v>
                </c:pt>
                <c:pt idx="993">
                  <c:v>0.95076118797444042</c:v>
                </c:pt>
                <c:pt idx="994">
                  <c:v>0.95451103066657472</c:v>
                </c:pt>
                <c:pt idx="995">
                  <c:v>0.93091900865622912</c:v>
                </c:pt>
                <c:pt idx="996">
                  <c:v>0.88091460022166235</c:v>
                </c:pt>
                <c:pt idx="997">
                  <c:v>0.94218809302855266</c:v>
                </c:pt>
                <c:pt idx="998">
                  <c:v>0.94540347023169446</c:v>
                </c:pt>
                <c:pt idx="999">
                  <c:v>0.95157357757179983</c:v>
                </c:pt>
              </c:numCache>
            </c:numRef>
          </c:xVal>
          <c:yVal>
            <c:numRef>
              <c:f>'MC Results'!$H$8:$H$1007</c:f>
              <c:numCache>
                <c:formatCode>"$"#,##0</c:formatCode>
                <c:ptCount val="1000"/>
                <c:pt idx="0">
                  <c:v>11490.582677844788</c:v>
                </c:pt>
                <c:pt idx="1">
                  <c:v>10083.087730507898</c:v>
                </c:pt>
                <c:pt idx="2">
                  <c:v>11320.168727339784</c:v>
                </c:pt>
                <c:pt idx="3">
                  <c:v>11346.229708712704</c:v>
                </c:pt>
                <c:pt idx="4">
                  <c:v>9555.7119239135609</c:v>
                </c:pt>
                <c:pt idx="5">
                  <c:v>8949.7479296291003</c:v>
                </c:pt>
                <c:pt idx="6">
                  <c:v>8981.1008003198112</c:v>
                </c:pt>
                <c:pt idx="7">
                  <c:v>9344.5145718592303</c:v>
                </c:pt>
                <c:pt idx="8">
                  <c:v>10012.127736824232</c:v>
                </c:pt>
                <c:pt idx="9">
                  <c:v>11572.520543759658</c:v>
                </c:pt>
                <c:pt idx="10">
                  <c:v>9282.1580100158099</c:v>
                </c:pt>
                <c:pt idx="11">
                  <c:v>8712.3560836705128</c:v>
                </c:pt>
                <c:pt idx="12">
                  <c:v>8944.2052044036645</c:v>
                </c:pt>
                <c:pt idx="13">
                  <c:v>11707.146013787022</c:v>
                </c:pt>
                <c:pt idx="14">
                  <c:v>9073.817965974371</c:v>
                </c:pt>
                <c:pt idx="15">
                  <c:v>7327.3205865707596</c:v>
                </c:pt>
                <c:pt idx="16">
                  <c:v>9239.4301205374231</c:v>
                </c:pt>
                <c:pt idx="17">
                  <c:v>7902.7351184366162</c:v>
                </c:pt>
                <c:pt idx="18">
                  <c:v>9595.9158826729872</c:v>
                </c:pt>
                <c:pt idx="19">
                  <c:v>8934.5339105371731</c:v>
                </c:pt>
                <c:pt idx="20">
                  <c:v>8970.318105107639</c:v>
                </c:pt>
                <c:pt idx="21">
                  <c:v>8797.1970635249072</c:v>
                </c:pt>
                <c:pt idx="22">
                  <c:v>8636.7892307058537</c:v>
                </c:pt>
                <c:pt idx="23">
                  <c:v>7500.7382928937222</c:v>
                </c:pt>
                <c:pt idx="24">
                  <c:v>8158.2152735787031</c:v>
                </c:pt>
                <c:pt idx="25">
                  <c:v>11833.584320088066</c:v>
                </c:pt>
                <c:pt idx="26">
                  <c:v>9434.2527408957885</c:v>
                </c:pt>
                <c:pt idx="27">
                  <c:v>9512.3193994145531</c:v>
                </c:pt>
                <c:pt idx="28">
                  <c:v>8795.8284097453816</c:v>
                </c:pt>
                <c:pt idx="29">
                  <c:v>9038.1071334582011</c:v>
                </c:pt>
                <c:pt idx="30">
                  <c:v>9782.0734508611713</c:v>
                </c:pt>
                <c:pt idx="31">
                  <c:v>9276.071414297794</c:v>
                </c:pt>
                <c:pt idx="32">
                  <c:v>9602.9073468412516</c:v>
                </c:pt>
                <c:pt idx="33">
                  <c:v>10987.411041971664</c:v>
                </c:pt>
                <c:pt idx="34">
                  <c:v>7950.9631021237301</c:v>
                </c:pt>
                <c:pt idx="35">
                  <c:v>10171.634192874622</c:v>
                </c:pt>
                <c:pt idx="36">
                  <c:v>7150.0658883678252</c:v>
                </c:pt>
                <c:pt idx="37">
                  <c:v>10153.990958358901</c:v>
                </c:pt>
                <c:pt idx="38">
                  <c:v>11051.908873582122</c:v>
                </c:pt>
                <c:pt idx="39">
                  <c:v>9947.1924993580869</c:v>
                </c:pt>
                <c:pt idx="40">
                  <c:v>8004.3794601281834</c:v>
                </c:pt>
                <c:pt idx="41">
                  <c:v>7816.1441412845361</c:v>
                </c:pt>
                <c:pt idx="42">
                  <c:v>8710.8014847803261</c:v>
                </c:pt>
                <c:pt idx="43">
                  <c:v>8937.1300141832253</c:v>
                </c:pt>
                <c:pt idx="44">
                  <c:v>9645.1192773815746</c:v>
                </c:pt>
                <c:pt idx="45">
                  <c:v>10229.992013181383</c:v>
                </c:pt>
                <c:pt idx="46">
                  <c:v>10504.835246832461</c:v>
                </c:pt>
                <c:pt idx="47">
                  <c:v>9698.5791025199451</c:v>
                </c:pt>
                <c:pt idx="48">
                  <c:v>7435.4876144724512</c:v>
                </c:pt>
                <c:pt idx="49">
                  <c:v>10966.964542668089</c:v>
                </c:pt>
                <c:pt idx="50">
                  <c:v>10140.766746071584</c:v>
                </c:pt>
                <c:pt idx="51">
                  <c:v>9294.9709122100121</c:v>
                </c:pt>
                <c:pt idx="52">
                  <c:v>8307.5790385959881</c:v>
                </c:pt>
                <c:pt idx="53">
                  <c:v>8093.3062177043021</c:v>
                </c:pt>
                <c:pt idx="54">
                  <c:v>8940.3615064808691</c:v>
                </c:pt>
                <c:pt idx="55">
                  <c:v>10699.354542303327</c:v>
                </c:pt>
                <c:pt idx="56">
                  <c:v>9524.0392055364155</c:v>
                </c:pt>
                <c:pt idx="57">
                  <c:v>10585.410003742129</c:v>
                </c:pt>
                <c:pt idx="58">
                  <c:v>7973.5568021239878</c:v>
                </c:pt>
                <c:pt idx="59">
                  <c:v>9941.4284531943522</c:v>
                </c:pt>
                <c:pt idx="60">
                  <c:v>9063.1082508536547</c:v>
                </c:pt>
                <c:pt idx="61">
                  <c:v>8361.5381918872263</c:v>
                </c:pt>
                <c:pt idx="62">
                  <c:v>8836.0418393794716</c:v>
                </c:pt>
                <c:pt idx="63">
                  <c:v>8643.2712941585596</c:v>
                </c:pt>
                <c:pt idx="64">
                  <c:v>8414.0452956319423</c:v>
                </c:pt>
                <c:pt idx="65">
                  <c:v>9154.4611868641114</c:v>
                </c:pt>
                <c:pt idx="66">
                  <c:v>6594.2446128653037</c:v>
                </c:pt>
                <c:pt idx="67">
                  <c:v>7979.7316048662187</c:v>
                </c:pt>
                <c:pt idx="68">
                  <c:v>9389.0448831890008</c:v>
                </c:pt>
                <c:pt idx="69">
                  <c:v>10416.529132567241</c:v>
                </c:pt>
                <c:pt idx="70">
                  <c:v>10277.068757051065</c:v>
                </c:pt>
                <c:pt idx="71">
                  <c:v>8921.6938178081109</c:v>
                </c:pt>
                <c:pt idx="72">
                  <c:v>9677.0457108882765</c:v>
                </c:pt>
                <c:pt idx="73">
                  <c:v>8206.2960253290221</c:v>
                </c:pt>
                <c:pt idx="74">
                  <c:v>9956.9563774425769</c:v>
                </c:pt>
                <c:pt idx="75">
                  <c:v>8898.6288484172728</c:v>
                </c:pt>
                <c:pt idx="76">
                  <c:v>8928.8876470738105</c:v>
                </c:pt>
                <c:pt idx="77">
                  <c:v>9916.4608582014171</c:v>
                </c:pt>
                <c:pt idx="78">
                  <c:v>9055.8817071194644</c:v>
                </c:pt>
                <c:pt idx="79">
                  <c:v>9510.9703472687979</c:v>
                </c:pt>
                <c:pt idx="80">
                  <c:v>8877.1595650438703</c:v>
                </c:pt>
                <c:pt idx="81">
                  <c:v>9491.7463269026975</c:v>
                </c:pt>
                <c:pt idx="82">
                  <c:v>9614.9133878722478</c:v>
                </c:pt>
                <c:pt idx="83">
                  <c:v>9004.7921058639949</c:v>
                </c:pt>
                <c:pt idx="84">
                  <c:v>7921.6506048941446</c:v>
                </c:pt>
                <c:pt idx="85">
                  <c:v>10033.740399341063</c:v>
                </c:pt>
                <c:pt idx="86">
                  <c:v>7128.3024830761369</c:v>
                </c:pt>
                <c:pt idx="87">
                  <c:v>9416.9015965391554</c:v>
                </c:pt>
                <c:pt idx="88">
                  <c:v>8315.8280756171844</c:v>
                </c:pt>
                <c:pt idx="89">
                  <c:v>10970.116227038705</c:v>
                </c:pt>
                <c:pt idx="90">
                  <c:v>8072.8891616034252</c:v>
                </c:pt>
                <c:pt idx="91">
                  <c:v>8205.3436261243041</c:v>
                </c:pt>
                <c:pt idx="92">
                  <c:v>7125.0348487635629</c:v>
                </c:pt>
                <c:pt idx="93">
                  <c:v>9500.558978302759</c:v>
                </c:pt>
                <c:pt idx="94">
                  <c:v>10833.590775623466</c:v>
                </c:pt>
                <c:pt idx="95">
                  <c:v>8217.5060087534675</c:v>
                </c:pt>
                <c:pt idx="96">
                  <c:v>9580.4132405590153</c:v>
                </c:pt>
                <c:pt idx="97">
                  <c:v>11919.362173673206</c:v>
                </c:pt>
                <c:pt idx="98">
                  <c:v>10879.245752903436</c:v>
                </c:pt>
                <c:pt idx="99">
                  <c:v>10168.889929625453</c:v>
                </c:pt>
                <c:pt idx="100">
                  <c:v>8152.7539694497127</c:v>
                </c:pt>
                <c:pt idx="101">
                  <c:v>11230.954203934069</c:v>
                </c:pt>
                <c:pt idx="102">
                  <c:v>10590.792739517887</c:v>
                </c:pt>
                <c:pt idx="103">
                  <c:v>11796.649403593743</c:v>
                </c:pt>
                <c:pt idx="104">
                  <c:v>7954.9564291478191</c:v>
                </c:pt>
                <c:pt idx="105">
                  <c:v>9936.9824292007088</c:v>
                </c:pt>
                <c:pt idx="106">
                  <c:v>8980.2578659414648</c:v>
                </c:pt>
                <c:pt idx="107">
                  <c:v>8472.1425008795413</c:v>
                </c:pt>
                <c:pt idx="108">
                  <c:v>10250.713120970129</c:v>
                </c:pt>
                <c:pt idx="109">
                  <c:v>9165.2055096842323</c:v>
                </c:pt>
                <c:pt idx="110">
                  <c:v>10703.77464326056</c:v>
                </c:pt>
                <c:pt idx="111">
                  <c:v>9043.3792012534086</c:v>
                </c:pt>
                <c:pt idx="112">
                  <c:v>8865.392307164595</c:v>
                </c:pt>
                <c:pt idx="113">
                  <c:v>7492.2435634983167</c:v>
                </c:pt>
                <c:pt idx="114">
                  <c:v>7954.5369651858837</c:v>
                </c:pt>
                <c:pt idx="115">
                  <c:v>10555.270106737598</c:v>
                </c:pt>
                <c:pt idx="116">
                  <c:v>10930.619726701958</c:v>
                </c:pt>
                <c:pt idx="117">
                  <c:v>10534.762766870013</c:v>
                </c:pt>
                <c:pt idx="118">
                  <c:v>9577.3675710583375</c:v>
                </c:pt>
                <c:pt idx="119">
                  <c:v>8955.39788577933</c:v>
                </c:pt>
                <c:pt idx="120">
                  <c:v>7792.7002333731107</c:v>
                </c:pt>
                <c:pt idx="121">
                  <c:v>12987.382386976913</c:v>
                </c:pt>
                <c:pt idx="122">
                  <c:v>8822.4212233496946</c:v>
                </c:pt>
                <c:pt idx="123">
                  <c:v>8903.6989028300322</c:v>
                </c:pt>
                <c:pt idx="124">
                  <c:v>8263.2466164979251</c:v>
                </c:pt>
                <c:pt idx="125">
                  <c:v>9719.6389229154665</c:v>
                </c:pt>
                <c:pt idx="126">
                  <c:v>8980.6002280710309</c:v>
                </c:pt>
                <c:pt idx="127">
                  <c:v>11515.758540770605</c:v>
                </c:pt>
                <c:pt idx="128">
                  <c:v>8533.1292276194417</c:v>
                </c:pt>
                <c:pt idx="129">
                  <c:v>11712.70582170114</c:v>
                </c:pt>
                <c:pt idx="130">
                  <c:v>9498.2652296474171</c:v>
                </c:pt>
                <c:pt idx="131">
                  <c:v>8806.7705737691995</c:v>
                </c:pt>
                <c:pt idx="132">
                  <c:v>8473.3320962997786</c:v>
                </c:pt>
                <c:pt idx="133">
                  <c:v>13194.25272976156</c:v>
                </c:pt>
                <c:pt idx="134">
                  <c:v>8666.3259162198337</c:v>
                </c:pt>
                <c:pt idx="135">
                  <c:v>8483.5071185972229</c:v>
                </c:pt>
                <c:pt idx="136">
                  <c:v>8802.9453902474179</c:v>
                </c:pt>
                <c:pt idx="137">
                  <c:v>9545.2008883436829</c:v>
                </c:pt>
                <c:pt idx="138">
                  <c:v>9529.6631279688536</c:v>
                </c:pt>
                <c:pt idx="139">
                  <c:v>10052.913812203762</c:v>
                </c:pt>
                <c:pt idx="140">
                  <c:v>7838.777123013997</c:v>
                </c:pt>
                <c:pt idx="141">
                  <c:v>10369.657970635772</c:v>
                </c:pt>
                <c:pt idx="142">
                  <c:v>8242.6046591469531</c:v>
                </c:pt>
                <c:pt idx="143">
                  <c:v>8975.0260808553885</c:v>
                </c:pt>
                <c:pt idx="144">
                  <c:v>10975.343176950111</c:v>
                </c:pt>
                <c:pt idx="145">
                  <c:v>7051.5154009028502</c:v>
                </c:pt>
                <c:pt idx="146">
                  <c:v>10257.262420003195</c:v>
                </c:pt>
                <c:pt idx="147">
                  <c:v>11239.562546102536</c:v>
                </c:pt>
                <c:pt idx="148">
                  <c:v>9579.5564953823396</c:v>
                </c:pt>
                <c:pt idx="149">
                  <c:v>10748.525624164889</c:v>
                </c:pt>
                <c:pt idx="150">
                  <c:v>8507.9733001348104</c:v>
                </c:pt>
                <c:pt idx="151">
                  <c:v>8748.176366239446</c:v>
                </c:pt>
                <c:pt idx="152">
                  <c:v>9712.9317147139827</c:v>
                </c:pt>
                <c:pt idx="153">
                  <c:v>8894.461048185969</c:v>
                </c:pt>
                <c:pt idx="154">
                  <c:v>8957.5113700407965</c:v>
                </c:pt>
                <c:pt idx="155">
                  <c:v>8785.709554228124</c:v>
                </c:pt>
                <c:pt idx="156">
                  <c:v>10689.132420362816</c:v>
                </c:pt>
                <c:pt idx="157">
                  <c:v>7955.4653707675179</c:v>
                </c:pt>
                <c:pt idx="158">
                  <c:v>8188.3820759383661</c:v>
                </c:pt>
                <c:pt idx="159">
                  <c:v>9791.3189758276403</c:v>
                </c:pt>
                <c:pt idx="160">
                  <c:v>10749.944872661037</c:v>
                </c:pt>
                <c:pt idx="161">
                  <c:v>7967.9565590693865</c:v>
                </c:pt>
                <c:pt idx="162">
                  <c:v>8062.6543676084211</c:v>
                </c:pt>
                <c:pt idx="163">
                  <c:v>8967.5917832101768</c:v>
                </c:pt>
                <c:pt idx="164">
                  <c:v>9226.8700651745094</c:v>
                </c:pt>
                <c:pt idx="165">
                  <c:v>9207.7577761663342</c:v>
                </c:pt>
                <c:pt idx="166">
                  <c:v>12952.815751522354</c:v>
                </c:pt>
                <c:pt idx="167">
                  <c:v>8683.2793348916093</c:v>
                </c:pt>
                <c:pt idx="168">
                  <c:v>10022.169243101376</c:v>
                </c:pt>
                <c:pt idx="169">
                  <c:v>9177.0759528897015</c:v>
                </c:pt>
                <c:pt idx="170">
                  <c:v>9256.3536617458285</c:v>
                </c:pt>
                <c:pt idx="171">
                  <c:v>9193.3529016126522</c:v>
                </c:pt>
                <c:pt idx="172">
                  <c:v>7178.0430851140609</c:v>
                </c:pt>
                <c:pt idx="173">
                  <c:v>11799.952353558405</c:v>
                </c:pt>
                <c:pt idx="174">
                  <c:v>10544.469141657913</c:v>
                </c:pt>
                <c:pt idx="175">
                  <c:v>10219.500187691461</c:v>
                </c:pt>
                <c:pt idx="176">
                  <c:v>10214.301259659342</c:v>
                </c:pt>
                <c:pt idx="177">
                  <c:v>8193.5954923291119</c:v>
                </c:pt>
                <c:pt idx="178">
                  <c:v>8062.1841754508714</c:v>
                </c:pt>
                <c:pt idx="179">
                  <c:v>8138.0353459224943</c:v>
                </c:pt>
                <c:pt idx="180">
                  <c:v>9015.1938208507199</c:v>
                </c:pt>
                <c:pt idx="181">
                  <c:v>8280.6507154062874</c:v>
                </c:pt>
                <c:pt idx="182">
                  <c:v>8711.7435452428272</c:v>
                </c:pt>
                <c:pt idx="183">
                  <c:v>7953.0920667732853</c:v>
                </c:pt>
                <c:pt idx="184">
                  <c:v>9720.7508410035134</c:v>
                </c:pt>
                <c:pt idx="185">
                  <c:v>11136.74714712117</c:v>
                </c:pt>
                <c:pt idx="186">
                  <c:v>9657.5897862025995</c:v>
                </c:pt>
                <c:pt idx="187">
                  <c:v>11857.130492566726</c:v>
                </c:pt>
                <c:pt idx="188">
                  <c:v>9294.2493890517471</c:v>
                </c:pt>
                <c:pt idx="189">
                  <c:v>9225.3261094602058</c:v>
                </c:pt>
                <c:pt idx="190">
                  <c:v>8110.1201072768436</c:v>
                </c:pt>
                <c:pt idx="191">
                  <c:v>8265.5141983062385</c:v>
                </c:pt>
                <c:pt idx="192">
                  <c:v>11282.829296901858</c:v>
                </c:pt>
                <c:pt idx="193">
                  <c:v>8620.5602613623341</c:v>
                </c:pt>
                <c:pt idx="194">
                  <c:v>9710.6988643064942</c:v>
                </c:pt>
                <c:pt idx="195">
                  <c:v>11213.502451375367</c:v>
                </c:pt>
                <c:pt idx="196">
                  <c:v>7447.640344481455</c:v>
                </c:pt>
                <c:pt idx="197">
                  <c:v>9771.6682312203138</c:v>
                </c:pt>
                <c:pt idx="198">
                  <c:v>8091.6417324857384</c:v>
                </c:pt>
                <c:pt idx="199">
                  <c:v>8702.9506212983924</c:v>
                </c:pt>
                <c:pt idx="200">
                  <c:v>10109.634890175408</c:v>
                </c:pt>
                <c:pt idx="201">
                  <c:v>9023.0914066896003</c:v>
                </c:pt>
                <c:pt idx="202">
                  <c:v>10565.018847167266</c:v>
                </c:pt>
                <c:pt idx="203">
                  <c:v>7109.7781243014451</c:v>
                </c:pt>
                <c:pt idx="204">
                  <c:v>9523.1182559670542</c:v>
                </c:pt>
                <c:pt idx="205">
                  <c:v>9110.5811319568002</c:v>
                </c:pt>
                <c:pt idx="206">
                  <c:v>10194.068737297737</c:v>
                </c:pt>
                <c:pt idx="207">
                  <c:v>9452.2216676836779</c:v>
                </c:pt>
                <c:pt idx="208">
                  <c:v>9394.3324860176581</c:v>
                </c:pt>
                <c:pt idx="209">
                  <c:v>9878.6757482612684</c:v>
                </c:pt>
                <c:pt idx="210">
                  <c:v>9295.0100631158275</c:v>
                </c:pt>
                <c:pt idx="211">
                  <c:v>9624.6924009916293</c:v>
                </c:pt>
                <c:pt idx="212">
                  <c:v>9271.762761731241</c:v>
                </c:pt>
                <c:pt idx="213">
                  <c:v>7664.154759118157</c:v>
                </c:pt>
                <c:pt idx="214">
                  <c:v>10953.316126818017</c:v>
                </c:pt>
                <c:pt idx="215">
                  <c:v>9171.7702013293874</c:v>
                </c:pt>
                <c:pt idx="216">
                  <c:v>10449.494145626439</c:v>
                </c:pt>
                <c:pt idx="217">
                  <c:v>9793.96116993953</c:v>
                </c:pt>
                <c:pt idx="218">
                  <c:v>8556.257983754007</c:v>
                </c:pt>
                <c:pt idx="219">
                  <c:v>8858.7364987096717</c:v>
                </c:pt>
                <c:pt idx="220">
                  <c:v>9369.2208918870929</c:v>
                </c:pt>
                <c:pt idx="221">
                  <c:v>9731.0334021682083</c:v>
                </c:pt>
                <c:pt idx="222">
                  <c:v>10062.974327831613</c:v>
                </c:pt>
                <c:pt idx="223">
                  <c:v>7747.5987803479566</c:v>
                </c:pt>
                <c:pt idx="224">
                  <c:v>10743.588041972291</c:v>
                </c:pt>
                <c:pt idx="225">
                  <c:v>10368.155371865012</c:v>
                </c:pt>
                <c:pt idx="226">
                  <c:v>9101.4953987571207</c:v>
                </c:pt>
                <c:pt idx="227">
                  <c:v>9709.7726244051264</c:v>
                </c:pt>
                <c:pt idx="228">
                  <c:v>8741.7658350912625</c:v>
                </c:pt>
                <c:pt idx="229">
                  <c:v>11106.160520300942</c:v>
                </c:pt>
                <c:pt idx="230">
                  <c:v>8892.8878762480235</c:v>
                </c:pt>
                <c:pt idx="231">
                  <c:v>10689.549523134196</c:v>
                </c:pt>
                <c:pt idx="232">
                  <c:v>10124.114877845373</c:v>
                </c:pt>
                <c:pt idx="233">
                  <c:v>7775.9853398498271</c:v>
                </c:pt>
                <c:pt idx="234">
                  <c:v>11478.452101313656</c:v>
                </c:pt>
                <c:pt idx="235">
                  <c:v>11430.399253793557</c:v>
                </c:pt>
                <c:pt idx="236">
                  <c:v>10168.006162744081</c:v>
                </c:pt>
                <c:pt idx="237">
                  <c:v>9127.6109657686557</c:v>
                </c:pt>
                <c:pt idx="238">
                  <c:v>8585.8739603183967</c:v>
                </c:pt>
                <c:pt idx="239">
                  <c:v>8021.9836618033187</c:v>
                </c:pt>
                <c:pt idx="240">
                  <c:v>8724.8577001156609</c:v>
                </c:pt>
                <c:pt idx="241">
                  <c:v>9821.8226075160183</c:v>
                </c:pt>
                <c:pt idx="242">
                  <c:v>8076.4413717676262</c:v>
                </c:pt>
                <c:pt idx="243">
                  <c:v>9386.8060402930769</c:v>
                </c:pt>
                <c:pt idx="244">
                  <c:v>11613.894862168605</c:v>
                </c:pt>
                <c:pt idx="245">
                  <c:v>7571.7617528438741</c:v>
                </c:pt>
                <c:pt idx="246">
                  <c:v>9999.4882560191472</c:v>
                </c:pt>
                <c:pt idx="247">
                  <c:v>10087.677726009533</c:v>
                </c:pt>
                <c:pt idx="248">
                  <c:v>8079.4987646082882</c:v>
                </c:pt>
                <c:pt idx="249">
                  <c:v>9542.3349897506323</c:v>
                </c:pt>
                <c:pt idx="250">
                  <c:v>11788.971228015678</c:v>
                </c:pt>
                <c:pt idx="251">
                  <c:v>10317.023265086094</c:v>
                </c:pt>
                <c:pt idx="252">
                  <c:v>10772.769622821901</c:v>
                </c:pt>
                <c:pt idx="253">
                  <c:v>9569.1101066952288</c:v>
                </c:pt>
                <c:pt idx="254">
                  <c:v>10716.062982223219</c:v>
                </c:pt>
                <c:pt idx="255">
                  <c:v>9015.9475034627903</c:v>
                </c:pt>
                <c:pt idx="256">
                  <c:v>7257.7561041826102</c:v>
                </c:pt>
                <c:pt idx="257">
                  <c:v>9548.4243401857166</c:v>
                </c:pt>
                <c:pt idx="258">
                  <c:v>8791.7896629110674</c:v>
                </c:pt>
                <c:pt idx="259">
                  <c:v>9253.1525873690916</c:v>
                </c:pt>
                <c:pt idx="260">
                  <c:v>10963.503928712165</c:v>
                </c:pt>
                <c:pt idx="261">
                  <c:v>12744.380133633096</c:v>
                </c:pt>
                <c:pt idx="262">
                  <c:v>9850.1948064333046</c:v>
                </c:pt>
                <c:pt idx="263">
                  <c:v>6658.5860641725194</c:v>
                </c:pt>
                <c:pt idx="264">
                  <c:v>8923.128339407509</c:v>
                </c:pt>
                <c:pt idx="265">
                  <c:v>10258.581102236394</c:v>
                </c:pt>
                <c:pt idx="266">
                  <c:v>10676.370645484954</c:v>
                </c:pt>
                <c:pt idx="267">
                  <c:v>8910.7299171604282</c:v>
                </c:pt>
                <c:pt idx="268">
                  <c:v>7544.8535171421627</c:v>
                </c:pt>
                <c:pt idx="269">
                  <c:v>8111.2465674765926</c:v>
                </c:pt>
                <c:pt idx="270">
                  <c:v>9828.1907501149908</c:v>
                </c:pt>
                <c:pt idx="271">
                  <c:v>8349.897330721753</c:v>
                </c:pt>
                <c:pt idx="272">
                  <c:v>9231.5001649109417</c:v>
                </c:pt>
                <c:pt idx="273">
                  <c:v>8787.8175923936506</c:v>
                </c:pt>
                <c:pt idx="274">
                  <c:v>9205.0503548380202</c:v>
                </c:pt>
                <c:pt idx="275">
                  <c:v>8367.633096333213</c:v>
                </c:pt>
                <c:pt idx="276">
                  <c:v>9405.0547005150311</c:v>
                </c:pt>
                <c:pt idx="277">
                  <c:v>8490.0990277222336</c:v>
                </c:pt>
                <c:pt idx="278">
                  <c:v>9190.7086790813737</c:v>
                </c:pt>
                <c:pt idx="279">
                  <c:v>7920.1204460542685</c:v>
                </c:pt>
                <c:pt idx="280">
                  <c:v>8185.516602053156</c:v>
                </c:pt>
                <c:pt idx="281">
                  <c:v>8355.6251200771349</c:v>
                </c:pt>
                <c:pt idx="282">
                  <c:v>10043.030466855967</c:v>
                </c:pt>
                <c:pt idx="283">
                  <c:v>10314.748677848427</c:v>
                </c:pt>
                <c:pt idx="284">
                  <c:v>9707.9488603411501</c:v>
                </c:pt>
                <c:pt idx="285">
                  <c:v>11103.208874555525</c:v>
                </c:pt>
                <c:pt idx="286">
                  <c:v>10397.237745084387</c:v>
                </c:pt>
                <c:pt idx="287">
                  <c:v>9316.2718457797982</c:v>
                </c:pt>
                <c:pt idx="288">
                  <c:v>10117.893029105331</c:v>
                </c:pt>
                <c:pt idx="289">
                  <c:v>9497.9201612071247</c:v>
                </c:pt>
                <c:pt idx="290">
                  <c:v>9911.9560381035717</c:v>
                </c:pt>
                <c:pt idx="291">
                  <c:v>10578.578925297745</c:v>
                </c:pt>
                <c:pt idx="292">
                  <c:v>9307.3753876361934</c:v>
                </c:pt>
                <c:pt idx="293">
                  <c:v>7932.1740276476858</c:v>
                </c:pt>
                <c:pt idx="294">
                  <c:v>12052.025273001569</c:v>
                </c:pt>
                <c:pt idx="295">
                  <c:v>8809.2461092275171</c:v>
                </c:pt>
                <c:pt idx="296">
                  <c:v>9276.4674554253652</c:v>
                </c:pt>
                <c:pt idx="297">
                  <c:v>8989.8652581975457</c:v>
                </c:pt>
                <c:pt idx="298">
                  <c:v>9878.2600996107649</c:v>
                </c:pt>
                <c:pt idx="299">
                  <c:v>10113.92870231953</c:v>
                </c:pt>
                <c:pt idx="300">
                  <c:v>9759.8326467438237</c:v>
                </c:pt>
                <c:pt idx="301">
                  <c:v>9096.0110116739288</c:v>
                </c:pt>
                <c:pt idx="302">
                  <c:v>10538.696966210491</c:v>
                </c:pt>
                <c:pt idx="303">
                  <c:v>9111.8102819939195</c:v>
                </c:pt>
                <c:pt idx="304">
                  <c:v>10355.796231997558</c:v>
                </c:pt>
                <c:pt idx="305">
                  <c:v>8966.5504190382726</c:v>
                </c:pt>
                <c:pt idx="306">
                  <c:v>9627.0230986452916</c:v>
                </c:pt>
                <c:pt idx="307">
                  <c:v>7924.8430923084215</c:v>
                </c:pt>
                <c:pt idx="308">
                  <c:v>10778.812117417225</c:v>
                </c:pt>
                <c:pt idx="309">
                  <c:v>10290.843021707164</c:v>
                </c:pt>
                <c:pt idx="310">
                  <c:v>9348.4293343530389</c:v>
                </c:pt>
                <c:pt idx="311">
                  <c:v>9604.8719900788128</c:v>
                </c:pt>
                <c:pt idx="312">
                  <c:v>9328.8043445255134</c:v>
                </c:pt>
                <c:pt idx="313">
                  <c:v>11751.846763486717</c:v>
                </c:pt>
                <c:pt idx="314">
                  <c:v>8347.4276745460302</c:v>
                </c:pt>
                <c:pt idx="315">
                  <c:v>8315.3731093059378</c:v>
                </c:pt>
                <c:pt idx="316">
                  <c:v>9332.4002054371649</c:v>
                </c:pt>
                <c:pt idx="317">
                  <c:v>9940.9684233972348</c:v>
                </c:pt>
                <c:pt idx="318">
                  <c:v>10964.347838293063</c:v>
                </c:pt>
                <c:pt idx="319">
                  <c:v>11017.665480194879</c:v>
                </c:pt>
                <c:pt idx="320">
                  <c:v>10541.134997674359</c:v>
                </c:pt>
                <c:pt idx="321">
                  <c:v>10155.448207585403</c:v>
                </c:pt>
                <c:pt idx="322">
                  <c:v>8895.2794747818771</c:v>
                </c:pt>
                <c:pt idx="323">
                  <c:v>9100.7366122198091</c:v>
                </c:pt>
                <c:pt idx="324">
                  <c:v>8883.8488125107106</c:v>
                </c:pt>
                <c:pt idx="325">
                  <c:v>8596.5695107173851</c:v>
                </c:pt>
                <c:pt idx="326">
                  <c:v>6572.5955962785411</c:v>
                </c:pt>
                <c:pt idx="327">
                  <c:v>8374.0800525966988</c:v>
                </c:pt>
                <c:pt idx="328">
                  <c:v>10401.607085071437</c:v>
                </c:pt>
                <c:pt idx="329">
                  <c:v>10200.394908788479</c:v>
                </c:pt>
                <c:pt idx="330">
                  <c:v>9155.6850906678192</c:v>
                </c:pt>
                <c:pt idx="331">
                  <c:v>10497.313358146199</c:v>
                </c:pt>
                <c:pt idx="332">
                  <c:v>8587.1782871103533</c:v>
                </c:pt>
                <c:pt idx="333">
                  <c:v>7597.2862477182407</c:v>
                </c:pt>
                <c:pt idx="334">
                  <c:v>8960.5332814199046</c:v>
                </c:pt>
                <c:pt idx="335">
                  <c:v>10432.682496443353</c:v>
                </c:pt>
                <c:pt idx="336">
                  <c:v>8687.0278228145198</c:v>
                </c:pt>
                <c:pt idx="337">
                  <c:v>9992.2985751192318</c:v>
                </c:pt>
                <c:pt idx="338">
                  <c:v>8209.0672201333928</c:v>
                </c:pt>
                <c:pt idx="339">
                  <c:v>10414.349357932821</c:v>
                </c:pt>
                <c:pt idx="340">
                  <c:v>9330.2018493259384</c:v>
                </c:pt>
                <c:pt idx="341">
                  <c:v>8103.1067590410048</c:v>
                </c:pt>
                <c:pt idx="342">
                  <c:v>10154.840470526146</c:v>
                </c:pt>
                <c:pt idx="343">
                  <c:v>9004.0593536268279</c:v>
                </c:pt>
                <c:pt idx="344">
                  <c:v>8511.4486472404969</c:v>
                </c:pt>
                <c:pt idx="345">
                  <c:v>10370.350130681345</c:v>
                </c:pt>
                <c:pt idx="346">
                  <c:v>8382.8378831191822</c:v>
                </c:pt>
                <c:pt idx="347">
                  <c:v>9411.8640603725798</c:v>
                </c:pt>
                <c:pt idx="348">
                  <c:v>9909.7679822484934</c:v>
                </c:pt>
                <c:pt idx="349">
                  <c:v>7146.2602220217277</c:v>
                </c:pt>
                <c:pt idx="350">
                  <c:v>9372.8234495993966</c:v>
                </c:pt>
                <c:pt idx="351">
                  <c:v>10193.104733615544</c:v>
                </c:pt>
                <c:pt idx="352">
                  <c:v>9861.946616348765</c:v>
                </c:pt>
                <c:pt idx="353">
                  <c:v>8595.9108819892808</c:v>
                </c:pt>
                <c:pt idx="354">
                  <c:v>6686.9606077272538</c:v>
                </c:pt>
                <c:pt idx="355">
                  <c:v>11315.551156502897</c:v>
                </c:pt>
                <c:pt idx="356">
                  <c:v>7270.8258624841392</c:v>
                </c:pt>
                <c:pt idx="357">
                  <c:v>9896.5982790021171</c:v>
                </c:pt>
                <c:pt idx="358">
                  <c:v>10135.484421171874</c:v>
                </c:pt>
                <c:pt idx="359">
                  <c:v>8369.4282908472778</c:v>
                </c:pt>
                <c:pt idx="360">
                  <c:v>8681.2610268701028</c:v>
                </c:pt>
                <c:pt idx="361">
                  <c:v>8264.7513185542903</c:v>
                </c:pt>
                <c:pt idx="362">
                  <c:v>8180.0508135188611</c:v>
                </c:pt>
                <c:pt idx="363">
                  <c:v>10683.355809449726</c:v>
                </c:pt>
                <c:pt idx="364">
                  <c:v>8649.5795877173459</c:v>
                </c:pt>
                <c:pt idx="365">
                  <c:v>7420.1310221279</c:v>
                </c:pt>
                <c:pt idx="366">
                  <c:v>9100.1798160488797</c:v>
                </c:pt>
                <c:pt idx="367">
                  <c:v>11703.823824733072</c:v>
                </c:pt>
                <c:pt idx="368">
                  <c:v>8835.6763744906548</c:v>
                </c:pt>
                <c:pt idx="369">
                  <c:v>8032.8509821536018</c:v>
                </c:pt>
                <c:pt idx="370">
                  <c:v>9652.7297265045909</c:v>
                </c:pt>
                <c:pt idx="371">
                  <c:v>8478.0948958784156</c:v>
                </c:pt>
                <c:pt idx="372">
                  <c:v>8390.8407385452374</c:v>
                </c:pt>
                <c:pt idx="373">
                  <c:v>9733.1735714450751</c:v>
                </c:pt>
                <c:pt idx="374">
                  <c:v>7114.7828878930022</c:v>
                </c:pt>
                <c:pt idx="375">
                  <c:v>12659.284611038031</c:v>
                </c:pt>
                <c:pt idx="376">
                  <c:v>11557.494666544595</c:v>
                </c:pt>
                <c:pt idx="377">
                  <c:v>9833.2317385775823</c:v>
                </c:pt>
                <c:pt idx="378">
                  <c:v>7963.9742401422709</c:v>
                </c:pt>
                <c:pt idx="379">
                  <c:v>8052.420866855462</c:v>
                </c:pt>
                <c:pt idx="380">
                  <c:v>8603.2744851709704</c:v>
                </c:pt>
                <c:pt idx="381">
                  <c:v>10820.35008804461</c:v>
                </c:pt>
                <c:pt idx="382">
                  <c:v>10970.967619967121</c:v>
                </c:pt>
                <c:pt idx="383">
                  <c:v>9968.1677804408318</c:v>
                </c:pt>
                <c:pt idx="384">
                  <c:v>9490.0172297571753</c:v>
                </c:pt>
                <c:pt idx="385">
                  <c:v>8577.1387219648659</c:v>
                </c:pt>
                <c:pt idx="386">
                  <c:v>10141.454461240004</c:v>
                </c:pt>
                <c:pt idx="387">
                  <c:v>10770.020216326264</c:v>
                </c:pt>
                <c:pt idx="388">
                  <c:v>10067.6097143974</c:v>
                </c:pt>
                <c:pt idx="389">
                  <c:v>7803.0187143263183</c:v>
                </c:pt>
                <c:pt idx="390">
                  <c:v>9080.554697208896</c:v>
                </c:pt>
                <c:pt idx="391">
                  <c:v>8879.5118685181933</c:v>
                </c:pt>
                <c:pt idx="392">
                  <c:v>7719.4934768039921</c:v>
                </c:pt>
                <c:pt idx="393">
                  <c:v>10231.554648626199</c:v>
                </c:pt>
                <c:pt idx="394">
                  <c:v>11305.896418299562</c:v>
                </c:pt>
                <c:pt idx="395">
                  <c:v>9219.7426204205458</c:v>
                </c:pt>
                <c:pt idx="396">
                  <c:v>10764.289406881664</c:v>
                </c:pt>
                <c:pt idx="397">
                  <c:v>11652.253861094592</c:v>
                </c:pt>
                <c:pt idx="398">
                  <c:v>9064.0105865859568</c:v>
                </c:pt>
                <c:pt idx="399">
                  <c:v>9153.6842772483888</c:v>
                </c:pt>
                <c:pt idx="400">
                  <c:v>9442.7994712501713</c:v>
                </c:pt>
                <c:pt idx="401">
                  <c:v>9461.1386770738281</c:v>
                </c:pt>
                <c:pt idx="402">
                  <c:v>9146.7249434016212</c:v>
                </c:pt>
                <c:pt idx="403">
                  <c:v>8199.1042108641668</c:v>
                </c:pt>
                <c:pt idx="404">
                  <c:v>7751.6261828712086</c:v>
                </c:pt>
                <c:pt idx="405">
                  <c:v>9436.0014464583255</c:v>
                </c:pt>
                <c:pt idx="406">
                  <c:v>10189.602932910013</c:v>
                </c:pt>
                <c:pt idx="407">
                  <c:v>8667.8091553637987</c:v>
                </c:pt>
                <c:pt idx="408">
                  <c:v>8534.6512666403578</c:v>
                </c:pt>
                <c:pt idx="409">
                  <c:v>11059.749845951361</c:v>
                </c:pt>
                <c:pt idx="410">
                  <c:v>10633.296755431234</c:v>
                </c:pt>
                <c:pt idx="411">
                  <c:v>8462.4093087483343</c:v>
                </c:pt>
                <c:pt idx="412">
                  <c:v>7036.7767232938513</c:v>
                </c:pt>
                <c:pt idx="413">
                  <c:v>10383.392355221895</c:v>
                </c:pt>
                <c:pt idx="414">
                  <c:v>9206.0016021885185</c:v>
                </c:pt>
                <c:pt idx="415">
                  <c:v>7936.7248119637461</c:v>
                </c:pt>
                <c:pt idx="416">
                  <c:v>8238.0855110037774</c:v>
                </c:pt>
                <c:pt idx="417">
                  <c:v>6151.0660157428674</c:v>
                </c:pt>
                <c:pt idx="418">
                  <c:v>10790.171607123662</c:v>
                </c:pt>
                <c:pt idx="419">
                  <c:v>8897.546675723248</c:v>
                </c:pt>
                <c:pt idx="420">
                  <c:v>8032.7708021609424</c:v>
                </c:pt>
                <c:pt idx="421">
                  <c:v>11864.048063272425</c:v>
                </c:pt>
                <c:pt idx="422">
                  <c:v>9899.9952278165038</c:v>
                </c:pt>
                <c:pt idx="423">
                  <c:v>9457.2641851300596</c:v>
                </c:pt>
                <c:pt idx="424">
                  <c:v>9219.0592566804989</c:v>
                </c:pt>
                <c:pt idx="425">
                  <c:v>10886.22122906066</c:v>
                </c:pt>
                <c:pt idx="426">
                  <c:v>11371.206804965414</c:v>
                </c:pt>
                <c:pt idx="427">
                  <c:v>10626.57021514478</c:v>
                </c:pt>
                <c:pt idx="428">
                  <c:v>11648.836006234354</c:v>
                </c:pt>
                <c:pt idx="429">
                  <c:v>8370.0283700453801</c:v>
                </c:pt>
                <c:pt idx="430">
                  <c:v>8215.5497188258942</c:v>
                </c:pt>
                <c:pt idx="431">
                  <c:v>9983.6332322948401</c:v>
                </c:pt>
                <c:pt idx="432">
                  <c:v>8326.1965737929422</c:v>
                </c:pt>
                <c:pt idx="433">
                  <c:v>8380.2853776178399</c:v>
                </c:pt>
                <c:pt idx="434">
                  <c:v>9336.4890005227026</c:v>
                </c:pt>
                <c:pt idx="435">
                  <c:v>12100.903047620248</c:v>
                </c:pt>
                <c:pt idx="436">
                  <c:v>11561.638856838894</c:v>
                </c:pt>
                <c:pt idx="437">
                  <c:v>9858.4552264885424</c:v>
                </c:pt>
                <c:pt idx="438">
                  <c:v>9243.216754435467</c:v>
                </c:pt>
                <c:pt idx="439">
                  <c:v>9233.1647068124093</c:v>
                </c:pt>
                <c:pt idx="440">
                  <c:v>9034.7904936173654</c:v>
                </c:pt>
                <c:pt idx="441">
                  <c:v>9688.6488192366141</c:v>
                </c:pt>
                <c:pt idx="442">
                  <c:v>9300.1089736008453</c:v>
                </c:pt>
                <c:pt idx="443">
                  <c:v>9725.4840924534274</c:v>
                </c:pt>
                <c:pt idx="444">
                  <c:v>12102.44459210177</c:v>
                </c:pt>
                <c:pt idx="445">
                  <c:v>10069.229798131242</c:v>
                </c:pt>
                <c:pt idx="446">
                  <c:v>8590.5970194764814</c:v>
                </c:pt>
                <c:pt idx="447">
                  <c:v>9808.8529150971899</c:v>
                </c:pt>
                <c:pt idx="448">
                  <c:v>7362.068671566587</c:v>
                </c:pt>
                <c:pt idx="449">
                  <c:v>9078.7243619865894</c:v>
                </c:pt>
                <c:pt idx="450">
                  <c:v>8538.6827214572004</c:v>
                </c:pt>
                <c:pt idx="451">
                  <c:v>7619.8147443094203</c:v>
                </c:pt>
                <c:pt idx="452">
                  <c:v>9175.4110307888386</c:v>
                </c:pt>
                <c:pt idx="453">
                  <c:v>11153.85337517526</c:v>
                </c:pt>
                <c:pt idx="454">
                  <c:v>7594.3048159349219</c:v>
                </c:pt>
                <c:pt idx="455">
                  <c:v>7788.683138921172</c:v>
                </c:pt>
                <c:pt idx="456">
                  <c:v>9920.6459096721028</c:v>
                </c:pt>
                <c:pt idx="457">
                  <c:v>8477.9796432842086</c:v>
                </c:pt>
                <c:pt idx="458">
                  <c:v>8978.8696128377214</c:v>
                </c:pt>
                <c:pt idx="459">
                  <c:v>9031.1685994768268</c:v>
                </c:pt>
                <c:pt idx="460">
                  <c:v>9378.9986281932306</c:v>
                </c:pt>
                <c:pt idx="461">
                  <c:v>11010.577357430906</c:v>
                </c:pt>
                <c:pt idx="462">
                  <c:v>7822.1354204376366</c:v>
                </c:pt>
                <c:pt idx="463">
                  <c:v>7609.2378443343068</c:v>
                </c:pt>
                <c:pt idx="464">
                  <c:v>8756.0917293119364</c:v>
                </c:pt>
                <c:pt idx="465">
                  <c:v>8196.3037019846015</c:v>
                </c:pt>
                <c:pt idx="466">
                  <c:v>7640.3396216860383</c:v>
                </c:pt>
                <c:pt idx="467">
                  <c:v>8012.0553398322418</c:v>
                </c:pt>
                <c:pt idx="468">
                  <c:v>7308.9426508870665</c:v>
                </c:pt>
                <c:pt idx="469">
                  <c:v>9955.774673485741</c:v>
                </c:pt>
                <c:pt idx="470">
                  <c:v>10322.926530161052</c:v>
                </c:pt>
                <c:pt idx="471">
                  <c:v>10134.429659087777</c:v>
                </c:pt>
                <c:pt idx="472">
                  <c:v>10684.655715990775</c:v>
                </c:pt>
                <c:pt idx="473">
                  <c:v>11883.536994982145</c:v>
                </c:pt>
                <c:pt idx="474">
                  <c:v>8031.8549958347448</c:v>
                </c:pt>
                <c:pt idx="475">
                  <c:v>9725.4113625158752</c:v>
                </c:pt>
                <c:pt idx="476">
                  <c:v>8949.7111988186953</c:v>
                </c:pt>
                <c:pt idx="477">
                  <c:v>9577.8294149948251</c:v>
                </c:pt>
                <c:pt idx="478">
                  <c:v>8076.3780795977355</c:v>
                </c:pt>
                <c:pt idx="479">
                  <c:v>9863.3293533719316</c:v>
                </c:pt>
                <c:pt idx="480">
                  <c:v>11655.513146651121</c:v>
                </c:pt>
                <c:pt idx="481">
                  <c:v>7439.5564413611492</c:v>
                </c:pt>
                <c:pt idx="482">
                  <c:v>8147.1729625113612</c:v>
                </c:pt>
                <c:pt idx="483">
                  <c:v>8817.6254985163523</c:v>
                </c:pt>
                <c:pt idx="484">
                  <c:v>8499.0925348637702</c:v>
                </c:pt>
                <c:pt idx="485">
                  <c:v>9233.0730535456951</c:v>
                </c:pt>
                <c:pt idx="486">
                  <c:v>9651.6058184653593</c:v>
                </c:pt>
                <c:pt idx="487">
                  <c:v>9461.0679502592466</c:v>
                </c:pt>
                <c:pt idx="488">
                  <c:v>9129.4259251036092</c:v>
                </c:pt>
                <c:pt idx="489">
                  <c:v>9318.2680527698612</c:v>
                </c:pt>
                <c:pt idx="490">
                  <c:v>9983.5849402062613</c:v>
                </c:pt>
                <c:pt idx="491">
                  <c:v>8915.8633215066893</c:v>
                </c:pt>
                <c:pt idx="492">
                  <c:v>9661.153412708094</c:v>
                </c:pt>
                <c:pt idx="493">
                  <c:v>7301.2193350539646</c:v>
                </c:pt>
                <c:pt idx="494">
                  <c:v>9675.4743191384623</c:v>
                </c:pt>
                <c:pt idx="495">
                  <c:v>10836.958051138272</c:v>
                </c:pt>
                <c:pt idx="496">
                  <c:v>12235.905590224353</c:v>
                </c:pt>
                <c:pt idx="497">
                  <c:v>10239.605718445151</c:v>
                </c:pt>
                <c:pt idx="498">
                  <c:v>9969.4195726930866</c:v>
                </c:pt>
                <c:pt idx="499">
                  <c:v>8571.1058029849464</c:v>
                </c:pt>
                <c:pt idx="500">
                  <c:v>11188.094256999237</c:v>
                </c:pt>
                <c:pt idx="501">
                  <c:v>11297.973173557184</c:v>
                </c:pt>
                <c:pt idx="502">
                  <c:v>8587.6555919334933</c:v>
                </c:pt>
                <c:pt idx="503">
                  <c:v>7078.8819586881136</c:v>
                </c:pt>
                <c:pt idx="504">
                  <c:v>7605.7012000411924</c:v>
                </c:pt>
                <c:pt idx="505">
                  <c:v>11155.281364822533</c:v>
                </c:pt>
                <c:pt idx="506">
                  <c:v>7946.3006621656568</c:v>
                </c:pt>
                <c:pt idx="507">
                  <c:v>8705.2367020070596</c:v>
                </c:pt>
                <c:pt idx="508">
                  <c:v>11531.693698113049</c:v>
                </c:pt>
                <c:pt idx="509">
                  <c:v>8831.5482373028735</c:v>
                </c:pt>
                <c:pt idx="510">
                  <c:v>7864.1542919375088</c:v>
                </c:pt>
                <c:pt idx="511">
                  <c:v>9742.9678042020641</c:v>
                </c:pt>
                <c:pt idx="512">
                  <c:v>8660.0270094735624</c:v>
                </c:pt>
                <c:pt idx="513">
                  <c:v>9904.6092462880897</c:v>
                </c:pt>
                <c:pt idx="514">
                  <c:v>12473.444927968241</c:v>
                </c:pt>
                <c:pt idx="515">
                  <c:v>10517.40119685066</c:v>
                </c:pt>
                <c:pt idx="516">
                  <c:v>12259.729895393062</c:v>
                </c:pt>
                <c:pt idx="517">
                  <c:v>8726.7946120045326</c:v>
                </c:pt>
                <c:pt idx="518">
                  <c:v>9757.4366438345187</c:v>
                </c:pt>
                <c:pt idx="519">
                  <c:v>11611.846739661185</c:v>
                </c:pt>
                <c:pt idx="520">
                  <c:v>8376.4154713038497</c:v>
                </c:pt>
                <c:pt idx="521">
                  <c:v>8411.5575554236111</c:v>
                </c:pt>
                <c:pt idx="522">
                  <c:v>9229.074416887368</c:v>
                </c:pt>
                <c:pt idx="523">
                  <c:v>9481.6143670369493</c:v>
                </c:pt>
                <c:pt idx="524">
                  <c:v>7124.8246338155759</c:v>
                </c:pt>
                <c:pt idx="525">
                  <c:v>10786.700437060406</c:v>
                </c:pt>
                <c:pt idx="526">
                  <c:v>8816.839632558087</c:v>
                </c:pt>
                <c:pt idx="527">
                  <c:v>7443.7345542227158</c:v>
                </c:pt>
                <c:pt idx="528">
                  <c:v>9361.7462619084054</c:v>
                </c:pt>
                <c:pt idx="529">
                  <c:v>10755.896555180168</c:v>
                </c:pt>
                <c:pt idx="530">
                  <c:v>8508.6164287011707</c:v>
                </c:pt>
                <c:pt idx="531">
                  <c:v>9646.619757030503</c:v>
                </c:pt>
                <c:pt idx="532">
                  <c:v>11043.197887558017</c:v>
                </c:pt>
                <c:pt idx="533">
                  <c:v>8603.1856061617527</c:v>
                </c:pt>
                <c:pt idx="534">
                  <c:v>7557.2381998670617</c:v>
                </c:pt>
                <c:pt idx="535">
                  <c:v>8905.3677321822979</c:v>
                </c:pt>
                <c:pt idx="536">
                  <c:v>9425.6483378885769</c:v>
                </c:pt>
                <c:pt idx="537">
                  <c:v>8579.3356113891878</c:v>
                </c:pt>
                <c:pt idx="538">
                  <c:v>10032.429763429584</c:v>
                </c:pt>
                <c:pt idx="539">
                  <c:v>10187.551902234001</c:v>
                </c:pt>
                <c:pt idx="540">
                  <c:v>9345.3526067045732</c:v>
                </c:pt>
                <c:pt idx="541">
                  <c:v>9031.9558800546365</c:v>
                </c:pt>
                <c:pt idx="542">
                  <c:v>9639.1818278927094</c:v>
                </c:pt>
                <c:pt idx="543">
                  <c:v>10765.935462398074</c:v>
                </c:pt>
                <c:pt idx="544">
                  <c:v>10520.787167911771</c:v>
                </c:pt>
                <c:pt idx="545">
                  <c:v>8848.4564824837762</c:v>
                </c:pt>
                <c:pt idx="546">
                  <c:v>10442.278350600305</c:v>
                </c:pt>
                <c:pt idx="547">
                  <c:v>7917.644954305114</c:v>
                </c:pt>
                <c:pt idx="548">
                  <c:v>8790.0279915177707</c:v>
                </c:pt>
                <c:pt idx="549">
                  <c:v>6983.4642996688763</c:v>
                </c:pt>
                <c:pt idx="550">
                  <c:v>9033.6117057604279</c:v>
                </c:pt>
                <c:pt idx="551">
                  <c:v>11094.89761121849</c:v>
                </c:pt>
                <c:pt idx="552">
                  <c:v>7760.5655089915545</c:v>
                </c:pt>
                <c:pt idx="553">
                  <c:v>11867.787887247936</c:v>
                </c:pt>
                <c:pt idx="554">
                  <c:v>8883.2977026050048</c:v>
                </c:pt>
                <c:pt idx="555">
                  <c:v>9294.8572561481978</c:v>
                </c:pt>
                <c:pt idx="556">
                  <c:v>11243.802365658499</c:v>
                </c:pt>
                <c:pt idx="557">
                  <c:v>8835.8343227242713</c:v>
                </c:pt>
                <c:pt idx="558">
                  <c:v>8901.6313475805218</c:v>
                </c:pt>
                <c:pt idx="559">
                  <c:v>11124.776168447461</c:v>
                </c:pt>
                <c:pt idx="560">
                  <c:v>9152.9113696886743</c:v>
                </c:pt>
                <c:pt idx="561">
                  <c:v>7729.0933902312245</c:v>
                </c:pt>
                <c:pt idx="562">
                  <c:v>8681.1971147147124</c:v>
                </c:pt>
                <c:pt idx="563">
                  <c:v>7157.8857393820699</c:v>
                </c:pt>
                <c:pt idx="564">
                  <c:v>10122.066008656695</c:v>
                </c:pt>
                <c:pt idx="565">
                  <c:v>11108.976295380722</c:v>
                </c:pt>
                <c:pt idx="566">
                  <c:v>8578.2053644962216</c:v>
                </c:pt>
                <c:pt idx="567">
                  <c:v>10665.609564400173</c:v>
                </c:pt>
                <c:pt idx="568">
                  <c:v>9852.7291907986528</c:v>
                </c:pt>
                <c:pt idx="569">
                  <c:v>10376.658451155641</c:v>
                </c:pt>
                <c:pt idx="570">
                  <c:v>7838.2660203503074</c:v>
                </c:pt>
                <c:pt idx="571">
                  <c:v>7984.2686921880459</c:v>
                </c:pt>
                <c:pt idx="572">
                  <c:v>9737.4849341783975</c:v>
                </c:pt>
                <c:pt idx="573">
                  <c:v>7586.7566525584034</c:v>
                </c:pt>
                <c:pt idx="574">
                  <c:v>10945.749052976958</c:v>
                </c:pt>
                <c:pt idx="575">
                  <c:v>8608.2080186116273</c:v>
                </c:pt>
                <c:pt idx="576">
                  <c:v>8545.3368922643585</c:v>
                </c:pt>
                <c:pt idx="577">
                  <c:v>10108.363786349551</c:v>
                </c:pt>
                <c:pt idx="578">
                  <c:v>9833.765848256422</c:v>
                </c:pt>
                <c:pt idx="579">
                  <c:v>9972.2349797509032</c:v>
                </c:pt>
                <c:pt idx="580">
                  <c:v>6312.4958852679838</c:v>
                </c:pt>
                <c:pt idx="581">
                  <c:v>9313.5633639877105</c:v>
                </c:pt>
                <c:pt idx="582">
                  <c:v>7951.4208536289289</c:v>
                </c:pt>
                <c:pt idx="583">
                  <c:v>8306.3456339001459</c:v>
                </c:pt>
                <c:pt idx="584">
                  <c:v>9334.2055737329592</c:v>
                </c:pt>
                <c:pt idx="585">
                  <c:v>11153.37843236232</c:v>
                </c:pt>
                <c:pt idx="586">
                  <c:v>12119.366041788961</c:v>
                </c:pt>
                <c:pt idx="587">
                  <c:v>8671.7293204820853</c:v>
                </c:pt>
                <c:pt idx="588">
                  <c:v>7819.4105399123555</c:v>
                </c:pt>
                <c:pt idx="589">
                  <c:v>9165.3354865472393</c:v>
                </c:pt>
                <c:pt idx="590">
                  <c:v>7948.3429384483952</c:v>
                </c:pt>
                <c:pt idx="591">
                  <c:v>10559.010961195379</c:v>
                </c:pt>
                <c:pt idx="592">
                  <c:v>10637.275328303629</c:v>
                </c:pt>
                <c:pt idx="593">
                  <c:v>10263.651704940828</c:v>
                </c:pt>
                <c:pt idx="594">
                  <c:v>10641.873752956004</c:v>
                </c:pt>
                <c:pt idx="595">
                  <c:v>9399.1449765653415</c:v>
                </c:pt>
                <c:pt idx="596">
                  <c:v>8217.2642868578314</c:v>
                </c:pt>
                <c:pt idx="597">
                  <c:v>10146.374871765564</c:v>
                </c:pt>
                <c:pt idx="598">
                  <c:v>10611.12227203017</c:v>
                </c:pt>
                <c:pt idx="599">
                  <c:v>11794.761261847472</c:v>
                </c:pt>
                <c:pt idx="600">
                  <c:v>8660.2097527226142</c:v>
                </c:pt>
                <c:pt idx="601">
                  <c:v>8847.5856738262846</c:v>
                </c:pt>
                <c:pt idx="602">
                  <c:v>10829.084950306331</c:v>
                </c:pt>
                <c:pt idx="603">
                  <c:v>8635.6731976441879</c:v>
                </c:pt>
                <c:pt idx="604">
                  <c:v>9777.5965588099061</c:v>
                </c:pt>
                <c:pt idx="605">
                  <c:v>8357.4047523805457</c:v>
                </c:pt>
                <c:pt idx="606">
                  <c:v>9229.25385786263</c:v>
                </c:pt>
                <c:pt idx="607">
                  <c:v>12404.988694648533</c:v>
                </c:pt>
                <c:pt idx="608">
                  <c:v>10967.99783227596</c:v>
                </c:pt>
                <c:pt idx="609">
                  <c:v>10624.103430573166</c:v>
                </c:pt>
                <c:pt idx="610">
                  <c:v>7198.9660111651619</c:v>
                </c:pt>
                <c:pt idx="611">
                  <c:v>8647.4831923721285</c:v>
                </c:pt>
                <c:pt idx="612">
                  <c:v>9335.610423406235</c:v>
                </c:pt>
                <c:pt idx="613">
                  <c:v>8768.6980533887254</c:v>
                </c:pt>
                <c:pt idx="614">
                  <c:v>9241.9133881574708</c:v>
                </c:pt>
                <c:pt idx="615">
                  <c:v>9478.8396606052174</c:v>
                </c:pt>
                <c:pt idx="616">
                  <c:v>8921.6541260316772</c:v>
                </c:pt>
                <c:pt idx="617">
                  <c:v>10698.357713273455</c:v>
                </c:pt>
                <c:pt idx="618">
                  <c:v>11190.266722753913</c:v>
                </c:pt>
                <c:pt idx="619">
                  <c:v>7118.4986436647123</c:v>
                </c:pt>
                <c:pt idx="620">
                  <c:v>10468.647640523744</c:v>
                </c:pt>
                <c:pt idx="621">
                  <c:v>12109.686200132743</c:v>
                </c:pt>
                <c:pt idx="622">
                  <c:v>8596.6536095265419</c:v>
                </c:pt>
                <c:pt idx="623">
                  <c:v>10637.546678073702</c:v>
                </c:pt>
                <c:pt idx="624">
                  <c:v>6749.2404873983496</c:v>
                </c:pt>
                <c:pt idx="625">
                  <c:v>9847.5464767644935</c:v>
                </c:pt>
                <c:pt idx="626">
                  <c:v>9414.86710042923</c:v>
                </c:pt>
                <c:pt idx="627">
                  <c:v>8071.5328115554057</c:v>
                </c:pt>
                <c:pt idx="628">
                  <c:v>7977.8267424160867</c:v>
                </c:pt>
                <c:pt idx="629">
                  <c:v>7557.9629814345735</c:v>
                </c:pt>
                <c:pt idx="630">
                  <c:v>9563.4738923916157</c:v>
                </c:pt>
                <c:pt idx="631">
                  <c:v>8588.9966946717268</c:v>
                </c:pt>
                <c:pt idx="632">
                  <c:v>10658.284052929326</c:v>
                </c:pt>
                <c:pt idx="633">
                  <c:v>8293.9876581473145</c:v>
                </c:pt>
                <c:pt idx="634">
                  <c:v>8926.2801226003485</c:v>
                </c:pt>
                <c:pt idx="635">
                  <c:v>8107.2313811624663</c:v>
                </c:pt>
                <c:pt idx="636">
                  <c:v>9825.6651853229341</c:v>
                </c:pt>
                <c:pt idx="637">
                  <c:v>10713.918193855658</c:v>
                </c:pt>
                <c:pt idx="638">
                  <c:v>9018.0108880940079</c:v>
                </c:pt>
                <c:pt idx="639">
                  <c:v>8180.4510624757922</c:v>
                </c:pt>
                <c:pt idx="640">
                  <c:v>9582.9782961070869</c:v>
                </c:pt>
                <c:pt idx="641">
                  <c:v>8032.7287771738274</c:v>
                </c:pt>
                <c:pt idx="642">
                  <c:v>10211.389722068177</c:v>
                </c:pt>
                <c:pt idx="643">
                  <c:v>9605.7829263299172</c:v>
                </c:pt>
                <c:pt idx="644">
                  <c:v>10165.745217757725</c:v>
                </c:pt>
                <c:pt idx="645">
                  <c:v>8835.4301402360506</c:v>
                </c:pt>
                <c:pt idx="646">
                  <c:v>10654.166839635607</c:v>
                </c:pt>
                <c:pt idx="647">
                  <c:v>7191.8129711357215</c:v>
                </c:pt>
                <c:pt idx="648">
                  <c:v>10215.151789230857</c:v>
                </c:pt>
                <c:pt idx="649">
                  <c:v>9258.6433931686843</c:v>
                </c:pt>
                <c:pt idx="650">
                  <c:v>8357.2537972115988</c:v>
                </c:pt>
                <c:pt idx="651">
                  <c:v>9992.8519573428839</c:v>
                </c:pt>
                <c:pt idx="652">
                  <c:v>10856.241876419928</c:v>
                </c:pt>
                <c:pt idx="653">
                  <c:v>9538.9485699080869</c:v>
                </c:pt>
                <c:pt idx="654">
                  <c:v>8373.1314890672747</c:v>
                </c:pt>
                <c:pt idx="655">
                  <c:v>7871.4413699043853</c:v>
                </c:pt>
                <c:pt idx="656">
                  <c:v>10572.462787104729</c:v>
                </c:pt>
                <c:pt idx="657">
                  <c:v>8852.9926665924831</c:v>
                </c:pt>
                <c:pt idx="658">
                  <c:v>9393.2719649268129</c:v>
                </c:pt>
                <c:pt idx="659">
                  <c:v>9791.6289894471429</c:v>
                </c:pt>
                <c:pt idx="660">
                  <c:v>10110.486949008688</c:v>
                </c:pt>
                <c:pt idx="661">
                  <c:v>6896.4794850110338</c:v>
                </c:pt>
                <c:pt idx="662">
                  <c:v>10255.46365308605</c:v>
                </c:pt>
                <c:pt idx="663">
                  <c:v>10025.893634547954</c:v>
                </c:pt>
                <c:pt idx="664">
                  <c:v>8292.6165242789393</c:v>
                </c:pt>
                <c:pt idx="665">
                  <c:v>11016.764226397267</c:v>
                </c:pt>
                <c:pt idx="666">
                  <c:v>7485.2782228451269</c:v>
                </c:pt>
                <c:pt idx="667">
                  <c:v>8892.8323830300324</c:v>
                </c:pt>
                <c:pt idx="668">
                  <c:v>8980.5625248744909</c:v>
                </c:pt>
                <c:pt idx="669">
                  <c:v>7303.7860213194808</c:v>
                </c:pt>
                <c:pt idx="670">
                  <c:v>10917.437064806812</c:v>
                </c:pt>
                <c:pt idx="671">
                  <c:v>10073.570022819615</c:v>
                </c:pt>
                <c:pt idx="672">
                  <c:v>7915.1244038559389</c:v>
                </c:pt>
                <c:pt idx="673">
                  <c:v>8736.4372757776473</c:v>
                </c:pt>
                <c:pt idx="674">
                  <c:v>8699.1708901160218</c:v>
                </c:pt>
                <c:pt idx="675">
                  <c:v>8721.7047790683046</c:v>
                </c:pt>
                <c:pt idx="676">
                  <c:v>10275.526813657212</c:v>
                </c:pt>
                <c:pt idx="677">
                  <c:v>9560.1569907113881</c:v>
                </c:pt>
                <c:pt idx="678">
                  <c:v>7300.7319745201812</c:v>
                </c:pt>
                <c:pt idx="679">
                  <c:v>12781.747689372922</c:v>
                </c:pt>
                <c:pt idx="680">
                  <c:v>8121.0141704253865</c:v>
                </c:pt>
                <c:pt idx="681">
                  <c:v>9782.6071262621717</c:v>
                </c:pt>
                <c:pt idx="682">
                  <c:v>8419.9538964269723</c:v>
                </c:pt>
                <c:pt idx="683">
                  <c:v>9668.8517478211852</c:v>
                </c:pt>
                <c:pt idx="684">
                  <c:v>8622.0574115872078</c:v>
                </c:pt>
                <c:pt idx="685">
                  <c:v>8295.7228664784634</c:v>
                </c:pt>
                <c:pt idx="686">
                  <c:v>10954.813082643113</c:v>
                </c:pt>
                <c:pt idx="687">
                  <c:v>9074.8059324713813</c:v>
                </c:pt>
                <c:pt idx="688">
                  <c:v>12102.544474247878</c:v>
                </c:pt>
                <c:pt idx="689">
                  <c:v>9510.3911023653836</c:v>
                </c:pt>
                <c:pt idx="690">
                  <c:v>9389.6564783640333</c:v>
                </c:pt>
                <c:pt idx="691">
                  <c:v>8005.2503740488</c:v>
                </c:pt>
                <c:pt idx="692">
                  <c:v>10023.873417811988</c:v>
                </c:pt>
                <c:pt idx="693">
                  <c:v>8693.1536366170476</c:v>
                </c:pt>
                <c:pt idx="694">
                  <c:v>9012.0967681387938</c:v>
                </c:pt>
                <c:pt idx="695">
                  <c:v>9760.0838476048448</c:v>
                </c:pt>
                <c:pt idx="696">
                  <c:v>9267.4744971117179</c:v>
                </c:pt>
                <c:pt idx="697">
                  <c:v>8337.4074108757304</c:v>
                </c:pt>
                <c:pt idx="698">
                  <c:v>8755.0135460838228</c:v>
                </c:pt>
                <c:pt idx="699">
                  <c:v>7454.503379979059</c:v>
                </c:pt>
                <c:pt idx="700">
                  <c:v>9463.2417932046028</c:v>
                </c:pt>
                <c:pt idx="701">
                  <c:v>9559.4102339156325</c:v>
                </c:pt>
                <c:pt idx="702">
                  <c:v>9674.6368312550421</c:v>
                </c:pt>
                <c:pt idx="703">
                  <c:v>9510.559656205809</c:v>
                </c:pt>
                <c:pt idx="704">
                  <c:v>8336.2922022381517</c:v>
                </c:pt>
                <c:pt idx="705">
                  <c:v>9373.4070492840401</c:v>
                </c:pt>
                <c:pt idx="706">
                  <c:v>8514.4337978302392</c:v>
                </c:pt>
                <c:pt idx="707">
                  <c:v>7629.9746419965977</c:v>
                </c:pt>
                <c:pt idx="708">
                  <c:v>10409.496382505798</c:v>
                </c:pt>
                <c:pt idx="709">
                  <c:v>8669.3114625460275</c:v>
                </c:pt>
                <c:pt idx="710">
                  <c:v>8587.8803693899426</c:v>
                </c:pt>
                <c:pt idx="711">
                  <c:v>9525.3812055408671</c:v>
                </c:pt>
                <c:pt idx="712">
                  <c:v>9905.6795728132802</c:v>
                </c:pt>
                <c:pt idx="713">
                  <c:v>8950.8271723782527</c:v>
                </c:pt>
                <c:pt idx="714">
                  <c:v>11594.584766179338</c:v>
                </c:pt>
                <c:pt idx="715">
                  <c:v>9837.1974339392018</c:v>
                </c:pt>
                <c:pt idx="716">
                  <c:v>11413.376764924415</c:v>
                </c:pt>
                <c:pt idx="717">
                  <c:v>9277.3291046533705</c:v>
                </c:pt>
                <c:pt idx="718">
                  <c:v>9599.107065165128</c:v>
                </c:pt>
                <c:pt idx="719">
                  <c:v>9911.7971567436471</c:v>
                </c:pt>
                <c:pt idx="720">
                  <c:v>7720.4761793110583</c:v>
                </c:pt>
                <c:pt idx="721">
                  <c:v>10648.417296915599</c:v>
                </c:pt>
                <c:pt idx="722">
                  <c:v>7466.1639102750269</c:v>
                </c:pt>
                <c:pt idx="723">
                  <c:v>7954.1015236407584</c:v>
                </c:pt>
                <c:pt idx="724">
                  <c:v>10921.399140615848</c:v>
                </c:pt>
                <c:pt idx="725">
                  <c:v>7210.943656427803</c:v>
                </c:pt>
                <c:pt idx="726">
                  <c:v>10001.297910813715</c:v>
                </c:pt>
                <c:pt idx="727">
                  <c:v>7627.6520344614273</c:v>
                </c:pt>
                <c:pt idx="728">
                  <c:v>9197.630788974051</c:v>
                </c:pt>
                <c:pt idx="729">
                  <c:v>9544.2871337518591</c:v>
                </c:pt>
                <c:pt idx="730">
                  <c:v>9519.7298329647765</c:v>
                </c:pt>
                <c:pt idx="731">
                  <c:v>9162.9541236049408</c:v>
                </c:pt>
                <c:pt idx="732">
                  <c:v>8670.1188741546994</c:v>
                </c:pt>
                <c:pt idx="733">
                  <c:v>8171.056551487276</c:v>
                </c:pt>
                <c:pt idx="734">
                  <c:v>7801.1002733601372</c:v>
                </c:pt>
                <c:pt idx="735">
                  <c:v>9020.7675313076179</c:v>
                </c:pt>
                <c:pt idx="736">
                  <c:v>10165.734893942647</c:v>
                </c:pt>
                <c:pt idx="737">
                  <c:v>8333.3401297578348</c:v>
                </c:pt>
                <c:pt idx="738">
                  <c:v>9021.2165048738625</c:v>
                </c:pt>
                <c:pt idx="739">
                  <c:v>9236.7370514358427</c:v>
                </c:pt>
                <c:pt idx="740">
                  <c:v>9350.3647720154331</c:v>
                </c:pt>
                <c:pt idx="741">
                  <c:v>10020.217632920627</c:v>
                </c:pt>
                <c:pt idx="742">
                  <c:v>8312.4335959207674</c:v>
                </c:pt>
                <c:pt idx="743">
                  <c:v>7934.9964381433183</c:v>
                </c:pt>
                <c:pt idx="744">
                  <c:v>8629.1468099649264</c:v>
                </c:pt>
                <c:pt idx="745">
                  <c:v>8476.6347214861507</c:v>
                </c:pt>
                <c:pt idx="746">
                  <c:v>10850.319632835206</c:v>
                </c:pt>
                <c:pt idx="747">
                  <c:v>10223.558318530901</c:v>
                </c:pt>
                <c:pt idx="748">
                  <c:v>11292.28355471416</c:v>
                </c:pt>
                <c:pt idx="749">
                  <c:v>9232.1442638101307</c:v>
                </c:pt>
                <c:pt idx="750">
                  <c:v>11146.09387702694</c:v>
                </c:pt>
                <c:pt idx="751">
                  <c:v>7747.3278336972526</c:v>
                </c:pt>
                <c:pt idx="752">
                  <c:v>7289.4462626944232</c:v>
                </c:pt>
                <c:pt idx="753">
                  <c:v>9223.0666352974149</c:v>
                </c:pt>
                <c:pt idx="754">
                  <c:v>10680.070640696084</c:v>
                </c:pt>
                <c:pt idx="755">
                  <c:v>7767.789601050973</c:v>
                </c:pt>
                <c:pt idx="756">
                  <c:v>9175.3506425284777</c:v>
                </c:pt>
                <c:pt idx="757">
                  <c:v>9457.6170599815468</c:v>
                </c:pt>
                <c:pt idx="758">
                  <c:v>10906.396922378677</c:v>
                </c:pt>
                <c:pt idx="759">
                  <c:v>11610.41177885389</c:v>
                </c:pt>
                <c:pt idx="760">
                  <c:v>9538.8550414115562</c:v>
                </c:pt>
                <c:pt idx="761">
                  <c:v>9099.6045110957893</c:v>
                </c:pt>
                <c:pt idx="762">
                  <c:v>8493.0432893756042</c:v>
                </c:pt>
                <c:pt idx="763">
                  <c:v>9756.7679993399488</c:v>
                </c:pt>
                <c:pt idx="764">
                  <c:v>8495.8688987973201</c:v>
                </c:pt>
                <c:pt idx="765">
                  <c:v>9148.567372969168</c:v>
                </c:pt>
                <c:pt idx="766">
                  <c:v>10461.402827207161</c:v>
                </c:pt>
                <c:pt idx="767">
                  <c:v>8283.9517658977347</c:v>
                </c:pt>
                <c:pt idx="768">
                  <c:v>11592.187876533626</c:v>
                </c:pt>
                <c:pt idx="769">
                  <c:v>7981.967778896912</c:v>
                </c:pt>
                <c:pt idx="770">
                  <c:v>10487.647883763222</c:v>
                </c:pt>
                <c:pt idx="771">
                  <c:v>9655.0891090624827</c:v>
                </c:pt>
                <c:pt idx="772">
                  <c:v>9736.2160411872883</c:v>
                </c:pt>
                <c:pt idx="773">
                  <c:v>10124.509702207788</c:v>
                </c:pt>
                <c:pt idx="774">
                  <c:v>9370.7318336842673</c:v>
                </c:pt>
                <c:pt idx="775">
                  <c:v>9633.5565744420728</c:v>
                </c:pt>
                <c:pt idx="776">
                  <c:v>7835.6697517937519</c:v>
                </c:pt>
                <c:pt idx="777">
                  <c:v>8988.0512930202258</c:v>
                </c:pt>
                <c:pt idx="778">
                  <c:v>9083.3526193050275</c:v>
                </c:pt>
                <c:pt idx="779">
                  <c:v>11720.222259531864</c:v>
                </c:pt>
                <c:pt idx="780">
                  <c:v>8541.97739939448</c:v>
                </c:pt>
                <c:pt idx="781">
                  <c:v>7847.2684251432993</c:v>
                </c:pt>
                <c:pt idx="782">
                  <c:v>9711.2061651497243</c:v>
                </c:pt>
                <c:pt idx="783">
                  <c:v>8165.7026601945518</c:v>
                </c:pt>
                <c:pt idx="784">
                  <c:v>8865.650438452898</c:v>
                </c:pt>
                <c:pt idx="785">
                  <c:v>7396.708701527331</c:v>
                </c:pt>
                <c:pt idx="786">
                  <c:v>8119.6661777556801</c:v>
                </c:pt>
                <c:pt idx="787">
                  <c:v>8305.1031080062876</c:v>
                </c:pt>
                <c:pt idx="788">
                  <c:v>9471.3913699373934</c:v>
                </c:pt>
                <c:pt idx="789">
                  <c:v>7539.2183256971457</c:v>
                </c:pt>
                <c:pt idx="790">
                  <c:v>6769.9893099116071</c:v>
                </c:pt>
                <c:pt idx="791">
                  <c:v>10311.961128458381</c:v>
                </c:pt>
                <c:pt idx="792">
                  <c:v>9618.1243241192715</c:v>
                </c:pt>
                <c:pt idx="793">
                  <c:v>10540.15068065617</c:v>
                </c:pt>
                <c:pt idx="794">
                  <c:v>9265.4122829334483</c:v>
                </c:pt>
                <c:pt idx="795">
                  <c:v>8701.76716203047</c:v>
                </c:pt>
                <c:pt idx="796">
                  <c:v>9831.2810097383935</c:v>
                </c:pt>
                <c:pt idx="797">
                  <c:v>8690.2081362150639</c:v>
                </c:pt>
                <c:pt idx="798">
                  <c:v>10016.817250068041</c:v>
                </c:pt>
                <c:pt idx="799">
                  <c:v>9032.2526127467645</c:v>
                </c:pt>
                <c:pt idx="800">
                  <c:v>10863.686262152043</c:v>
                </c:pt>
                <c:pt idx="801">
                  <c:v>10096.402754453256</c:v>
                </c:pt>
                <c:pt idx="802">
                  <c:v>6620.2054826017593</c:v>
                </c:pt>
                <c:pt idx="803">
                  <c:v>12259.768914135251</c:v>
                </c:pt>
                <c:pt idx="804">
                  <c:v>8443.0424717248952</c:v>
                </c:pt>
                <c:pt idx="805">
                  <c:v>11188.058667290055</c:v>
                </c:pt>
                <c:pt idx="806">
                  <c:v>9856.2767683598304</c:v>
                </c:pt>
                <c:pt idx="807">
                  <c:v>8499.0204671050888</c:v>
                </c:pt>
                <c:pt idx="808">
                  <c:v>9743.7971076245904</c:v>
                </c:pt>
                <c:pt idx="809">
                  <c:v>8701.2819165706151</c:v>
                </c:pt>
                <c:pt idx="810">
                  <c:v>9207.5395508981856</c:v>
                </c:pt>
                <c:pt idx="811">
                  <c:v>9759.4664492950669</c:v>
                </c:pt>
                <c:pt idx="812">
                  <c:v>11362.258460775729</c:v>
                </c:pt>
                <c:pt idx="813">
                  <c:v>10145.401203980105</c:v>
                </c:pt>
                <c:pt idx="814">
                  <c:v>7230.2537688546208</c:v>
                </c:pt>
                <c:pt idx="815">
                  <c:v>11356.473671275797</c:v>
                </c:pt>
                <c:pt idx="816">
                  <c:v>10917.593989271329</c:v>
                </c:pt>
                <c:pt idx="817">
                  <c:v>10404.477581948237</c:v>
                </c:pt>
                <c:pt idx="818">
                  <c:v>11934.044670026979</c:v>
                </c:pt>
                <c:pt idx="819">
                  <c:v>9198.1496403277506</c:v>
                </c:pt>
                <c:pt idx="820">
                  <c:v>10645.777908063612</c:v>
                </c:pt>
                <c:pt idx="821">
                  <c:v>7804.8347028783874</c:v>
                </c:pt>
                <c:pt idx="822">
                  <c:v>10341.766491845687</c:v>
                </c:pt>
                <c:pt idx="823">
                  <c:v>10835.809763271032</c:v>
                </c:pt>
                <c:pt idx="824">
                  <c:v>9424.0982173842349</c:v>
                </c:pt>
                <c:pt idx="825">
                  <c:v>9130.6193100321343</c:v>
                </c:pt>
                <c:pt idx="826">
                  <c:v>9762.7507342084955</c:v>
                </c:pt>
                <c:pt idx="827">
                  <c:v>9681.3472662594031</c:v>
                </c:pt>
                <c:pt idx="828">
                  <c:v>8696.4221552505769</c:v>
                </c:pt>
                <c:pt idx="829">
                  <c:v>8133.3460359327864</c:v>
                </c:pt>
                <c:pt idx="830">
                  <c:v>11551.839978331369</c:v>
                </c:pt>
                <c:pt idx="831">
                  <c:v>10691.573613539524</c:v>
                </c:pt>
                <c:pt idx="832">
                  <c:v>7863.9572857969597</c:v>
                </c:pt>
                <c:pt idx="833">
                  <c:v>10198.57922869763</c:v>
                </c:pt>
                <c:pt idx="834">
                  <c:v>10698.142015247153</c:v>
                </c:pt>
                <c:pt idx="835">
                  <c:v>10526.188997126961</c:v>
                </c:pt>
                <c:pt idx="836">
                  <c:v>11111.247465256674</c:v>
                </c:pt>
                <c:pt idx="837">
                  <c:v>8858.0464858651303</c:v>
                </c:pt>
                <c:pt idx="838">
                  <c:v>8414.936544107597</c:v>
                </c:pt>
                <c:pt idx="839">
                  <c:v>9399.6611058850231</c:v>
                </c:pt>
                <c:pt idx="840">
                  <c:v>9235.9524219382547</c:v>
                </c:pt>
                <c:pt idx="841">
                  <c:v>11453.250077946614</c:v>
                </c:pt>
                <c:pt idx="842">
                  <c:v>10285.732040134</c:v>
                </c:pt>
                <c:pt idx="843">
                  <c:v>8699.3476095619772</c:v>
                </c:pt>
                <c:pt idx="844">
                  <c:v>8239.4993610970323</c:v>
                </c:pt>
                <c:pt idx="845">
                  <c:v>7121.3049065202767</c:v>
                </c:pt>
                <c:pt idx="846">
                  <c:v>9853.229746920586</c:v>
                </c:pt>
                <c:pt idx="847">
                  <c:v>7559.9979758066429</c:v>
                </c:pt>
                <c:pt idx="848">
                  <c:v>11654.309038699967</c:v>
                </c:pt>
                <c:pt idx="849">
                  <c:v>9081.2582746687876</c:v>
                </c:pt>
                <c:pt idx="850">
                  <c:v>9638.2642854930637</c:v>
                </c:pt>
                <c:pt idx="851">
                  <c:v>9761.5659456958183</c:v>
                </c:pt>
                <c:pt idx="852">
                  <c:v>7689.7078288536432</c:v>
                </c:pt>
                <c:pt idx="853">
                  <c:v>8631.3883635954935</c:v>
                </c:pt>
                <c:pt idx="854">
                  <c:v>10693.581040448958</c:v>
                </c:pt>
                <c:pt idx="855">
                  <c:v>8972.0253497554804</c:v>
                </c:pt>
                <c:pt idx="856">
                  <c:v>8917.1560449319713</c:v>
                </c:pt>
                <c:pt idx="857">
                  <c:v>11090.046817390259</c:v>
                </c:pt>
                <c:pt idx="858">
                  <c:v>8597.3218393331153</c:v>
                </c:pt>
                <c:pt idx="859">
                  <c:v>7425.0947951194585</c:v>
                </c:pt>
                <c:pt idx="860">
                  <c:v>10124.755426254116</c:v>
                </c:pt>
                <c:pt idx="861">
                  <c:v>9908.246645030451</c:v>
                </c:pt>
                <c:pt idx="862">
                  <c:v>7728.788007060446</c:v>
                </c:pt>
                <c:pt idx="863">
                  <c:v>9311.7509029187295</c:v>
                </c:pt>
                <c:pt idx="864">
                  <c:v>10266.573705926809</c:v>
                </c:pt>
                <c:pt idx="865">
                  <c:v>8449.0654345938619</c:v>
                </c:pt>
                <c:pt idx="866">
                  <c:v>8741.6260336203013</c:v>
                </c:pt>
                <c:pt idx="867">
                  <c:v>8304.2150521163694</c:v>
                </c:pt>
                <c:pt idx="868">
                  <c:v>8339.8842238596008</c:v>
                </c:pt>
                <c:pt idx="869">
                  <c:v>10175.09803355049</c:v>
                </c:pt>
                <c:pt idx="870">
                  <c:v>8294.3739544091295</c:v>
                </c:pt>
                <c:pt idx="871">
                  <c:v>8198.272472519795</c:v>
                </c:pt>
                <c:pt idx="872">
                  <c:v>8931.698303832758</c:v>
                </c:pt>
                <c:pt idx="873">
                  <c:v>9193.7829956046335</c:v>
                </c:pt>
                <c:pt idx="874">
                  <c:v>9504.3676677633812</c:v>
                </c:pt>
                <c:pt idx="875">
                  <c:v>9427.8295901835445</c:v>
                </c:pt>
                <c:pt idx="876">
                  <c:v>10155.010304623358</c:v>
                </c:pt>
                <c:pt idx="877">
                  <c:v>9958.142553414631</c:v>
                </c:pt>
                <c:pt idx="878">
                  <c:v>7327.5813663738591</c:v>
                </c:pt>
                <c:pt idx="879">
                  <c:v>9147.1637114349087</c:v>
                </c:pt>
                <c:pt idx="880">
                  <c:v>8879.3446493850843</c:v>
                </c:pt>
                <c:pt idx="881">
                  <c:v>7124.6837644468842</c:v>
                </c:pt>
                <c:pt idx="882">
                  <c:v>9499.2368274105011</c:v>
                </c:pt>
                <c:pt idx="883">
                  <c:v>7401.6859877882989</c:v>
                </c:pt>
                <c:pt idx="884">
                  <c:v>9455.4549120530446</c:v>
                </c:pt>
                <c:pt idx="885">
                  <c:v>9682.4784328484548</c:v>
                </c:pt>
                <c:pt idx="886">
                  <c:v>9263.8224914367947</c:v>
                </c:pt>
                <c:pt idx="887">
                  <c:v>8780.7611735223072</c:v>
                </c:pt>
                <c:pt idx="888">
                  <c:v>8517.6296185394094</c:v>
                </c:pt>
                <c:pt idx="889">
                  <c:v>9665.4952525643221</c:v>
                </c:pt>
                <c:pt idx="890">
                  <c:v>9650.8695210868245</c:v>
                </c:pt>
                <c:pt idx="891">
                  <c:v>9578.8736456805855</c:v>
                </c:pt>
                <c:pt idx="892">
                  <c:v>10602.217876175995</c:v>
                </c:pt>
                <c:pt idx="893">
                  <c:v>10562.569718566983</c:v>
                </c:pt>
                <c:pt idx="894">
                  <c:v>7209.9358390231155</c:v>
                </c:pt>
                <c:pt idx="895">
                  <c:v>10198.303293523755</c:v>
                </c:pt>
                <c:pt idx="896">
                  <c:v>10014.33633353018</c:v>
                </c:pt>
                <c:pt idx="897">
                  <c:v>9788.4136774660492</c:v>
                </c:pt>
                <c:pt idx="898">
                  <c:v>9627.4973330892826</c:v>
                </c:pt>
                <c:pt idx="899">
                  <c:v>9240.3455146321103</c:v>
                </c:pt>
                <c:pt idx="900">
                  <c:v>9511.0148134434676</c:v>
                </c:pt>
                <c:pt idx="901">
                  <c:v>9474.132440910822</c:v>
                </c:pt>
                <c:pt idx="902">
                  <c:v>9498.6258554807118</c:v>
                </c:pt>
                <c:pt idx="903">
                  <c:v>8016.3299913803066</c:v>
                </c:pt>
                <c:pt idx="904">
                  <c:v>7223.257461511339</c:v>
                </c:pt>
                <c:pt idx="905">
                  <c:v>10444.114588621129</c:v>
                </c:pt>
                <c:pt idx="906">
                  <c:v>7985.8248025793282</c:v>
                </c:pt>
                <c:pt idx="907">
                  <c:v>9711.4374215170919</c:v>
                </c:pt>
                <c:pt idx="908">
                  <c:v>8961.7356479645714</c:v>
                </c:pt>
                <c:pt idx="909">
                  <c:v>9889.2293047457715</c:v>
                </c:pt>
                <c:pt idx="910">
                  <c:v>9852.0100767532531</c:v>
                </c:pt>
                <c:pt idx="911">
                  <c:v>9105.0770700800331</c:v>
                </c:pt>
                <c:pt idx="912">
                  <c:v>10803.73464235758</c:v>
                </c:pt>
                <c:pt idx="913">
                  <c:v>10298.884066212107</c:v>
                </c:pt>
                <c:pt idx="914">
                  <c:v>8291.1267355922937</c:v>
                </c:pt>
                <c:pt idx="915">
                  <c:v>9448.7755714936648</c:v>
                </c:pt>
                <c:pt idx="916">
                  <c:v>9149.8492201850331</c:v>
                </c:pt>
                <c:pt idx="917">
                  <c:v>7233.830080972356</c:v>
                </c:pt>
                <c:pt idx="918">
                  <c:v>8348.8179666288615</c:v>
                </c:pt>
                <c:pt idx="919">
                  <c:v>7741.9642014898318</c:v>
                </c:pt>
                <c:pt idx="920">
                  <c:v>9511.0738031964938</c:v>
                </c:pt>
                <c:pt idx="921">
                  <c:v>9691.1304129795335</c:v>
                </c:pt>
                <c:pt idx="922">
                  <c:v>10096.808510306453</c:v>
                </c:pt>
                <c:pt idx="923">
                  <c:v>10348.003833397497</c:v>
                </c:pt>
                <c:pt idx="924">
                  <c:v>7588.7860588698823</c:v>
                </c:pt>
                <c:pt idx="925">
                  <c:v>10217.86513977753</c:v>
                </c:pt>
                <c:pt idx="926">
                  <c:v>10304.482617424503</c:v>
                </c:pt>
                <c:pt idx="927">
                  <c:v>10263.831000029826</c:v>
                </c:pt>
                <c:pt idx="928">
                  <c:v>6459.9472948963175</c:v>
                </c:pt>
                <c:pt idx="929">
                  <c:v>7928.7612432462056</c:v>
                </c:pt>
                <c:pt idx="930">
                  <c:v>11020.345787441631</c:v>
                </c:pt>
                <c:pt idx="931">
                  <c:v>8498.4549292877127</c:v>
                </c:pt>
                <c:pt idx="932">
                  <c:v>7549.6668544296963</c:v>
                </c:pt>
                <c:pt idx="933">
                  <c:v>8227.8391213460691</c:v>
                </c:pt>
                <c:pt idx="934">
                  <c:v>10318.294810798858</c:v>
                </c:pt>
                <c:pt idx="935">
                  <c:v>8503.2956479073273</c:v>
                </c:pt>
                <c:pt idx="936">
                  <c:v>9711.7971941387514</c:v>
                </c:pt>
                <c:pt idx="937">
                  <c:v>8286.8660181020459</c:v>
                </c:pt>
                <c:pt idx="938">
                  <c:v>11312.443489715448</c:v>
                </c:pt>
                <c:pt idx="939">
                  <c:v>9960.4447655004042</c:v>
                </c:pt>
                <c:pt idx="940">
                  <c:v>7669.5910297059199</c:v>
                </c:pt>
                <c:pt idx="941">
                  <c:v>9821.8291991096376</c:v>
                </c:pt>
                <c:pt idx="942">
                  <c:v>7497.7349279202954</c:v>
                </c:pt>
                <c:pt idx="943">
                  <c:v>7866.1148989788107</c:v>
                </c:pt>
                <c:pt idx="944">
                  <c:v>7753.0905160890779</c:v>
                </c:pt>
                <c:pt idx="945">
                  <c:v>8885.3144288182884</c:v>
                </c:pt>
                <c:pt idx="946">
                  <c:v>9560.450966657103</c:v>
                </c:pt>
                <c:pt idx="947">
                  <c:v>7617.8765767951627</c:v>
                </c:pt>
                <c:pt idx="948">
                  <c:v>9438.3766209675996</c:v>
                </c:pt>
                <c:pt idx="949">
                  <c:v>10061.76689149103</c:v>
                </c:pt>
                <c:pt idx="950">
                  <c:v>9173.5704607154439</c:v>
                </c:pt>
                <c:pt idx="951">
                  <c:v>10597.048209125103</c:v>
                </c:pt>
                <c:pt idx="952">
                  <c:v>8897.0623062940449</c:v>
                </c:pt>
                <c:pt idx="953">
                  <c:v>8688.6025593120685</c:v>
                </c:pt>
                <c:pt idx="954">
                  <c:v>8162.3440560180243</c:v>
                </c:pt>
                <c:pt idx="955">
                  <c:v>10920.129073331153</c:v>
                </c:pt>
                <c:pt idx="956">
                  <c:v>10665.249119770879</c:v>
                </c:pt>
                <c:pt idx="957">
                  <c:v>7754.2355701263059</c:v>
                </c:pt>
                <c:pt idx="958">
                  <c:v>10295.915660579278</c:v>
                </c:pt>
                <c:pt idx="959">
                  <c:v>9875.2778934761864</c:v>
                </c:pt>
                <c:pt idx="960">
                  <c:v>8935.85067454009</c:v>
                </c:pt>
                <c:pt idx="961">
                  <c:v>10677.281555573198</c:v>
                </c:pt>
                <c:pt idx="962">
                  <c:v>11681.970091415247</c:v>
                </c:pt>
                <c:pt idx="963">
                  <c:v>8851.1684316876417</c:v>
                </c:pt>
                <c:pt idx="964">
                  <c:v>8511.1429691458015</c:v>
                </c:pt>
                <c:pt idx="965">
                  <c:v>10716.753634100467</c:v>
                </c:pt>
                <c:pt idx="966">
                  <c:v>10285.868124684655</c:v>
                </c:pt>
                <c:pt idx="967">
                  <c:v>10207.111275701009</c:v>
                </c:pt>
                <c:pt idx="968">
                  <c:v>10045.632084978735</c:v>
                </c:pt>
                <c:pt idx="969">
                  <c:v>6649.1331753357053</c:v>
                </c:pt>
                <c:pt idx="970">
                  <c:v>9404.2303534024759</c:v>
                </c:pt>
                <c:pt idx="971">
                  <c:v>8905.7938066404386</c:v>
                </c:pt>
                <c:pt idx="972">
                  <c:v>10255.380586225827</c:v>
                </c:pt>
                <c:pt idx="973">
                  <c:v>10472.299892374238</c:v>
                </c:pt>
                <c:pt idx="974">
                  <c:v>8225.272836532984</c:v>
                </c:pt>
                <c:pt idx="975">
                  <c:v>8493.1002082085142</c:v>
                </c:pt>
                <c:pt idx="976">
                  <c:v>9143.0264175258762</c:v>
                </c:pt>
                <c:pt idx="977">
                  <c:v>8522.2839562145437</c:v>
                </c:pt>
                <c:pt idx="978">
                  <c:v>8193.6826092721276</c:v>
                </c:pt>
                <c:pt idx="979">
                  <c:v>11300.392549213302</c:v>
                </c:pt>
                <c:pt idx="980">
                  <c:v>10895.907656873904</c:v>
                </c:pt>
                <c:pt idx="981">
                  <c:v>9214.8225713959728</c:v>
                </c:pt>
                <c:pt idx="982">
                  <c:v>8420.7906557032256</c:v>
                </c:pt>
                <c:pt idx="983">
                  <c:v>10491.087351156591</c:v>
                </c:pt>
                <c:pt idx="984">
                  <c:v>8403.9643267251467</c:v>
                </c:pt>
                <c:pt idx="985">
                  <c:v>9156.7012552562755</c:v>
                </c:pt>
                <c:pt idx="986">
                  <c:v>8926.650754110764</c:v>
                </c:pt>
                <c:pt idx="987">
                  <c:v>11340.80821875011</c:v>
                </c:pt>
                <c:pt idx="988">
                  <c:v>9921.648674973696</c:v>
                </c:pt>
                <c:pt idx="989">
                  <c:v>11204.199041364458</c:v>
                </c:pt>
                <c:pt idx="990">
                  <c:v>9053.6251234146639</c:v>
                </c:pt>
                <c:pt idx="991">
                  <c:v>7615.8174892255556</c:v>
                </c:pt>
                <c:pt idx="992">
                  <c:v>8850.0294574727905</c:v>
                </c:pt>
                <c:pt idx="993">
                  <c:v>10112.611810631341</c:v>
                </c:pt>
                <c:pt idx="994">
                  <c:v>11395.70384302976</c:v>
                </c:pt>
                <c:pt idx="995">
                  <c:v>8444.4098190172845</c:v>
                </c:pt>
                <c:pt idx="996">
                  <c:v>10243.627852455515</c:v>
                </c:pt>
                <c:pt idx="997">
                  <c:v>10882.176898129363</c:v>
                </c:pt>
                <c:pt idx="998">
                  <c:v>9997.5399274782758</c:v>
                </c:pt>
                <c:pt idx="999">
                  <c:v>9407.3818219563127</c:v>
                </c:pt>
              </c:numCache>
            </c:numRef>
          </c:yVal>
          <c:smooth val="0"/>
        </c:ser>
        <c:ser>
          <c:idx val="3"/>
          <c:order val="3"/>
          <c:tx>
            <c:v>Scenario 4</c:v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808000"/>
                </a:solidFill>
                <a:prstDash val="solid"/>
              </a:ln>
            </c:spPr>
          </c:marker>
          <c:xVal>
            <c:numRef>
              <c:f>'MC Results'!$I$8:$I$1007</c:f>
              <c:numCache>
                <c:formatCode>0.00</c:formatCode>
                <c:ptCount val="1000"/>
                <c:pt idx="0">
                  <c:v>0.95955438487938238</c:v>
                </c:pt>
                <c:pt idx="1">
                  <c:v>0.98118151470082926</c:v>
                </c:pt>
                <c:pt idx="2">
                  <c:v>0.8990799684148153</c:v>
                </c:pt>
                <c:pt idx="3">
                  <c:v>0.96768985960173437</c:v>
                </c:pt>
                <c:pt idx="4">
                  <c:v>0.93942054074185899</c:v>
                </c:pt>
                <c:pt idx="5">
                  <c:v>0.93197884247989649</c:v>
                </c:pt>
                <c:pt idx="6">
                  <c:v>0.90058891384757012</c:v>
                </c:pt>
                <c:pt idx="7">
                  <c:v>0.82270392547931603</c:v>
                </c:pt>
                <c:pt idx="8">
                  <c:v>0.85203653847776795</c:v>
                </c:pt>
                <c:pt idx="9">
                  <c:v>0.80244470313242289</c:v>
                </c:pt>
                <c:pt idx="10">
                  <c:v>0.94445761322239574</c:v>
                </c:pt>
                <c:pt idx="11">
                  <c:v>0.83191818714809118</c:v>
                </c:pt>
                <c:pt idx="12">
                  <c:v>0.94411749559089997</c:v>
                </c:pt>
                <c:pt idx="13">
                  <c:v>0.9081486149034006</c:v>
                </c:pt>
                <c:pt idx="14">
                  <c:v>0.94071357622835317</c:v>
                </c:pt>
                <c:pt idx="15">
                  <c:v>0.95214397306974585</c:v>
                </c:pt>
                <c:pt idx="16">
                  <c:v>0.93366618224292119</c:v>
                </c:pt>
                <c:pt idx="17">
                  <c:v>0.79548388844060636</c:v>
                </c:pt>
                <c:pt idx="18">
                  <c:v>0.94270239376379772</c:v>
                </c:pt>
                <c:pt idx="19">
                  <c:v>0.92575449118466502</c:v>
                </c:pt>
                <c:pt idx="20">
                  <c:v>0.81185342659720838</c:v>
                </c:pt>
                <c:pt idx="21">
                  <c:v>0.79996119358939366</c:v>
                </c:pt>
                <c:pt idx="22">
                  <c:v>0.97406992954675831</c:v>
                </c:pt>
                <c:pt idx="23">
                  <c:v>0.89479224965013682</c:v>
                </c:pt>
                <c:pt idx="24">
                  <c:v>0.91748699019492053</c:v>
                </c:pt>
                <c:pt idx="25">
                  <c:v>0.72857772517201136</c:v>
                </c:pt>
                <c:pt idx="26">
                  <c:v>0.92411279666926194</c:v>
                </c:pt>
                <c:pt idx="27">
                  <c:v>0.76832164781421541</c:v>
                </c:pt>
                <c:pt idx="28">
                  <c:v>0.94611263079969143</c:v>
                </c:pt>
                <c:pt idx="29">
                  <c:v>0.93396733422293876</c:v>
                </c:pt>
                <c:pt idx="30">
                  <c:v>0.8467617275998649</c:v>
                </c:pt>
                <c:pt idx="31">
                  <c:v>0.81930002638837118</c:v>
                </c:pt>
                <c:pt idx="32">
                  <c:v>0.73189388677342104</c:v>
                </c:pt>
                <c:pt idx="33">
                  <c:v>0.93834629664820579</c:v>
                </c:pt>
                <c:pt idx="34">
                  <c:v>0.79939530552168803</c:v>
                </c:pt>
                <c:pt idx="35">
                  <c:v>0.8393873427377434</c:v>
                </c:pt>
                <c:pt idx="36">
                  <c:v>0.77042273375302939</c:v>
                </c:pt>
                <c:pt idx="37">
                  <c:v>0.88252661156844259</c:v>
                </c:pt>
                <c:pt idx="38">
                  <c:v>0.94148501555265152</c:v>
                </c:pt>
                <c:pt idx="39">
                  <c:v>0.80423117016296863</c:v>
                </c:pt>
                <c:pt idx="40">
                  <c:v>0.90937151980869246</c:v>
                </c:pt>
                <c:pt idx="41">
                  <c:v>0.83097035513861384</c:v>
                </c:pt>
                <c:pt idx="42">
                  <c:v>0.9493294070089151</c:v>
                </c:pt>
                <c:pt idx="43">
                  <c:v>0.78759662186925294</c:v>
                </c:pt>
                <c:pt idx="44">
                  <c:v>0.94357774874342981</c:v>
                </c:pt>
                <c:pt idx="45">
                  <c:v>0.89498905177458554</c:v>
                </c:pt>
                <c:pt idx="46">
                  <c:v>0.8845615897559207</c:v>
                </c:pt>
                <c:pt idx="47">
                  <c:v>0.84473580910905621</c:v>
                </c:pt>
                <c:pt idx="48">
                  <c:v>0.93104821851994091</c:v>
                </c:pt>
                <c:pt idx="49">
                  <c:v>0.87123180639240094</c:v>
                </c:pt>
                <c:pt idx="50">
                  <c:v>0.96906761995534274</c:v>
                </c:pt>
                <c:pt idx="51">
                  <c:v>0.93284625154038714</c:v>
                </c:pt>
                <c:pt idx="52">
                  <c:v>0.72064517365911696</c:v>
                </c:pt>
                <c:pt idx="53">
                  <c:v>0.9550347590053524</c:v>
                </c:pt>
                <c:pt idx="54">
                  <c:v>0.91190729883771438</c:v>
                </c:pt>
                <c:pt idx="55">
                  <c:v>0.7565164428636747</c:v>
                </c:pt>
                <c:pt idx="56">
                  <c:v>0.88289871970094014</c:v>
                </c:pt>
                <c:pt idx="57">
                  <c:v>0.90129871576952425</c:v>
                </c:pt>
                <c:pt idx="58">
                  <c:v>0.94885673461516795</c:v>
                </c:pt>
                <c:pt idx="59">
                  <c:v>0.94757668466008327</c:v>
                </c:pt>
                <c:pt idx="60">
                  <c:v>0.93680254046183531</c:v>
                </c:pt>
                <c:pt idx="61">
                  <c:v>0.94090903263248515</c:v>
                </c:pt>
                <c:pt idx="62">
                  <c:v>0.98066966656578014</c:v>
                </c:pt>
                <c:pt idx="63">
                  <c:v>0.87212572013127909</c:v>
                </c:pt>
                <c:pt idx="64">
                  <c:v>0.9462524235780454</c:v>
                </c:pt>
                <c:pt idx="65">
                  <c:v>0.8673042357177807</c:v>
                </c:pt>
                <c:pt idx="66">
                  <c:v>0.8952670762174384</c:v>
                </c:pt>
                <c:pt idx="67">
                  <c:v>0.92277817202624468</c:v>
                </c:pt>
                <c:pt idx="68">
                  <c:v>0.87372054725848391</c:v>
                </c:pt>
                <c:pt idx="69">
                  <c:v>0.82549882581716161</c:v>
                </c:pt>
                <c:pt idx="70">
                  <c:v>0.96584770801610553</c:v>
                </c:pt>
                <c:pt idx="71">
                  <c:v>0.82396427905022485</c:v>
                </c:pt>
                <c:pt idx="72">
                  <c:v>0.93201673462377821</c:v>
                </c:pt>
                <c:pt idx="73">
                  <c:v>0.96993047543901512</c:v>
                </c:pt>
                <c:pt idx="74">
                  <c:v>0.95835777116326359</c:v>
                </c:pt>
                <c:pt idx="75">
                  <c:v>0.95862784422808667</c:v>
                </c:pt>
                <c:pt idx="76">
                  <c:v>0.85182777440922086</c:v>
                </c:pt>
                <c:pt idx="77">
                  <c:v>0.87897922686906393</c:v>
                </c:pt>
                <c:pt idx="78">
                  <c:v>0.96272378770732159</c:v>
                </c:pt>
                <c:pt idx="79">
                  <c:v>0.95523585273487865</c:v>
                </c:pt>
                <c:pt idx="80">
                  <c:v>0.75452686247994127</c:v>
                </c:pt>
                <c:pt idx="81">
                  <c:v>0.73431359156732456</c:v>
                </c:pt>
                <c:pt idx="82">
                  <c:v>0.86795003525308378</c:v>
                </c:pt>
                <c:pt idx="83">
                  <c:v>0.82642539753531352</c:v>
                </c:pt>
                <c:pt idx="84">
                  <c:v>0.93283654292864127</c:v>
                </c:pt>
                <c:pt idx="85">
                  <c:v>0.93163135907501116</c:v>
                </c:pt>
                <c:pt idx="86">
                  <c:v>0.96142898551747824</c:v>
                </c:pt>
                <c:pt idx="87">
                  <c:v>0.93130302251162234</c:v>
                </c:pt>
                <c:pt idx="88">
                  <c:v>0.96952073693596574</c:v>
                </c:pt>
                <c:pt idx="89">
                  <c:v>0.91714383484221296</c:v>
                </c:pt>
                <c:pt idx="90">
                  <c:v>0.93095371048335385</c:v>
                </c:pt>
                <c:pt idx="91">
                  <c:v>0.9539546233305547</c:v>
                </c:pt>
                <c:pt idx="92">
                  <c:v>0.96741652448134363</c:v>
                </c:pt>
                <c:pt idx="93">
                  <c:v>0.87240600511718447</c:v>
                </c:pt>
                <c:pt idx="94">
                  <c:v>0.91493652825805638</c:v>
                </c:pt>
                <c:pt idx="95">
                  <c:v>0.91813661388602741</c:v>
                </c:pt>
                <c:pt idx="96">
                  <c:v>0.96211353442158054</c:v>
                </c:pt>
                <c:pt idx="97">
                  <c:v>0.89218084331875303</c:v>
                </c:pt>
                <c:pt idx="98">
                  <c:v>0.83440747515870517</c:v>
                </c:pt>
                <c:pt idx="99">
                  <c:v>0.84135900229951144</c:v>
                </c:pt>
                <c:pt idx="100">
                  <c:v>0.93969938612845638</c:v>
                </c:pt>
                <c:pt idx="101">
                  <c:v>0.97161219550449762</c:v>
                </c:pt>
                <c:pt idx="102">
                  <c:v>0.96449565968169426</c:v>
                </c:pt>
                <c:pt idx="103">
                  <c:v>0.84208988937094509</c:v>
                </c:pt>
                <c:pt idx="104">
                  <c:v>0.97174673048089033</c:v>
                </c:pt>
                <c:pt idx="105">
                  <c:v>0.79277015687378327</c:v>
                </c:pt>
                <c:pt idx="106">
                  <c:v>0.89797296904976565</c:v>
                </c:pt>
                <c:pt idx="107">
                  <c:v>0.86133928959932815</c:v>
                </c:pt>
                <c:pt idx="108">
                  <c:v>0.89286861636709025</c:v>
                </c:pt>
                <c:pt idx="109">
                  <c:v>0.94206976173671331</c:v>
                </c:pt>
                <c:pt idx="110">
                  <c:v>0.76173231448524259</c:v>
                </c:pt>
                <c:pt idx="111">
                  <c:v>0.85008437616762911</c:v>
                </c:pt>
                <c:pt idx="112">
                  <c:v>0.9606697188626957</c:v>
                </c:pt>
                <c:pt idx="113">
                  <c:v>0.88677473483719771</c:v>
                </c:pt>
                <c:pt idx="114">
                  <c:v>0.96799799521959451</c:v>
                </c:pt>
                <c:pt idx="115">
                  <c:v>0.84613074353396878</c:v>
                </c:pt>
                <c:pt idx="116">
                  <c:v>0.7880559819896813</c:v>
                </c:pt>
                <c:pt idx="117">
                  <c:v>0.96033727742661701</c:v>
                </c:pt>
                <c:pt idx="118">
                  <c:v>0.89706356896300532</c:v>
                </c:pt>
                <c:pt idx="119">
                  <c:v>0.91869661370593869</c:v>
                </c:pt>
                <c:pt idx="120">
                  <c:v>0.75141101058706106</c:v>
                </c:pt>
                <c:pt idx="121">
                  <c:v>0.87677028064392593</c:v>
                </c:pt>
                <c:pt idx="122">
                  <c:v>0.80140503642584715</c:v>
                </c:pt>
                <c:pt idx="123">
                  <c:v>0.96089954775475639</c:v>
                </c:pt>
                <c:pt idx="124">
                  <c:v>0.95885630014595535</c:v>
                </c:pt>
                <c:pt idx="125">
                  <c:v>0.8599870585630387</c:v>
                </c:pt>
                <c:pt idx="126">
                  <c:v>0.9587179144660718</c:v>
                </c:pt>
                <c:pt idx="127">
                  <c:v>0.87805562038680962</c:v>
                </c:pt>
                <c:pt idx="128">
                  <c:v>0.76942772277363658</c:v>
                </c:pt>
                <c:pt idx="129">
                  <c:v>0.9788080775248873</c:v>
                </c:pt>
                <c:pt idx="130">
                  <c:v>0.96396164374452342</c:v>
                </c:pt>
                <c:pt idx="131">
                  <c:v>0.89185669071874374</c:v>
                </c:pt>
                <c:pt idx="132">
                  <c:v>0.96867819549857659</c:v>
                </c:pt>
                <c:pt idx="133">
                  <c:v>0.91502862653158745</c:v>
                </c:pt>
                <c:pt idx="134">
                  <c:v>0.92352212041934634</c:v>
                </c:pt>
                <c:pt idx="135">
                  <c:v>0.83626892162468813</c:v>
                </c:pt>
                <c:pt idx="136">
                  <c:v>0.93425249931581456</c:v>
                </c:pt>
                <c:pt idx="137">
                  <c:v>0.88276891453714823</c:v>
                </c:pt>
                <c:pt idx="138">
                  <c:v>0.93102401449305283</c:v>
                </c:pt>
                <c:pt idx="139">
                  <c:v>0.82928877428987358</c:v>
                </c:pt>
                <c:pt idx="140">
                  <c:v>0.95702682641059156</c:v>
                </c:pt>
                <c:pt idx="141">
                  <c:v>0.95946193040170924</c:v>
                </c:pt>
                <c:pt idx="142">
                  <c:v>0.83877108127220301</c:v>
                </c:pt>
                <c:pt idx="143">
                  <c:v>0.96460500222901846</c:v>
                </c:pt>
                <c:pt idx="144">
                  <c:v>0.84031996864224334</c:v>
                </c:pt>
                <c:pt idx="145">
                  <c:v>0.93143067093159271</c:v>
                </c:pt>
                <c:pt idx="146">
                  <c:v>0.95768808739344957</c:v>
                </c:pt>
                <c:pt idx="147">
                  <c:v>0.94252895454158869</c:v>
                </c:pt>
                <c:pt idx="148">
                  <c:v>0.71293758706323362</c:v>
                </c:pt>
                <c:pt idx="149">
                  <c:v>0.91790381407117572</c:v>
                </c:pt>
                <c:pt idx="150">
                  <c:v>0.85571056453230909</c:v>
                </c:pt>
                <c:pt idx="151">
                  <c:v>0.85516659160083797</c:v>
                </c:pt>
                <c:pt idx="152">
                  <c:v>0.8566002947879805</c:v>
                </c:pt>
                <c:pt idx="153">
                  <c:v>0.81671835120285519</c:v>
                </c:pt>
                <c:pt idx="154">
                  <c:v>0.71985233315097885</c:v>
                </c:pt>
                <c:pt idx="155">
                  <c:v>0.9449386978442863</c:v>
                </c:pt>
                <c:pt idx="156">
                  <c:v>0.84837761919291055</c:v>
                </c:pt>
                <c:pt idx="157">
                  <c:v>0.92647303488469601</c:v>
                </c:pt>
                <c:pt idx="158">
                  <c:v>0.95520536681096802</c:v>
                </c:pt>
                <c:pt idx="159">
                  <c:v>0.83914287159513723</c:v>
                </c:pt>
                <c:pt idx="160">
                  <c:v>0.92130658523081999</c:v>
                </c:pt>
                <c:pt idx="161">
                  <c:v>0.93628927066425494</c:v>
                </c:pt>
                <c:pt idx="162">
                  <c:v>0.95676313099363819</c:v>
                </c:pt>
                <c:pt idx="163">
                  <c:v>0.77142639632084165</c:v>
                </c:pt>
                <c:pt idx="164">
                  <c:v>0.73877363643208838</c:v>
                </c:pt>
                <c:pt idx="165">
                  <c:v>0.91762477272753895</c:v>
                </c:pt>
                <c:pt idx="166">
                  <c:v>0.9135685837636679</c:v>
                </c:pt>
                <c:pt idx="167">
                  <c:v>0.94279436140890516</c:v>
                </c:pt>
                <c:pt idx="168">
                  <c:v>0.94869626343109803</c:v>
                </c:pt>
                <c:pt idx="169">
                  <c:v>0.78160421299428418</c:v>
                </c:pt>
                <c:pt idx="170">
                  <c:v>0.73175824444302395</c:v>
                </c:pt>
                <c:pt idx="171">
                  <c:v>0.78759550365515252</c:v>
                </c:pt>
                <c:pt idx="172">
                  <c:v>0.76204607294788707</c:v>
                </c:pt>
                <c:pt idx="173">
                  <c:v>0.91583234599511565</c:v>
                </c:pt>
                <c:pt idx="174">
                  <c:v>0.86943244818512921</c:v>
                </c:pt>
                <c:pt idx="175">
                  <c:v>0.83371296393743011</c:v>
                </c:pt>
                <c:pt idx="176">
                  <c:v>0.805674768341194</c:v>
                </c:pt>
                <c:pt idx="177">
                  <c:v>0.82931152969519062</c:v>
                </c:pt>
                <c:pt idx="178">
                  <c:v>0.83227412029786096</c:v>
                </c:pt>
                <c:pt idx="179">
                  <c:v>0.74751656051334325</c:v>
                </c:pt>
                <c:pt idx="180">
                  <c:v>0.93353220906256595</c:v>
                </c:pt>
                <c:pt idx="181">
                  <c:v>0.79097912494457634</c:v>
                </c:pt>
                <c:pt idx="182">
                  <c:v>0.9326751773044385</c:v>
                </c:pt>
                <c:pt idx="183">
                  <c:v>0.7815334028708989</c:v>
                </c:pt>
                <c:pt idx="184">
                  <c:v>0.88011324312309114</c:v>
                </c:pt>
                <c:pt idx="185">
                  <c:v>0.98224330599302312</c:v>
                </c:pt>
                <c:pt idx="186">
                  <c:v>0.82701873825565642</c:v>
                </c:pt>
                <c:pt idx="187">
                  <c:v>0.93183375214453057</c:v>
                </c:pt>
                <c:pt idx="188">
                  <c:v>0.85034698665170072</c:v>
                </c:pt>
                <c:pt idx="189">
                  <c:v>0.91751010450561954</c:v>
                </c:pt>
                <c:pt idx="190">
                  <c:v>0.90589748394135605</c:v>
                </c:pt>
                <c:pt idx="191">
                  <c:v>0.97359162667445243</c:v>
                </c:pt>
                <c:pt idx="192">
                  <c:v>0.93320109013075236</c:v>
                </c:pt>
                <c:pt idx="193">
                  <c:v>0.90675822201033618</c:v>
                </c:pt>
                <c:pt idx="194">
                  <c:v>0.90190105034098811</c:v>
                </c:pt>
                <c:pt idx="195">
                  <c:v>0.71734780723870284</c:v>
                </c:pt>
                <c:pt idx="196">
                  <c:v>0.96012083634704481</c:v>
                </c:pt>
                <c:pt idx="197">
                  <c:v>0.93896844846180549</c:v>
                </c:pt>
                <c:pt idx="198">
                  <c:v>0.94431929288977789</c:v>
                </c:pt>
                <c:pt idx="199">
                  <c:v>0.95692075283427647</c:v>
                </c:pt>
                <c:pt idx="200">
                  <c:v>0.94745017840907719</c:v>
                </c:pt>
                <c:pt idx="201">
                  <c:v>0.97376270151024635</c:v>
                </c:pt>
                <c:pt idx="202">
                  <c:v>0.93989861005725883</c:v>
                </c:pt>
                <c:pt idx="203">
                  <c:v>0.95248050485121305</c:v>
                </c:pt>
                <c:pt idx="204">
                  <c:v>0.95137470195207485</c:v>
                </c:pt>
                <c:pt idx="205">
                  <c:v>0.96349906663258811</c:v>
                </c:pt>
                <c:pt idx="206">
                  <c:v>0.93980827401436262</c:v>
                </c:pt>
                <c:pt idx="207">
                  <c:v>0.83218497496039534</c:v>
                </c:pt>
                <c:pt idx="208">
                  <c:v>0.89132136524268457</c:v>
                </c:pt>
                <c:pt idx="209">
                  <c:v>0.77668961643325307</c:v>
                </c:pt>
                <c:pt idx="210">
                  <c:v>0.94655043071915723</c:v>
                </c:pt>
                <c:pt idx="211">
                  <c:v>0.94151253599359386</c:v>
                </c:pt>
                <c:pt idx="212">
                  <c:v>0.85888115741144999</c:v>
                </c:pt>
                <c:pt idx="213">
                  <c:v>0.92257427483434884</c:v>
                </c:pt>
                <c:pt idx="214">
                  <c:v>0.90786023013763062</c:v>
                </c:pt>
                <c:pt idx="215">
                  <c:v>0.89248557381168814</c:v>
                </c:pt>
                <c:pt idx="216">
                  <c:v>0.93286059067452165</c:v>
                </c:pt>
                <c:pt idx="217">
                  <c:v>0.96491722496782373</c:v>
                </c:pt>
                <c:pt idx="218">
                  <c:v>0.74115729241528649</c:v>
                </c:pt>
                <c:pt idx="219">
                  <c:v>0.94356460161422406</c:v>
                </c:pt>
                <c:pt idx="220">
                  <c:v>0.80745709996767645</c:v>
                </c:pt>
                <c:pt idx="221">
                  <c:v>0.87339097743930072</c:v>
                </c:pt>
                <c:pt idx="222">
                  <c:v>0.90599501466454724</c:v>
                </c:pt>
                <c:pt idx="223">
                  <c:v>0.95604167771649995</c:v>
                </c:pt>
                <c:pt idx="224">
                  <c:v>0.96040907888489724</c:v>
                </c:pt>
                <c:pt idx="225">
                  <c:v>0.9012984037853613</c:v>
                </c:pt>
                <c:pt idx="226">
                  <c:v>0.91487716398080199</c:v>
                </c:pt>
                <c:pt idx="227">
                  <c:v>0.82058659356490282</c:v>
                </c:pt>
                <c:pt idx="228">
                  <c:v>0.77986712945617676</c:v>
                </c:pt>
                <c:pt idx="229">
                  <c:v>0.87073111395910097</c:v>
                </c:pt>
                <c:pt idx="230">
                  <c:v>0.87223738552114405</c:v>
                </c:pt>
                <c:pt idx="231">
                  <c:v>0.80750682400616003</c:v>
                </c:pt>
                <c:pt idx="232">
                  <c:v>0.95918936834521751</c:v>
                </c:pt>
                <c:pt idx="233">
                  <c:v>0.86761389304183412</c:v>
                </c:pt>
                <c:pt idx="234">
                  <c:v>0.91957722365157846</c:v>
                </c:pt>
                <c:pt idx="235">
                  <c:v>0.95320879299185968</c:v>
                </c:pt>
                <c:pt idx="236">
                  <c:v>0.94796889362429715</c:v>
                </c:pt>
                <c:pt idx="237">
                  <c:v>0.91545897828001155</c:v>
                </c:pt>
                <c:pt idx="238">
                  <c:v>0.86180262838722288</c:v>
                </c:pt>
                <c:pt idx="239">
                  <c:v>0.937488147563459</c:v>
                </c:pt>
                <c:pt idx="240">
                  <c:v>0.86614827314797971</c:v>
                </c:pt>
                <c:pt idx="241">
                  <c:v>0.93422851745265123</c:v>
                </c:pt>
                <c:pt idx="242">
                  <c:v>0.89110725498371135</c:v>
                </c:pt>
                <c:pt idx="243">
                  <c:v>0.68599022385566677</c:v>
                </c:pt>
                <c:pt idx="244">
                  <c:v>0.7388904798840048</c:v>
                </c:pt>
                <c:pt idx="245">
                  <c:v>0.97409838504239832</c:v>
                </c:pt>
                <c:pt idx="246">
                  <c:v>0.94891250294857055</c:v>
                </c:pt>
                <c:pt idx="247">
                  <c:v>0.85276048917339931</c:v>
                </c:pt>
                <c:pt idx="248">
                  <c:v>0.97515682652292468</c:v>
                </c:pt>
                <c:pt idx="249">
                  <c:v>0.91754121820505263</c:v>
                </c:pt>
                <c:pt idx="250">
                  <c:v>0.89216160865490091</c:v>
                </c:pt>
                <c:pt idx="251">
                  <c:v>0.97132948213367432</c:v>
                </c:pt>
                <c:pt idx="252">
                  <c:v>0.87734065996778487</c:v>
                </c:pt>
                <c:pt idx="253">
                  <c:v>0.79728482661136169</c:v>
                </c:pt>
                <c:pt idx="254">
                  <c:v>0.82699322027819144</c:v>
                </c:pt>
                <c:pt idx="255">
                  <c:v>0.81648916491143186</c:v>
                </c:pt>
                <c:pt idx="256">
                  <c:v>0.9427382734204266</c:v>
                </c:pt>
                <c:pt idx="257">
                  <c:v>0.62984176416387916</c:v>
                </c:pt>
                <c:pt idx="258">
                  <c:v>0.9204953516928539</c:v>
                </c:pt>
                <c:pt idx="259">
                  <c:v>0.90910720010407808</c:v>
                </c:pt>
                <c:pt idx="260">
                  <c:v>0.96569424248505265</c:v>
                </c:pt>
                <c:pt idx="261">
                  <c:v>0.7213375079230897</c:v>
                </c:pt>
                <c:pt idx="262">
                  <c:v>0.82491713104588738</c:v>
                </c:pt>
                <c:pt idx="263">
                  <c:v>0.96804253837026133</c:v>
                </c:pt>
                <c:pt idx="264">
                  <c:v>0.90308478007655091</c:v>
                </c:pt>
                <c:pt idx="265">
                  <c:v>0.81630018277895167</c:v>
                </c:pt>
                <c:pt idx="266">
                  <c:v>0.96287645653107656</c:v>
                </c:pt>
                <c:pt idx="267">
                  <c:v>0.97481289996442522</c:v>
                </c:pt>
                <c:pt idx="268">
                  <c:v>0.83534119975436416</c:v>
                </c:pt>
                <c:pt idx="269">
                  <c:v>0.72729231644390668</c:v>
                </c:pt>
                <c:pt idx="270">
                  <c:v>0.75187973103441563</c:v>
                </c:pt>
                <c:pt idx="271">
                  <c:v>0.85249000297007105</c:v>
                </c:pt>
                <c:pt idx="272">
                  <c:v>0.93566967005646373</c:v>
                </c:pt>
                <c:pt idx="273">
                  <c:v>0.89974978301602282</c:v>
                </c:pt>
                <c:pt idx="274">
                  <c:v>0.75611033371752856</c:v>
                </c:pt>
                <c:pt idx="275">
                  <c:v>0.85367106283963579</c:v>
                </c:pt>
                <c:pt idx="276">
                  <c:v>0.82965089246499235</c:v>
                </c:pt>
                <c:pt idx="277">
                  <c:v>0.85956654665427745</c:v>
                </c:pt>
                <c:pt idx="278">
                  <c:v>0.91638138534418156</c:v>
                </c:pt>
                <c:pt idx="279">
                  <c:v>0.7377552978618217</c:v>
                </c:pt>
                <c:pt idx="280">
                  <c:v>0.7944602968666572</c:v>
                </c:pt>
                <c:pt idx="281">
                  <c:v>0.82411223850448212</c:v>
                </c:pt>
                <c:pt idx="282">
                  <c:v>0.91424481478470587</c:v>
                </c:pt>
                <c:pt idx="283">
                  <c:v>0.90176219486502562</c:v>
                </c:pt>
                <c:pt idx="284">
                  <c:v>0.80156619836306242</c:v>
                </c:pt>
                <c:pt idx="285">
                  <c:v>0.93873059523662283</c:v>
                </c:pt>
                <c:pt idx="286">
                  <c:v>0.86416709435242489</c:v>
                </c:pt>
                <c:pt idx="287">
                  <c:v>0.94377738489481222</c:v>
                </c:pt>
                <c:pt idx="288">
                  <c:v>0.91528538802677306</c:v>
                </c:pt>
                <c:pt idx="289">
                  <c:v>0.95473607531337723</c:v>
                </c:pt>
                <c:pt idx="290">
                  <c:v>0.93271024232965005</c:v>
                </c:pt>
                <c:pt idx="291">
                  <c:v>0.93566401531813348</c:v>
                </c:pt>
                <c:pt idx="292">
                  <c:v>0.91189824130059793</c:v>
                </c:pt>
                <c:pt idx="293">
                  <c:v>0.77584894108883895</c:v>
                </c:pt>
                <c:pt idx="294">
                  <c:v>0.85651669528755547</c:v>
                </c:pt>
                <c:pt idx="295">
                  <c:v>0.91117104527255599</c:v>
                </c:pt>
                <c:pt idx="296">
                  <c:v>0.88168179781097211</c:v>
                </c:pt>
                <c:pt idx="297">
                  <c:v>0.86278609486076263</c:v>
                </c:pt>
                <c:pt idx="298">
                  <c:v>0.90079379661038583</c:v>
                </c:pt>
                <c:pt idx="299">
                  <c:v>0.79520156947509812</c:v>
                </c:pt>
                <c:pt idx="300">
                  <c:v>0.76716603680667173</c:v>
                </c:pt>
                <c:pt idx="301">
                  <c:v>0.68733388067089518</c:v>
                </c:pt>
                <c:pt idx="302">
                  <c:v>0.8271726180329082</c:v>
                </c:pt>
                <c:pt idx="303">
                  <c:v>0.93259897639074985</c:v>
                </c:pt>
                <c:pt idx="304">
                  <c:v>0.90224054632653594</c:v>
                </c:pt>
                <c:pt idx="305">
                  <c:v>0.94374277017132502</c:v>
                </c:pt>
                <c:pt idx="306">
                  <c:v>0.78371733665032539</c:v>
                </c:pt>
                <c:pt idx="307">
                  <c:v>0.96242620395145462</c:v>
                </c:pt>
                <c:pt idx="308">
                  <c:v>0.96117339151061598</c:v>
                </c:pt>
                <c:pt idx="309">
                  <c:v>0.87995724682222354</c:v>
                </c:pt>
                <c:pt idx="310">
                  <c:v>0.73640837465088638</c:v>
                </c:pt>
                <c:pt idx="311">
                  <c:v>0.78209739097112441</c:v>
                </c:pt>
                <c:pt idx="312">
                  <c:v>0.92056174011280567</c:v>
                </c:pt>
                <c:pt idx="313">
                  <c:v>0.75078689987537928</c:v>
                </c:pt>
                <c:pt idx="314">
                  <c:v>0.92206650888977149</c:v>
                </c:pt>
                <c:pt idx="315">
                  <c:v>0.98703552995802779</c:v>
                </c:pt>
                <c:pt idx="316">
                  <c:v>0.76422814174131526</c:v>
                </c:pt>
                <c:pt idx="317">
                  <c:v>0.93197111966760726</c:v>
                </c:pt>
                <c:pt idx="318">
                  <c:v>0.96900062518065777</c:v>
                </c:pt>
                <c:pt idx="319">
                  <c:v>0.9679738350977265</c:v>
                </c:pt>
                <c:pt idx="320">
                  <c:v>0.9440537046193247</c:v>
                </c:pt>
                <c:pt idx="321">
                  <c:v>0.74584283127988771</c:v>
                </c:pt>
                <c:pt idx="322">
                  <c:v>0.84278752012535563</c:v>
                </c:pt>
                <c:pt idx="323">
                  <c:v>0.91611760604037951</c:v>
                </c:pt>
                <c:pt idx="324">
                  <c:v>0.87054579607347415</c:v>
                </c:pt>
                <c:pt idx="325">
                  <c:v>0.76500005256703341</c:v>
                </c:pt>
                <c:pt idx="326">
                  <c:v>0.75691695398147529</c:v>
                </c:pt>
                <c:pt idx="327">
                  <c:v>0.96525162824169486</c:v>
                </c:pt>
                <c:pt idx="328">
                  <c:v>0.93578505315050331</c:v>
                </c:pt>
                <c:pt idx="329">
                  <c:v>0.94868379127195346</c:v>
                </c:pt>
                <c:pt idx="330">
                  <c:v>0.93346502055789649</c:v>
                </c:pt>
                <c:pt idx="331">
                  <c:v>0.9361954259956089</c:v>
                </c:pt>
                <c:pt idx="332">
                  <c:v>0.67467169786646952</c:v>
                </c:pt>
                <c:pt idx="333">
                  <c:v>0.8241998478158522</c:v>
                </c:pt>
                <c:pt idx="334">
                  <c:v>0.79703868310334935</c:v>
                </c:pt>
                <c:pt idx="335">
                  <c:v>0.93968414022379421</c:v>
                </c:pt>
                <c:pt idx="336">
                  <c:v>0.95511327673883084</c:v>
                </c:pt>
                <c:pt idx="337">
                  <c:v>0.93829744817559035</c:v>
                </c:pt>
                <c:pt idx="338">
                  <c:v>0.95122154785395696</c:v>
                </c:pt>
                <c:pt idx="339">
                  <c:v>0.83108634082347366</c:v>
                </c:pt>
                <c:pt idx="340">
                  <c:v>0.96233994931052402</c:v>
                </c:pt>
                <c:pt idx="341">
                  <c:v>0.89109045832177536</c:v>
                </c:pt>
                <c:pt idx="342">
                  <c:v>0.86766820324854654</c:v>
                </c:pt>
                <c:pt idx="343">
                  <c:v>0.95256464613457859</c:v>
                </c:pt>
                <c:pt idx="344">
                  <c:v>0.95134829434715973</c:v>
                </c:pt>
                <c:pt idx="345">
                  <c:v>0.7270302759996552</c:v>
                </c:pt>
                <c:pt idx="346">
                  <c:v>0.86081703953991351</c:v>
                </c:pt>
                <c:pt idx="347">
                  <c:v>0.77162871453160964</c:v>
                </c:pt>
                <c:pt idx="348">
                  <c:v>0.94576842838499076</c:v>
                </c:pt>
                <c:pt idx="349">
                  <c:v>0.81637347476209565</c:v>
                </c:pt>
                <c:pt idx="350">
                  <c:v>0.85964284514742428</c:v>
                </c:pt>
                <c:pt idx="351">
                  <c:v>0.88409729962465067</c:v>
                </c:pt>
                <c:pt idx="352">
                  <c:v>0.83927815960876107</c:v>
                </c:pt>
                <c:pt idx="353">
                  <c:v>0.73967127569695945</c:v>
                </c:pt>
                <c:pt idx="354">
                  <c:v>0.96766879696486574</c:v>
                </c:pt>
                <c:pt idx="355">
                  <c:v>0.85092410476842018</c:v>
                </c:pt>
                <c:pt idx="356">
                  <c:v>0.96584027117156523</c:v>
                </c:pt>
                <c:pt idx="357">
                  <c:v>0.94578486589134614</c:v>
                </c:pt>
                <c:pt idx="358">
                  <c:v>0.85830619017899912</c:v>
                </c:pt>
                <c:pt idx="359">
                  <c:v>0.81500612735171751</c:v>
                </c:pt>
                <c:pt idx="360">
                  <c:v>0.80187438737800742</c:v>
                </c:pt>
                <c:pt idx="361">
                  <c:v>0.92841451803711883</c:v>
                </c:pt>
                <c:pt idx="362">
                  <c:v>0.88199938484212059</c:v>
                </c:pt>
                <c:pt idx="363">
                  <c:v>0.77289548871772384</c:v>
                </c:pt>
                <c:pt idx="364">
                  <c:v>0.75854485891671364</c:v>
                </c:pt>
                <c:pt idx="365">
                  <c:v>0.78222021984771939</c:v>
                </c:pt>
                <c:pt idx="366">
                  <c:v>0.96252040009597961</c:v>
                </c:pt>
                <c:pt idx="367">
                  <c:v>0.91855054353548948</c:v>
                </c:pt>
                <c:pt idx="368">
                  <c:v>0.93179301063061504</c:v>
                </c:pt>
                <c:pt idx="369">
                  <c:v>0.86886885685382254</c:v>
                </c:pt>
                <c:pt idx="370">
                  <c:v>0.95691645794642299</c:v>
                </c:pt>
                <c:pt idx="371">
                  <c:v>0.72201125319508641</c:v>
                </c:pt>
                <c:pt idx="372">
                  <c:v>0.8465149361064388</c:v>
                </c:pt>
                <c:pt idx="373">
                  <c:v>0.97734597498332898</c:v>
                </c:pt>
                <c:pt idx="374">
                  <c:v>0.90107148522440139</c:v>
                </c:pt>
                <c:pt idx="375">
                  <c:v>0.93398270830390828</c:v>
                </c:pt>
                <c:pt idx="376">
                  <c:v>0.61876985766709258</c:v>
                </c:pt>
                <c:pt idx="377">
                  <c:v>0.9331735264177512</c:v>
                </c:pt>
                <c:pt idx="378">
                  <c:v>0.85493189332592578</c:v>
                </c:pt>
                <c:pt idx="379">
                  <c:v>0.8928700059491832</c:v>
                </c:pt>
                <c:pt idx="380">
                  <c:v>0.91694008925696657</c:v>
                </c:pt>
                <c:pt idx="381">
                  <c:v>0.85129221983388037</c:v>
                </c:pt>
                <c:pt idx="382">
                  <c:v>0.81656505300581517</c:v>
                </c:pt>
                <c:pt idx="383">
                  <c:v>0.84246183083064863</c:v>
                </c:pt>
                <c:pt idx="384">
                  <c:v>0.84364182971238577</c:v>
                </c:pt>
                <c:pt idx="385">
                  <c:v>0.96075178236489889</c:v>
                </c:pt>
                <c:pt idx="386">
                  <c:v>0.85943040371393575</c:v>
                </c:pt>
                <c:pt idx="387">
                  <c:v>0.74852531865418825</c:v>
                </c:pt>
                <c:pt idx="388">
                  <c:v>0.8886080688844824</c:v>
                </c:pt>
                <c:pt idx="389">
                  <c:v>0.90227400691603565</c:v>
                </c:pt>
                <c:pt idx="390">
                  <c:v>0.84370135766216681</c:v>
                </c:pt>
                <c:pt idx="391">
                  <c:v>0.96592622595737199</c:v>
                </c:pt>
                <c:pt idx="392">
                  <c:v>0.93408420889389254</c:v>
                </c:pt>
                <c:pt idx="393">
                  <c:v>0.94836407548220736</c:v>
                </c:pt>
                <c:pt idx="394">
                  <c:v>0.86336207398924969</c:v>
                </c:pt>
                <c:pt idx="395">
                  <c:v>0.93501087593525289</c:v>
                </c:pt>
                <c:pt idx="396">
                  <c:v>0.96070689311829849</c:v>
                </c:pt>
                <c:pt idx="397">
                  <c:v>0.93821824184310976</c:v>
                </c:pt>
                <c:pt idx="398">
                  <c:v>0.95780637209773589</c:v>
                </c:pt>
                <c:pt idx="399">
                  <c:v>0.95879472893939499</c:v>
                </c:pt>
                <c:pt idx="400">
                  <c:v>0.93012149903279007</c:v>
                </c:pt>
                <c:pt idx="401">
                  <c:v>0.84708009069928025</c:v>
                </c:pt>
                <c:pt idx="402">
                  <c:v>0.74164735812730487</c:v>
                </c:pt>
                <c:pt idx="403">
                  <c:v>0.78693858661715221</c:v>
                </c:pt>
                <c:pt idx="404">
                  <c:v>0.96596407269413209</c:v>
                </c:pt>
                <c:pt idx="405">
                  <c:v>0.86849081881760903</c:v>
                </c:pt>
                <c:pt idx="406">
                  <c:v>0.97162357847956993</c:v>
                </c:pt>
                <c:pt idx="407">
                  <c:v>0.88233200789532273</c:v>
                </c:pt>
                <c:pt idx="408">
                  <c:v>0.96224955657099287</c:v>
                </c:pt>
                <c:pt idx="409">
                  <c:v>0.89787980597087802</c:v>
                </c:pt>
                <c:pt idx="410">
                  <c:v>0.73740791437043607</c:v>
                </c:pt>
                <c:pt idx="411">
                  <c:v>0.90958220535735812</c:v>
                </c:pt>
                <c:pt idx="412">
                  <c:v>0.83467606863897825</c:v>
                </c:pt>
                <c:pt idx="413">
                  <c:v>0.6497953112594963</c:v>
                </c:pt>
                <c:pt idx="414">
                  <c:v>0.97122707921259022</c:v>
                </c:pt>
                <c:pt idx="415">
                  <c:v>0.79541275867101879</c:v>
                </c:pt>
                <c:pt idx="416">
                  <c:v>0.83288335900060151</c:v>
                </c:pt>
                <c:pt idx="417">
                  <c:v>0.88379871747363969</c:v>
                </c:pt>
                <c:pt idx="418">
                  <c:v>0.96315041962087777</c:v>
                </c:pt>
                <c:pt idx="419">
                  <c:v>0.868859040594267</c:v>
                </c:pt>
                <c:pt idx="420">
                  <c:v>0.94141277851458283</c:v>
                </c:pt>
                <c:pt idx="421">
                  <c:v>0.94048172827810395</c:v>
                </c:pt>
                <c:pt idx="422">
                  <c:v>0.95408600156819023</c:v>
                </c:pt>
                <c:pt idx="423">
                  <c:v>0.71449687114518023</c:v>
                </c:pt>
                <c:pt idx="424">
                  <c:v>0.75641859718282212</c:v>
                </c:pt>
                <c:pt idx="425">
                  <c:v>0.74682296485336341</c:v>
                </c:pt>
                <c:pt idx="426">
                  <c:v>0.85522041557609818</c:v>
                </c:pt>
                <c:pt idx="427">
                  <c:v>0.75594539198785704</c:v>
                </c:pt>
                <c:pt idx="428">
                  <c:v>0.80993499967739035</c:v>
                </c:pt>
                <c:pt idx="429">
                  <c:v>0.72508491433631983</c:v>
                </c:pt>
                <c:pt idx="430">
                  <c:v>0.90542116216714652</c:v>
                </c:pt>
                <c:pt idx="431">
                  <c:v>0.85439951347460918</c:v>
                </c:pt>
                <c:pt idx="432">
                  <c:v>0.95182702644693107</c:v>
                </c:pt>
                <c:pt idx="433">
                  <c:v>0.86991913448135905</c:v>
                </c:pt>
                <c:pt idx="434">
                  <c:v>0.72659623533953666</c:v>
                </c:pt>
                <c:pt idx="435">
                  <c:v>0.91966758243561431</c:v>
                </c:pt>
                <c:pt idx="436">
                  <c:v>0.92032481752284356</c:v>
                </c:pt>
                <c:pt idx="437">
                  <c:v>0.96568764071600066</c:v>
                </c:pt>
                <c:pt idx="438">
                  <c:v>0.8552739873508024</c:v>
                </c:pt>
                <c:pt idx="439">
                  <c:v>0.94438566783678324</c:v>
                </c:pt>
                <c:pt idx="440">
                  <c:v>0.96597437971447553</c:v>
                </c:pt>
                <c:pt idx="441">
                  <c:v>0.86873061781652128</c:v>
                </c:pt>
                <c:pt idx="442">
                  <c:v>0.9626226497329905</c:v>
                </c:pt>
                <c:pt idx="443">
                  <c:v>0.93593937943799044</c:v>
                </c:pt>
                <c:pt idx="444">
                  <c:v>0.93357122068606424</c:v>
                </c:pt>
                <c:pt idx="445">
                  <c:v>0.77212099979316084</c:v>
                </c:pt>
                <c:pt idx="446">
                  <c:v>0.89995450459378257</c:v>
                </c:pt>
                <c:pt idx="447">
                  <c:v>0.82350093374062161</c:v>
                </c:pt>
                <c:pt idx="448">
                  <c:v>0.92770813125388973</c:v>
                </c:pt>
                <c:pt idx="449">
                  <c:v>0.90625749637336817</c:v>
                </c:pt>
                <c:pt idx="450">
                  <c:v>0.91779692385719081</c:v>
                </c:pt>
                <c:pt idx="451">
                  <c:v>0.93325398228442924</c:v>
                </c:pt>
                <c:pt idx="452">
                  <c:v>0.93168991123831846</c:v>
                </c:pt>
                <c:pt idx="453">
                  <c:v>0.92957632323395423</c:v>
                </c:pt>
                <c:pt idx="454">
                  <c:v>0.86444538866321441</c:v>
                </c:pt>
                <c:pt idx="455">
                  <c:v>0.94857997759475188</c:v>
                </c:pt>
                <c:pt idx="456">
                  <c:v>0.89536942072126235</c:v>
                </c:pt>
                <c:pt idx="457">
                  <c:v>0.95060669510865448</c:v>
                </c:pt>
                <c:pt idx="458">
                  <c:v>0.93233793242568952</c:v>
                </c:pt>
                <c:pt idx="459">
                  <c:v>0.85538429084156409</c:v>
                </c:pt>
                <c:pt idx="460">
                  <c:v>0.96264818538327823</c:v>
                </c:pt>
                <c:pt idx="461">
                  <c:v>0.94812125801565483</c:v>
                </c:pt>
                <c:pt idx="462">
                  <c:v>0.91864912200967708</c:v>
                </c:pt>
                <c:pt idx="463">
                  <c:v>0.93354952148020087</c:v>
                </c:pt>
                <c:pt idx="464">
                  <c:v>0.95993312967214039</c:v>
                </c:pt>
                <c:pt idx="465">
                  <c:v>0.96683721276441525</c:v>
                </c:pt>
                <c:pt idx="466">
                  <c:v>0.96611474363206773</c:v>
                </c:pt>
                <c:pt idx="467">
                  <c:v>0.94774542627871838</c:v>
                </c:pt>
                <c:pt idx="468">
                  <c:v>0.83932995433709423</c:v>
                </c:pt>
                <c:pt idx="469">
                  <c:v>0.9173992591080592</c:v>
                </c:pt>
                <c:pt idx="470">
                  <c:v>0.87872654067705069</c:v>
                </c:pt>
                <c:pt idx="471">
                  <c:v>0.96560869163396557</c:v>
                </c:pt>
                <c:pt idx="472">
                  <c:v>0.9712189730504589</c:v>
                </c:pt>
                <c:pt idx="473">
                  <c:v>0.91484748298256202</c:v>
                </c:pt>
                <c:pt idx="474">
                  <c:v>0.65676583851547754</c:v>
                </c:pt>
                <c:pt idx="475">
                  <c:v>0.95898580137819334</c:v>
                </c:pt>
                <c:pt idx="476">
                  <c:v>0.89694717326404438</c:v>
                </c:pt>
                <c:pt idx="477">
                  <c:v>0.77047050743289169</c:v>
                </c:pt>
                <c:pt idx="478">
                  <c:v>0.96234949126237335</c:v>
                </c:pt>
                <c:pt idx="479">
                  <c:v>0.80970278348732005</c:v>
                </c:pt>
                <c:pt idx="480">
                  <c:v>0.94343054240633728</c:v>
                </c:pt>
                <c:pt idx="481">
                  <c:v>0.85146764025541022</c:v>
                </c:pt>
                <c:pt idx="482">
                  <c:v>0.84765324410893761</c:v>
                </c:pt>
                <c:pt idx="483">
                  <c:v>0.92325617814973038</c:v>
                </c:pt>
                <c:pt idx="484">
                  <c:v>0.91884103691262442</c:v>
                </c:pt>
                <c:pt idx="485">
                  <c:v>0.92943770626051703</c:v>
                </c:pt>
                <c:pt idx="486">
                  <c:v>0.87837304470283384</c:v>
                </c:pt>
                <c:pt idx="487">
                  <c:v>0.65182274067716661</c:v>
                </c:pt>
                <c:pt idx="488">
                  <c:v>0.93903172006746571</c:v>
                </c:pt>
                <c:pt idx="489">
                  <c:v>0.76726217105736061</c:v>
                </c:pt>
                <c:pt idx="490">
                  <c:v>0.92575439194479392</c:v>
                </c:pt>
                <c:pt idx="491">
                  <c:v>0.7302388133562161</c:v>
                </c:pt>
                <c:pt idx="492">
                  <c:v>0.9440412250956316</c:v>
                </c:pt>
                <c:pt idx="493">
                  <c:v>0.89192215758283866</c:v>
                </c:pt>
                <c:pt idx="494">
                  <c:v>0.79868014877082905</c:v>
                </c:pt>
                <c:pt idx="495">
                  <c:v>0.86619203575158221</c:v>
                </c:pt>
                <c:pt idx="496">
                  <c:v>0.92214602540621859</c:v>
                </c:pt>
                <c:pt idx="497">
                  <c:v>0.96074646596835922</c:v>
                </c:pt>
                <c:pt idx="498">
                  <c:v>0.59271555926709407</c:v>
                </c:pt>
                <c:pt idx="499">
                  <c:v>0.9289058126811971</c:v>
                </c:pt>
                <c:pt idx="500">
                  <c:v>0.96116654895448783</c:v>
                </c:pt>
                <c:pt idx="501">
                  <c:v>0.85665597819710881</c:v>
                </c:pt>
                <c:pt idx="502">
                  <c:v>0.74693202716349638</c:v>
                </c:pt>
                <c:pt idx="503">
                  <c:v>0.94833634546013412</c:v>
                </c:pt>
                <c:pt idx="504">
                  <c:v>0.9383966939548205</c:v>
                </c:pt>
                <c:pt idx="505">
                  <c:v>0.89391828964790299</c:v>
                </c:pt>
                <c:pt idx="506">
                  <c:v>0.8567059714346078</c:v>
                </c:pt>
                <c:pt idx="507">
                  <c:v>0.94200483835126481</c:v>
                </c:pt>
                <c:pt idx="508">
                  <c:v>0.86855150607145981</c:v>
                </c:pt>
                <c:pt idx="509">
                  <c:v>0.88585823926827167</c:v>
                </c:pt>
                <c:pt idx="510">
                  <c:v>0.85175553045157593</c:v>
                </c:pt>
                <c:pt idx="511">
                  <c:v>0.65229327219505939</c:v>
                </c:pt>
                <c:pt idx="512">
                  <c:v>0.90403272883498809</c:v>
                </c:pt>
                <c:pt idx="513">
                  <c:v>0.79557050871450485</c:v>
                </c:pt>
                <c:pt idx="514">
                  <c:v>0.97416504315217067</c:v>
                </c:pt>
                <c:pt idx="515">
                  <c:v>0.96157964207249214</c:v>
                </c:pt>
                <c:pt idx="516">
                  <c:v>0.85309984329581856</c:v>
                </c:pt>
                <c:pt idx="517">
                  <c:v>0.8815783597860396</c:v>
                </c:pt>
                <c:pt idx="518">
                  <c:v>0.94949311790183089</c:v>
                </c:pt>
                <c:pt idx="519">
                  <c:v>0.90529520063210978</c:v>
                </c:pt>
                <c:pt idx="520">
                  <c:v>0.94523573898667301</c:v>
                </c:pt>
                <c:pt idx="521">
                  <c:v>0.93664867782470118</c:v>
                </c:pt>
                <c:pt idx="522">
                  <c:v>0.93514913025371449</c:v>
                </c:pt>
                <c:pt idx="523">
                  <c:v>0.70533851996630781</c:v>
                </c:pt>
                <c:pt idx="524">
                  <c:v>0.6992338768634474</c:v>
                </c:pt>
                <c:pt idx="525">
                  <c:v>0.95988375934602532</c:v>
                </c:pt>
                <c:pt idx="526">
                  <c:v>0.96975524567836802</c:v>
                </c:pt>
                <c:pt idx="527">
                  <c:v>0.83104453220618091</c:v>
                </c:pt>
                <c:pt idx="528">
                  <c:v>0.9468360008880139</c:v>
                </c:pt>
                <c:pt idx="529">
                  <c:v>0.75732608252584588</c:v>
                </c:pt>
                <c:pt idx="530">
                  <c:v>0.89152267210728342</c:v>
                </c:pt>
                <c:pt idx="531">
                  <c:v>0.94599854263762118</c:v>
                </c:pt>
                <c:pt idx="532">
                  <c:v>0.86395629003701546</c:v>
                </c:pt>
                <c:pt idx="533">
                  <c:v>0.90878141768885268</c:v>
                </c:pt>
                <c:pt idx="534">
                  <c:v>0.87927666469241439</c:v>
                </c:pt>
                <c:pt idx="535">
                  <c:v>0.95250608668146119</c:v>
                </c:pt>
                <c:pt idx="536">
                  <c:v>0.70528753451633719</c:v>
                </c:pt>
                <c:pt idx="537">
                  <c:v>0.95174964210478152</c:v>
                </c:pt>
                <c:pt idx="538">
                  <c:v>0.83716145325620617</c:v>
                </c:pt>
                <c:pt idx="539">
                  <c:v>0.87617407438604</c:v>
                </c:pt>
                <c:pt idx="540">
                  <c:v>0.95758962568289918</c:v>
                </c:pt>
                <c:pt idx="541">
                  <c:v>0.84534651353595081</c:v>
                </c:pt>
                <c:pt idx="542">
                  <c:v>0.9412723118213816</c:v>
                </c:pt>
                <c:pt idx="543">
                  <c:v>0.75149855644315045</c:v>
                </c:pt>
                <c:pt idx="544">
                  <c:v>0.95514886445883085</c:v>
                </c:pt>
                <c:pt idx="545">
                  <c:v>0.90711163925023475</c:v>
                </c:pt>
                <c:pt idx="546">
                  <c:v>0.91304653192616447</c:v>
                </c:pt>
                <c:pt idx="547">
                  <c:v>0.85725675923538658</c:v>
                </c:pt>
                <c:pt idx="548">
                  <c:v>0.90920377822354981</c:v>
                </c:pt>
                <c:pt idx="549">
                  <c:v>0.88342057146578368</c:v>
                </c:pt>
                <c:pt idx="550">
                  <c:v>0.9517512767418379</c:v>
                </c:pt>
                <c:pt idx="551">
                  <c:v>0.92280491296406719</c:v>
                </c:pt>
                <c:pt idx="552">
                  <c:v>0.9178624203149186</c:v>
                </c:pt>
                <c:pt idx="553">
                  <c:v>0.7778408337287136</c:v>
                </c:pt>
                <c:pt idx="554">
                  <c:v>0.67720840847633168</c:v>
                </c:pt>
                <c:pt idx="555">
                  <c:v>0.93053118186743222</c:v>
                </c:pt>
                <c:pt idx="556">
                  <c:v>0.95807186167584391</c:v>
                </c:pt>
                <c:pt idx="557">
                  <c:v>0.9398299766463627</c:v>
                </c:pt>
                <c:pt idx="558">
                  <c:v>0.74471427883786534</c:v>
                </c:pt>
                <c:pt idx="559">
                  <c:v>0.95940597414276607</c:v>
                </c:pt>
                <c:pt idx="560">
                  <c:v>0.90130688731187125</c:v>
                </c:pt>
                <c:pt idx="561">
                  <c:v>0.82116733303098366</c:v>
                </c:pt>
                <c:pt idx="562">
                  <c:v>0.94100074866280026</c:v>
                </c:pt>
                <c:pt idx="563">
                  <c:v>0.78924523163925242</c:v>
                </c:pt>
                <c:pt idx="564">
                  <c:v>0.92187514892858036</c:v>
                </c:pt>
                <c:pt idx="565">
                  <c:v>0.94640980761267146</c:v>
                </c:pt>
                <c:pt idx="566">
                  <c:v>0.83478481095216317</c:v>
                </c:pt>
                <c:pt idx="567">
                  <c:v>0.82677394930101955</c:v>
                </c:pt>
                <c:pt idx="568">
                  <c:v>0.83348200902030312</c:v>
                </c:pt>
                <c:pt idx="569">
                  <c:v>0.82122450778890088</c:v>
                </c:pt>
                <c:pt idx="570">
                  <c:v>0.94167250064027586</c:v>
                </c:pt>
                <c:pt idx="571">
                  <c:v>0.8859692953190621</c:v>
                </c:pt>
                <c:pt idx="572">
                  <c:v>0.90565417670039361</c:v>
                </c:pt>
                <c:pt idx="573">
                  <c:v>0.92587860770604657</c:v>
                </c:pt>
                <c:pt idx="574">
                  <c:v>0.93128472710177634</c:v>
                </c:pt>
                <c:pt idx="575">
                  <c:v>0.95417304545418546</c:v>
                </c:pt>
                <c:pt idx="576">
                  <c:v>0.89457260348680956</c:v>
                </c:pt>
                <c:pt idx="577">
                  <c:v>0.72669456588205594</c:v>
                </c:pt>
                <c:pt idx="578">
                  <c:v>0.94775514259877069</c:v>
                </c:pt>
                <c:pt idx="579">
                  <c:v>0.91969978004333952</c:v>
                </c:pt>
                <c:pt idx="580">
                  <c:v>0.90393177936077362</c:v>
                </c:pt>
                <c:pt idx="581">
                  <c:v>0.86413549112677079</c:v>
                </c:pt>
                <c:pt idx="582">
                  <c:v>0.92038598023134832</c:v>
                </c:pt>
                <c:pt idx="583">
                  <c:v>0.79381254192339212</c:v>
                </c:pt>
                <c:pt idx="584">
                  <c:v>0.75085921634509245</c:v>
                </c:pt>
                <c:pt idx="585">
                  <c:v>0.90945780095527762</c:v>
                </c:pt>
                <c:pt idx="586">
                  <c:v>0.90932374962776752</c:v>
                </c:pt>
                <c:pt idx="587">
                  <c:v>0.78998257742142286</c:v>
                </c:pt>
                <c:pt idx="588">
                  <c:v>0.77135287885088921</c:v>
                </c:pt>
                <c:pt idx="589">
                  <c:v>0.94222053069004685</c:v>
                </c:pt>
                <c:pt idx="590">
                  <c:v>0.88536335872983796</c:v>
                </c:pt>
                <c:pt idx="591">
                  <c:v>0.97065649784113583</c:v>
                </c:pt>
                <c:pt idx="592">
                  <c:v>0.95690485134893477</c:v>
                </c:pt>
                <c:pt idx="593">
                  <c:v>0.83841679253930135</c:v>
                </c:pt>
                <c:pt idx="594">
                  <c:v>0.93889673395159334</c:v>
                </c:pt>
                <c:pt idx="595">
                  <c:v>0.79188640976605829</c:v>
                </c:pt>
                <c:pt idx="596">
                  <c:v>0.91143672371983542</c:v>
                </c:pt>
                <c:pt idx="597">
                  <c:v>0.73795847478670307</c:v>
                </c:pt>
                <c:pt idx="598">
                  <c:v>0.92770284462904962</c:v>
                </c:pt>
                <c:pt idx="599">
                  <c:v>0.97393910391479632</c:v>
                </c:pt>
                <c:pt idx="600">
                  <c:v>0.96515776586683366</c:v>
                </c:pt>
                <c:pt idx="601">
                  <c:v>0.92391440138342307</c:v>
                </c:pt>
                <c:pt idx="602">
                  <c:v>0.93763583829366948</c:v>
                </c:pt>
                <c:pt idx="603">
                  <c:v>0.74513151006624123</c:v>
                </c:pt>
                <c:pt idx="604">
                  <c:v>0.86980985530595523</c:v>
                </c:pt>
                <c:pt idx="605">
                  <c:v>0.9594020733941222</c:v>
                </c:pt>
                <c:pt idx="606">
                  <c:v>0.75431570543704818</c:v>
                </c:pt>
                <c:pt idx="607">
                  <c:v>0.94996507945544573</c:v>
                </c:pt>
                <c:pt idx="608">
                  <c:v>0.76106545885078325</c:v>
                </c:pt>
                <c:pt idx="609">
                  <c:v>0.84489287525490986</c:v>
                </c:pt>
                <c:pt idx="610">
                  <c:v>0.93791762835605796</c:v>
                </c:pt>
                <c:pt idx="611">
                  <c:v>0.79317269174076577</c:v>
                </c:pt>
                <c:pt idx="612">
                  <c:v>0.84441320976280498</c:v>
                </c:pt>
                <c:pt idx="613">
                  <c:v>0.84511637431575548</c:v>
                </c:pt>
                <c:pt idx="614">
                  <c:v>0.91184674172862068</c:v>
                </c:pt>
                <c:pt idx="615">
                  <c:v>0.88534621402769298</c:v>
                </c:pt>
                <c:pt idx="616">
                  <c:v>0.83951106536867759</c:v>
                </c:pt>
                <c:pt idx="617">
                  <c:v>0.79055274437218004</c:v>
                </c:pt>
                <c:pt idx="618">
                  <c:v>0.84653210909041265</c:v>
                </c:pt>
                <c:pt idx="619">
                  <c:v>0.80297747621431736</c:v>
                </c:pt>
                <c:pt idx="620">
                  <c:v>0.89037652665640388</c:v>
                </c:pt>
                <c:pt idx="621">
                  <c:v>0.92649714102093339</c:v>
                </c:pt>
                <c:pt idx="622">
                  <c:v>0.83737039176756212</c:v>
                </c:pt>
                <c:pt idx="623">
                  <c:v>0.94616873379730382</c:v>
                </c:pt>
                <c:pt idx="624">
                  <c:v>0.94009943818971853</c:v>
                </c:pt>
                <c:pt idx="625">
                  <c:v>0.92528006336475821</c:v>
                </c:pt>
                <c:pt idx="626">
                  <c:v>0.8696695306961526</c:v>
                </c:pt>
                <c:pt idx="627">
                  <c:v>0.94443963768094896</c:v>
                </c:pt>
                <c:pt idx="628">
                  <c:v>0.87665692952339047</c:v>
                </c:pt>
                <c:pt idx="629">
                  <c:v>0.96622457184892974</c:v>
                </c:pt>
                <c:pt idx="630">
                  <c:v>0.78162936071388822</c:v>
                </c:pt>
                <c:pt idx="631">
                  <c:v>0.78957940592417253</c:v>
                </c:pt>
                <c:pt idx="632">
                  <c:v>0.80032818843417775</c:v>
                </c:pt>
                <c:pt idx="633">
                  <c:v>0.91025987474927361</c:v>
                </c:pt>
                <c:pt idx="634">
                  <c:v>0.87268183132454324</c:v>
                </c:pt>
                <c:pt idx="635">
                  <c:v>0.92232929827068433</c:v>
                </c:pt>
                <c:pt idx="636">
                  <c:v>0.82646965177349274</c:v>
                </c:pt>
                <c:pt idx="637">
                  <c:v>0.89442331882053094</c:v>
                </c:pt>
                <c:pt idx="638">
                  <c:v>0.90429886294125539</c:v>
                </c:pt>
                <c:pt idx="639">
                  <c:v>0.86454205421187535</c:v>
                </c:pt>
                <c:pt idx="640">
                  <c:v>0.90385708018434308</c:v>
                </c:pt>
                <c:pt idx="641">
                  <c:v>0.80302506130428419</c:v>
                </c:pt>
                <c:pt idx="642">
                  <c:v>0.75782081365290854</c:v>
                </c:pt>
                <c:pt idx="643">
                  <c:v>0.9552773669513912</c:v>
                </c:pt>
                <c:pt idx="644">
                  <c:v>0.94866911610705906</c:v>
                </c:pt>
                <c:pt idx="645">
                  <c:v>0.80192022040897482</c:v>
                </c:pt>
                <c:pt idx="646">
                  <c:v>0.9314485943505566</c:v>
                </c:pt>
                <c:pt idx="647">
                  <c:v>0.90848364910073887</c:v>
                </c:pt>
                <c:pt idx="648">
                  <c:v>0.8852389893248509</c:v>
                </c:pt>
                <c:pt idx="649">
                  <c:v>0.82405989575536576</c:v>
                </c:pt>
                <c:pt idx="650">
                  <c:v>0.84288136547820447</c:v>
                </c:pt>
                <c:pt idx="651">
                  <c:v>0.92929614919370451</c:v>
                </c:pt>
                <c:pt idx="652">
                  <c:v>0.8968942690903452</c:v>
                </c:pt>
                <c:pt idx="653">
                  <c:v>0.89565170313792097</c:v>
                </c:pt>
                <c:pt idx="654">
                  <c:v>0.89006570255928397</c:v>
                </c:pt>
                <c:pt idx="655">
                  <c:v>0.75087684376459241</c:v>
                </c:pt>
                <c:pt idx="656">
                  <c:v>0.97336021557710151</c:v>
                </c:pt>
                <c:pt idx="657">
                  <c:v>0.86985594070606753</c:v>
                </c:pt>
                <c:pt idx="658">
                  <c:v>0.82850779824180631</c:v>
                </c:pt>
                <c:pt idx="659">
                  <c:v>0.96113597703154108</c:v>
                </c:pt>
                <c:pt idx="660">
                  <c:v>0.96359341492534556</c:v>
                </c:pt>
                <c:pt idx="661">
                  <c:v>0.91478794629835902</c:v>
                </c:pt>
                <c:pt idx="662">
                  <c:v>0.94297504094039231</c:v>
                </c:pt>
                <c:pt idx="663">
                  <c:v>0.75651199997267637</c:v>
                </c:pt>
                <c:pt idx="664">
                  <c:v>0.94102792913178912</c:v>
                </c:pt>
                <c:pt idx="665">
                  <c:v>0.8531504630132194</c:v>
                </c:pt>
                <c:pt idx="666">
                  <c:v>0.93027509028378752</c:v>
                </c:pt>
                <c:pt idx="667">
                  <c:v>0.94471684679513368</c:v>
                </c:pt>
                <c:pt idx="668">
                  <c:v>0.93427606472284974</c:v>
                </c:pt>
                <c:pt idx="669">
                  <c:v>0.91885970464955924</c:v>
                </c:pt>
                <c:pt idx="670">
                  <c:v>0.95431991720354237</c:v>
                </c:pt>
                <c:pt idx="671">
                  <c:v>0.82789986063721976</c:v>
                </c:pt>
                <c:pt idx="672">
                  <c:v>0.97127676058205215</c:v>
                </c:pt>
                <c:pt idx="673">
                  <c:v>0.93242094602927073</c:v>
                </c:pt>
                <c:pt idx="674">
                  <c:v>0.94063805196238104</c:v>
                </c:pt>
                <c:pt idx="675">
                  <c:v>0.84486204777677809</c:v>
                </c:pt>
                <c:pt idx="676">
                  <c:v>0.94092214736367474</c:v>
                </c:pt>
                <c:pt idx="677">
                  <c:v>0.8990295782892499</c:v>
                </c:pt>
                <c:pt idx="678">
                  <c:v>0.85890449207246555</c:v>
                </c:pt>
                <c:pt idx="679">
                  <c:v>0.76149542069894016</c:v>
                </c:pt>
                <c:pt idx="680">
                  <c:v>0.94325010462578007</c:v>
                </c:pt>
                <c:pt idx="681">
                  <c:v>0.95370365019518544</c:v>
                </c:pt>
                <c:pt idx="682">
                  <c:v>0.90453007447057132</c:v>
                </c:pt>
                <c:pt idx="683">
                  <c:v>0.90450838202656414</c:v>
                </c:pt>
                <c:pt idx="684">
                  <c:v>0.93857233632088133</c:v>
                </c:pt>
                <c:pt idx="685">
                  <c:v>0.85354707733663338</c:v>
                </c:pt>
                <c:pt idx="686">
                  <c:v>0.85184748320480086</c:v>
                </c:pt>
                <c:pt idx="687">
                  <c:v>0.78922083771821638</c:v>
                </c:pt>
                <c:pt idx="688">
                  <c:v>0.94874718925139945</c:v>
                </c:pt>
                <c:pt idx="689">
                  <c:v>0.92874213071583811</c:v>
                </c:pt>
                <c:pt idx="690">
                  <c:v>0.92242722734226801</c:v>
                </c:pt>
                <c:pt idx="691">
                  <c:v>0.93332890599809404</c:v>
                </c:pt>
                <c:pt idx="692">
                  <c:v>0.90322461390429043</c:v>
                </c:pt>
                <c:pt idx="693">
                  <c:v>0.77901904224469076</c:v>
                </c:pt>
                <c:pt idx="694">
                  <c:v>0.77656287832406923</c:v>
                </c:pt>
                <c:pt idx="695">
                  <c:v>0.96222809061701087</c:v>
                </c:pt>
                <c:pt idx="696">
                  <c:v>0.7538203520116793</c:v>
                </c:pt>
                <c:pt idx="697">
                  <c:v>0.89332658891575933</c:v>
                </c:pt>
                <c:pt idx="698">
                  <c:v>0.9362641715966975</c:v>
                </c:pt>
                <c:pt idx="699">
                  <c:v>0.95246324944129013</c:v>
                </c:pt>
                <c:pt idx="700">
                  <c:v>0.94319005918558474</c:v>
                </c:pt>
                <c:pt idx="701">
                  <c:v>0.9020646466807638</c:v>
                </c:pt>
                <c:pt idx="702">
                  <c:v>0.7594472265819604</c:v>
                </c:pt>
                <c:pt idx="703">
                  <c:v>0.77423843365870648</c:v>
                </c:pt>
                <c:pt idx="704">
                  <c:v>0.85915221069648862</c:v>
                </c:pt>
                <c:pt idx="705">
                  <c:v>0.96006858632300229</c:v>
                </c:pt>
                <c:pt idx="706">
                  <c:v>0.92019357677332958</c:v>
                </c:pt>
                <c:pt idx="707">
                  <c:v>0.89908995684890813</c:v>
                </c:pt>
                <c:pt idx="708">
                  <c:v>0.77506712602926708</c:v>
                </c:pt>
                <c:pt idx="709">
                  <c:v>0.93739252473064827</c:v>
                </c:pt>
                <c:pt idx="710">
                  <c:v>0.9524919141231154</c:v>
                </c:pt>
                <c:pt idx="711">
                  <c:v>0.95864619665662532</c:v>
                </c:pt>
                <c:pt idx="712">
                  <c:v>0.88357701918208442</c:v>
                </c:pt>
                <c:pt idx="713">
                  <c:v>0.9853966542056467</c:v>
                </c:pt>
                <c:pt idx="714">
                  <c:v>0.9508925392794666</c:v>
                </c:pt>
                <c:pt idx="715">
                  <c:v>0.78267206084405005</c:v>
                </c:pt>
                <c:pt idx="716">
                  <c:v>0.9620171170759062</c:v>
                </c:pt>
                <c:pt idx="717">
                  <c:v>0.9378927488385036</c:v>
                </c:pt>
                <c:pt idx="718">
                  <c:v>0.91816049067253747</c:v>
                </c:pt>
                <c:pt idx="719">
                  <c:v>0.82090101273019589</c:v>
                </c:pt>
                <c:pt idx="720">
                  <c:v>0.94858292860455462</c:v>
                </c:pt>
                <c:pt idx="721">
                  <c:v>0.8355130711165728</c:v>
                </c:pt>
                <c:pt idx="722">
                  <c:v>0.93828164690403237</c:v>
                </c:pt>
                <c:pt idx="723">
                  <c:v>0.89404013110056413</c:v>
                </c:pt>
                <c:pt idx="724">
                  <c:v>0.97723440168555542</c:v>
                </c:pt>
                <c:pt idx="725">
                  <c:v>0.7781899584741091</c:v>
                </c:pt>
                <c:pt idx="726">
                  <c:v>0.95619911469644403</c:v>
                </c:pt>
                <c:pt idx="727">
                  <c:v>0.8334206601006996</c:v>
                </c:pt>
                <c:pt idx="728">
                  <c:v>0.84944359326199903</c:v>
                </c:pt>
                <c:pt idx="729">
                  <c:v>0.87114151172835419</c:v>
                </c:pt>
                <c:pt idx="730">
                  <c:v>0.9556470349590076</c:v>
                </c:pt>
                <c:pt idx="731">
                  <c:v>0.8318168682264564</c:v>
                </c:pt>
                <c:pt idx="732">
                  <c:v>0.94973356105697437</c:v>
                </c:pt>
                <c:pt idx="733">
                  <c:v>0.7374890712602058</c:v>
                </c:pt>
                <c:pt idx="734">
                  <c:v>0.91947033667792388</c:v>
                </c:pt>
                <c:pt idx="735">
                  <c:v>0.93314782649819961</c:v>
                </c:pt>
                <c:pt idx="736">
                  <c:v>0.93159430289976464</c:v>
                </c:pt>
                <c:pt idx="737">
                  <c:v>0.81200383959037459</c:v>
                </c:pt>
                <c:pt idx="738">
                  <c:v>0.93282771197595138</c:v>
                </c:pt>
                <c:pt idx="739">
                  <c:v>0.83315870058561714</c:v>
                </c:pt>
                <c:pt idx="740">
                  <c:v>0.93594831491154151</c:v>
                </c:pt>
                <c:pt idx="741">
                  <c:v>0.88413349454657419</c:v>
                </c:pt>
                <c:pt idx="742">
                  <c:v>0.9421309084151851</c:v>
                </c:pt>
                <c:pt idx="743">
                  <c:v>0.79891562188867571</c:v>
                </c:pt>
                <c:pt idx="744">
                  <c:v>0.87228727238642867</c:v>
                </c:pt>
                <c:pt idx="745">
                  <c:v>0.9108969104004031</c:v>
                </c:pt>
                <c:pt idx="746">
                  <c:v>0.88702840446469478</c:v>
                </c:pt>
                <c:pt idx="747">
                  <c:v>0.9209001409706572</c:v>
                </c:pt>
                <c:pt idx="748">
                  <c:v>0.85809150847084004</c:v>
                </c:pt>
                <c:pt idx="749">
                  <c:v>0.79214189560031101</c:v>
                </c:pt>
                <c:pt idx="750">
                  <c:v>0.8693458923525561</c:v>
                </c:pt>
                <c:pt idx="751">
                  <c:v>0.9581983640138535</c:v>
                </c:pt>
                <c:pt idx="752">
                  <c:v>0.78362804477261927</c:v>
                </c:pt>
                <c:pt idx="753">
                  <c:v>0.80898388083076045</c:v>
                </c:pt>
                <c:pt idx="754">
                  <c:v>0.79545418549748126</c:v>
                </c:pt>
                <c:pt idx="755">
                  <c:v>0.92092519514084037</c:v>
                </c:pt>
                <c:pt idx="756">
                  <c:v>0.8803212816072612</c:v>
                </c:pt>
                <c:pt idx="757">
                  <c:v>0.90032652150648562</c:v>
                </c:pt>
                <c:pt idx="758">
                  <c:v>0.92661120728993263</c:v>
                </c:pt>
                <c:pt idx="759">
                  <c:v>0.85778865810569493</c:v>
                </c:pt>
                <c:pt idx="760">
                  <c:v>0.97273971646697943</c:v>
                </c:pt>
                <c:pt idx="761">
                  <c:v>0.95363309662161821</c:v>
                </c:pt>
                <c:pt idx="762">
                  <c:v>0.88068175083011901</c:v>
                </c:pt>
                <c:pt idx="763">
                  <c:v>0.92163842812128016</c:v>
                </c:pt>
                <c:pt idx="764">
                  <c:v>0.8394284116390256</c:v>
                </c:pt>
                <c:pt idx="765">
                  <c:v>0.80510499650696143</c:v>
                </c:pt>
                <c:pt idx="766">
                  <c:v>0.93441075780885408</c:v>
                </c:pt>
                <c:pt idx="767">
                  <c:v>0.70473051317891333</c:v>
                </c:pt>
                <c:pt idx="768">
                  <c:v>0.89809794799835529</c:v>
                </c:pt>
                <c:pt idx="769">
                  <c:v>0.94689277310029163</c:v>
                </c:pt>
                <c:pt idx="770">
                  <c:v>0.88911135854300749</c:v>
                </c:pt>
                <c:pt idx="771">
                  <c:v>0.92733305126372645</c:v>
                </c:pt>
                <c:pt idx="772">
                  <c:v>0.89264922236237676</c:v>
                </c:pt>
                <c:pt idx="773">
                  <c:v>0.83919006925000961</c:v>
                </c:pt>
                <c:pt idx="774">
                  <c:v>0.90002481968971559</c:v>
                </c:pt>
                <c:pt idx="775">
                  <c:v>0.86017025137195935</c:v>
                </c:pt>
                <c:pt idx="776">
                  <c:v>0.73655998461765204</c:v>
                </c:pt>
                <c:pt idx="777">
                  <c:v>0.91329268388048468</c:v>
                </c:pt>
                <c:pt idx="778">
                  <c:v>0.85282799567783285</c:v>
                </c:pt>
                <c:pt idx="779">
                  <c:v>0.95725373561947347</c:v>
                </c:pt>
                <c:pt idx="780">
                  <c:v>0.9319018024675001</c:v>
                </c:pt>
                <c:pt idx="781">
                  <c:v>0.91837554065611005</c:v>
                </c:pt>
                <c:pt idx="782">
                  <c:v>0.91128815424208587</c:v>
                </c:pt>
                <c:pt idx="783">
                  <c:v>0.92533960631127599</c:v>
                </c:pt>
                <c:pt idx="784">
                  <c:v>0.96754429820208143</c:v>
                </c:pt>
                <c:pt idx="785">
                  <c:v>0.92238821843415097</c:v>
                </c:pt>
                <c:pt idx="786">
                  <c:v>0.89017975565916041</c:v>
                </c:pt>
                <c:pt idx="787">
                  <c:v>0.88738629462714735</c:v>
                </c:pt>
                <c:pt idx="788">
                  <c:v>0.78102055606641074</c:v>
                </c:pt>
                <c:pt idx="789">
                  <c:v>0.89827138075923973</c:v>
                </c:pt>
                <c:pt idx="790">
                  <c:v>0.72178099168146004</c:v>
                </c:pt>
                <c:pt idx="791">
                  <c:v>0.83554983982981512</c:v>
                </c:pt>
                <c:pt idx="792">
                  <c:v>0.8539806932731997</c:v>
                </c:pt>
                <c:pt idx="793">
                  <c:v>0.7365416596711456</c:v>
                </c:pt>
                <c:pt idx="794">
                  <c:v>0.93741439119066383</c:v>
                </c:pt>
                <c:pt idx="795">
                  <c:v>0.94594044391717591</c:v>
                </c:pt>
                <c:pt idx="796">
                  <c:v>0.83581628102558336</c:v>
                </c:pt>
                <c:pt idx="797">
                  <c:v>0.9646952036791947</c:v>
                </c:pt>
                <c:pt idx="798">
                  <c:v>0.89167466642201276</c:v>
                </c:pt>
                <c:pt idx="799">
                  <c:v>0.97531956671623321</c:v>
                </c:pt>
                <c:pt idx="800">
                  <c:v>0.93376635007075204</c:v>
                </c:pt>
                <c:pt idx="801">
                  <c:v>0.82900181161113173</c:v>
                </c:pt>
                <c:pt idx="802">
                  <c:v>0.96294951684488739</c:v>
                </c:pt>
                <c:pt idx="803">
                  <c:v>0.87906300240045665</c:v>
                </c:pt>
                <c:pt idx="804">
                  <c:v>0.82179491955038575</c:v>
                </c:pt>
                <c:pt idx="805">
                  <c:v>0.92027898180936618</c:v>
                </c:pt>
                <c:pt idx="806">
                  <c:v>0.74466919033926482</c:v>
                </c:pt>
                <c:pt idx="807">
                  <c:v>0.88436424855520579</c:v>
                </c:pt>
                <c:pt idx="808">
                  <c:v>0.78224697777573393</c:v>
                </c:pt>
                <c:pt idx="809">
                  <c:v>0.82244386116742607</c:v>
                </c:pt>
                <c:pt idx="810">
                  <c:v>0.92175942149403678</c:v>
                </c:pt>
                <c:pt idx="811">
                  <c:v>0.93134173068957682</c:v>
                </c:pt>
                <c:pt idx="812">
                  <c:v>0.87806895972918519</c:v>
                </c:pt>
                <c:pt idx="813">
                  <c:v>0.95187267329379122</c:v>
                </c:pt>
                <c:pt idx="814">
                  <c:v>0.86769236745960021</c:v>
                </c:pt>
                <c:pt idx="815">
                  <c:v>0.74728003703882706</c:v>
                </c:pt>
                <c:pt idx="816">
                  <c:v>0.83424079437641407</c:v>
                </c:pt>
                <c:pt idx="817">
                  <c:v>0.98291286442513737</c:v>
                </c:pt>
                <c:pt idx="818">
                  <c:v>0.92858399345930132</c:v>
                </c:pt>
                <c:pt idx="819">
                  <c:v>0.90270157450684441</c:v>
                </c:pt>
                <c:pt idx="820">
                  <c:v>0.91925464919581834</c:v>
                </c:pt>
                <c:pt idx="821">
                  <c:v>0.96910273242309186</c:v>
                </c:pt>
                <c:pt idx="822">
                  <c:v>0.90128065569315186</c:v>
                </c:pt>
                <c:pt idx="823">
                  <c:v>0.79767509464330866</c:v>
                </c:pt>
                <c:pt idx="824">
                  <c:v>0.97879265549120653</c:v>
                </c:pt>
                <c:pt idx="825">
                  <c:v>0.88226795679134917</c:v>
                </c:pt>
                <c:pt idx="826">
                  <c:v>0.85184515870381117</c:v>
                </c:pt>
                <c:pt idx="827">
                  <c:v>0.91319951152215251</c:v>
                </c:pt>
                <c:pt idx="828">
                  <c:v>0.9562347034085249</c:v>
                </c:pt>
                <c:pt idx="829">
                  <c:v>0.93474768299022393</c:v>
                </c:pt>
                <c:pt idx="830">
                  <c:v>0.84692314843413907</c:v>
                </c:pt>
                <c:pt idx="831">
                  <c:v>0.72910791436862099</c:v>
                </c:pt>
                <c:pt idx="832">
                  <c:v>0.92415262605172677</c:v>
                </c:pt>
                <c:pt idx="833">
                  <c:v>0.85795514672718154</c:v>
                </c:pt>
                <c:pt idx="834">
                  <c:v>0.94321477733147985</c:v>
                </c:pt>
                <c:pt idx="835">
                  <c:v>0.85217759020028527</c:v>
                </c:pt>
                <c:pt idx="836">
                  <c:v>0.92385153501178574</c:v>
                </c:pt>
                <c:pt idx="837">
                  <c:v>0.86102507825110686</c:v>
                </c:pt>
                <c:pt idx="838">
                  <c:v>0.95329406921469739</c:v>
                </c:pt>
                <c:pt idx="839">
                  <c:v>0.92890710808103427</c:v>
                </c:pt>
                <c:pt idx="840">
                  <c:v>0.92979986671744119</c:v>
                </c:pt>
                <c:pt idx="841">
                  <c:v>0.9500173966430896</c:v>
                </c:pt>
                <c:pt idx="842">
                  <c:v>0.92859864290841332</c:v>
                </c:pt>
                <c:pt idx="843">
                  <c:v>0.94478672966090227</c:v>
                </c:pt>
                <c:pt idx="844">
                  <c:v>0.81166408745100316</c:v>
                </c:pt>
                <c:pt idx="845">
                  <c:v>0.79016054728968088</c:v>
                </c:pt>
                <c:pt idx="846">
                  <c:v>0.90289170654369233</c:v>
                </c:pt>
                <c:pt idx="847">
                  <c:v>0.88955373527660664</c:v>
                </c:pt>
                <c:pt idx="848">
                  <c:v>0.71847273886253027</c:v>
                </c:pt>
                <c:pt idx="849">
                  <c:v>0.95993784942417748</c:v>
                </c:pt>
                <c:pt idx="850">
                  <c:v>0.89006556810401172</c:v>
                </c:pt>
                <c:pt idx="851">
                  <c:v>0.95271178214178431</c:v>
                </c:pt>
                <c:pt idx="852">
                  <c:v>0.95660566323909701</c:v>
                </c:pt>
                <c:pt idx="853">
                  <c:v>0.76670192099223211</c:v>
                </c:pt>
                <c:pt idx="854">
                  <c:v>0.63123787008242838</c:v>
                </c:pt>
                <c:pt idx="855">
                  <c:v>0.859040347046091</c:v>
                </c:pt>
                <c:pt idx="856">
                  <c:v>0.96775589950787555</c:v>
                </c:pt>
                <c:pt idx="857">
                  <c:v>0.90741388345013352</c:v>
                </c:pt>
                <c:pt idx="858">
                  <c:v>0.71752364736296803</c:v>
                </c:pt>
                <c:pt idx="859">
                  <c:v>0.76408027422545599</c:v>
                </c:pt>
                <c:pt idx="860">
                  <c:v>0.94752326185657876</c:v>
                </c:pt>
                <c:pt idx="861">
                  <c:v>0.86041243353755315</c:v>
                </c:pt>
                <c:pt idx="862">
                  <c:v>0.87132851118765831</c:v>
                </c:pt>
                <c:pt idx="863">
                  <c:v>0.87526280200752982</c:v>
                </c:pt>
                <c:pt idx="864">
                  <c:v>0.85285825769091972</c:v>
                </c:pt>
                <c:pt idx="865">
                  <c:v>0.90443387272687381</c:v>
                </c:pt>
                <c:pt idx="866">
                  <c:v>0.93000382467498477</c:v>
                </c:pt>
                <c:pt idx="867">
                  <c:v>0.83617248487847595</c:v>
                </c:pt>
                <c:pt idx="868">
                  <c:v>0.81528098960801487</c:v>
                </c:pt>
                <c:pt idx="869">
                  <c:v>0.85712950109511654</c:v>
                </c:pt>
                <c:pt idx="870">
                  <c:v>0.85200660627969937</c:v>
                </c:pt>
                <c:pt idx="871">
                  <c:v>0.84812008080810353</c:v>
                </c:pt>
                <c:pt idx="872">
                  <c:v>0.60620648328720339</c:v>
                </c:pt>
                <c:pt idx="873">
                  <c:v>0.91324326490662378</c:v>
                </c:pt>
                <c:pt idx="874">
                  <c:v>0.81620930709794637</c:v>
                </c:pt>
                <c:pt idx="875">
                  <c:v>0.86206174755125597</c:v>
                </c:pt>
                <c:pt idx="876">
                  <c:v>0.95933443708171073</c:v>
                </c:pt>
                <c:pt idx="877">
                  <c:v>0.87629071077711385</c:v>
                </c:pt>
                <c:pt idx="878">
                  <c:v>0.93716631268422201</c:v>
                </c:pt>
                <c:pt idx="879">
                  <c:v>0.86073972466771675</c:v>
                </c:pt>
                <c:pt idx="880">
                  <c:v>0.81736650328541183</c:v>
                </c:pt>
                <c:pt idx="881">
                  <c:v>0.9161968618648676</c:v>
                </c:pt>
                <c:pt idx="882">
                  <c:v>0.73873390498028846</c:v>
                </c:pt>
                <c:pt idx="883">
                  <c:v>0.81869550123564361</c:v>
                </c:pt>
                <c:pt idx="884">
                  <c:v>0.78689634841643563</c:v>
                </c:pt>
                <c:pt idx="885">
                  <c:v>0.89148015917781365</c:v>
                </c:pt>
                <c:pt idx="886">
                  <c:v>0.71327526515915252</c:v>
                </c:pt>
                <c:pt idx="887">
                  <c:v>0.8305372219006546</c:v>
                </c:pt>
                <c:pt idx="888">
                  <c:v>0.97364920153004497</c:v>
                </c:pt>
                <c:pt idx="889">
                  <c:v>0.95516564832373518</c:v>
                </c:pt>
                <c:pt idx="890">
                  <c:v>0.89575023061176706</c:v>
                </c:pt>
                <c:pt idx="891">
                  <c:v>0.84389683605390697</c:v>
                </c:pt>
                <c:pt idx="892">
                  <c:v>0.8291687028611191</c:v>
                </c:pt>
                <c:pt idx="893">
                  <c:v>0.93580957311494983</c:v>
                </c:pt>
                <c:pt idx="894">
                  <c:v>0.92310034413182385</c:v>
                </c:pt>
                <c:pt idx="895">
                  <c:v>0.6517909449760676</c:v>
                </c:pt>
                <c:pt idx="896">
                  <c:v>0.8743625202416041</c:v>
                </c:pt>
                <c:pt idx="897">
                  <c:v>0.91267982248934421</c:v>
                </c:pt>
                <c:pt idx="898">
                  <c:v>0.94839615067125671</c:v>
                </c:pt>
                <c:pt idx="899">
                  <c:v>0.80348387033838664</c:v>
                </c:pt>
                <c:pt idx="900">
                  <c:v>0.87952057821725305</c:v>
                </c:pt>
                <c:pt idx="901">
                  <c:v>0.91032029714051599</c:v>
                </c:pt>
                <c:pt idx="902">
                  <c:v>0.76977691808855075</c:v>
                </c:pt>
                <c:pt idx="903">
                  <c:v>0.93430508705870341</c:v>
                </c:pt>
                <c:pt idx="904">
                  <c:v>0.87090461039348877</c:v>
                </c:pt>
                <c:pt idx="905">
                  <c:v>0.82560453449864402</c:v>
                </c:pt>
                <c:pt idx="906">
                  <c:v>0.95439047162210677</c:v>
                </c:pt>
                <c:pt idx="907">
                  <c:v>0.78765077409815776</c:v>
                </c:pt>
                <c:pt idx="908">
                  <c:v>0.92545418999281936</c:v>
                </c:pt>
                <c:pt idx="909">
                  <c:v>0.97627924828999402</c:v>
                </c:pt>
                <c:pt idx="910">
                  <c:v>0.95409739621097445</c:v>
                </c:pt>
                <c:pt idx="911">
                  <c:v>0.94891695230279605</c:v>
                </c:pt>
                <c:pt idx="912">
                  <c:v>0.94713550146459458</c:v>
                </c:pt>
                <c:pt idx="913">
                  <c:v>0.90725243794215471</c:v>
                </c:pt>
                <c:pt idx="914">
                  <c:v>0.86656010560738972</c:v>
                </c:pt>
                <c:pt idx="915">
                  <c:v>0.93027243812904126</c:v>
                </c:pt>
                <c:pt idx="916">
                  <c:v>0.72853198572225453</c:v>
                </c:pt>
                <c:pt idx="917">
                  <c:v>0.92211916779287173</c:v>
                </c:pt>
                <c:pt idx="918">
                  <c:v>0.89179331787604355</c:v>
                </c:pt>
                <c:pt idx="919">
                  <c:v>0.73672905654040566</c:v>
                </c:pt>
                <c:pt idx="920">
                  <c:v>0.93783655954991307</c:v>
                </c:pt>
                <c:pt idx="921">
                  <c:v>0.8246340986461751</c:v>
                </c:pt>
                <c:pt idx="922">
                  <c:v>0.93636314152023314</c:v>
                </c:pt>
                <c:pt idx="923">
                  <c:v>0.93044178006206502</c:v>
                </c:pt>
                <c:pt idx="924">
                  <c:v>0.96339058715843051</c:v>
                </c:pt>
                <c:pt idx="925">
                  <c:v>0.93908590211817544</c:v>
                </c:pt>
                <c:pt idx="926">
                  <c:v>0.79647544679428695</c:v>
                </c:pt>
                <c:pt idx="927">
                  <c:v>0.93750161730854509</c:v>
                </c:pt>
                <c:pt idx="928">
                  <c:v>0.72009860726750563</c:v>
                </c:pt>
                <c:pt idx="929">
                  <c:v>0.89923951257030099</c:v>
                </c:pt>
                <c:pt idx="930">
                  <c:v>0.85299390475166703</c:v>
                </c:pt>
                <c:pt idx="931">
                  <c:v>0.83390973111750788</c:v>
                </c:pt>
                <c:pt idx="932">
                  <c:v>0.94707833449373169</c:v>
                </c:pt>
                <c:pt idx="933">
                  <c:v>0.76893644920283255</c:v>
                </c:pt>
                <c:pt idx="934">
                  <c:v>0.93528661443028538</c:v>
                </c:pt>
                <c:pt idx="935">
                  <c:v>0.74362067528012121</c:v>
                </c:pt>
                <c:pt idx="936">
                  <c:v>0.77285883432150981</c:v>
                </c:pt>
                <c:pt idx="937">
                  <c:v>0.95121135155342795</c:v>
                </c:pt>
                <c:pt idx="938">
                  <c:v>0.93738934740494928</c:v>
                </c:pt>
                <c:pt idx="939">
                  <c:v>0.91268889462757541</c:v>
                </c:pt>
                <c:pt idx="940">
                  <c:v>0.92153470134525606</c:v>
                </c:pt>
                <c:pt idx="941">
                  <c:v>0.93526025874827445</c:v>
                </c:pt>
                <c:pt idx="942">
                  <c:v>0.83110086635160063</c:v>
                </c:pt>
                <c:pt idx="943">
                  <c:v>0.85249398672291365</c:v>
                </c:pt>
                <c:pt idx="944">
                  <c:v>0.82381804048830487</c:v>
                </c:pt>
                <c:pt idx="945">
                  <c:v>0.92062019637718362</c:v>
                </c:pt>
                <c:pt idx="946">
                  <c:v>0.96242258564223415</c:v>
                </c:pt>
                <c:pt idx="947">
                  <c:v>0.87236769123322278</c:v>
                </c:pt>
                <c:pt idx="948">
                  <c:v>0.85343587430062795</c:v>
                </c:pt>
                <c:pt idx="949">
                  <c:v>0.78632454195927703</c:v>
                </c:pt>
                <c:pt idx="950">
                  <c:v>0.80254586325573074</c:v>
                </c:pt>
                <c:pt idx="951">
                  <c:v>0.90160227211846378</c:v>
                </c:pt>
                <c:pt idx="952">
                  <c:v>0.77487594458517117</c:v>
                </c:pt>
                <c:pt idx="953">
                  <c:v>0.92706622037863662</c:v>
                </c:pt>
                <c:pt idx="954">
                  <c:v>0.97401233237585216</c:v>
                </c:pt>
                <c:pt idx="955">
                  <c:v>0.91086266255005466</c:v>
                </c:pt>
                <c:pt idx="956">
                  <c:v>0.86097993013179064</c:v>
                </c:pt>
                <c:pt idx="957">
                  <c:v>0.8987392713440856</c:v>
                </c:pt>
                <c:pt idx="958">
                  <c:v>0.921424675050736</c:v>
                </c:pt>
                <c:pt idx="959">
                  <c:v>0.9477116203315239</c:v>
                </c:pt>
                <c:pt idx="960">
                  <c:v>0.91417718828693639</c:v>
                </c:pt>
                <c:pt idx="961">
                  <c:v>0.94843660715285649</c:v>
                </c:pt>
                <c:pt idx="962">
                  <c:v>0.7694124067643251</c:v>
                </c:pt>
                <c:pt idx="963">
                  <c:v>0.95306409871935838</c:v>
                </c:pt>
                <c:pt idx="964">
                  <c:v>0.81377448376171824</c:v>
                </c:pt>
                <c:pt idx="965">
                  <c:v>0.82716021148366248</c:v>
                </c:pt>
                <c:pt idx="966">
                  <c:v>0.83837268930021147</c:v>
                </c:pt>
                <c:pt idx="967">
                  <c:v>0.92995192945776806</c:v>
                </c:pt>
                <c:pt idx="968">
                  <c:v>0.89118059816959927</c:v>
                </c:pt>
                <c:pt idx="969">
                  <c:v>0.94060356011742219</c:v>
                </c:pt>
                <c:pt idx="970">
                  <c:v>0.81809048383094374</c:v>
                </c:pt>
                <c:pt idx="971">
                  <c:v>0.8546145083303831</c:v>
                </c:pt>
                <c:pt idx="972">
                  <c:v>0.91361653493470363</c:v>
                </c:pt>
                <c:pt idx="973">
                  <c:v>0.94747064374033352</c:v>
                </c:pt>
                <c:pt idx="974">
                  <c:v>0.97966135907429175</c:v>
                </c:pt>
                <c:pt idx="975">
                  <c:v>0.72598414413639833</c:v>
                </c:pt>
                <c:pt idx="976">
                  <c:v>0.78944543500465536</c:v>
                </c:pt>
                <c:pt idx="977">
                  <c:v>0.95944871955550037</c:v>
                </c:pt>
                <c:pt idx="978">
                  <c:v>0.94783061983905648</c:v>
                </c:pt>
                <c:pt idx="979">
                  <c:v>0.84807017844265142</c:v>
                </c:pt>
                <c:pt idx="980">
                  <c:v>0.8523848015846055</c:v>
                </c:pt>
                <c:pt idx="981">
                  <c:v>0.83833033352243524</c:v>
                </c:pt>
                <c:pt idx="982">
                  <c:v>0.95079745148851091</c:v>
                </c:pt>
                <c:pt idx="983">
                  <c:v>0.83566222207286467</c:v>
                </c:pt>
                <c:pt idx="984">
                  <c:v>0.81491785536098416</c:v>
                </c:pt>
                <c:pt idx="985">
                  <c:v>0.85309500500383562</c:v>
                </c:pt>
                <c:pt idx="986">
                  <c:v>0.96663925008135521</c:v>
                </c:pt>
                <c:pt idx="987">
                  <c:v>0.91714200152934755</c:v>
                </c:pt>
                <c:pt idx="988">
                  <c:v>0.85009890897092655</c:v>
                </c:pt>
                <c:pt idx="989">
                  <c:v>0.87441085248371908</c:v>
                </c:pt>
                <c:pt idx="990">
                  <c:v>0.96754841733420194</c:v>
                </c:pt>
                <c:pt idx="991">
                  <c:v>0.93417958405022339</c:v>
                </c:pt>
                <c:pt idx="992">
                  <c:v>0.72811681831451036</c:v>
                </c:pt>
                <c:pt idx="993">
                  <c:v>0.95076118797444054</c:v>
                </c:pt>
                <c:pt idx="994">
                  <c:v>0.95451103066657494</c:v>
                </c:pt>
                <c:pt idx="995">
                  <c:v>0.79238814898193777</c:v>
                </c:pt>
                <c:pt idx="996">
                  <c:v>0.80282495847207036</c:v>
                </c:pt>
                <c:pt idx="997">
                  <c:v>0.93473091702229061</c:v>
                </c:pt>
                <c:pt idx="998">
                  <c:v>0.82221739277656058</c:v>
                </c:pt>
                <c:pt idx="999">
                  <c:v>0.95157357757179994</c:v>
                </c:pt>
              </c:numCache>
            </c:numRef>
          </c:xVal>
          <c:yVal>
            <c:numRef>
              <c:f>'MC Results'!$J$8:$J$1007</c:f>
              <c:numCache>
                <c:formatCode>"$"#,##0</c:formatCode>
                <c:ptCount val="1000"/>
                <c:pt idx="0">
                  <c:v>5932.4450877799754</c:v>
                </c:pt>
                <c:pt idx="1">
                  <c:v>5882.1109724656035</c:v>
                </c:pt>
                <c:pt idx="2">
                  <c:v>5586.1433821794735</c:v>
                </c:pt>
                <c:pt idx="3">
                  <c:v>6721.1868564345496</c:v>
                </c:pt>
                <c:pt idx="4">
                  <c:v>5489.8796259920391</c:v>
                </c:pt>
                <c:pt idx="5">
                  <c:v>5175.2100509036491</c:v>
                </c:pt>
                <c:pt idx="6">
                  <c:v>4547.7630377800269</c:v>
                </c:pt>
                <c:pt idx="7">
                  <c:v>3779.1949418230024</c:v>
                </c:pt>
                <c:pt idx="8">
                  <c:v>5061.8489712993087</c:v>
                </c:pt>
                <c:pt idx="9">
                  <c:v>4095.4802344099899</c:v>
                </c:pt>
                <c:pt idx="10">
                  <c:v>5045.8880967359182</c:v>
                </c:pt>
                <c:pt idx="11">
                  <c:v>3149.2230608711502</c:v>
                </c:pt>
                <c:pt idx="12">
                  <c:v>5925.7057007319836</c:v>
                </c:pt>
                <c:pt idx="13">
                  <c:v>6062.0002087118219</c:v>
                </c:pt>
                <c:pt idx="14">
                  <c:v>5384.7089106335607</c:v>
                </c:pt>
                <c:pt idx="15">
                  <c:v>5161.55958687165</c:v>
                </c:pt>
                <c:pt idx="16">
                  <c:v>4825.9301760672915</c:v>
                </c:pt>
                <c:pt idx="17">
                  <c:v>2470.8598400870433</c:v>
                </c:pt>
                <c:pt idx="18">
                  <c:v>5361.0412064992634</c:v>
                </c:pt>
                <c:pt idx="19">
                  <c:v>4864.3221020654455</c:v>
                </c:pt>
                <c:pt idx="20">
                  <c:v>5746.1307051646108</c:v>
                </c:pt>
                <c:pt idx="21">
                  <c:v>3742.9929653805698</c:v>
                </c:pt>
                <c:pt idx="22">
                  <c:v>4808.6685645261578</c:v>
                </c:pt>
                <c:pt idx="23">
                  <c:v>3633.017218570878</c:v>
                </c:pt>
                <c:pt idx="24">
                  <c:v>3704.5587465986855</c:v>
                </c:pt>
                <c:pt idx="25">
                  <c:v>2349.9903458407066</c:v>
                </c:pt>
                <c:pt idx="26">
                  <c:v>6972.9093520435445</c:v>
                </c:pt>
                <c:pt idx="27">
                  <c:v>2944.0639875196216</c:v>
                </c:pt>
                <c:pt idx="28">
                  <c:v>5019.133650850812</c:v>
                </c:pt>
                <c:pt idx="29">
                  <c:v>5713.2791121975151</c:v>
                </c:pt>
                <c:pt idx="30">
                  <c:v>7023.5595804512241</c:v>
                </c:pt>
                <c:pt idx="31">
                  <c:v>4177.2428314962726</c:v>
                </c:pt>
                <c:pt idx="32">
                  <c:v>3290.5439044942245</c:v>
                </c:pt>
                <c:pt idx="33">
                  <c:v>7299.0343525715016</c:v>
                </c:pt>
                <c:pt idx="34">
                  <c:v>2047.0210311780029</c:v>
                </c:pt>
                <c:pt idx="35">
                  <c:v>4244.687552636794</c:v>
                </c:pt>
                <c:pt idx="36">
                  <c:v>2689.4910200335794</c:v>
                </c:pt>
                <c:pt idx="37">
                  <c:v>5624.254857857678</c:v>
                </c:pt>
                <c:pt idx="38">
                  <c:v>7724.6896613351973</c:v>
                </c:pt>
                <c:pt idx="39">
                  <c:v>3022.0274025565277</c:v>
                </c:pt>
                <c:pt idx="40">
                  <c:v>4412.8660789205433</c:v>
                </c:pt>
                <c:pt idx="41">
                  <c:v>3933.4257010699871</c:v>
                </c:pt>
                <c:pt idx="42">
                  <c:v>4674.5003086619517</c:v>
                </c:pt>
                <c:pt idx="43">
                  <c:v>2070.5332660364829</c:v>
                </c:pt>
                <c:pt idx="44">
                  <c:v>5292.902481311633</c:v>
                </c:pt>
                <c:pt idx="45">
                  <c:v>4312.9871748205051</c:v>
                </c:pt>
                <c:pt idx="46">
                  <c:v>4105.0852744322219</c:v>
                </c:pt>
                <c:pt idx="47">
                  <c:v>3953.4180429432822</c:v>
                </c:pt>
                <c:pt idx="48">
                  <c:v>3971.2957241130684</c:v>
                </c:pt>
                <c:pt idx="49">
                  <c:v>5024.7626069924254</c:v>
                </c:pt>
                <c:pt idx="50">
                  <c:v>6923.1747630376231</c:v>
                </c:pt>
                <c:pt idx="51">
                  <c:v>5082.5254149921993</c:v>
                </c:pt>
                <c:pt idx="52">
                  <c:v>3825.0894256029801</c:v>
                </c:pt>
                <c:pt idx="53">
                  <c:v>4261.270055769216</c:v>
                </c:pt>
                <c:pt idx="54">
                  <c:v>4473.021484107323</c:v>
                </c:pt>
                <c:pt idx="55">
                  <c:v>3037.1994759019226</c:v>
                </c:pt>
                <c:pt idx="56">
                  <c:v>4885.3143432184406</c:v>
                </c:pt>
                <c:pt idx="57">
                  <c:v>5732.4440650458519</c:v>
                </c:pt>
                <c:pt idx="58">
                  <c:v>4555.0961415147822</c:v>
                </c:pt>
                <c:pt idx="59">
                  <c:v>5919.9291486108614</c:v>
                </c:pt>
                <c:pt idx="60">
                  <c:v>4971.530717817559</c:v>
                </c:pt>
                <c:pt idx="61">
                  <c:v>5493.7085451703169</c:v>
                </c:pt>
                <c:pt idx="62">
                  <c:v>5280.2027085341369</c:v>
                </c:pt>
                <c:pt idx="63">
                  <c:v>5408.5028826751577</c:v>
                </c:pt>
                <c:pt idx="64">
                  <c:v>6075.0456877445695</c:v>
                </c:pt>
                <c:pt idx="65">
                  <c:v>3777.2170410804601</c:v>
                </c:pt>
                <c:pt idx="66">
                  <c:v>3678.9319445980664</c:v>
                </c:pt>
                <c:pt idx="67">
                  <c:v>4498.7347264775808</c:v>
                </c:pt>
                <c:pt idx="68">
                  <c:v>3945.6766378641723</c:v>
                </c:pt>
                <c:pt idx="69">
                  <c:v>3678.9353069816498</c:v>
                </c:pt>
                <c:pt idx="70">
                  <c:v>5961.4312197569379</c:v>
                </c:pt>
                <c:pt idx="71">
                  <c:v>4167.9685507089989</c:v>
                </c:pt>
                <c:pt idx="72">
                  <c:v>6706.1228794934186</c:v>
                </c:pt>
                <c:pt idx="73">
                  <c:v>4539.2793772705782</c:v>
                </c:pt>
                <c:pt idx="74">
                  <c:v>5826.6822337153508</c:v>
                </c:pt>
                <c:pt idx="75">
                  <c:v>6772.6751453083934</c:v>
                </c:pt>
                <c:pt idx="76">
                  <c:v>2969.9280780602967</c:v>
                </c:pt>
                <c:pt idx="77">
                  <c:v>5984.6344614149921</c:v>
                </c:pt>
                <c:pt idx="78">
                  <c:v>5543.3447134788148</c:v>
                </c:pt>
                <c:pt idx="79">
                  <c:v>5046.1664129414676</c:v>
                </c:pt>
                <c:pt idx="80">
                  <c:v>1743.2699062941633</c:v>
                </c:pt>
                <c:pt idx="81">
                  <c:v>4662.4570641173195</c:v>
                </c:pt>
                <c:pt idx="82">
                  <c:v>4987.0077545241347</c:v>
                </c:pt>
                <c:pt idx="83">
                  <c:v>3894.7434104273329</c:v>
                </c:pt>
                <c:pt idx="84">
                  <c:v>4213.9753652349946</c:v>
                </c:pt>
                <c:pt idx="85">
                  <c:v>5535.5825983778223</c:v>
                </c:pt>
                <c:pt idx="86">
                  <c:v>4848.7067323048232</c:v>
                </c:pt>
                <c:pt idx="87">
                  <c:v>5251.7151835492195</c:v>
                </c:pt>
                <c:pt idx="88">
                  <c:v>5024.7347518273828</c:v>
                </c:pt>
                <c:pt idx="89">
                  <c:v>6098.0856511734573</c:v>
                </c:pt>
                <c:pt idx="90">
                  <c:v>4912.0773636169661</c:v>
                </c:pt>
                <c:pt idx="91">
                  <c:v>5479.6352435040044</c:v>
                </c:pt>
                <c:pt idx="92">
                  <c:v>3663.4052469254721</c:v>
                </c:pt>
                <c:pt idx="93">
                  <c:v>4442.1582403193306</c:v>
                </c:pt>
                <c:pt idx="94">
                  <c:v>5576.2819883861703</c:v>
                </c:pt>
                <c:pt idx="95">
                  <c:v>4980.9332068639605</c:v>
                </c:pt>
                <c:pt idx="96">
                  <c:v>8443.102932223137</c:v>
                </c:pt>
                <c:pt idx="97">
                  <c:v>6098.5074529525637</c:v>
                </c:pt>
                <c:pt idx="98">
                  <c:v>3738.4362740876104</c:v>
                </c:pt>
                <c:pt idx="99">
                  <c:v>3700.8586080435844</c:v>
                </c:pt>
                <c:pt idx="100">
                  <c:v>4517.5140249030446</c:v>
                </c:pt>
                <c:pt idx="101">
                  <c:v>6799.7897248725485</c:v>
                </c:pt>
                <c:pt idx="102">
                  <c:v>5534.5783294238072</c:v>
                </c:pt>
                <c:pt idx="103">
                  <c:v>5731.9097047311006</c:v>
                </c:pt>
                <c:pt idx="104">
                  <c:v>5769.1321578598081</c:v>
                </c:pt>
                <c:pt idx="105">
                  <c:v>5520.8668298164075</c:v>
                </c:pt>
                <c:pt idx="106">
                  <c:v>5126.3463032516565</c:v>
                </c:pt>
                <c:pt idx="107">
                  <c:v>3253.3090762741895</c:v>
                </c:pt>
                <c:pt idx="108">
                  <c:v>5228.0842247438013</c:v>
                </c:pt>
                <c:pt idx="109">
                  <c:v>4856.8439417618247</c:v>
                </c:pt>
                <c:pt idx="110">
                  <c:v>4851.1550832484299</c:v>
                </c:pt>
                <c:pt idx="111">
                  <c:v>3470.9023273511471</c:v>
                </c:pt>
                <c:pt idx="112">
                  <c:v>5008.5272500418587</c:v>
                </c:pt>
                <c:pt idx="113">
                  <c:v>3717.9009651955853</c:v>
                </c:pt>
                <c:pt idx="114">
                  <c:v>4083.2153785444784</c:v>
                </c:pt>
                <c:pt idx="115">
                  <c:v>5520.3618612716709</c:v>
                </c:pt>
                <c:pt idx="116">
                  <c:v>5128.9595358196875</c:v>
                </c:pt>
                <c:pt idx="117">
                  <c:v>6336.1406649042347</c:v>
                </c:pt>
                <c:pt idx="118">
                  <c:v>4667.0189628683765</c:v>
                </c:pt>
                <c:pt idx="119">
                  <c:v>4847.2452898065494</c:v>
                </c:pt>
                <c:pt idx="120">
                  <c:v>1477.8952265475871</c:v>
                </c:pt>
                <c:pt idx="121">
                  <c:v>4976.4857371014859</c:v>
                </c:pt>
                <c:pt idx="122">
                  <c:v>3161.9712782639704</c:v>
                </c:pt>
                <c:pt idx="123">
                  <c:v>4530.2035503043489</c:v>
                </c:pt>
                <c:pt idx="124">
                  <c:v>4496.4168024494911</c:v>
                </c:pt>
                <c:pt idx="125">
                  <c:v>3191.8511393061126</c:v>
                </c:pt>
                <c:pt idx="126">
                  <c:v>5546.0279928293667</c:v>
                </c:pt>
                <c:pt idx="127">
                  <c:v>5611.7994389866344</c:v>
                </c:pt>
                <c:pt idx="128">
                  <c:v>3804.6349939056167</c:v>
                </c:pt>
                <c:pt idx="129">
                  <c:v>6121.4543391347361</c:v>
                </c:pt>
                <c:pt idx="130">
                  <c:v>5536.9646912381259</c:v>
                </c:pt>
                <c:pt idx="131">
                  <c:v>4541.8280993890485</c:v>
                </c:pt>
                <c:pt idx="132">
                  <c:v>5024.7618382148412</c:v>
                </c:pt>
                <c:pt idx="133">
                  <c:v>7468.3502142781235</c:v>
                </c:pt>
                <c:pt idx="134">
                  <c:v>5362.8433144362089</c:v>
                </c:pt>
                <c:pt idx="135">
                  <c:v>3580.2438191623219</c:v>
                </c:pt>
                <c:pt idx="136">
                  <c:v>5513.5076403158382</c:v>
                </c:pt>
                <c:pt idx="137">
                  <c:v>4221.5716360283213</c:v>
                </c:pt>
                <c:pt idx="138">
                  <c:v>6464.472141856093</c:v>
                </c:pt>
                <c:pt idx="139">
                  <c:v>3445.3148600925269</c:v>
                </c:pt>
                <c:pt idx="140">
                  <c:v>4351.8162184874918</c:v>
                </c:pt>
                <c:pt idx="141">
                  <c:v>5272.8522676570301</c:v>
                </c:pt>
                <c:pt idx="142">
                  <c:v>3205.6545573746953</c:v>
                </c:pt>
                <c:pt idx="143">
                  <c:v>4966.5625396764844</c:v>
                </c:pt>
                <c:pt idx="144">
                  <c:v>4515.2893969371953</c:v>
                </c:pt>
                <c:pt idx="145">
                  <c:v>4310.9533749895654</c:v>
                </c:pt>
                <c:pt idx="146">
                  <c:v>6561.9925767929817</c:v>
                </c:pt>
                <c:pt idx="147">
                  <c:v>6430.866605646077</c:v>
                </c:pt>
                <c:pt idx="148">
                  <c:v>1882.2284823464358</c:v>
                </c:pt>
                <c:pt idx="149">
                  <c:v>5498.7234903933913</c:v>
                </c:pt>
                <c:pt idx="150">
                  <c:v>3075.7456008544486</c:v>
                </c:pt>
                <c:pt idx="151">
                  <c:v>3417.1780363263592</c:v>
                </c:pt>
                <c:pt idx="152">
                  <c:v>4871.472595610644</c:v>
                </c:pt>
                <c:pt idx="153">
                  <c:v>3822.1486277496747</c:v>
                </c:pt>
                <c:pt idx="154">
                  <c:v>1649.0324569308098</c:v>
                </c:pt>
                <c:pt idx="155">
                  <c:v>4754.6291839821251</c:v>
                </c:pt>
                <c:pt idx="156">
                  <c:v>4333.3249572173754</c:v>
                </c:pt>
                <c:pt idx="157">
                  <c:v>4378.9898172816047</c:v>
                </c:pt>
                <c:pt idx="158">
                  <c:v>4525.930835864021</c:v>
                </c:pt>
                <c:pt idx="159">
                  <c:v>4369.1321297184686</c:v>
                </c:pt>
                <c:pt idx="160">
                  <c:v>5810.834178979675</c:v>
                </c:pt>
                <c:pt idx="161">
                  <c:v>4135.0969536027342</c:v>
                </c:pt>
                <c:pt idx="162">
                  <c:v>4850.5807200825957</c:v>
                </c:pt>
                <c:pt idx="163">
                  <c:v>2311.1912607025638</c:v>
                </c:pt>
                <c:pt idx="164">
                  <c:v>2762.1643472112942</c:v>
                </c:pt>
                <c:pt idx="165">
                  <c:v>5237.9491698576512</c:v>
                </c:pt>
                <c:pt idx="166">
                  <c:v>6814.5289267407034</c:v>
                </c:pt>
                <c:pt idx="167">
                  <c:v>5635.7796747029952</c:v>
                </c:pt>
                <c:pt idx="168">
                  <c:v>7095.7101135794064</c:v>
                </c:pt>
                <c:pt idx="169">
                  <c:v>2562.715253960841</c:v>
                </c:pt>
                <c:pt idx="170">
                  <c:v>4218.1109941946406</c:v>
                </c:pt>
                <c:pt idx="171">
                  <c:v>4013.5601923837121</c:v>
                </c:pt>
                <c:pt idx="172">
                  <c:v>1473.2561456223323</c:v>
                </c:pt>
                <c:pt idx="173">
                  <c:v>6938.1965535543777</c:v>
                </c:pt>
                <c:pt idx="174">
                  <c:v>5763.1742372372528</c:v>
                </c:pt>
                <c:pt idx="175">
                  <c:v>5259.5779063390664</c:v>
                </c:pt>
                <c:pt idx="176">
                  <c:v>3821.5547482807488</c:v>
                </c:pt>
                <c:pt idx="177">
                  <c:v>2851.9399334621121</c:v>
                </c:pt>
                <c:pt idx="178">
                  <c:v>3643.5047672557203</c:v>
                </c:pt>
                <c:pt idx="179">
                  <c:v>2125.061826725047</c:v>
                </c:pt>
                <c:pt idx="180">
                  <c:v>6344.0135513838732</c:v>
                </c:pt>
                <c:pt idx="181">
                  <c:v>4765.8874631912313</c:v>
                </c:pt>
                <c:pt idx="182">
                  <c:v>5696.1466755740175</c:v>
                </c:pt>
                <c:pt idx="183">
                  <c:v>2224.1913950657167</c:v>
                </c:pt>
                <c:pt idx="184">
                  <c:v>5535.197382969176</c:v>
                </c:pt>
                <c:pt idx="185">
                  <c:v>7029.130570512637</c:v>
                </c:pt>
                <c:pt idx="186">
                  <c:v>3201.1270253293678</c:v>
                </c:pt>
                <c:pt idx="187">
                  <c:v>8223.5909618975202</c:v>
                </c:pt>
                <c:pt idx="188">
                  <c:v>3872.8763235513893</c:v>
                </c:pt>
                <c:pt idx="189">
                  <c:v>5185.9233140711985</c:v>
                </c:pt>
                <c:pt idx="190">
                  <c:v>4442.9917887143065</c:v>
                </c:pt>
                <c:pt idx="191">
                  <c:v>5075.3180801344206</c:v>
                </c:pt>
                <c:pt idx="192">
                  <c:v>6962.402920631489</c:v>
                </c:pt>
                <c:pt idx="193">
                  <c:v>4434.9582976672964</c:v>
                </c:pt>
                <c:pt idx="194">
                  <c:v>5926.6437690376406</c:v>
                </c:pt>
                <c:pt idx="195">
                  <c:v>1527.7183342316757</c:v>
                </c:pt>
                <c:pt idx="196">
                  <c:v>4442.7178802919971</c:v>
                </c:pt>
                <c:pt idx="197">
                  <c:v>5810.5542110171764</c:v>
                </c:pt>
                <c:pt idx="198">
                  <c:v>5802.677634931094</c:v>
                </c:pt>
                <c:pt idx="199">
                  <c:v>5761.7847998627922</c:v>
                </c:pt>
                <c:pt idx="200">
                  <c:v>5510.4740190990897</c:v>
                </c:pt>
                <c:pt idx="201">
                  <c:v>5589.8177569549116</c:v>
                </c:pt>
                <c:pt idx="202">
                  <c:v>6865.8128097464351</c:v>
                </c:pt>
                <c:pt idx="203">
                  <c:v>3903.6911320431714</c:v>
                </c:pt>
                <c:pt idx="204">
                  <c:v>5870.9896794075776</c:v>
                </c:pt>
                <c:pt idx="205">
                  <c:v>4881.4997573162846</c:v>
                </c:pt>
                <c:pt idx="206">
                  <c:v>7356.1196020750303</c:v>
                </c:pt>
                <c:pt idx="207">
                  <c:v>2955.5617740568387</c:v>
                </c:pt>
                <c:pt idx="208">
                  <c:v>6411.5967318828471</c:v>
                </c:pt>
                <c:pt idx="209">
                  <c:v>2778.0103762527997</c:v>
                </c:pt>
                <c:pt idx="210">
                  <c:v>6144.8984435966795</c:v>
                </c:pt>
                <c:pt idx="211">
                  <c:v>4208.3455943866202</c:v>
                </c:pt>
                <c:pt idx="212">
                  <c:v>3069.0191008793336</c:v>
                </c:pt>
                <c:pt idx="213">
                  <c:v>3525.4993904182365</c:v>
                </c:pt>
                <c:pt idx="214">
                  <c:v>5044.6721176686251</c:v>
                </c:pt>
                <c:pt idx="215">
                  <c:v>4774.3191232642876</c:v>
                </c:pt>
                <c:pt idx="216">
                  <c:v>5497.0314257806285</c:v>
                </c:pt>
                <c:pt idx="217">
                  <c:v>6041.2175443102615</c:v>
                </c:pt>
                <c:pt idx="218">
                  <c:v>1510.1511228072186</c:v>
                </c:pt>
                <c:pt idx="219">
                  <c:v>4638.3005197110915</c:v>
                </c:pt>
                <c:pt idx="220">
                  <c:v>3536.3525301657578</c:v>
                </c:pt>
                <c:pt idx="221">
                  <c:v>5273.88442180931</c:v>
                </c:pt>
                <c:pt idx="222">
                  <c:v>6795.9535123244868</c:v>
                </c:pt>
                <c:pt idx="223">
                  <c:v>4678.9834316105562</c:v>
                </c:pt>
                <c:pt idx="224">
                  <c:v>6172.8679983770362</c:v>
                </c:pt>
                <c:pt idx="225">
                  <c:v>4947.4596855686113</c:v>
                </c:pt>
                <c:pt idx="226">
                  <c:v>4414.4548943454183</c:v>
                </c:pt>
                <c:pt idx="227">
                  <c:v>3765.0737935599127</c:v>
                </c:pt>
                <c:pt idx="228">
                  <c:v>3504.7763711944103</c:v>
                </c:pt>
                <c:pt idx="229">
                  <c:v>5026.7152737807273</c:v>
                </c:pt>
                <c:pt idx="230">
                  <c:v>4346.6401473881024</c:v>
                </c:pt>
                <c:pt idx="231">
                  <c:v>3534.273510236892</c:v>
                </c:pt>
                <c:pt idx="232">
                  <c:v>6013.4061278116023</c:v>
                </c:pt>
                <c:pt idx="233">
                  <c:v>3500.4838772425537</c:v>
                </c:pt>
                <c:pt idx="234">
                  <c:v>9999.0199557148371</c:v>
                </c:pt>
                <c:pt idx="235">
                  <c:v>7437.7381383595484</c:v>
                </c:pt>
                <c:pt idx="236">
                  <c:v>5985.3176940082512</c:v>
                </c:pt>
                <c:pt idx="237">
                  <c:v>6092.3552753981567</c:v>
                </c:pt>
                <c:pt idx="238">
                  <c:v>4383.8208545345342</c:v>
                </c:pt>
                <c:pt idx="239">
                  <c:v>3870.5246174404256</c:v>
                </c:pt>
                <c:pt idx="240">
                  <c:v>4679.9623225305359</c:v>
                </c:pt>
                <c:pt idx="241">
                  <c:v>5225.1307999084947</c:v>
                </c:pt>
                <c:pt idx="242">
                  <c:v>4686.9460391904486</c:v>
                </c:pt>
                <c:pt idx="243">
                  <c:v>1705.9636246829584</c:v>
                </c:pt>
                <c:pt idx="244">
                  <c:v>2083.860406124873</c:v>
                </c:pt>
                <c:pt idx="245">
                  <c:v>4142.5770897365874</c:v>
                </c:pt>
                <c:pt idx="246">
                  <c:v>5628.6820499385167</c:v>
                </c:pt>
                <c:pt idx="247">
                  <c:v>5057.8194728630569</c:v>
                </c:pt>
                <c:pt idx="248">
                  <c:v>4402.4623810179637</c:v>
                </c:pt>
                <c:pt idx="249">
                  <c:v>5659.95909355191</c:v>
                </c:pt>
                <c:pt idx="250">
                  <c:v>8822.0008763819933</c:v>
                </c:pt>
                <c:pt idx="251">
                  <c:v>6187.7984683595505</c:v>
                </c:pt>
                <c:pt idx="252">
                  <c:v>5684.1241669867359</c:v>
                </c:pt>
                <c:pt idx="253">
                  <c:v>5351.663046046544</c:v>
                </c:pt>
                <c:pt idx="254">
                  <c:v>4383.5966932887286</c:v>
                </c:pt>
                <c:pt idx="255">
                  <c:v>3447.4794963136828</c:v>
                </c:pt>
                <c:pt idx="256">
                  <c:v>3768.5875892421409</c:v>
                </c:pt>
                <c:pt idx="257">
                  <c:v>3148.9855436080561</c:v>
                </c:pt>
                <c:pt idx="258">
                  <c:v>5040.7511958119903</c:v>
                </c:pt>
                <c:pt idx="259">
                  <c:v>4258.510757878772</c:v>
                </c:pt>
                <c:pt idx="260">
                  <c:v>7323.2497025083321</c:v>
                </c:pt>
                <c:pt idx="261">
                  <c:v>3746.66633647044</c:v>
                </c:pt>
                <c:pt idx="262">
                  <c:v>5315.4759679324334</c:v>
                </c:pt>
                <c:pt idx="263">
                  <c:v>4615.2558954740243</c:v>
                </c:pt>
                <c:pt idx="264">
                  <c:v>5359.2664513999052</c:v>
                </c:pt>
                <c:pt idx="265">
                  <c:v>2966.0953187855885</c:v>
                </c:pt>
                <c:pt idx="266">
                  <c:v>5415.0527298908164</c:v>
                </c:pt>
                <c:pt idx="267">
                  <c:v>5033.1919239300078</c:v>
                </c:pt>
                <c:pt idx="268">
                  <c:v>2388.1915646263169</c:v>
                </c:pt>
                <c:pt idx="269">
                  <c:v>2443.0869284951245</c:v>
                </c:pt>
                <c:pt idx="270">
                  <c:v>1321.4532199109387</c:v>
                </c:pt>
                <c:pt idx="271">
                  <c:v>4056.5405521377297</c:v>
                </c:pt>
                <c:pt idx="272">
                  <c:v>6309.7297668103547</c:v>
                </c:pt>
                <c:pt idx="273">
                  <c:v>4180.6701642122744</c:v>
                </c:pt>
                <c:pt idx="274">
                  <c:v>4963.3302034626513</c:v>
                </c:pt>
                <c:pt idx="275">
                  <c:v>3588.8736964709415</c:v>
                </c:pt>
                <c:pt idx="276">
                  <c:v>4452.8637407780388</c:v>
                </c:pt>
                <c:pt idx="277">
                  <c:v>4236.8054706560479</c:v>
                </c:pt>
                <c:pt idx="278">
                  <c:v>5232.1716458223636</c:v>
                </c:pt>
                <c:pt idx="279">
                  <c:v>1462.7150838248347</c:v>
                </c:pt>
                <c:pt idx="280">
                  <c:v>2402.3085664188943</c:v>
                </c:pt>
                <c:pt idx="281">
                  <c:v>4026.9006268367693</c:v>
                </c:pt>
                <c:pt idx="282">
                  <c:v>5325.5771377152851</c:v>
                </c:pt>
                <c:pt idx="283">
                  <c:v>4700.1587216892522</c:v>
                </c:pt>
                <c:pt idx="284">
                  <c:v>3730.4812668312134</c:v>
                </c:pt>
                <c:pt idx="285">
                  <c:v>7670.8898074088565</c:v>
                </c:pt>
                <c:pt idx="286">
                  <c:v>4951.386164636705</c:v>
                </c:pt>
                <c:pt idx="287">
                  <c:v>6389.975903730483</c:v>
                </c:pt>
                <c:pt idx="288">
                  <c:v>4640.1932813264912</c:v>
                </c:pt>
                <c:pt idx="289">
                  <c:v>6920.4162515949156</c:v>
                </c:pt>
                <c:pt idx="290">
                  <c:v>6910.0721402646141</c:v>
                </c:pt>
                <c:pt idx="291">
                  <c:v>7163.3093426165296</c:v>
                </c:pt>
                <c:pt idx="292">
                  <c:v>6933.1463948662768</c:v>
                </c:pt>
                <c:pt idx="293">
                  <c:v>1514.1851265148846</c:v>
                </c:pt>
                <c:pt idx="294">
                  <c:v>5422.2617569966515</c:v>
                </c:pt>
                <c:pt idx="295">
                  <c:v>5250.6960969711372</c:v>
                </c:pt>
                <c:pt idx="296">
                  <c:v>4901.6555823698991</c:v>
                </c:pt>
                <c:pt idx="297">
                  <c:v>3792.7686348623643</c:v>
                </c:pt>
                <c:pt idx="298">
                  <c:v>5378.0456066376073</c:v>
                </c:pt>
                <c:pt idx="299">
                  <c:v>3464.9381615500151</c:v>
                </c:pt>
                <c:pt idx="300">
                  <c:v>3605.1381493476374</c:v>
                </c:pt>
                <c:pt idx="301">
                  <c:v>1752.1105918519261</c:v>
                </c:pt>
                <c:pt idx="302">
                  <c:v>3901.659981754296</c:v>
                </c:pt>
                <c:pt idx="303">
                  <c:v>5014.1627647805471</c:v>
                </c:pt>
                <c:pt idx="304">
                  <c:v>7517.6897828673937</c:v>
                </c:pt>
                <c:pt idx="305">
                  <c:v>5504.2175902294084</c:v>
                </c:pt>
                <c:pt idx="306">
                  <c:v>2296.8655241244228</c:v>
                </c:pt>
                <c:pt idx="307">
                  <c:v>4376.2719813290187</c:v>
                </c:pt>
                <c:pt idx="308">
                  <c:v>7586.9933394683458</c:v>
                </c:pt>
                <c:pt idx="309">
                  <c:v>3275.4624534846293</c:v>
                </c:pt>
                <c:pt idx="310">
                  <c:v>1613.1346533742126</c:v>
                </c:pt>
                <c:pt idx="311">
                  <c:v>3175.80720824015</c:v>
                </c:pt>
                <c:pt idx="312">
                  <c:v>5026.6987874937968</c:v>
                </c:pt>
                <c:pt idx="313">
                  <c:v>2134.6128580817262</c:v>
                </c:pt>
                <c:pt idx="314">
                  <c:v>5653.4700107333238</c:v>
                </c:pt>
                <c:pt idx="315">
                  <c:v>4664.7539809358259</c:v>
                </c:pt>
                <c:pt idx="316">
                  <c:v>4419.7337623844969</c:v>
                </c:pt>
                <c:pt idx="317">
                  <c:v>5372.9533133709792</c:v>
                </c:pt>
                <c:pt idx="318">
                  <c:v>6504.6107642903326</c:v>
                </c:pt>
                <c:pt idx="319">
                  <c:v>6302.2852122841805</c:v>
                </c:pt>
                <c:pt idx="320">
                  <c:v>6196.8579520991825</c:v>
                </c:pt>
                <c:pt idx="321">
                  <c:v>2626.8213940785463</c:v>
                </c:pt>
                <c:pt idx="322">
                  <c:v>4684.1106822597058</c:v>
                </c:pt>
                <c:pt idx="323">
                  <c:v>4602.3980272094777</c:v>
                </c:pt>
                <c:pt idx="324">
                  <c:v>4396.4146737027122</c:v>
                </c:pt>
                <c:pt idx="325">
                  <c:v>1806.1971744809223</c:v>
                </c:pt>
                <c:pt idx="326">
                  <c:v>1935.0326007214576</c:v>
                </c:pt>
                <c:pt idx="327">
                  <c:v>4244.9489232104088</c:v>
                </c:pt>
                <c:pt idx="328">
                  <c:v>6900.1715971984659</c:v>
                </c:pt>
                <c:pt idx="329">
                  <c:v>6209.2917996351534</c:v>
                </c:pt>
                <c:pt idx="330">
                  <c:v>5025.954024987409</c:v>
                </c:pt>
                <c:pt idx="331">
                  <c:v>5937.8793248542743</c:v>
                </c:pt>
                <c:pt idx="332">
                  <c:v>1889.4604297929673</c:v>
                </c:pt>
                <c:pt idx="333">
                  <c:v>3004.8711234293974</c:v>
                </c:pt>
                <c:pt idx="334">
                  <c:v>3464.9997693316291</c:v>
                </c:pt>
                <c:pt idx="335">
                  <c:v>6044.0109129917173</c:v>
                </c:pt>
                <c:pt idx="336">
                  <c:v>4509.5770902477361</c:v>
                </c:pt>
                <c:pt idx="337">
                  <c:v>7286.6811728444027</c:v>
                </c:pt>
                <c:pt idx="338">
                  <c:v>5775.3699371256262</c:v>
                </c:pt>
                <c:pt idx="339">
                  <c:v>3801.7677812836455</c:v>
                </c:pt>
                <c:pt idx="340">
                  <c:v>6462.2226909768242</c:v>
                </c:pt>
                <c:pt idx="341">
                  <c:v>6223.9110319640713</c:v>
                </c:pt>
                <c:pt idx="342">
                  <c:v>6349.3210243450039</c:v>
                </c:pt>
                <c:pt idx="343">
                  <c:v>6616.1659476263912</c:v>
                </c:pt>
                <c:pt idx="344">
                  <c:v>5852.9995511440839</c:v>
                </c:pt>
                <c:pt idx="345">
                  <c:v>1619.800276658422</c:v>
                </c:pt>
                <c:pt idx="346">
                  <c:v>3506.8422841350193</c:v>
                </c:pt>
                <c:pt idx="347">
                  <c:v>2547.1103531297013</c:v>
                </c:pt>
                <c:pt idx="348">
                  <c:v>5897.5618129621198</c:v>
                </c:pt>
                <c:pt idx="349">
                  <c:v>3813.9668841705356</c:v>
                </c:pt>
                <c:pt idx="350">
                  <c:v>5641.3029058988986</c:v>
                </c:pt>
                <c:pt idx="351">
                  <c:v>3717.9351969140844</c:v>
                </c:pt>
                <c:pt idx="352">
                  <c:v>3733.4750694526465</c:v>
                </c:pt>
                <c:pt idx="353">
                  <c:v>1801.5067765671317</c:v>
                </c:pt>
                <c:pt idx="354">
                  <c:v>3813.933240233654</c:v>
                </c:pt>
                <c:pt idx="355">
                  <c:v>7811.7425421470434</c:v>
                </c:pt>
                <c:pt idx="356">
                  <c:v>4045.572527561133</c:v>
                </c:pt>
                <c:pt idx="357">
                  <c:v>6127.315966645896</c:v>
                </c:pt>
                <c:pt idx="358">
                  <c:v>5724.1087499754758</c:v>
                </c:pt>
                <c:pt idx="359">
                  <c:v>3150.6139893417694</c:v>
                </c:pt>
                <c:pt idx="360">
                  <c:v>2597.1590710529472</c:v>
                </c:pt>
                <c:pt idx="361">
                  <c:v>4814.6940989972863</c:v>
                </c:pt>
                <c:pt idx="362">
                  <c:v>4343.126855040854</c:v>
                </c:pt>
                <c:pt idx="363">
                  <c:v>3493.1311138226197</c:v>
                </c:pt>
                <c:pt idx="364">
                  <c:v>2489.9393930676274</c:v>
                </c:pt>
                <c:pt idx="365">
                  <c:v>2546.3818533405743</c:v>
                </c:pt>
                <c:pt idx="366">
                  <c:v>5686.3544821206733</c:v>
                </c:pt>
                <c:pt idx="367">
                  <c:v>8608.9358395013915</c:v>
                </c:pt>
                <c:pt idx="368">
                  <c:v>5124.8864970950654</c:v>
                </c:pt>
                <c:pt idx="369">
                  <c:v>4063.4418491845172</c:v>
                </c:pt>
                <c:pt idx="370">
                  <c:v>6614.0050174491225</c:v>
                </c:pt>
                <c:pt idx="371">
                  <c:v>2238.1073080395445</c:v>
                </c:pt>
                <c:pt idx="372">
                  <c:v>3110.1821402513083</c:v>
                </c:pt>
                <c:pt idx="373">
                  <c:v>7311.572754013313</c:v>
                </c:pt>
                <c:pt idx="374">
                  <c:v>4063.0902617143338</c:v>
                </c:pt>
                <c:pt idx="375">
                  <c:v>6839.5768648297553</c:v>
                </c:pt>
                <c:pt idx="376">
                  <c:v>-427.15135899128882</c:v>
                </c:pt>
                <c:pt idx="377">
                  <c:v>4940.9040753961481</c:v>
                </c:pt>
                <c:pt idx="378">
                  <c:v>3300.6710662448363</c:v>
                </c:pt>
                <c:pt idx="379">
                  <c:v>4681.8541262717554</c:v>
                </c:pt>
                <c:pt idx="380">
                  <c:v>5224.3797420423198</c:v>
                </c:pt>
                <c:pt idx="381">
                  <c:v>5462.6407117431245</c:v>
                </c:pt>
                <c:pt idx="382">
                  <c:v>3696.8682263602873</c:v>
                </c:pt>
                <c:pt idx="383">
                  <c:v>4587.14441554724</c:v>
                </c:pt>
                <c:pt idx="384">
                  <c:v>4419.3383933182495</c:v>
                </c:pt>
                <c:pt idx="385">
                  <c:v>5696.0241200654154</c:v>
                </c:pt>
                <c:pt idx="386">
                  <c:v>4345.3866588688979</c:v>
                </c:pt>
                <c:pt idx="387">
                  <c:v>3991.4000573563189</c:v>
                </c:pt>
                <c:pt idx="388">
                  <c:v>4746.0277882489036</c:v>
                </c:pt>
                <c:pt idx="389">
                  <c:v>3997.1888549753417</c:v>
                </c:pt>
                <c:pt idx="390">
                  <c:v>3263.308620136962</c:v>
                </c:pt>
                <c:pt idx="391">
                  <c:v>5556.8726493564154</c:v>
                </c:pt>
                <c:pt idx="392">
                  <c:v>5511.481692538694</c:v>
                </c:pt>
                <c:pt idx="393">
                  <c:v>6605.523870222597</c:v>
                </c:pt>
                <c:pt idx="394">
                  <c:v>4611.4973194640361</c:v>
                </c:pt>
                <c:pt idx="395">
                  <c:v>5408.7285157952165</c:v>
                </c:pt>
                <c:pt idx="396">
                  <c:v>5838.3116919057093</c:v>
                </c:pt>
                <c:pt idx="397">
                  <c:v>6666.8766756063696</c:v>
                </c:pt>
                <c:pt idx="398">
                  <c:v>4819.8335456189025</c:v>
                </c:pt>
                <c:pt idx="399">
                  <c:v>6257.8483554402756</c:v>
                </c:pt>
                <c:pt idx="400">
                  <c:v>4576.8599397655162</c:v>
                </c:pt>
                <c:pt idx="401">
                  <c:v>3641.4483351488484</c:v>
                </c:pt>
                <c:pt idx="402">
                  <c:v>1995.690394185149</c:v>
                </c:pt>
                <c:pt idx="403">
                  <c:v>2310.1650336040057</c:v>
                </c:pt>
                <c:pt idx="404">
                  <c:v>4600.3397791130374</c:v>
                </c:pt>
                <c:pt idx="405">
                  <c:v>4039.1829392559662</c:v>
                </c:pt>
                <c:pt idx="406">
                  <c:v>5548.4083090286695</c:v>
                </c:pt>
                <c:pt idx="407">
                  <c:v>3673.0368798833729</c:v>
                </c:pt>
                <c:pt idx="408">
                  <c:v>6484.2346514452747</c:v>
                </c:pt>
                <c:pt idx="409">
                  <c:v>6741.5489759722077</c:v>
                </c:pt>
                <c:pt idx="410">
                  <c:v>5577.4462558310261</c:v>
                </c:pt>
                <c:pt idx="411">
                  <c:v>4581.0803680339441</c:v>
                </c:pt>
                <c:pt idx="412">
                  <c:v>3234.317374245165</c:v>
                </c:pt>
                <c:pt idx="413">
                  <c:v>1684.4735233340109</c:v>
                </c:pt>
                <c:pt idx="414">
                  <c:v>6255.1550706880626</c:v>
                </c:pt>
                <c:pt idx="415">
                  <c:v>2257.1598138928389</c:v>
                </c:pt>
                <c:pt idx="416">
                  <c:v>3047.4143698054622</c:v>
                </c:pt>
                <c:pt idx="417">
                  <c:v>3352.4938051421914</c:v>
                </c:pt>
                <c:pt idx="418">
                  <c:v>5723.4339793192821</c:v>
                </c:pt>
                <c:pt idx="419">
                  <c:v>5164.0486625679687</c:v>
                </c:pt>
                <c:pt idx="420">
                  <c:v>5026.9087142155286</c:v>
                </c:pt>
                <c:pt idx="421">
                  <c:v>6620.8458608549654</c:v>
                </c:pt>
                <c:pt idx="422">
                  <c:v>5404.5126163569421</c:v>
                </c:pt>
                <c:pt idx="423">
                  <c:v>2944.1136500193315</c:v>
                </c:pt>
                <c:pt idx="424">
                  <c:v>2284.1211904262627</c:v>
                </c:pt>
                <c:pt idx="425">
                  <c:v>2366.3699438549506</c:v>
                </c:pt>
                <c:pt idx="426">
                  <c:v>5742.5787441666407</c:v>
                </c:pt>
                <c:pt idx="427">
                  <c:v>2244.3571463483963</c:v>
                </c:pt>
                <c:pt idx="428">
                  <c:v>4153.8336272590686</c:v>
                </c:pt>
                <c:pt idx="429">
                  <c:v>1918.2343171453792</c:v>
                </c:pt>
                <c:pt idx="430">
                  <c:v>6431.4391204785616</c:v>
                </c:pt>
                <c:pt idx="431">
                  <c:v>4672.6192274526647</c:v>
                </c:pt>
                <c:pt idx="432">
                  <c:v>4743.6865319567669</c:v>
                </c:pt>
                <c:pt idx="433">
                  <c:v>4362.1248180155335</c:v>
                </c:pt>
                <c:pt idx="434">
                  <c:v>1922.4486953808112</c:v>
                </c:pt>
                <c:pt idx="435">
                  <c:v>5755.6254773817</c:v>
                </c:pt>
                <c:pt idx="436">
                  <c:v>7631.0202631627844</c:v>
                </c:pt>
                <c:pt idx="437">
                  <c:v>6198.1684404202633</c:v>
                </c:pt>
                <c:pt idx="438">
                  <c:v>3461.9625233846787</c:v>
                </c:pt>
                <c:pt idx="439">
                  <c:v>5175.3523166602654</c:v>
                </c:pt>
                <c:pt idx="440">
                  <c:v>5428.2465091128961</c:v>
                </c:pt>
                <c:pt idx="441">
                  <c:v>4060.0432369551895</c:v>
                </c:pt>
                <c:pt idx="442">
                  <c:v>5088.9115371939115</c:v>
                </c:pt>
                <c:pt idx="443">
                  <c:v>4921.5750710316534</c:v>
                </c:pt>
                <c:pt idx="444">
                  <c:v>6538.6664558574066</c:v>
                </c:pt>
                <c:pt idx="445">
                  <c:v>3013.6995743712591</c:v>
                </c:pt>
                <c:pt idx="446">
                  <c:v>4129.6504125142692</c:v>
                </c:pt>
                <c:pt idx="447">
                  <c:v>5584.0734953615001</c:v>
                </c:pt>
                <c:pt idx="448">
                  <c:v>4679.3427516089087</c:v>
                </c:pt>
                <c:pt idx="449">
                  <c:v>3445.1065388304501</c:v>
                </c:pt>
                <c:pt idx="450">
                  <c:v>6915.4159178566224</c:v>
                </c:pt>
                <c:pt idx="451">
                  <c:v>4595.2680625563671</c:v>
                </c:pt>
                <c:pt idx="452">
                  <c:v>5737.0285320753092</c:v>
                </c:pt>
                <c:pt idx="453">
                  <c:v>6911.6480076197413</c:v>
                </c:pt>
                <c:pt idx="454">
                  <c:v>2577.7407299793599</c:v>
                </c:pt>
                <c:pt idx="455">
                  <c:v>5012.6736430219644</c:v>
                </c:pt>
                <c:pt idx="456">
                  <c:v>4330.2660348956415</c:v>
                </c:pt>
                <c:pt idx="457">
                  <c:v>5108.6098335211709</c:v>
                </c:pt>
                <c:pt idx="458">
                  <c:v>4629.5843962313247</c:v>
                </c:pt>
                <c:pt idx="459">
                  <c:v>3559.8440201196649</c:v>
                </c:pt>
                <c:pt idx="460">
                  <c:v>6522.8066184314257</c:v>
                </c:pt>
                <c:pt idx="461">
                  <c:v>6009.7441060981237</c:v>
                </c:pt>
                <c:pt idx="462">
                  <c:v>3816.8721991103434</c:v>
                </c:pt>
                <c:pt idx="463">
                  <c:v>4101.339038299654</c:v>
                </c:pt>
                <c:pt idx="464">
                  <c:v>4798.4396856105932</c:v>
                </c:pt>
                <c:pt idx="465">
                  <c:v>6452.2186070406415</c:v>
                </c:pt>
                <c:pt idx="466">
                  <c:v>5669.1240244525807</c:v>
                </c:pt>
                <c:pt idx="467">
                  <c:v>4728.7296490708577</c:v>
                </c:pt>
                <c:pt idx="468">
                  <c:v>3217.5326440173999</c:v>
                </c:pt>
                <c:pt idx="469">
                  <c:v>6562.5887778529659</c:v>
                </c:pt>
                <c:pt idx="470">
                  <c:v>4544.191411757145</c:v>
                </c:pt>
                <c:pt idx="471">
                  <c:v>5875.6632430818008</c:v>
                </c:pt>
                <c:pt idx="472">
                  <c:v>5691.6265252837766</c:v>
                </c:pt>
                <c:pt idx="473">
                  <c:v>5452.2461299356883</c:v>
                </c:pt>
                <c:pt idx="474">
                  <c:v>1869.8308028709071</c:v>
                </c:pt>
                <c:pt idx="475">
                  <c:v>5615.8440257277698</c:v>
                </c:pt>
                <c:pt idx="476">
                  <c:v>4323.7430664854683</c:v>
                </c:pt>
                <c:pt idx="477">
                  <c:v>2891.9870463961543</c:v>
                </c:pt>
                <c:pt idx="478">
                  <c:v>4694.7907857648797</c:v>
                </c:pt>
                <c:pt idx="479">
                  <c:v>3969.8258430340525</c:v>
                </c:pt>
                <c:pt idx="480">
                  <c:v>6267.5199551747692</c:v>
                </c:pt>
                <c:pt idx="481">
                  <c:v>3391.9068284857672</c:v>
                </c:pt>
                <c:pt idx="482">
                  <c:v>4695.9660810753267</c:v>
                </c:pt>
                <c:pt idx="483">
                  <c:v>4398.3652406942547</c:v>
                </c:pt>
                <c:pt idx="484">
                  <c:v>4808.4731840633067</c:v>
                </c:pt>
                <c:pt idx="485">
                  <c:v>4967.7840265578416</c:v>
                </c:pt>
                <c:pt idx="486">
                  <c:v>3670.9400695702061</c:v>
                </c:pt>
                <c:pt idx="487">
                  <c:v>734.38834257568112</c:v>
                </c:pt>
                <c:pt idx="488">
                  <c:v>5654.1355101892332</c:v>
                </c:pt>
                <c:pt idx="489">
                  <c:v>2466.6990546809047</c:v>
                </c:pt>
                <c:pt idx="490">
                  <c:v>6149.6273223663429</c:v>
                </c:pt>
                <c:pt idx="491">
                  <c:v>1871.6445548451341</c:v>
                </c:pt>
                <c:pt idx="492">
                  <c:v>5117.7837599604127</c:v>
                </c:pt>
                <c:pt idx="493">
                  <c:v>4230.0806587039988</c:v>
                </c:pt>
                <c:pt idx="494">
                  <c:v>3507.4831839215253</c:v>
                </c:pt>
                <c:pt idx="495">
                  <c:v>4979.4802976748215</c:v>
                </c:pt>
                <c:pt idx="496">
                  <c:v>5601.8415821298458</c:v>
                </c:pt>
                <c:pt idx="497">
                  <c:v>6114.3679257432495</c:v>
                </c:pt>
                <c:pt idx="498">
                  <c:v>-77.336963764942695</c:v>
                </c:pt>
                <c:pt idx="499">
                  <c:v>4640.5405535892496</c:v>
                </c:pt>
                <c:pt idx="500">
                  <c:v>6671.1369762081213</c:v>
                </c:pt>
                <c:pt idx="501">
                  <c:v>4385.8141923008407</c:v>
                </c:pt>
                <c:pt idx="502">
                  <c:v>2283.1131040742075</c:v>
                </c:pt>
                <c:pt idx="503">
                  <c:v>4021.5337245719761</c:v>
                </c:pt>
                <c:pt idx="504">
                  <c:v>4672.4018048603339</c:v>
                </c:pt>
                <c:pt idx="505">
                  <c:v>5508.1147088978832</c:v>
                </c:pt>
                <c:pt idx="506">
                  <c:v>3165.0579467319858</c:v>
                </c:pt>
                <c:pt idx="507">
                  <c:v>4947.641378877177</c:v>
                </c:pt>
                <c:pt idx="508">
                  <c:v>6288.2858182153623</c:v>
                </c:pt>
                <c:pt idx="509">
                  <c:v>3284.6650756299459</c:v>
                </c:pt>
                <c:pt idx="510">
                  <c:v>2958.2658529943747</c:v>
                </c:pt>
                <c:pt idx="511">
                  <c:v>2404.2459211881419</c:v>
                </c:pt>
                <c:pt idx="512">
                  <c:v>4807.9913341415913</c:v>
                </c:pt>
                <c:pt idx="513">
                  <c:v>4407.2656113098101</c:v>
                </c:pt>
                <c:pt idx="514">
                  <c:v>8165.9478248851055</c:v>
                </c:pt>
                <c:pt idx="515">
                  <c:v>5743.2829544062497</c:v>
                </c:pt>
                <c:pt idx="516">
                  <c:v>5335.252506044334</c:v>
                </c:pt>
                <c:pt idx="517">
                  <c:v>5019.3046597116299</c:v>
                </c:pt>
                <c:pt idx="518">
                  <c:v>5690.672412447665</c:v>
                </c:pt>
                <c:pt idx="519">
                  <c:v>6029.0046358320988</c:v>
                </c:pt>
                <c:pt idx="520">
                  <c:v>4703.9903466409687</c:v>
                </c:pt>
                <c:pt idx="521">
                  <c:v>4832.4088654101024</c:v>
                </c:pt>
                <c:pt idx="522">
                  <c:v>4694.6039060060466</c:v>
                </c:pt>
                <c:pt idx="523">
                  <c:v>2582.7692333526702</c:v>
                </c:pt>
                <c:pt idx="524">
                  <c:v>1897.201959835347</c:v>
                </c:pt>
                <c:pt idx="525">
                  <c:v>6788.8470984690121</c:v>
                </c:pt>
                <c:pt idx="526">
                  <c:v>6889.5378827574814</c:v>
                </c:pt>
                <c:pt idx="527">
                  <c:v>2509.2918554219714</c:v>
                </c:pt>
                <c:pt idx="528">
                  <c:v>5477.9257698638667</c:v>
                </c:pt>
                <c:pt idx="529">
                  <c:v>3821.732975994199</c:v>
                </c:pt>
                <c:pt idx="530">
                  <c:v>4350.9423745017457</c:v>
                </c:pt>
                <c:pt idx="531">
                  <c:v>5606.7424228275931</c:v>
                </c:pt>
                <c:pt idx="532">
                  <c:v>4096.8101977077149</c:v>
                </c:pt>
                <c:pt idx="533">
                  <c:v>5050.8083161125387</c:v>
                </c:pt>
                <c:pt idx="534">
                  <c:v>4374.7837172014206</c:v>
                </c:pt>
                <c:pt idx="535">
                  <c:v>5094.8162876073484</c:v>
                </c:pt>
                <c:pt idx="536">
                  <c:v>3045.5470858189742</c:v>
                </c:pt>
                <c:pt idx="537">
                  <c:v>4747.6145493507265</c:v>
                </c:pt>
                <c:pt idx="538">
                  <c:v>3827.6868610280121</c:v>
                </c:pt>
                <c:pt idx="539">
                  <c:v>4516.4497942092758</c:v>
                </c:pt>
                <c:pt idx="540">
                  <c:v>6272.3620383766502</c:v>
                </c:pt>
                <c:pt idx="541">
                  <c:v>3205.3838664455266</c:v>
                </c:pt>
                <c:pt idx="542">
                  <c:v>5140.1302303824159</c:v>
                </c:pt>
                <c:pt idx="543">
                  <c:v>2304.9538123245625</c:v>
                </c:pt>
                <c:pt idx="544">
                  <c:v>5363.1238248600621</c:v>
                </c:pt>
                <c:pt idx="545">
                  <c:v>5244.4453324716142</c:v>
                </c:pt>
                <c:pt idx="546">
                  <c:v>5760.9501445290152</c:v>
                </c:pt>
                <c:pt idx="547">
                  <c:v>3185.9834249420082</c:v>
                </c:pt>
                <c:pt idx="548">
                  <c:v>4823.551406566562</c:v>
                </c:pt>
                <c:pt idx="549">
                  <c:v>3571.0582272320071</c:v>
                </c:pt>
                <c:pt idx="550">
                  <c:v>6760.8932193165438</c:v>
                </c:pt>
                <c:pt idx="551">
                  <c:v>7010.1056851248923</c:v>
                </c:pt>
                <c:pt idx="552">
                  <c:v>3882.0258570409333</c:v>
                </c:pt>
                <c:pt idx="553">
                  <c:v>3454.9336683749925</c:v>
                </c:pt>
                <c:pt idx="554">
                  <c:v>1478.0356973946255</c:v>
                </c:pt>
                <c:pt idx="555">
                  <c:v>5038.2116024303305</c:v>
                </c:pt>
                <c:pt idx="556">
                  <c:v>5979.5558234778846</c:v>
                </c:pt>
                <c:pt idx="557">
                  <c:v>4684.8038239515508</c:v>
                </c:pt>
                <c:pt idx="558">
                  <c:v>4079.1643734717472</c:v>
                </c:pt>
                <c:pt idx="559">
                  <c:v>6798.560457641147</c:v>
                </c:pt>
                <c:pt idx="560">
                  <c:v>4655.0418895619732</c:v>
                </c:pt>
                <c:pt idx="561">
                  <c:v>5096.5418978208972</c:v>
                </c:pt>
                <c:pt idx="562">
                  <c:v>5068.851212797741</c:v>
                </c:pt>
                <c:pt idx="563">
                  <c:v>3235.1018461421181</c:v>
                </c:pt>
                <c:pt idx="564">
                  <c:v>5590.8207001990368</c:v>
                </c:pt>
                <c:pt idx="565">
                  <c:v>6008.1512229693972</c:v>
                </c:pt>
                <c:pt idx="566">
                  <c:v>2754.4080351408861</c:v>
                </c:pt>
                <c:pt idx="567">
                  <c:v>4206.2432549951545</c:v>
                </c:pt>
                <c:pt idx="568">
                  <c:v>4695.2943205345464</c:v>
                </c:pt>
                <c:pt idx="569">
                  <c:v>3376.4633220409169</c:v>
                </c:pt>
                <c:pt idx="570">
                  <c:v>4302.6932061885427</c:v>
                </c:pt>
                <c:pt idx="571">
                  <c:v>3885.5015538731873</c:v>
                </c:pt>
                <c:pt idx="572">
                  <c:v>4280.1793245090166</c:v>
                </c:pt>
                <c:pt idx="573">
                  <c:v>3668.8416078506998</c:v>
                </c:pt>
                <c:pt idx="574">
                  <c:v>5627.0269046992253</c:v>
                </c:pt>
                <c:pt idx="575">
                  <c:v>4447.119557915079</c:v>
                </c:pt>
                <c:pt idx="576">
                  <c:v>4812.4639519239927</c:v>
                </c:pt>
                <c:pt idx="577">
                  <c:v>2780.8143109509601</c:v>
                </c:pt>
                <c:pt idx="578">
                  <c:v>7203.6308822396259</c:v>
                </c:pt>
                <c:pt idx="579">
                  <c:v>6011.5598768116997</c:v>
                </c:pt>
                <c:pt idx="580">
                  <c:v>3079.5423318407607</c:v>
                </c:pt>
                <c:pt idx="581">
                  <c:v>3827.9295090290912</c:v>
                </c:pt>
                <c:pt idx="582">
                  <c:v>4804.1320783363153</c:v>
                </c:pt>
                <c:pt idx="583">
                  <c:v>2911.1276237496777</c:v>
                </c:pt>
                <c:pt idx="584">
                  <c:v>1788.2820198424308</c:v>
                </c:pt>
                <c:pt idx="585">
                  <c:v>6779.4935746061128</c:v>
                </c:pt>
                <c:pt idx="586">
                  <c:v>5986.9893789726548</c:v>
                </c:pt>
                <c:pt idx="587">
                  <c:v>2457.8688641003428</c:v>
                </c:pt>
                <c:pt idx="588">
                  <c:v>2665.5621036261737</c:v>
                </c:pt>
                <c:pt idx="589">
                  <c:v>6310.1634587123581</c:v>
                </c:pt>
                <c:pt idx="590">
                  <c:v>4254.233630539512</c:v>
                </c:pt>
                <c:pt idx="591">
                  <c:v>5853.1914272188969</c:v>
                </c:pt>
                <c:pt idx="592">
                  <c:v>5812.1036375486547</c:v>
                </c:pt>
                <c:pt idx="593">
                  <c:v>6274.8890109526637</c:v>
                </c:pt>
                <c:pt idx="594">
                  <c:v>5710.532186286172</c:v>
                </c:pt>
                <c:pt idx="595">
                  <c:v>3179.6499455412045</c:v>
                </c:pt>
                <c:pt idx="596">
                  <c:v>3767.9223093231044</c:v>
                </c:pt>
                <c:pt idx="597">
                  <c:v>1637.7619492143165</c:v>
                </c:pt>
                <c:pt idx="598">
                  <c:v>5566.4209322713996</c:v>
                </c:pt>
                <c:pt idx="599">
                  <c:v>7660.7526114275643</c:v>
                </c:pt>
                <c:pt idx="600">
                  <c:v>4415.0075562825086</c:v>
                </c:pt>
                <c:pt idx="601">
                  <c:v>4800.5095083235392</c:v>
                </c:pt>
                <c:pt idx="602">
                  <c:v>7804.0362749232836</c:v>
                </c:pt>
                <c:pt idx="603">
                  <c:v>3231.5051636096809</c:v>
                </c:pt>
                <c:pt idx="604">
                  <c:v>4182.8007571427606</c:v>
                </c:pt>
                <c:pt idx="605">
                  <c:v>4673.7088446057442</c:v>
                </c:pt>
                <c:pt idx="606">
                  <c:v>2579.9821961687653</c:v>
                </c:pt>
                <c:pt idx="607">
                  <c:v>8589.8325200093168</c:v>
                </c:pt>
                <c:pt idx="608">
                  <c:v>2799.3871109860393</c:v>
                </c:pt>
                <c:pt idx="609">
                  <c:v>4871.9529285991794</c:v>
                </c:pt>
                <c:pt idx="610">
                  <c:v>3969.2290378579387</c:v>
                </c:pt>
                <c:pt idx="611">
                  <c:v>3036.181634601754</c:v>
                </c:pt>
                <c:pt idx="612">
                  <c:v>3824.5097419779022</c:v>
                </c:pt>
                <c:pt idx="613">
                  <c:v>2572.3961479869176</c:v>
                </c:pt>
                <c:pt idx="614">
                  <c:v>5170.098945515414</c:v>
                </c:pt>
                <c:pt idx="615">
                  <c:v>4079.4929130046685</c:v>
                </c:pt>
                <c:pt idx="616">
                  <c:v>2933.1457060222738</c:v>
                </c:pt>
                <c:pt idx="617">
                  <c:v>3299.5591844345081</c:v>
                </c:pt>
                <c:pt idx="618">
                  <c:v>5210.9717784287686</c:v>
                </c:pt>
                <c:pt idx="619">
                  <c:v>2488.8623587572674</c:v>
                </c:pt>
                <c:pt idx="620">
                  <c:v>5123.7334178502815</c:v>
                </c:pt>
                <c:pt idx="621">
                  <c:v>6756.5593049805721</c:v>
                </c:pt>
                <c:pt idx="622">
                  <c:v>3232.5013266189467</c:v>
                </c:pt>
                <c:pt idx="623">
                  <c:v>6020.9980036375773</c:v>
                </c:pt>
                <c:pt idx="624">
                  <c:v>4819.9737668959906</c:v>
                </c:pt>
                <c:pt idx="625">
                  <c:v>6065.1026279216494</c:v>
                </c:pt>
                <c:pt idx="626">
                  <c:v>6883.8841884383464</c:v>
                </c:pt>
                <c:pt idx="627">
                  <c:v>5569.4532415800777</c:v>
                </c:pt>
                <c:pt idx="628">
                  <c:v>3020.471108451989</c:v>
                </c:pt>
                <c:pt idx="629">
                  <c:v>4757.159502267049</c:v>
                </c:pt>
                <c:pt idx="630">
                  <c:v>3643.4225385053915</c:v>
                </c:pt>
                <c:pt idx="631">
                  <c:v>2343.418050114366</c:v>
                </c:pt>
                <c:pt idx="632">
                  <c:v>4291.5285881888776</c:v>
                </c:pt>
                <c:pt idx="633">
                  <c:v>3771.7231563626215</c:v>
                </c:pt>
                <c:pt idx="634">
                  <c:v>4849.3573503876951</c:v>
                </c:pt>
                <c:pt idx="635">
                  <c:v>5076.8978217319172</c:v>
                </c:pt>
                <c:pt idx="636">
                  <c:v>5697.3917533692211</c:v>
                </c:pt>
                <c:pt idx="637">
                  <c:v>7119.3765592883437</c:v>
                </c:pt>
                <c:pt idx="638">
                  <c:v>5114.7563376313592</c:v>
                </c:pt>
                <c:pt idx="639">
                  <c:v>3900.5222429093014</c:v>
                </c:pt>
                <c:pt idx="640">
                  <c:v>4720.8497471390247</c:v>
                </c:pt>
                <c:pt idx="641">
                  <c:v>2764.9847209510035</c:v>
                </c:pt>
                <c:pt idx="642">
                  <c:v>2800.7444375387427</c:v>
                </c:pt>
                <c:pt idx="643">
                  <c:v>5536.3901890814668</c:v>
                </c:pt>
                <c:pt idx="644">
                  <c:v>5639.2114848892525</c:v>
                </c:pt>
                <c:pt idx="645">
                  <c:v>2311.0367244141457</c:v>
                </c:pt>
                <c:pt idx="646">
                  <c:v>6004.159274034243</c:v>
                </c:pt>
                <c:pt idx="647">
                  <c:v>3882.5028320238039</c:v>
                </c:pt>
                <c:pt idx="648">
                  <c:v>4903.1114580021258</c:v>
                </c:pt>
                <c:pt idx="649">
                  <c:v>3660.2514847823636</c:v>
                </c:pt>
                <c:pt idx="650">
                  <c:v>3965.4535179864101</c:v>
                </c:pt>
                <c:pt idx="651">
                  <c:v>7781.8694993412064</c:v>
                </c:pt>
                <c:pt idx="652">
                  <c:v>4503.6578952438922</c:v>
                </c:pt>
                <c:pt idx="653">
                  <c:v>5184.8767220871605</c:v>
                </c:pt>
                <c:pt idx="654">
                  <c:v>5150.814113454775</c:v>
                </c:pt>
                <c:pt idx="655">
                  <c:v>1672.199883067929</c:v>
                </c:pt>
                <c:pt idx="656">
                  <c:v>7123.9141792379532</c:v>
                </c:pt>
                <c:pt idx="657">
                  <c:v>5387.6558838078854</c:v>
                </c:pt>
                <c:pt idx="658">
                  <c:v>4331.4501275016164</c:v>
                </c:pt>
                <c:pt idx="659">
                  <c:v>5315.3574402838649</c:v>
                </c:pt>
                <c:pt idx="660">
                  <c:v>6173.6379616421564</c:v>
                </c:pt>
                <c:pt idx="661">
                  <c:v>4920.454707911158</c:v>
                </c:pt>
                <c:pt idx="662">
                  <c:v>5656.2026213966346</c:v>
                </c:pt>
                <c:pt idx="663">
                  <c:v>3085.308377639371</c:v>
                </c:pt>
                <c:pt idx="664">
                  <c:v>5397.0876011856644</c:v>
                </c:pt>
                <c:pt idx="665">
                  <c:v>4480.8686593673765</c:v>
                </c:pt>
                <c:pt idx="666">
                  <c:v>4000.0583182447181</c:v>
                </c:pt>
                <c:pt idx="667">
                  <c:v>4785.5498772797409</c:v>
                </c:pt>
                <c:pt idx="668">
                  <c:v>5298.7248095418627</c:v>
                </c:pt>
                <c:pt idx="669">
                  <c:v>3973.7083803376254</c:v>
                </c:pt>
                <c:pt idx="670">
                  <c:v>7014.3797150583487</c:v>
                </c:pt>
                <c:pt idx="671">
                  <c:v>3568.6090326137978</c:v>
                </c:pt>
                <c:pt idx="672">
                  <c:v>4629.2863536666382</c:v>
                </c:pt>
                <c:pt idx="673">
                  <c:v>5001.6102340423877</c:v>
                </c:pt>
                <c:pt idx="674">
                  <c:v>5833.6041575677382</c:v>
                </c:pt>
                <c:pt idx="675">
                  <c:v>3602.4501176963176</c:v>
                </c:pt>
                <c:pt idx="676">
                  <c:v>6192.1749850871365</c:v>
                </c:pt>
                <c:pt idx="677">
                  <c:v>4436.3143392326801</c:v>
                </c:pt>
                <c:pt idx="678">
                  <c:v>3175.5935416902876</c:v>
                </c:pt>
                <c:pt idx="679">
                  <c:v>4727.6617703658549</c:v>
                </c:pt>
                <c:pt idx="680">
                  <c:v>4410.9263665384487</c:v>
                </c:pt>
                <c:pt idx="681">
                  <c:v>6622.6767967821861</c:v>
                </c:pt>
                <c:pt idx="682">
                  <c:v>4924.5968781250585</c:v>
                </c:pt>
                <c:pt idx="683">
                  <c:v>6713.6788417071357</c:v>
                </c:pt>
                <c:pt idx="684">
                  <c:v>4655.6258918461745</c:v>
                </c:pt>
                <c:pt idx="685">
                  <c:v>3474.2367910093808</c:v>
                </c:pt>
                <c:pt idx="686">
                  <c:v>4342.9194190748995</c:v>
                </c:pt>
                <c:pt idx="687">
                  <c:v>2746.202647355572</c:v>
                </c:pt>
                <c:pt idx="688">
                  <c:v>7974.6269404972745</c:v>
                </c:pt>
                <c:pt idx="689">
                  <c:v>5565.2095214028868</c:v>
                </c:pt>
                <c:pt idx="690">
                  <c:v>4961.5670831941407</c:v>
                </c:pt>
                <c:pt idx="691">
                  <c:v>4804.6711123082605</c:v>
                </c:pt>
                <c:pt idx="692">
                  <c:v>6120.511651204989</c:v>
                </c:pt>
                <c:pt idx="693">
                  <c:v>3626.1747104036526</c:v>
                </c:pt>
                <c:pt idx="694">
                  <c:v>3323.5427198663701</c:v>
                </c:pt>
                <c:pt idx="695">
                  <c:v>7746.5335152526368</c:v>
                </c:pt>
                <c:pt idx="696">
                  <c:v>2786.2638770964359</c:v>
                </c:pt>
                <c:pt idx="697">
                  <c:v>4246.5124623808542</c:v>
                </c:pt>
                <c:pt idx="698">
                  <c:v>6318.0613634849005</c:v>
                </c:pt>
                <c:pt idx="699">
                  <c:v>4740.0617004063897</c:v>
                </c:pt>
                <c:pt idx="700">
                  <c:v>6340.9321804183901</c:v>
                </c:pt>
                <c:pt idx="701">
                  <c:v>5151.7541832369634</c:v>
                </c:pt>
                <c:pt idx="702">
                  <c:v>3226.3376511476981</c:v>
                </c:pt>
                <c:pt idx="703">
                  <c:v>2746.5218737245373</c:v>
                </c:pt>
                <c:pt idx="704">
                  <c:v>3073.1319208450273</c:v>
                </c:pt>
                <c:pt idx="705">
                  <c:v>6783.1083922679572</c:v>
                </c:pt>
                <c:pt idx="706">
                  <c:v>5466.2952684918255</c:v>
                </c:pt>
                <c:pt idx="707">
                  <c:v>4485.9894356138484</c:v>
                </c:pt>
                <c:pt idx="708">
                  <c:v>3109.1529140300249</c:v>
                </c:pt>
                <c:pt idx="709">
                  <c:v>5515.8393527381431</c:v>
                </c:pt>
                <c:pt idx="710">
                  <c:v>5553.8854820959214</c:v>
                </c:pt>
                <c:pt idx="711">
                  <c:v>5377.4087000415184</c:v>
                </c:pt>
                <c:pt idx="712">
                  <c:v>4930.8020113442126</c:v>
                </c:pt>
                <c:pt idx="713">
                  <c:v>5198.1190177928593</c:v>
                </c:pt>
                <c:pt idx="714">
                  <c:v>6944.3098491652518</c:v>
                </c:pt>
                <c:pt idx="715">
                  <c:v>2529.2512584449428</c:v>
                </c:pt>
                <c:pt idx="716">
                  <c:v>6130.8819186215687</c:v>
                </c:pt>
                <c:pt idx="717">
                  <c:v>4655.4533087289192</c:v>
                </c:pt>
                <c:pt idx="718">
                  <c:v>4878.9834575041787</c:v>
                </c:pt>
                <c:pt idx="719">
                  <c:v>3918.5530804157038</c:v>
                </c:pt>
                <c:pt idx="720">
                  <c:v>4231.6811480998531</c:v>
                </c:pt>
                <c:pt idx="721">
                  <c:v>5822.2624034091205</c:v>
                </c:pt>
                <c:pt idx="722">
                  <c:v>4605.5905385163733</c:v>
                </c:pt>
                <c:pt idx="723">
                  <c:v>4368.3818111738083</c:v>
                </c:pt>
                <c:pt idx="724">
                  <c:v>6442.7335867542861</c:v>
                </c:pt>
                <c:pt idx="725">
                  <c:v>2367.0645600105363</c:v>
                </c:pt>
                <c:pt idx="726">
                  <c:v>5958.6822094331083</c:v>
                </c:pt>
                <c:pt idx="727">
                  <c:v>3147.6897712886839</c:v>
                </c:pt>
                <c:pt idx="728">
                  <c:v>3400.0704458770497</c:v>
                </c:pt>
                <c:pt idx="729">
                  <c:v>3961.0869643000456</c:v>
                </c:pt>
                <c:pt idx="730">
                  <c:v>5746.4955159823194</c:v>
                </c:pt>
                <c:pt idx="731">
                  <c:v>3455.5921474559696</c:v>
                </c:pt>
                <c:pt idx="732">
                  <c:v>4690.5391477870216</c:v>
                </c:pt>
                <c:pt idx="733">
                  <c:v>1709.9653897219148</c:v>
                </c:pt>
                <c:pt idx="734">
                  <c:v>4351.9480618852904</c:v>
                </c:pt>
                <c:pt idx="735">
                  <c:v>5053.2026478757743</c:v>
                </c:pt>
                <c:pt idx="736">
                  <c:v>5469.6211426715918</c:v>
                </c:pt>
                <c:pt idx="737">
                  <c:v>2903.0284131202579</c:v>
                </c:pt>
                <c:pt idx="738">
                  <c:v>5443.379704330745</c:v>
                </c:pt>
                <c:pt idx="739">
                  <c:v>4192.5448274158371</c:v>
                </c:pt>
                <c:pt idx="740">
                  <c:v>4776.1995657333682</c:v>
                </c:pt>
                <c:pt idx="741">
                  <c:v>3956.5285349482506</c:v>
                </c:pt>
                <c:pt idx="742">
                  <c:v>5916.3037457724568</c:v>
                </c:pt>
                <c:pt idx="743">
                  <c:v>2954.3274712589318</c:v>
                </c:pt>
                <c:pt idx="744">
                  <c:v>3827.1152879998999</c:v>
                </c:pt>
                <c:pt idx="745">
                  <c:v>5051.6071696515792</c:v>
                </c:pt>
                <c:pt idx="746">
                  <c:v>4478.5707648003208</c:v>
                </c:pt>
                <c:pt idx="747">
                  <c:v>8043.2669718514135</c:v>
                </c:pt>
                <c:pt idx="748">
                  <c:v>5724.4548221989899</c:v>
                </c:pt>
                <c:pt idx="749">
                  <c:v>2756.0388652975917</c:v>
                </c:pt>
                <c:pt idx="750">
                  <c:v>7680.3484480157085</c:v>
                </c:pt>
                <c:pt idx="751">
                  <c:v>4306.17629530464</c:v>
                </c:pt>
                <c:pt idx="752">
                  <c:v>1784.625317637842</c:v>
                </c:pt>
                <c:pt idx="753">
                  <c:v>3293.172973368954</c:v>
                </c:pt>
                <c:pt idx="754">
                  <c:v>3587.3711728731973</c:v>
                </c:pt>
                <c:pt idx="755">
                  <c:v>3904.3054039910357</c:v>
                </c:pt>
                <c:pt idx="756">
                  <c:v>4266.2690344427092</c:v>
                </c:pt>
                <c:pt idx="757">
                  <c:v>4506.2039260718602</c:v>
                </c:pt>
                <c:pt idx="758">
                  <c:v>5722.4944877961498</c:v>
                </c:pt>
                <c:pt idx="759">
                  <c:v>6348.5467113308414</c:v>
                </c:pt>
                <c:pt idx="760">
                  <c:v>5138.4646524357695</c:v>
                </c:pt>
                <c:pt idx="761">
                  <c:v>5142.2031019406668</c:v>
                </c:pt>
                <c:pt idx="762">
                  <c:v>3552.3250334302934</c:v>
                </c:pt>
                <c:pt idx="763">
                  <c:v>5373.4028066314131</c:v>
                </c:pt>
                <c:pt idx="764">
                  <c:v>3402.7819771223335</c:v>
                </c:pt>
                <c:pt idx="765">
                  <c:v>3003.676660299494</c:v>
                </c:pt>
                <c:pt idx="766">
                  <c:v>6618.4567359363291</c:v>
                </c:pt>
                <c:pt idx="767">
                  <c:v>2592.900546327864</c:v>
                </c:pt>
                <c:pt idx="768">
                  <c:v>4937.0706216085337</c:v>
                </c:pt>
                <c:pt idx="769">
                  <c:v>4294.4038439349115</c:v>
                </c:pt>
                <c:pt idx="770">
                  <c:v>4004.3982672563361</c:v>
                </c:pt>
                <c:pt idx="771">
                  <c:v>5643.7828966400211</c:v>
                </c:pt>
                <c:pt idx="772">
                  <c:v>4298.7956161248867</c:v>
                </c:pt>
                <c:pt idx="773">
                  <c:v>3706.161705060073</c:v>
                </c:pt>
                <c:pt idx="774">
                  <c:v>4406.5798270150171</c:v>
                </c:pt>
                <c:pt idx="775">
                  <c:v>5574.6456389040368</c:v>
                </c:pt>
                <c:pt idx="776">
                  <c:v>1718.0680377384365</c:v>
                </c:pt>
                <c:pt idx="777">
                  <c:v>4972.8708078957934</c:v>
                </c:pt>
                <c:pt idx="778">
                  <c:v>5188.2235059281011</c:v>
                </c:pt>
                <c:pt idx="779">
                  <c:v>8935.0949983445116</c:v>
                </c:pt>
                <c:pt idx="780">
                  <c:v>4210.654572971288</c:v>
                </c:pt>
                <c:pt idx="781">
                  <c:v>4530.1206594461064</c:v>
                </c:pt>
                <c:pt idx="782">
                  <c:v>4454.297657962883</c:v>
                </c:pt>
                <c:pt idx="783">
                  <c:v>4529.4659572085939</c:v>
                </c:pt>
                <c:pt idx="784">
                  <c:v>5167.0966671176548</c:v>
                </c:pt>
                <c:pt idx="785">
                  <c:v>4409.9269554093335</c:v>
                </c:pt>
                <c:pt idx="786">
                  <c:v>5978.5515673276277</c:v>
                </c:pt>
                <c:pt idx="787">
                  <c:v>4622.3646993081647</c:v>
                </c:pt>
                <c:pt idx="788">
                  <c:v>4987.7342083926851</c:v>
                </c:pt>
                <c:pt idx="789">
                  <c:v>4705.7598702117748</c:v>
                </c:pt>
                <c:pt idx="790">
                  <c:v>746.03187726826241</c:v>
                </c:pt>
                <c:pt idx="791">
                  <c:v>4527.3045969888735</c:v>
                </c:pt>
                <c:pt idx="792">
                  <c:v>4458.4724359221264</c:v>
                </c:pt>
                <c:pt idx="793">
                  <c:v>3182.2704679175413</c:v>
                </c:pt>
                <c:pt idx="794">
                  <c:v>5186.8240361928865</c:v>
                </c:pt>
                <c:pt idx="795">
                  <c:v>5029.8595238094276</c:v>
                </c:pt>
                <c:pt idx="796">
                  <c:v>3473.8277699378905</c:v>
                </c:pt>
                <c:pt idx="797">
                  <c:v>4740.0171542457765</c:v>
                </c:pt>
                <c:pt idx="798">
                  <c:v>5345.5758131343919</c:v>
                </c:pt>
                <c:pt idx="799">
                  <c:v>4955.7596062670618</c:v>
                </c:pt>
                <c:pt idx="800">
                  <c:v>6148.6844406839573</c:v>
                </c:pt>
                <c:pt idx="801">
                  <c:v>5330.1909397193904</c:v>
                </c:pt>
                <c:pt idx="802">
                  <c:v>3608.0665800401443</c:v>
                </c:pt>
                <c:pt idx="803">
                  <c:v>5344.2774670084982</c:v>
                </c:pt>
                <c:pt idx="804">
                  <c:v>3883.7770140010471</c:v>
                </c:pt>
                <c:pt idx="805">
                  <c:v>5615.80071037583</c:v>
                </c:pt>
                <c:pt idx="806">
                  <c:v>2460.2902286059511</c:v>
                </c:pt>
                <c:pt idx="807">
                  <c:v>6639.7833916713043</c:v>
                </c:pt>
                <c:pt idx="808">
                  <c:v>4147.6501450273254</c:v>
                </c:pt>
                <c:pt idx="809">
                  <c:v>5553.9445020756903</c:v>
                </c:pt>
                <c:pt idx="810">
                  <c:v>6668.8173288366652</c:v>
                </c:pt>
                <c:pt idx="811">
                  <c:v>5496.9882208065155</c:v>
                </c:pt>
                <c:pt idx="812">
                  <c:v>6133.102978114689</c:v>
                </c:pt>
                <c:pt idx="813">
                  <c:v>7214.6579398912563</c:v>
                </c:pt>
                <c:pt idx="814">
                  <c:v>3129.9649404220004</c:v>
                </c:pt>
                <c:pt idx="815">
                  <c:v>2686.3350167733383</c:v>
                </c:pt>
                <c:pt idx="816">
                  <c:v>5043.7434711445358</c:v>
                </c:pt>
                <c:pt idx="817">
                  <c:v>5908.7508498316174</c:v>
                </c:pt>
                <c:pt idx="818">
                  <c:v>6725.9176121474638</c:v>
                </c:pt>
                <c:pt idx="819">
                  <c:v>4636.1646644770171</c:v>
                </c:pt>
                <c:pt idx="820">
                  <c:v>6936.0505665639848</c:v>
                </c:pt>
                <c:pt idx="821">
                  <c:v>4614.8139556165333</c:v>
                </c:pt>
                <c:pt idx="822">
                  <c:v>6503.750569279232</c:v>
                </c:pt>
                <c:pt idx="823">
                  <c:v>5531.3711259949987</c:v>
                </c:pt>
                <c:pt idx="824">
                  <c:v>6094.4493875862445</c:v>
                </c:pt>
                <c:pt idx="825">
                  <c:v>6080.3553178130551</c:v>
                </c:pt>
                <c:pt idx="826">
                  <c:v>5488.97564654301</c:v>
                </c:pt>
                <c:pt idx="827">
                  <c:v>5806.3912796272361</c:v>
                </c:pt>
                <c:pt idx="828">
                  <c:v>5034.0950568605303</c:v>
                </c:pt>
                <c:pt idx="829">
                  <c:v>3844.2308532933639</c:v>
                </c:pt>
                <c:pt idx="830">
                  <c:v>6796.0387325182937</c:v>
                </c:pt>
                <c:pt idx="831">
                  <c:v>3342.8705348703015</c:v>
                </c:pt>
                <c:pt idx="832">
                  <c:v>4915.3884082189179</c:v>
                </c:pt>
                <c:pt idx="833">
                  <c:v>5531.3243279025983</c:v>
                </c:pt>
                <c:pt idx="834">
                  <c:v>6273.0918465584537</c:v>
                </c:pt>
                <c:pt idx="835">
                  <c:v>3898.720836141184</c:v>
                </c:pt>
                <c:pt idx="836">
                  <c:v>5830.7988251581783</c:v>
                </c:pt>
                <c:pt idx="837">
                  <c:v>3249.7952473618975</c:v>
                </c:pt>
                <c:pt idx="838">
                  <c:v>4174.012957509929</c:v>
                </c:pt>
                <c:pt idx="839">
                  <c:v>5518.788030596409</c:v>
                </c:pt>
                <c:pt idx="840">
                  <c:v>6005.8150489680202</c:v>
                </c:pt>
                <c:pt idx="841">
                  <c:v>7433.0341198300084</c:v>
                </c:pt>
                <c:pt idx="842">
                  <c:v>5865.3676651966862</c:v>
                </c:pt>
                <c:pt idx="843">
                  <c:v>6032.8237935207071</c:v>
                </c:pt>
                <c:pt idx="844">
                  <c:v>4200.1651152156655</c:v>
                </c:pt>
                <c:pt idx="845">
                  <c:v>2432.7989028021748</c:v>
                </c:pt>
                <c:pt idx="846">
                  <c:v>4744.7789698926254</c:v>
                </c:pt>
                <c:pt idx="847">
                  <c:v>3441.7288469379359</c:v>
                </c:pt>
                <c:pt idx="848">
                  <c:v>2609.6932285755051</c:v>
                </c:pt>
                <c:pt idx="849">
                  <c:v>6082.5579102100146</c:v>
                </c:pt>
                <c:pt idx="850">
                  <c:v>4862.8388317428107</c:v>
                </c:pt>
                <c:pt idx="851">
                  <c:v>5872.2028380596439</c:v>
                </c:pt>
                <c:pt idx="852">
                  <c:v>3493.9269836838153</c:v>
                </c:pt>
                <c:pt idx="853">
                  <c:v>2459.2776609907341</c:v>
                </c:pt>
                <c:pt idx="854">
                  <c:v>-586.63167685287624</c:v>
                </c:pt>
                <c:pt idx="855">
                  <c:v>3659.6352971218157</c:v>
                </c:pt>
                <c:pt idx="856">
                  <c:v>5314.5745096063401</c:v>
                </c:pt>
                <c:pt idx="857">
                  <c:v>5448.9358668052209</c:v>
                </c:pt>
                <c:pt idx="858">
                  <c:v>1738.6935523973866</c:v>
                </c:pt>
                <c:pt idx="859">
                  <c:v>1792.762966300585</c:v>
                </c:pt>
                <c:pt idx="860">
                  <c:v>5795.9272636061078</c:v>
                </c:pt>
                <c:pt idx="861">
                  <c:v>4354.7007230149447</c:v>
                </c:pt>
                <c:pt idx="862">
                  <c:v>3341.7035438278585</c:v>
                </c:pt>
                <c:pt idx="863">
                  <c:v>4962.0271149798873</c:v>
                </c:pt>
                <c:pt idx="864">
                  <c:v>4733.3237801454534</c:v>
                </c:pt>
                <c:pt idx="865">
                  <c:v>6740.2497449865086</c:v>
                </c:pt>
                <c:pt idx="866">
                  <c:v>5615.9623875780917</c:v>
                </c:pt>
                <c:pt idx="867">
                  <c:v>2896.0105286337875</c:v>
                </c:pt>
                <c:pt idx="868">
                  <c:v>4549.6058793051752</c:v>
                </c:pt>
                <c:pt idx="869">
                  <c:v>4353.8150816976013</c:v>
                </c:pt>
                <c:pt idx="870">
                  <c:v>3759.307628591896</c:v>
                </c:pt>
                <c:pt idx="871">
                  <c:v>3900.3286110718891</c:v>
                </c:pt>
                <c:pt idx="872">
                  <c:v>1033.3771954118868</c:v>
                </c:pt>
                <c:pt idx="873">
                  <c:v>5012.2258996834089</c:v>
                </c:pt>
                <c:pt idx="874">
                  <c:v>4366.1248068988716</c:v>
                </c:pt>
                <c:pt idx="875">
                  <c:v>5214.2807598835097</c:v>
                </c:pt>
                <c:pt idx="876">
                  <c:v>5981.0973300699861</c:v>
                </c:pt>
                <c:pt idx="877">
                  <c:v>5239.4740880903673</c:v>
                </c:pt>
                <c:pt idx="878">
                  <c:v>4352.5009680331696</c:v>
                </c:pt>
                <c:pt idx="879">
                  <c:v>3500.4238768041587</c:v>
                </c:pt>
                <c:pt idx="880">
                  <c:v>3211.7822184417355</c:v>
                </c:pt>
                <c:pt idx="881">
                  <c:v>5423.2696053665422</c:v>
                </c:pt>
                <c:pt idx="882">
                  <c:v>2437.9135279520942</c:v>
                </c:pt>
                <c:pt idx="883">
                  <c:v>2477.9342052987381</c:v>
                </c:pt>
                <c:pt idx="884">
                  <c:v>3496.5711949528991</c:v>
                </c:pt>
                <c:pt idx="885">
                  <c:v>7393.136690195076</c:v>
                </c:pt>
                <c:pt idx="886">
                  <c:v>2904.1566984794899</c:v>
                </c:pt>
                <c:pt idx="887">
                  <c:v>3626.4477026543154</c:v>
                </c:pt>
                <c:pt idx="888">
                  <c:v>6769.3144860435013</c:v>
                </c:pt>
                <c:pt idx="889">
                  <c:v>6683.2207996899624</c:v>
                </c:pt>
                <c:pt idx="890">
                  <c:v>6670.3931628543633</c:v>
                </c:pt>
                <c:pt idx="891">
                  <c:v>4540.0340110699271</c:v>
                </c:pt>
                <c:pt idx="892">
                  <c:v>4442.7733454911513</c:v>
                </c:pt>
                <c:pt idx="893">
                  <c:v>6444.5310465840403</c:v>
                </c:pt>
                <c:pt idx="894">
                  <c:v>3779.0599621144929</c:v>
                </c:pt>
                <c:pt idx="895">
                  <c:v>1451.684512055743</c:v>
                </c:pt>
                <c:pt idx="896">
                  <c:v>4835.5031472052078</c:v>
                </c:pt>
                <c:pt idx="897">
                  <c:v>7227.1136801280554</c:v>
                </c:pt>
                <c:pt idx="898">
                  <c:v>5673.4240077224458</c:v>
                </c:pt>
                <c:pt idx="899">
                  <c:v>2954.718635480579</c:v>
                </c:pt>
                <c:pt idx="900">
                  <c:v>5209.9599078082865</c:v>
                </c:pt>
                <c:pt idx="901">
                  <c:v>5373.8409783361631</c:v>
                </c:pt>
                <c:pt idx="902">
                  <c:v>2199.1934841326388</c:v>
                </c:pt>
                <c:pt idx="903">
                  <c:v>6459.7857526088455</c:v>
                </c:pt>
                <c:pt idx="904">
                  <c:v>3651.1998152720494</c:v>
                </c:pt>
                <c:pt idx="905">
                  <c:v>4504.8454986895231</c:v>
                </c:pt>
                <c:pt idx="906">
                  <c:v>3906.083821006926</c:v>
                </c:pt>
                <c:pt idx="907">
                  <c:v>2711.4802408344567</c:v>
                </c:pt>
                <c:pt idx="908">
                  <c:v>6115.0579170018764</c:v>
                </c:pt>
                <c:pt idx="909">
                  <c:v>5366.0016980840246</c:v>
                </c:pt>
                <c:pt idx="910">
                  <c:v>8424.6877571231526</c:v>
                </c:pt>
                <c:pt idx="911">
                  <c:v>7406.9210647870459</c:v>
                </c:pt>
                <c:pt idx="912">
                  <c:v>6608.3256764209154</c:v>
                </c:pt>
                <c:pt idx="913">
                  <c:v>7341.948515595981</c:v>
                </c:pt>
                <c:pt idx="914">
                  <c:v>3209.845082504748</c:v>
                </c:pt>
                <c:pt idx="915">
                  <c:v>5264.6281925096619</c:v>
                </c:pt>
                <c:pt idx="916">
                  <c:v>3517.6367637916096</c:v>
                </c:pt>
                <c:pt idx="917">
                  <c:v>3976.5597788435812</c:v>
                </c:pt>
                <c:pt idx="918">
                  <c:v>3263.8221183517321</c:v>
                </c:pt>
                <c:pt idx="919">
                  <c:v>1712.2853291954593</c:v>
                </c:pt>
                <c:pt idx="920">
                  <c:v>5459.4307346724609</c:v>
                </c:pt>
                <c:pt idx="921">
                  <c:v>4179.5906875342926</c:v>
                </c:pt>
                <c:pt idx="922">
                  <c:v>5795.7794690164819</c:v>
                </c:pt>
                <c:pt idx="923">
                  <c:v>5523.3479128709878</c:v>
                </c:pt>
                <c:pt idx="924">
                  <c:v>4626.6557693397262</c:v>
                </c:pt>
                <c:pt idx="925">
                  <c:v>8914.7133690800529</c:v>
                </c:pt>
                <c:pt idx="926">
                  <c:v>4389.4017361529714</c:v>
                </c:pt>
                <c:pt idx="927">
                  <c:v>5796.4928443046292</c:v>
                </c:pt>
                <c:pt idx="928">
                  <c:v>1172.645136349211</c:v>
                </c:pt>
                <c:pt idx="929">
                  <c:v>5249.5871014939057</c:v>
                </c:pt>
                <c:pt idx="930">
                  <c:v>4448.9052218788756</c:v>
                </c:pt>
                <c:pt idx="931">
                  <c:v>3573.6194137496459</c:v>
                </c:pt>
                <c:pt idx="932">
                  <c:v>4995.6691692662198</c:v>
                </c:pt>
                <c:pt idx="933">
                  <c:v>2003.8795226638731</c:v>
                </c:pt>
                <c:pt idx="934">
                  <c:v>5291.2593615925825</c:v>
                </c:pt>
                <c:pt idx="935">
                  <c:v>2370.9874230831397</c:v>
                </c:pt>
                <c:pt idx="936">
                  <c:v>4773.4669098191744</c:v>
                </c:pt>
                <c:pt idx="937">
                  <c:v>4925.6192504405326</c:v>
                </c:pt>
                <c:pt idx="938">
                  <c:v>9993.043325644483</c:v>
                </c:pt>
                <c:pt idx="939">
                  <c:v>6050.67493187115</c:v>
                </c:pt>
                <c:pt idx="940">
                  <c:v>4559.7697975473657</c:v>
                </c:pt>
                <c:pt idx="941">
                  <c:v>4897.7511305957451</c:v>
                </c:pt>
                <c:pt idx="942">
                  <c:v>3068.0752227148414</c:v>
                </c:pt>
                <c:pt idx="943">
                  <c:v>2624.8417421640575</c:v>
                </c:pt>
                <c:pt idx="944">
                  <c:v>3401.0916426632007</c:v>
                </c:pt>
                <c:pt idx="945">
                  <c:v>5524.1684525683095</c:v>
                </c:pt>
                <c:pt idx="946">
                  <c:v>5581.094938976079</c:v>
                </c:pt>
                <c:pt idx="947">
                  <c:v>3216.4465613099501</c:v>
                </c:pt>
                <c:pt idx="948">
                  <c:v>3507.0781099864494</c:v>
                </c:pt>
                <c:pt idx="949">
                  <c:v>3293.0084900900802</c:v>
                </c:pt>
                <c:pt idx="950">
                  <c:v>3907.8109584096896</c:v>
                </c:pt>
                <c:pt idx="951">
                  <c:v>7692.5400976677911</c:v>
                </c:pt>
                <c:pt idx="952">
                  <c:v>3344.8159603210902</c:v>
                </c:pt>
                <c:pt idx="953">
                  <c:v>5112.3137725983133</c:v>
                </c:pt>
                <c:pt idx="954">
                  <c:v>4559.5048702630565</c:v>
                </c:pt>
                <c:pt idx="955">
                  <c:v>7443.5424226802843</c:v>
                </c:pt>
                <c:pt idx="956">
                  <c:v>4744.8680791559036</c:v>
                </c:pt>
                <c:pt idx="957">
                  <c:v>4074.0537798596524</c:v>
                </c:pt>
                <c:pt idx="958">
                  <c:v>5221.9714685313111</c:v>
                </c:pt>
                <c:pt idx="959">
                  <c:v>5558.9441969881645</c:v>
                </c:pt>
                <c:pt idx="960">
                  <c:v>4772.9946651735745</c:v>
                </c:pt>
                <c:pt idx="961">
                  <c:v>6462.1427172457679</c:v>
                </c:pt>
                <c:pt idx="962">
                  <c:v>3428.7517743270755</c:v>
                </c:pt>
                <c:pt idx="963">
                  <c:v>5252.7438554221699</c:v>
                </c:pt>
                <c:pt idx="964">
                  <c:v>3035.8601826081194</c:v>
                </c:pt>
                <c:pt idx="965">
                  <c:v>3523.6561521366289</c:v>
                </c:pt>
                <c:pt idx="966">
                  <c:v>4594.29819758143</c:v>
                </c:pt>
                <c:pt idx="967">
                  <c:v>6402.1040458103153</c:v>
                </c:pt>
                <c:pt idx="968">
                  <c:v>5761.9690364283442</c:v>
                </c:pt>
                <c:pt idx="969">
                  <c:v>3814.507100000787</c:v>
                </c:pt>
                <c:pt idx="970">
                  <c:v>3550.4825469927014</c:v>
                </c:pt>
                <c:pt idx="971">
                  <c:v>3600.7379536004282</c:v>
                </c:pt>
                <c:pt idx="972">
                  <c:v>7433.9621741115334</c:v>
                </c:pt>
                <c:pt idx="973">
                  <c:v>6161.264390060669</c:v>
                </c:pt>
                <c:pt idx="974">
                  <c:v>4553.558923257553</c:v>
                </c:pt>
                <c:pt idx="975">
                  <c:v>2694.2066353616783</c:v>
                </c:pt>
                <c:pt idx="976">
                  <c:v>2660.2856872880716</c:v>
                </c:pt>
                <c:pt idx="977">
                  <c:v>6033.5298883572723</c:v>
                </c:pt>
                <c:pt idx="978">
                  <c:v>4455.4812118146019</c:v>
                </c:pt>
                <c:pt idx="979">
                  <c:v>6522.0185354594742</c:v>
                </c:pt>
                <c:pt idx="980">
                  <c:v>4360.1931727950105</c:v>
                </c:pt>
                <c:pt idx="981">
                  <c:v>3859.3977432907127</c:v>
                </c:pt>
                <c:pt idx="982">
                  <c:v>4751.5782001198641</c:v>
                </c:pt>
                <c:pt idx="983">
                  <c:v>4368.7067562667289</c:v>
                </c:pt>
                <c:pt idx="984">
                  <c:v>3756.3885598423517</c:v>
                </c:pt>
                <c:pt idx="985">
                  <c:v>4473.2471649989166</c:v>
                </c:pt>
                <c:pt idx="986">
                  <c:v>5077.0531152745134</c:v>
                </c:pt>
                <c:pt idx="987">
                  <c:v>6879.9175582046073</c:v>
                </c:pt>
                <c:pt idx="988">
                  <c:v>3507.4338022735615</c:v>
                </c:pt>
                <c:pt idx="989">
                  <c:v>3652.0304926274748</c:v>
                </c:pt>
                <c:pt idx="990">
                  <c:v>4946.6897877613737</c:v>
                </c:pt>
                <c:pt idx="991">
                  <c:v>3654.2690772001306</c:v>
                </c:pt>
                <c:pt idx="992">
                  <c:v>2847.932720358579</c:v>
                </c:pt>
                <c:pt idx="993">
                  <c:v>6641.1690977037188</c:v>
                </c:pt>
                <c:pt idx="994">
                  <c:v>6589.6208982110975</c:v>
                </c:pt>
                <c:pt idx="995">
                  <c:v>3038.8833610733641</c:v>
                </c:pt>
                <c:pt idx="996">
                  <c:v>5492.0758803691315</c:v>
                </c:pt>
                <c:pt idx="997">
                  <c:v>8642.6791997639411</c:v>
                </c:pt>
                <c:pt idx="998">
                  <c:v>3357.6048223559214</c:v>
                </c:pt>
                <c:pt idx="999">
                  <c:v>5777.5666515994226</c:v>
                </c:pt>
              </c:numCache>
            </c:numRef>
          </c:yVal>
          <c:smooth val="0"/>
        </c:ser>
        <c:ser>
          <c:idx val="6"/>
          <c:order val="4"/>
          <c:tx>
            <c:strRef>
              <c:f>Results!$B$20:$B$23</c:f>
              <c:strCache>
                <c:ptCount val="4"/>
                <c:pt idx="0">
                  <c:v>D</c:v>
                </c:pt>
                <c:pt idx="1">
                  <c:v>B</c:v>
                </c:pt>
                <c:pt idx="2">
                  <c:v>C</c:v>
                </c:pt>
                <c:pt idx="3">
                  <c:v>A</c:v>
                </c:pt>
              </c:strCache>
            </c:strRef>
          </c:tx>
          <c:spPr>
            <a:ln w="38100">
              <a:solidFill>
                <a:srgbClr val="008080"/>
              </a:solidFill>
              <a:prstDash val="solid"/>
            </a:ln>
          </c:spPr>
          <c:marker>
            <c:symbol val="circle"/>
            <c:size val="1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pPr>
                <a:solidFill>
                  <a:srgbClr val="FFFFFF"/>
                </a:solidFill>
                <a:ln>
                  <a:solidFill>
                    <a:srgbClr val="FF6600"/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rgbClr val="C00000"/>
                </a:solidFill>
                <a:prstDash val="solid"/>
              </a:ln>
            </c:spPr>
          </c:dPt>
          <c:dPt>
            <c:idx val="1"/>
            <c:marker>
              <c:spPr>
                <a:noFill/>
                <a:ln>
                  <a:solidFill>
                    <a:srgbClr val="808000"/>
                  </a:solidFill>
                  <a:prstDash val="solid"/>
                </a:ln>
              </c:spPr>
            </c:marker>
            <c:bubble3D val="0"/>
            <c:spPr>
              <a:ln cap="flat"/>
            </c:spPr>
          </c:dPt>
          <c:dPt>
            <c:idx val="2"/>
            <c:marker>
              <c:spPr>
                <a:solidFill>
                  <a:schemeClr val="bg1"/>
                </a:solidFill>
                <a:ln>
                  <a:solidFill>
                    <a:srgbClr val="000080"/>
                  </a:solidFill>
                  <a:prstDash val="solid"/>
                </a:ln>
              </c:spPr>
            </c:marker>
            <c:bubble3D val="0"/>
            <c:spPr>
              <a:ln w="19050">
                <a:solidFill>
                  <a:schemeClr val="accent1">
                    <a:lumMod val="50000"/>
                  </a:schemeClr>
                </a:solidFill>
              </a:ln>
            </c:spPr>
          </c:dPt>
          <c:dPt>
            <c:idx val="3"/>
            <c:marker>
              <c:spPr>
                <a:solidFill>
                  <a:schemeClr val="bg1">
                    <a:lumMod val="50000"/>
                  </a:schemeClr>
                </a:solidFill>
                <a:ln>
                  <a:solidFill>
                    <a:schemeClr val="bg1">
                      <a:lumMod val="50000"/>
                    </a:schemeClr>
                  </a:solidFill>
                  <a:prstDash val="solid"/>
                </a:ln>
              </c:spPr>
            </c:marker>
            <c:bubble3D val="0"/>
            <c:spPr>
              <a:ln w="38100">
                <a:solidFill>
                  <a:srgbClr val="C00000"/>
                </a:solidFill>
                <a:prstDash val="solid"/>
              </a:ln>
            </c:spPr>
          </c:dPt>
          <c:xVal>
            <c:numRef>
              <c:f>Results!$D$20:$D$23</c:f>
              <c:numCache>
                <c:formatCode>0.00</c:formatCode>
                <c:ptCount val="4"/>
                <c:pt idx="0">
                  <c:v>0.90878524301780839</c:v>
                </c:pt>
                <c:pt idx="1">
                  <c:v>0.91304057736405475</c:v>
                </c:pt>
                <c:pt idx="2">
                  <c:v>0.9569271753707661</c:v>
                </c:pt>
                <c:pt idx="3">
                  <c:v>0.98287597749862554</c:v>
                </c:pt>
              </c:numCache>
            </c:numRef>
          </c:xVal>
          <c:yVal>
            <c:numRef>
              <c:f>Results!$C$20:$C$23</c:f>
              <c:numCache>
                <c:formatCode>_("$"* #,##0_);_("$"* \(#,##0\);_("$"* "-"??_);_(@_)</c:formatCode>
                <c:ptCount val="4"/>
                <c:pt idx="0">
                  <c:v>4731.9763098106723</c:v>
                </c:pt>
                <c:pt idx="1">
                  <c:v>4943.2269585783752</c:v>
                </c:pt>
                <c:pt idx="2">
                  <c:v>9423.1230179659487</c:v>
                </c:pt>
                <c:pt idx="3">
                  <c:v>15567.077342655037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80960"/>
        <c:axId val="1943707088"/>
      </c:scatterChart>
      <c:valAx>
        <c:axId val="862180960"/>
        <c:scaling>
          <c:orientation val="minMax"/>
          <c:max val="1"/>
          <c:min val="0.55000000000000004"/>
        </c:scaling>
        <c:delete val="0"/>
        <c:axPos val="b"/>
        <c:title>
          <c:tx>
            <c:rich>
              <a:bodyPr/>
              <a:lstStyle/>
              <a:p>
                <a:pPr>
                  <a:defRPr sz="1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Incremental Deaths</a:t>
                </a:r>
                <a:r>
                  <a:rPr lang="en-US" baseline="0"/>
                  <a:t> Averted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3805118494576101"/>
              <c:y val="0.8942261566638689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3707088"/>
        <c:crosses val="autoZero"/>
        <c:crossBetween val="midCat"/>
        <c:majorUnit val="0.05"/>
      </c:valAx>
      <c:valAx>
        <c:axId val="19437070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Incremental cost</a:t>
                </a:r>
              </a:p>
            </c:rich>
          </c:tx>
          <c:layout>
            <c:manualLayout>
              <c:xMode val="edge"/>
              <c:yMode val="edge"/>
              <c:x val="1.2263099219621E-2"/>
              <c:y val="0.31260229132569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218096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egendEntry>
        <c:idx val="4"/>
        <c:delete val="1"/>
      </c:legendEntry>
      <c:layout/>
      <c:overlay val="0"/>
    </c:legend>
    <c:plotVisOnly val="0"/>
    <c:dispBlanksAs val="span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678929765886"/>
          <c:y val="3.4369885433715198E-2"/>
          <c:w val="0.81716833890746898"/>
          <c:h val="0.79705400981996699"/>
        </c:manualLayout>
      </c:layout>
      <c:scatterChart>
        <c:scatterStyle val="smoothMarker"/>
        <c:varyColors val="0"/>
        <c:ser>
          <c:idx val="0"/>
          <c:order val="0"/>
          <c:tx>
            <c:v>Strategy A</c:v>
          </c:tx>
          <c:marker>
            <c:symbol val="none"/>
          </c:marker>
          <c:xVal>
            <c:numRef>
              <c:f>'MC Results'!$V$8:$V$208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22</c:v>
                </c:pt>
                <c:pt idx="22">
                  <c:v>24</c:v>
                </c:pt>
                <c:pt idx="23">
                  <c:v>26</c:v>
                </c:pt>
                <c:pt idx="24">
                  <c:v>28</c:v>
                </c:pt>
                <c:pt idx="25">
                  <c:v>30</c:v>
                </c:pt>
                <c:pt idx="26">
                  <c:v>32</c:v>
                </c:pt>
                <c:pt idx="27">
                  <c:v>34</c:v>
                </c:pt>
                <c:pt idx="28">
                  <c:v>36</c:v>
                </c:pt>
                <c:pt idx="29">
                  <c:v>38</c:v>
                </c:pt>
                <c:pt idx="30">
                  <c:v>40</c:v>
                </c:pt>
                <c:pt idx="31">
                  <c:v>42</c:v>
                </c:pt>
                <c:pt idx="32">
                  <c:v>44</c:v>
                </c:pt>
                <c:pt idx="33">
                  <c:v>46</c:v>
                </c:pt>
                <c:pt idx="34">
                  <c:v>48</c:v>
                </c:pt>
                <c:pt idx="35">
                  <c:v>50</c:v>
                </c:pt>
                <c:pt idx="36">
                  <c:v>52</c:v>
                </c:pt>
                <c:pt idx="37">
                  <c:v>54</c:v>
                </c:pt>
                <c:pt idx="38">
                  <c:v>56</c:v>
                </c:pt>
                <c:pt idx="39">
                  <c:v>58</c:v>
                </c:pt>
                <c:pt idx="40">
                  <c:v>60</c:v>
                </c:pt>
                <c:pt idx="41">
                  <c:v>62</c:v>
                </c:pt>
                <c:pt idx="42">
                  <c:v>64</c:v>
                </c:pt>
                <c:pt idx="43">
                  <c:v>66</c:v>
                </c:pt>
                <c:pt idx="44">
                  <c:v>68</c:v>
                </c:pt>
                <c:pt idx="45">
                  <c:v>70</c:v>
                </c:pt>
                <c:pt idx="46">
                  <c:v>72</c:v>
                </c:pt>
                <c:pt idx="47">
                  <c:v>74</c:v>
                </c:pt>
                <c:pt idx="48">
                  <c:v>76</c:v>
                </c:pt>
                <c:pt idx="49">
                  <c:v>78</c:v>
                </c:pt>
                <c:pt idx="50">
                  <c:v>80</c:v>
                </c:pt>
                <c:pt idx="51">
                  <c:v>82</c:v>
                </c:pt>
                <c:pt idx="52">
                  <c:v>84</c:v>
                </c:pt>
                <c:pt idx="53">
                  <c:v>86</c:v>
                </c:pt>
                <c:pt idx="54">
                  <c:v>88</c:v>
                </c:pt>
                <c:pt idx="55">
                  <c:v>90</c:v>
                </c:pt>
                <c:pt idx="56">
                  <c:v>92</c:v>
                </c:pt>
                <c:pt idx="57">
                  <c:v>94</c:v>
                </c:pt>
                <c:pt idx="58">
                  <c:v>96</c:v>
                </c:pt>
                <c:pt idx="59">
                  <c:v>98</c:v>
                </c:pt>
                <c:pt idx="60">
                  <c:v>100</c:v>
                </c:pt>
                <c:pt idx="61">
                  <c:v>105</c:v>
                </c:pt>
                <c:pt idx="62">
                  <c:v>110</c:v>
                </c:pt>
                <c:pt idx="63">
                  <c:v>115</c:v>
                </c:pt>
                <c:pt idx="64">
                  <c:v>120</c:v>
                </c:pt>
                <c:pt idx="65">
                  <c:v>125</c:v>
                </c:pt>
                <c:pt idx="66">
                  <c:v>130</c:v>
                </c:pt>
                <c:pt idx="67">
                  <c:v>135</c:v>
                </c:pt>
                <c:pt idx="68">
                  <c:v>140</c:v>
                </c:pt>
                <c:pt idx="69">
                  <c:v>145</c:v>
                </c:pt>
                <c:pt idx="70">
                  <c:v>150</c:v>
                </c:pt>
                <c:pt idx="71">
                  <c:v>155</c:v>
                </c:pt>
                <c:pt idx="72">
                  <c:v>160</c:v>
                </c:pt>
                <c:pt idx="73">
                  <c:v>165</c:v>
                </c:pt>
                <c:pt idx="74">
                  <c:v>170</c:v>
                </c:pt>
                <c:pt idx="75">
                  <c:v>175</c:v>
                </c:pt>
                <c:pt idx="76">
                  <c:v>180</c:v>
                </c:pt>
                <c:pt idx="77">
                  <c:v>185</c:v>
                </c:pt>
                <c:pt idx="78">
                  <c:v>190</c:v>
                </c:pt>
                <c:pt idx="79">
                  <c:v>195</c:v>
                </c:pt>
                <c:pt idx="80">
                  <c:v>200</c:v>
                </c:pt>
                <c:pt idx="81">
                  <c:v>210</c:v>
                </c:pt>
                <c:pt idx="82">
                  <c:v>220</c:v>
                </c:pt>
                <c:pt idx="83">
                  <c:v>230</c:v>
                </c:pt>
                <c:pt idx="84">
                  <c:v>240</c:v>
                </c:pt>
                <c:pt idx="85">
                  <c:v>250</c:v>
                </c:pt>
                <c:pt idx="86">
                  <c:v>260</c:v>
                </c:pt>
                <c:pt idx="87">
                  <c:v>270</c:v>
                </c:pt>
                <c:pt idx="88">
                  <c:v>280</c:v>
                </c:pt>
                <c:pt idx="89">
                  <c:v>290</c:v>
                </c:pt>
                <c:pt idx="90">
                  <c:v>300</c:v>
                </c:pt>
                <c:pt idx="91">
                  <c:v>310</c:v>
                </c:pt>
                <c:pt idx="92">
                  <c:v>320</c:v>
                </c:pt>
                <c:pt idx="93">
                  <c:v>330</c:v>
                </c:pt>
                <c:pt idx="94">
                  <c:v>340</c:v>
                </c:pt>
                <c:pt idx="95">
                  <c:v>350</c:v>
                </c:pt>
                <c:pt idx="96">
                  <c:v>360</c:v>
                </c:pt>
                <c:pt idx="97">
                  <c:v>370</c:v>
                </c:pt>
                <c:pt idx="98">
                  <c:v>380</c:v>
                </c:pt>
                <c:pt idx="99">
                  <c:v>390</c:v>
                </c:pt>
                <c:pt idx="100">
                  <c:v>400</c:v>
                </c:pt>
                <c:pt idx="101">
                  <c:v>410</c:v>
                </c:pt>
                <c:pt idx="102">
                  <c:v>420</c:v>
                </c:pt>
                <c:pt idx="103">
                  <c:v>430</c:v>
                </c:pt>
                <c:pt idx="104">
                  <c:v>440</c:v>
                </c:pt>
                <c:pt idx="105">
                  <c:v>450</c:v>
                </c:pt>
                <c:pt idx="106">
                  <c:v>460</c:v>
                </c:pt>
                <c:pt idx="107">
                  <c:v>470</c:v>
                </c:pt>
                <c:pt idx="108">
                  <c:v>480</c:v>
                </c:pt>
                <c:pt idx="109">
                  <c:v>490</c:v>
                </c:pt>
                <c:pt idx="110">
                  <c:v>500</c:v>
                </c:pt>
                <c:pt idx="111">
                  <c:v>550</c:v>
                </c:pt>
                <c:pt idx="112">
                  <c:v>600</c:v>
                </c:pt>
                <c:pt idx="113">
                  <c:v>650</c:v>
                </c:pt>
                <c:pt idx="114">
                  <c:v>700</c:v>
                </c:pt>
                <c:pt idx="115">
                  <c:v>750</c:v>
                </c:pt>
                <c:pt idx="116">
                  <c:v>800</c:v>
                </c:pt>
                <c:pt idx="117">
                  <c:v>850</c:v>
                </c:pt>
                <c:pt idx="118">
                  <c:v>900</c:v>
                </c:pt>
                <c:pt idx="119">
                  <c:v>950</c:v>
                </c:pt>
                <c:pt idx="120">
                  <c:v>1000</c:v>
                </c:pt>
                <c:pt idx="121">
                  <c:v>1050</c:v>
                </c:pt>
                <c:pt idx="122">
                  <c:v>1100</c:v>
                </c:pt>
                <c:pt idx="123">
                  <c:v>1150</c:v>
                </c:pt>
                <c:pt idx="124">
                  <c:v>1200</c:v>
                </c:pt>
                <c:pt idx="125">
                  <c:v>1250</c:v>
                </c:pt>
                <c:pt idx="126">
                  <c:v>1300</c:v>
                </c:pt>
                <c:pt idx="127">
                  <c:v>1350</c:v>
                </c:pt>
                <c:pt idx="128">
                  <c:v>1400</c:v>
                </c:pt>
                <c:pt idx="129">
                  <c:v>1450</c:v>
                </c:pt>
                <c:pt idx="130">
                  <c:v>1500</c:v>
                </c:pt>
                <c:pt idx="131">
                  <c:v>1550</c:v>
                </c:pt>
                <c:pt idx="132">
                  <c:v>1600</c:v>
                </c:pt>
                <c:pt idx="133">
                  <c:v>1650</c:v>
                </c:pt>
                <c:pt idx="134">
                  <c:v>1700</c:v>
                </c:pt>
                <c:pt idx="135">
                  <c:v>1750</c:v>
                </c:pt>
                <c:pt idx="136">
                  <c:v>1800</c:v>
                </c:pt>
                <c:pt idx="137">
                  <c:v>1850</c:v>
                </c:pt>
                <c:pt idx="138">
                  <c:v>1900</c:v>
                </c:pt>
                <c:pt idx="139">
                  <c:v>1950</c:v>
                </c:pt>
                <c:pt idx="140">
                  <c:v>2000</c:v>
                </c:pt>
                <c:pt idx="141">
                  <c:v>2050</c:v>
                </c:pt>
                <c:pt idx="142">
                  <c:v>2100</c:v>
                </c:pt>
                <c:pt idx="143">
                  <c:v>2150</c:v>
                </c:pt>
                <c:pt idx="144">
                  <c:v>2200</c:v>
                </c:pt>
                <c:pt idx="145">
                  <c:v>2250</c:v>
                </c:pt>
                <c:pt idx="146">
                  <c:v>2300</c:v>
                </c:pt>
                <c:pt idx="147">
                  <c:v>2350</c:v>
                </c:pt>
                <c:pt idx="148">
                  <c:v>2400</c:v>
                </c:pt>
                <c:pt idx="149">
                  <c:v>2450</c:v>
                </c:pt>
                <c:pt idx="150">
                  <c:v>2500</c:v>
                </c:pt>
                <c:pt idx="151">
                  <c:v>2550</c:v>
                </c:pt>
                <c:pt idx="152">
                  <c:v>2600</c:v>
                </c:pt>
                <c:pt idx="153">
                  <c:v>2650</c:v>
                </c:pt>
                <c:pt idx="154">
                  <c:v>2700</c:v>
                </c:pt>
                <c:pt idx="155">
                  <c:v>2750</c:v>
                </c:pt>
                <c:pt idx="156">
                  <c:v>2800</c:v>
                </c:pt>
                <c:pt idx="157">
                  <c:v>2850</c:v>
                </c:pt>
                <c:pt idx="158">
                  <c:v>2900</c:v>
                </c:pt>
                <c:pt idx="159">
                  <c:v>2950</c:v>
                </c:pt>
                <c:pt idx="160">
                  <c:v>3000</c:v>
                </c:pt>
                <c:pt idx="161">
                  <c:v>3050</c:v>
                </c:pt>
                <c:pt idx="162">
                  <c:v>3100</c:v>
                </c:pt>
                <c:pt idx="163">
                  <c:v>3150</c:v>
                </c:pt>
                <c:pt idx="164">
                  <c:v>3200</c:v>
                </c:pt>
                <c:pt idx="165">
                  <c:v>3250</c:v>
                </c:pt>
                <c:pt idx="166">
                  <c:v>3300</c:v>
                </c:pt>
                <c:pt idx="167">
                  <c:v>3350</c:v>
                </c:pt>
                <c:pt idx="168">
                  <c:v>3400</c:v>
                </c:pt>
                <c:pt idx="169">
                  <c:v>3450</c:v>
                </c:pt>
                <c:pt idx="170">
                  <c:v>3500</c:v>
                </c:pt>
                <c:pt idx="171">
                  <c:v>3550</c:v>
                </c:pt>
                <c:pt idx="172">
                  <c:v>3600</c:v>
                </c:pt>
                <c:pt idx="173">
                  <c:v>3650</c:v>
                </c:pt>
                <c:pt idx="174">
                  <c:v>3700</c:v>
                </c:pt>
                <c:pt idx="175">
                  <c:v>3750</c:v>
                </c:pt>
                <c:pt idx="176">
                  <c:v>3800</c:v>
                </c:pt>
                <c:pt idx="177">
                  <c:v>3850</c:v>
                </c:pt>
                <c:pt idx="178">
                  <c:v>3900</c:v>
                </c:pt>
                <c:pt idx="179">
                  <c:v>3950</c:v>
                </c:pt>
                <c:pt idx="180">
                  <c:v>4000</c:v>
                </c:pt>
                <c:pt idx="181">
                  <c:v>4050</c:v>
                </c:pt>
                <c:pt idx="182">
                  <c:v>4100</c:v>
                </c:pt>
                <c:pt idx="183">
                  <c:v>4150</c:v>
                </c:pt>
                <c:pt idx="184">
                  <c:v>4200</c:v>
                </c:pt>
                <c:pt idx="185">
                  <c:v>4250</c:v>
                </c:pt>
                <c:pt idx="186">
                  <c:v>4300</c:v>
                </c:pt>
                <c:pt idx="187">
                  <c:v>4350</c:v>
                </c:pt>
                <c:pt idx="188">
                  <c:v>4400</c:v>
                </c:pt>
                <c:pt idx="189">
                  <c:v>4450</c:v>
                </c:pt>
                <c:pt idx="190">
                  <c:v>4500</c:v>
                </c:pt>
                <c:pt idx="191">
                  <c:v>4550</c:v>
                </c:pt>
                <c:pt idx="192">
                  <c:v>4600</c:v>
                </c:pt>
                <c:pt idx="193">
                  <c:v>4650</c:v>
                </c:pt>
                <c:pt idx="194">
                  <c:v>4700</c:v>
                </c:pt>
                <c:pt idx="195">
                  <c:v>4750</c:v>
                </c:pt>
                <c:pt idx="196">
                  <c:v>4800</c:v>
                </c:pt>
                <c:pt idx="197">
                  <c:v>4850</c:v>
                </c:pt>
                <c:pt idx="198">
                  <c:v>4900</c:v>
                </c:pt>
                <c:pt idx="199">
                  <c:v>4950</c:v>
                </c:pt>
                <c:pt idx="200">
                  <c:v>5000</c:v>
                </c:pt>
              </c:numCache>
            </c:numRef>
          </c:xVal>
          <c:yVal>
            <c:numRef>
              <c:f>'MC Results'!$W$8:$W$208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Strategy B</c:v>
          </c:tx>
          <c:marker>
            <c:symbol val="none"/>
          </c:marker>
          <c:xVal>
            <c:numRef>
              <c:f>'MC Results'!$V$8:$V$208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22</c:v>
                </c:pt>
                <c:pt idx="22">
                  <c:v>24</c:v>
                </c:pt>
                <c:pt idx="23">
                  <c:v>26</c:v>
                </c:pt>
                <c:pt idx="24">
                  <c:v>28</c:v>
                </c:pt>
                <c:pt idx="25">
                  <c:v>30</c:v>
                </c:pt>
                <c:pt idx="26">
                  <c:v>32</c:v>
                </c:pt>
                <c:pt idx="27">
                  <c:v>34</c:v>
                </c:pt>
                <c:pt idx="28">
                  <c:v>36</c:v>
                </c:pt>
                <c:pt idx="29">
                  <c:v>38</c:v>
                </c:pt>
                <c:pt idx="30">
                  <c:v>40</c:v>
                </c:pt>
                <c:pt idx="31">
                  <c:v>42</c:v>
                </c:pt>
                <c:pt idx="32">
                  <c:v>44</c:v>
                </c:pt>
                <c:pt idx="33">
                  <c:v>46</c:v>
                </c:pt>
                <c:pt idx="34">
                  <c:v>48</c:v>
                </c:pt>
                <c:pt idx="35">
                  <c:v>50</c:v>
                </c:pt>
                <c:pt idx="36">
                  <c:v>52</c:v>
                </c:pt>
                <c:pt idx="37">
                  <c:v>54</c:v>
                </c:pt>
                <c:pt idx="38">
                  <c:v>56</c:v>
                </c:pt>
                <c:pt idx="39">
                  <c:v>58</c:v>
                </c:pt>
                <c:pt idx="40">
                  <c:v>60</c:v>
                </c:pt>
                <c:pt idx="41">
                  <c:v>62</c:v>
                </c:pt>
                <c:pt idx="42">
                  <c:v>64</c:v>
                </c:pt>
                <c:pt idx="43">
                  <c:v>66</c:v>
                </c:pt>
                <c:pt idx="44">
                  <c:v>68</c:v>
                </c:pt>
                <c:pt idx="45">
                  <c:v>70</c:v>
                </c:pt>
                <c:pt idx="46">
                  <c:v>72</c:v>
                </c:pt>
                <c:pt idx="47">
                  <c:v>74</c:v>
                </c:pt>
                <c:pt idx="48">
                  <c:v>76</c:v>
                </c:pt>
                <c:pt idx="49">
                  <c:v>78</c:v>
                </c:pt>
                <c:pt idx="50">
                  <c:v>80</c:v>
                </c:pt>
                <c:pt idx="51">
                  <c:v>82</c:v>
                </c:pt>
                <c:pt idx="52">
                  <c:v>84</c:v>
                </c:pt>
                <c:pt idx="53">
                  <c:v>86</c:v>
                </c:pt>
                <c:pt idx="54">
                  <c:v>88</c:v>
                </c:pt>
                <c:pt idx="55">
                  <c:v>90</c:v>
                </c:pt>
                <c:pt idx="56">
                  <c:v>92</c:v>
                </c:pt>
                <c:pt idx="57">
                  <c:v>94</c:v>
                </c:pt>
                <c:pt idx="58">
                  <c:v>96</c:v>
                </c:pt>
                <c:pt idx="59">
                  <c:v>98</c:v>
                </c:pt>
                <c:pt idx="60">
                  <c:v>100</c:v>
                </c:pt>
                <c:pt idx="61">
                  <c:v>105</c:v>
                </c:pt>
                <c:pt idx="62">
                  <c:v>110</c:v>
                </c:pt>
                <c:pt idx="63">
                  <c:v>115</c:v>
                </c:pt>
                <c:pt idx="64">
                  <c:v>120</c:v>
                </c:pt>
                <c:pt idx="65">
                  <c:v>125</c:v>
                </c:pt>
                <c:pt idx="66">
                  <c:v>130</c:v>
                </c:pt>
                <c:pt idx="67">
                  <c:v>135</c:v>
                </c:pt>
                <c:pt idx="68">
                  <c:v>140</c:v>
                </c:pt>
                <c:pt idx="69">
                  <c:v>145</c:v>
                </c:pt>
                <c:pt idx="70">
                  <c:v>150</c:v>
                </c:pt>
                <c:pt idx="71">
                  <c:v>155</c:v>
                </c:pt>
                <c:pt idx="72">
                  <c:v>160</c:v>
                </c:pt>
                <c:pt idx="73">
                  <c:v>165</c:v>
                </c:pt>
                <c:pt idx="74">
                  <c:v>170</c:v>
                </c:pt>
                <c:pt idx="75">
                  <c:v>175</c:v>
                </c:pt>
                <c:pt idx="76">
                  <c:v>180</c:v>
                </c:pt>
                <c:pt idx="77">
                  <c:v>185</c:v>
                </c:pt>
                <c:pt idx="78">
                  <c:v>190</c:v>
                </c:pt>
                <c:pt idx="79">
                  <c:v>195</c:v>
                </c:pt>
                <c:pt idx="80">
                  <c:v>200</c:v>
                </c:pt>
                <c:pt idx="81">
                  <c:v>210</c:v>
                </c:pt>
                <c:pt idx="82">
                  <c:v>220</c:v>
                </c:pt>
                <c:pt idx="83">
                  <c:v>230</c:v>
                </c:pt>
                <c:pt idx="84">
                  <c:v>240</c:v>
                </c:pt>
                <c:pt idx="85">
                  <c:v>250</c:v>
                </c:pt>
                <c:pt idx="86">
                  <c:v>260</c:v>
                </c:pt>
                <c:pt idx="87">
                  <c:v>270</c:v>
                </c:pt>
                <c:pt idx="88">
                  <c:v>280</c:v>
                </c:pt>
                <c:pt idx="89">
                  <c:v>290</c:v>
                </c:pt>
                <c:pt idx="90">
                  <c:v>300</c:v>
                </c:pt>
                <c:pt idx="91">
                  <c:v>310</c:v>
                </c:pt>
                <c:pt idx="92">
                  <c:v>320</c:v>
                </c:pt>
                <c:pt idx="93">
                  <c:v>330</c:v>
                </c:pt>
                <c:pt idx="94">
                  <c:v>340</c:v>
                </c:pt>
                <c:pt idx="95">
                  <c:v>350</c:v>
                </c:pt>
                <c:pt idx="96">
                  <c:v>360</c:v>
                </c:pt>
                <c:pt idx="97">
                  <c:v>370</c:v>
                </c:pt>
                <c:pt idx="98">
                  <c:v>380</c:v>
                </c:pt>
                <c:pt idx="99">
                  <c:v>390</c:v>
                </c:pt>
                <c:pt idx="100">
                  <c:v>400</c:v>
                </c:pt>
                <c:pt idx="101">
                  <c:v>410</c:v>
                </c:pt>
                <c:pt idx="102">
                  <c:v>420</c:v>
                </c:pt>
                <c:pt idx="103">
                  <c:v>430</c:v>
                </c:pt>
                <c:pt idx="104">
                  <c:v>440</c:v>
                </c:pt>
                <c:pt idx="105">
                  <c:v>450</c:v>
                </c:pt>
                <c:pt idx="106">
                  <c:v>460</c:v>
                </c:pt>
                <c:pt idx="107">
                  <c:v>470</c:v>
                </c:pt>
                <c:pt idx="108">
                  <c:v>480</c:v>
                </c:pt>
                <c:pt idx="109">
                  <c:v>490</c:v>
                </c:pt>
                <c:pt idx="110">
                  <c:v>500</c:v>
                </c:pt>
                <c:pt idx="111">
                  <c:v>550</c:v>
                </c:pt>
                <c:pt idx="112">
                  <c:v>600</c:v>
                </c:pt>
                <c:pt idx="113">
                  <c:v>650</c:v>
                </c:pt>
                <c:pt idx="114">
                  <c:v>700</c:v>
                </c:pt>
                <c:pt idx="115">
                  <c:v>750</c:v>
                </c:pt>
                <c:pt idx="116">
                  <c:v>800</c:v>
                </c:pt>
                <c:pt idx="117">
                  <c:v>850</c:v>
                </c:pt>
                <c:pt idx="118">
                  <c:v>900</c:v>
                </c:pt>
                <c:pt idx="119">
                  <c:v>950</c:v>
                </c:pt>
                <c:pt idx="120">
                  <c:v>1000</c:v>
                </c:pt>
                <c:pt idx="121">
                  <c:v>1050</c:v>
                </c:pt>
                <c:pt idx="122">
                  <c:v>1100</c:v>
                </c:pt>
                <c:pt idx="123">
                  <c:v>1150</c:v>
                </c:pt>
                <c:pt idx="124">
                  <c:v>1200</c:v>
                </c:pt>
                <c:pt idx="125">
                  <c:v>1250</c:v>
                </c:pt>
                <c:pt idx="126">
                  <c:v>1300</c:v>
                </c:pt>
                <c:pt idx="127">
                  <c:v>1350</c:v>
                </c:pt>
                <c:pt idx="128">
                  <c:v>1400</c:v>
                </c:pt>
                <c:pt idx="129">
                  <c:v>1450</c:v>
                </c:pt>
                <c:pt idx="130">
                  <c:v>1500</c:v>
                </c:pt>
                <c:pt idx="131">
                  <c:v>1550</c:v>
                </c:pt>
                <c:pt idx="132">
                  <c:v>1600</c:v>
                </c:pt>
                <c:pt idx="133">
                  <c:v>1650</c:v>
                </c:pt>
                <c:pt idx="134">
                  <c:v>1700</c:v>
                </c:pt>
                <c:pt idx="135">
                  <c:v>1750</c:v>
                </c:pt>
                <c:pt idx="136">
                  <c:v>1800</c:v>
                </c:pt>
                <c:pt idx="137">
                  <c:v>1850</c:v>
                </c:pt>
                <c:pt idx="138">
                  <c:v>1900</c:v>
                </c:pt>
                <c:pt idx="139">
                  <c:v>1950</c:v>
                </c:pt>
                <c:pt idx="140">
                  <c:v>2000</c:v>
                </c:pt>
                <c:pt idx="141">
                  <c:v>2050</c:v>
                </c:pt>
                <c:pt idx="142">
                  <c:v>2100</c:v>
                </c:pt>
                <c:pt idx="143">
                  <c:v>2150</c:v>
                </c:pt>
                <c:pt idx="144">
                  <c:v>2200</c:v>
                </c:pt>
                <c:pt idx="145">
                  <c:v>2250</c:v>
                </c:pt>
                <c:pt idx="146">
                  <c:v>2300</c:v>
                </c:pt>
                <c:pt idx="147">
                  <c:v>2350</c:v>
                </c:pt>
                <c:pt idx="148">
                  <c:v>2400</c:v>
                </c:pt>
                <c:pt idx="149">
                  <c:v>2450</c:v>
                </c:pt>
                <c:pt idx="150">
                  <c:v>2500</c:v>
                </c:pt>
                <c:pt idx="151">
                  <c:v>2550</c:v>
                </c:pt>
                <c:pt idx="152">
                  <c:v>2600</c:v>
                </c:pt>
                <c:pt idx="153">
                  <c:v>2650</c:v>
                </c:pt>
                <c:pt idx="154">
                  <c:v>2700</c:v>
                </c:pt>
                <c:pt idx="155">
                  <c:v>2750</c:v>
                </c:pt>
                <c:pt idx="156">
                  <c:v>2800</c:v>
                </c:pt>
                <c:pt idx="157">
                  <c:v>2850</c:v>
                </c:pt>
                <c:pt idx="158">
                  <c:v>2900</c:v>
                </c:pt>
                <c:pt idx="159">
                  <c:v>2950</c:v>
                </c:pt>
                <c:pt idx="160">
                  <c:v>3000</c:v>
                </c:pt>
                <c:pt idx="161">
                  <c:v>3050</c:v>
                </c:pt>
                <c:pt idx="162">
                  <c:v>3100</c:v>
                </c:pt>
                <c:pt idx="163">
                  <c:v>3150</c:v>
                </c:pt>
                <c:pt idx="164">
                  <c:v>3200</c:v>
                </c:pt>
                <c:pt idx="165">
                  <c:v>3250</c:v>
                </c:pt>
                <c:pt idx="166">
                  <c:v>3300</c:v>
                </c:pt>
                <c:pt idx="167">
                  <c:v>3350</c:v>
                </c:pt>
                <c:pt idx="168">
                  <c:v>3400</c:v>
                </c:pt>
                <c:pt idx="169">
                  <c:v>3450</c:v>
                </c:pt>
                <c:pt idx="170">
                  <c:v>3500</c:v>
                </c:pt>
                <c:pt idx="171">
                  <c:v>3550</c:v>
                </c:pt>
                <c:pt idx="172">
                  <c:v>3600</c:v>
                </c:pt>
                <c:pt idx="173">
                  <c:v>3650</c:v>
                </c:pt>
                <c:pt idx="174">
                  <c:v>3700</c:v>
                </c:pt>
                <c:pt idx="175">
                  <c:v>3750</c:v>
                </c:pt>
                <c:pt idx="176">
                  <c:v>3800</c:v>
                </c:pt>
                <c:pt idx="177">
                  <c:v>3850</c:v>
                </c:pt>
                <c:pt idx="178">
                  <c:v>3900</c:v>
                </c:pt>
                <c:pt idx="179">
                  <c:v>3950</c:v>
                </c:pt>
                <c:pt idx="180">
                  <c:v>4000</c:v>
                </c:pt>
                <c:pt idx="181">
                  <c:v>4050</c:v>
                </c:pt>
                <c:pt idx="182">
                  <c:v>4100</c:v>
                </c:pt>
                <c:pt idx="183">
                  <c:v>4150</c:v>
                </c:pt>
                <c:pt idx="184">
                  <c:v>4200</c:v>
                </c:pt>
                <c:pt idx="185">
                  <c:v>4250</c:v>
                </c:pt>
                <c:pt idx="186">
                  <c:v>4300</c:v>
                </c:pt>
                <c:pt idx="187">
                  <c:v>4350</c:v>
                </c:pt>
                <c:pt idx="188">
                  <c:v>4400</c:v>
                </c:pt>
                <c:pt idx="189">
                  <c:v>4450</c:v>
                </c:pt>
                <c:pt idx="190">
                  <c:v>4500</c:v>
                </c:pt>
                <c:pt idx="191">
                  <c:v>4550</c:v>
                </c:pt>
                <c:pt idx="192">
                  <c:v>4600</c:v>
                </c:pt>
                <c:pt idx="193">
                  <c:v>4650</c:v>
                </c:pt>
                <c:pt idx="194">
                  <c:v>4700</c:v>
                </c:pt>
                <c:pt idx="195">
                  <c:v>4750</c:v>
                </c:pt>
                <c:pt idx="196">
                  <c:v>4800</c:v>
                </c:pt>
                <c:pt idx="197">
                  <c:v>4850</c:v>
                </c:pt>
                <c:pt idx="198">
                  <c:v>4900</c:v>
                </c:pt>
                <c:pt idx="199">
                  <c:v>4950</c:v>
                </c:pt>
                <c:pt idx="200">
                  <c:v>5000</c:v>
                </c:pt>
              </c:numCache>
            </c:numRef>
          </c:xVal>
          <c:yVal>
            <c:numRef>
              <c:f>'MC Results'!$X$8:$X$208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Strategy C</c:v>
          </c:tx>
          <c:marker>
            <c:symbol val="none"/>
          </c:marker>
          <c:xVal>
            <c:numRef>
              <c:f>'MC Results'!$V$8:$V$208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22</c:v>
                </c:pt>
                <c:pt idx="22">
                  <c:v>24</c:v>
                </c:pt>
                <c:pt idx="23">
                  <c:v>26</c:v>
                </c:pt>
                <c:pt idx="24">
                  <c:v>28</c:v>
                </c:pt>
                <c:pt idx="25">
                  <c:v>30</c:v>
                </c:pt>
                <c:pt idx="26">
                  <c:v>32</c:v>
                </c:pt>
                <c:pt idx="27">
                  <c:v>34</c:v>
                </c:pt>
                <c:pt idx="28">
                  <c:v>36</c:v>
                </c:pt>
                <c:pt idx="29">
                  <c:v>38</c:v>
                </c:pt>
                <c:pt idx="30">
                  <c:v>40</c:v>
                </c:pt>
                <c:pt idx="31">
                  <c:v>42</c:v>
                </c:pt>
                <c:pt idx="32">
                  <c:v>44</c:v>
                </c:pt>
                <c:pt idx="33">
                  <c:v>46</c:v>
                </c:pt>
                <c:pt idx="34">
                  <c:v>48</c:v>
                </c:pt>
                <c:pt idx="35">
                  <c:v>50</c:v>
                </c:pt>
                <c:pt idx="36">
                  <c:v>52</c:v>
                </c:pt>
                <c:pt idx="37">
                  <c:v>54</c:v>
                </c:pt>
                <c:pt idx="38">
                  <c:v>56</c:v>
                </c:pt>
                <c:pt idx="39">
                  <c:v>58</c:v>
                </c:pt>
                <c:pt idx="40">
                  <c:v>60</c:v>
                </c:pt>
                <c:pt idx="41">
                  <c:v>62</c:v>
                </c:pt>
                <c:pt idx="42">
                  <c:v>64</c:v>
                </c:pt>
                <c:pt idx="43">
                  <c:v>66</c:v>
                </c:pt>
                <c:pt idx="44">
                  <c:v>68</c:v>
                </c:pt>
                <c:pt idx="45">
                  <c:v>70</c:v>
                </c:pt>
                <c:pt idx="46">
                  <c:v>72</c:v>
                </c:pt>
                <c:pt idx="47">
                  <c:v>74</c:v>
                </c:pt>
                <c:pt idx="48">
                  <c:v>76</c:v>
                </c:pt>
                <c:pt idx="49">
                  <c:v>78</c:v>
                </c:pt>
                <c:pt idx="50">
                  <c:v>80</c:v>
                </c:pt>
                <c:pt idx="51">
                  <c:v>82</c:v>
                </c:pt>
                <c:pt idx="52">
                  <c:v>84</c:v>
                </c:pt>
                <c:pt idx="53">
                  <c:v>86</c:v>
                </c:pt>
                <c:pt idx="54">
                  <c:v>88</c:v>
                </c:pt>
                <c:pt idx="55">
                  <c:v>90</c:v>
                </c:pt>
                <c:pt idx="56">
                  <c:v>92</c:v>
                </c:pt>
                <c:pt idx="57">
                  <c:v>94</c:v>
                </c:pt>
                <c:pt idx="58">
                  <c:v>96</c:v>
                </c:pt>
                <c:pt idx="59">
                  <c:v>98</c:v>
                </c:pt>
                <c:pt idx="60">
                  <c:v>100</c:v>
                </c:pt>
                <c:pt idx="61">
                  <c:v>105</c:v>
                </c:pt>
                <c:pt idx="62">
                  <c:v>110</c:v>
                </c:pt>
                <c:pt idx="63">
                  <c:v>115</c:v>
                </c:pt>
                <c:pt idx="64">
                  <c:v>120</c:v>
                </c:pt>
                <c:pt idx="65">
                  <c:v>125</c:v>
                </c:pt>
                <c:pt idx="66">
                  <c:v>130</c:v>
                </c:pt>
                <c:pt idx="67">
                  <c:v>135</c:v>
                </c:pt>
                <c:pt idx="68">
                  <c:v>140</c:v>
                </c:pt>
                <c:pt idx="69">
                  <c:v>145</c:v>
                </c:pt>
                <c:pt idx="70">
                  <c:v>150</c:v>
                </c:pt>
                <c:pt idx="71">
                  <c:v>155</c:v>
                </c:pt>
                <c:pt idx="72">
                  <c:v>160</c:v>
                </c:pt>
                <c:pt idx="73">
                  <c:v>165</c:v>
                </c:pt>
                <c:pt idx="74">
                  <c:v>170</c:v>
                </c:pt>
                <c:pt idx="75">
                  <c:v>175</c:v>
                </c:pt>
                <c:pt idx="76">
                  <c:v>180</c:v>
                </c:pt>
                <c:pt idx="77">
                  <c:v>185</c:v>
                </c:pt>
                <c:pt idx="78">
                  <c:v>190</c:v>
                </c:pt>
                <c:pt idx="79">
                  <c:v>195</c:v>
                </c:pt>
                <c:pt idx="80">
                  <c:v>200</c:v>
                </c:pt>
                <c:pt idx="81">
                  <c:v>210</c:v>
                </c:pt>
                <c:pt idx="82">
                  <c:v>220</c:v>
                </c:pt>
                <c:pt idx="83">
                  <c:v>230</c:v>
                </c:pt>
                <c:pt idx="84">
                  <c:v>240</c:v>
                </c:pt>
                <c:pt idx="85">
                  <c:v>250</c:v>
                </c:pt>
                <c:pt idx="86">
                  <c:v>260</c:v>
                </c:pt>
                <c:pt idx="87">
                  <c:v>270</c:v>
                </c:pt>
                <c:pt idx="88">
                  <c:v>280</c:v>
                </c:pt>
                <c:pt idx="89">
                  <c:v>290</c:v>
                </c:pt>
                <c:pt idx="90">
                  <c:v>300</c:v>
                </c:pt>
                <c:pt idx="91">
                  <c:v>310</c:v>
                </c:pt>
                <c:pt idx="92">
                  <c:v>320</c:v>
                </c:pt>
                <c:pt idx="93">
                  <c:v>330</c:v>
                </c:pt>
                <c:pt idx="94">
                  <c:v>340</c:v>
                </c:pt>
                <c:pt idx="95">
                  <c:v>350</c:v>
                </c:pt>
                <c:pt idx="96">
                  <c:v>360</c:v>
                </c:pt>
                <c:pt idx="97">
                  <c:v>370</c:v>
                </c:pt>
                <c:pt idx="98">
                  <c:v>380</c:v>
                </c:pt>
                <c:pt idx="99">
                  <c:v>390</c:v>
                </c:pt>
                <c:pt idx="100">
                  <c:v>400</c:v>
                </c:pt>
                <c:pt idx="101">
                  <c:v>410</c:v>
                </c:pt>
                <c:pt idx="102">
                  <c:v>420</c:v>
                </c:pt>
                <c:pt idx="103">
                  <c:v>430</c:v>
                </c:pt>
                <c:pt idx="104">
                  <c:v>440</c:v>
                </c:pt>
                <c:pt idx="105">
                  <c:v>450</c:v>
                </c:pt>
                <c:pt idx="106">
                  <c:v>460</c:v>
                </c:pt>
                <c:pt idx="107">
                  <c:v>470</c:v>
                </c:pt>
                <c:pt idx="108">
                  <c:v>480</c:v>
                </c:pt>
                <c:pt idx="109">
                  <c:v>490</c:v>
                </c:pt>
                <c:pt idx="110">
                  <c:v>500</c:v>
                </c:pt>
                <c:pt idx="111">
                  <c:v>550</c:v>
                </c:pt>
                <c:pt idx="112">
                  <c:v>600</c:v>
                </c:pt>
                <c:pt idx="113">
                  <c:v>650</c:v>
                </c:pt>
                <c:pt idx="114">
                  <c:v>700</c:v>
                </c:pt>
                <c:pt idx="115">
                  <c:v>750</c:v>
                </c:pt>
                <c:pt idx="116">
                  <c:v>800</c:v>
                </c:pt>
                <c:pt idx="117">
                  <c:v>850</c:v>
                </c:pt>
                <c:pt idx="118">
                  <c:v>900</c:v>
                </c:pt>
                <c:pt idx="119">
                  <c:v>950</c:v>
                </c:pt>
                <c:pt idx="120">
                  <c:v>1000</c:v>
                </c:pt>
                <c:pt idx="121">
                  <c:v>1050</c:v>
                </c:pt>
                <c:pt idx="122">
                  <c:v>1100</c:v>
                </c:pt>
                <c:pt idx="123">
                  <c:v>1150</c:v>
                </c:pt>
                <c:pt idx="124">
                  <c:v>1200</c:v>
                </c:pt>
                <c:pt idx="125">
                  <c:v>1250</c:v>
                </c:pt>
                <c:pt idx="126">
                  <c:v>1300</c:v>
                </c:pt>
                <c:pt idx="127">
                  <c:v>1350</c:v>
                </c:pt>
                <c:pt idx="128">
                  <c:v>1400</c:v>
                </c:pt>
                <c:pt idx="129">
                  <c:v>1450</c:v>
                </c:pt>
                <c:pt idx="130">
                  <c:v>1500</c:v>
                </c:pt>
                <c:pt idx="131">
                  <c:v>1550</c:v>
                </c:pt>
                <c:pt idx="132">
                  <c:v>1600</c:v>
                </c:pt>
                <c:pt idx="133">
                  <c:v>1650</c:v>
                </c:pt>
                <c:pt idx="134">
                  <c:v>1700</c:v>
                </c:pt>
                <c:pt idx="135">
                  <c:v>1750</c:v>
                </c:pt>
                <c:pt idx="136">
                  <c:v>1800</c:v>
                </c:pt>
                <c:pt idx="137">
                  <c:v>1850</c:v>
                </c:pt>
                <c:pt idx="138">
                  <c:v>1900</c:v>
                </c:pt>
                <c:pt idx="139">
                  <c:v>1950</c:v>
                </c:pt>
                <c:pt idx="140">
                  <c:v>2000</c:v>
                </c:pt>
                <c:pt idx="141">
                  <c:v>2050</c:v>
                </c:pt>
                <c:pt idx="142">
                  <c:v>2100</c:v>
                </c:pt>
                <c:pt idx="143">
                  <c:v>2150</c:v>
                </c:pt>
                <c:pt idx="144">
                  <c:v>2200</c:v>
                </c:pt>
                <c:pt idx="145">
                  <c:v>2250</c:v>
                </c:pt>
                <c:pt idx="146">
                  <c:v>2300</c:v>
                </c:pt>
                <c:pt idx="147">
                  <c:v>2350</c:v>
                </c:pt>
                <c:pt idx="148">
                  <c:v>2400</c:v>
                </c:pt>
                <c:pt idx="149">
                  <c:v>2450</c:v>
                </c:pt>
                <c:pt idx="150">
                  <c:v>2500</c:v>
                </c:pt>
                <c:pt idx="151">
                  <c:v>2550</c:v>
                </c:pt>
                <c:pt idx="152">
                  <c:v>2600</c:v>
                </c:pt>
                <c:pt idx="153">
                  <c:v>2650</c:v>
                </c:pt>
                <c:pt idx="154">
                  <c:v>2700</c:v>
                </c:pt>
                <c:pt idx="155">
                  <c:v>2750</c:v>
                </c:pt>
                <c:pt idx="156">
                  <c:v>2800</c:v>
                </c:pt>
                <c:pt idx="157">
                  <c:v>2850</c:v>
                </c:pt>
                <c:pt idx="158">
                  <c:v>2900</c:v>
                </c:pt>
                <c:pt idx="159">
                  <c:v>2950</c:v>
                </c:pt>
                <c:pt idx="160">
                  <c:v>3000</c:v>
                </c:pt>
                <c:pt idx="161">
                  <c:v>3050</c:v>
                </c:pt>
                <c:pt idx="162">
                  <c:v>3100</c:v>
                </c:pt>
                <c:pt idx="163">
                  <c:v>3150</c:v>
                </c:pt>
                <c:pt idx="164">
                  <c:v>3200</c:v>
                </c:pt>
                <c:pt idx="165">
                  <c:v>3250</c:v>
                </c:pt>
                <c:pt idx="166">
                  <c:v>3300</c:v>
                </c:pt>
                <c:pt idx="167">
                  <c:v>3350</c:v>
                </c:pt>
                <c:pt idx="168">
                  <c:v>3400</c:v>
                </c:pt>
                <c:pt idx="169">
                  <c:v>3450</c:v>
                </c:pt>
                <c:pt idx="170">
                  <c:v>3500</c:v>
                </c:pt>
                <c:pt idx="171">
                  <c:v>3550</c:v>
                </c:pt>
                <c:pt idx="172">
                  <c:v>3600</c:v>
                </c:pt>
                <c:pt idx="173">
                  <c:v>3650</c:v>
                </c:pt>
                <c:pt idx="174">
                  <c:v>3700</c:v>
                </c:pt>
                <c:pt idx="175">
                  <c:v>3750</c:v>
                </c:pt>
                <c:pt idx="176">
                  <c:v>3800</c:v>
                </c:pt>
                <c:pt idx="177">
                  <c:v>3850</c:v>
                </c:pt>
                <c:pt idx="178">
                  <c:v>3900</c:v>
                </c:pt>
                <c:pt idx="179">
                  <c:v>3950</c:v>
                </c:pt>
                <c:pt idx="180">
                  <c:v>4000</c:v>
                </c:pt>
                <c:pt idx="181">
                  <c:v>4050</c:v>
                </c:pt>
                <c:pt idx="182">
                  <c:v>4100</c:v>
                </c:pt>
                <c:pt idx="183">
                  <c:v>4150</c:v>
                </c:pt>
                <c:pt idx="184">
                  <c:v>4200</c:v>
                </c:pt>
                <c:pt idx="185">
                  <c:v>4250</c:v>
                </c:pt>
                <c:pt idx="186">
                  <c:v>4300</c:v>
                </c:pt>
                <c:pt idx="187">
                  <c:v>4350</c:v>
                </c:pt>
                <c:pt idx="188">
                  <c:v>4400</c:v>
                </c:pt>
                <c:pt idx="189">
                  <c:v>4450</c:v>
                </c:pt>
                <c:pt idx="190">
                  <c:v>4500</c:v>
                </c:pt>
                <c:pt idx="191">
                  <c:v>4550</c:v>
                </c:pt>
                <c:pt idx="192">
                  <c:v>4600</c:v>
                </c:pt>
                <c:pt idx="193">
                  <c:v>4650</c:v>
                </c:pt>
                <c:pt idx="194">
                  <c:v>4700</c:v>
                </c:pt>
                <c:pt idx="195">
                  <c:v>4750</c:v>
                </c:pt>
                <c:pt idx="196">
                  <c:v>4800</c:v>
                </c:pt>
                <c:pt idx="197">
                  <c:v>4850</c:v>
                </c:pt>
                <c:pt idx="198">
                  <c:v>4900</c:v>
                </c:pt>
                <c:pt idx="199">
                  <c:v>4950</c:v>
                </c:pt>
                <c:pt idx="200">
                  <c:v>5000</c:v>
                </c:pt>
              </c:numCache>
            </c:numRef>
          </c:xVal>
          <c:yVal>
            <c:numRef>
              <c:f>'MC Results'!$Y$8:$Y$208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Strategy D</c:v>
          </c:tx>
          <c:marker>
            <c:symbol val="none"/>
          </c:marker>
          <c:xVal>
            <c:numRef>
              <c:f>'MC Results'!$V$8:$V$208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22</c:v>
                </c:pt>
                <c:pt idx="22">
                  <c:v>24</c:v>
                </c:pt>
                <c:pt idx="23">
                  <c:v>26</c:v>
                </c:pt>
                <c:pt idx="24">
                  <c:v>28</c:v>
                </c:pt>
                <c:pt idx="25">
                  <c:v>30</c:v>
                </c:pt>
                <c:pt idx="26">
                  <c:v>32</c:v>
                </c:pt>
                <c:pt idx="27">
                  <c:v>34</c:v>
                </c:pt>
                <c:pt idx="28">
                  <c:v>36</c:v>
                </c:pt>
                <c:pt idx="29">
                  <c:v>38</c:v>
                </c:pt>
                <c:pt idx="30">
                  <c:v>40</c:v>
                </c:pt>
                <c:pt idx="31">
                  <c:v>42</c:v>
                </c:pt>
                <c:pt idx="32">
                  <c:v>44</c:v>
                </c:pt>
                <c:pt idx="33">
                  <c:v>46</c:v>
                </c:pt>
                <c:pt idx="34">
                  <c:v>48</c:v>
                </c:pt>
                <c:pt idx="35">
                  <c:v>50</c:v>
                </c:pt>
                <c:pt idx="36">
                  <c:v>52</c:v>
                </c:pt>
                <c:pt idx="37">
                  <c:v>54</c:v>
                </c:pt>
                <c:pt idx="38">
                  <c:v>56</c:v>
                </c:pt>
                <c:pt idx="39">
                  <c:v>58</c:v>
                </c:pt>
                <c:pt idx="40">
                  <c:v>60</c:v>
                </c:pt>
                <c:pt idx="41">
                  <c:v>62</c:v>
                </c:pt>
                <c:pt idx="42">
                  <c:v>64</c:v>
                </c:pt>
                <c:pt idx="43">
                  <c:v>66</c:v>
                </c:pt>
                <c:pt idx="44">
                  <c:v>68</c:v>
                </c:pt>
                <c:pt idx="45">
                  <c:v>70</c:v>
                </c:pt>
                <c:pt idx="46">
                  <c:v>72</c:v>
                </c:pt>
                <c:pt idx="47">
                  <c:v>74</c:v>
                </c:pt>
                <c:pt idx="48">
                  <c:v>76</c:v>
                </c:pt>
                <c:pt idx="49">
                  <c:v>78</c:v>
                </c:pt>
                <c:pt idx="50">
                  <c:v>80</c:v>
                </c:pt>
                <c:pt idx="51">
                  <c:v>82</c:v>
                </c:pt>
                <c:pt idx="52">
                  <c:v>84</c:v>
                </c:pt>
                <c:pt idx="53">
                  <c:v>86</c:v>
                </c:pt>
                <c:pt idx="54">
                  <c:v>88</c:v>
                </c:pt>
                <c:pt idx="55">
                  <c:v>90</c:v>
                </c:pt>
                <c:pt idx="56">
                  <c:v>92</c:v>
                </c:pt>
                <c:pt idx="57">
                  <c:v>94</c:v>
                </c:pt>
                <c:pt idx="58">
                  <c:v>96</c:v>
                </c:pt>
                <c:pt idx="59">
                  <c:v>98</c:v>
                </c:pt>
                <c:pt idx="60">
                  <c:v>100</c:v>
                </c:pt>
                <c:pt idx="61">
                  <c:v>105</c:v>
                </c:pt>
                <c:pt idx="62">
                  <c:v>110</c:v>
                </c:pt>
                <c:pt idx="63">
                  <c:v>115</c:v>
                </c:pt>
                <c:pt idx="64">
                  <c:v>120</c:v>
                </c:pt>
                <c:pt idx="65">
                  <c:v>125</c:v>
                </c:pt>
                <c:pt idx="66">
                  <c:v>130</c:v>
                </c:pt>
                <c:pt idx="67">
                  <c:v>135</c:v>
                </c:pt>
                <c:pt idx="68">
                  <c:v>140</c:v>
                </c:pt>
                <c:pt idx="69">
                  <c:v>145</c:v>
                </c:pt>
                <c:pt idx="70">
                  <c:v>150</c:v>
                </c:pt>
                <c:pt idx="71">
                  <c:v>155</c:v>
                </c:pt>
                <c:pt idx="72">
                  <c:v>160</c:v>
                </c:pt>
                <c:pt idx="73">
                  <c:v>165</c:v>
                </c:pt>
                <c:pt idx="74">
                  <c:v>170</c:v>
                </c:pt>
                <c:pt idx="75">
                  <c:v>175</c:v>
                </c:pt>
                <c:pt idx="76">
                  <c:v>180</c:v>
                </c:pt>
                <c:pt idx="77">
                  <c:v>185</c:v>
                </c:pt>
                <c:pt idx="78">
                  <c:v>190</c:v>
                </c:pt>
                <c:pt idx="79">
                  <c:v>195</c:v>
                </c:pt>
                <c:pt idx="80">
                  <c:v>200</c:v>
                </c:pt>
                <c:pt idx="81">
                  <c:v>210</c:v>
                </c:pt>
                <c:pt idx="82">
                  <c:v>220</c:v>
                </c:pt>
                <c:pt idx="83">
                  <c:v>230</c:v>
                </c:pt>
                <c:pt idx="84">
                  <c:v>240</c:v>
                </c:pt>
                <c:pt idx="85">
                  <c:v>250</c:v>
                </c:pt>
                <c:pt idx="86">
                  <c:v>260</c:v>
                </c:pt>
                <c:pt idx="87">
                  <c:v>270</c:v>
                </c:pt>
                <c:pt idx="88">
                  <c:v>280</c:v>
                </c:pt>
                <c:pt idx="89">
                  <c:v>290</c:v>
                </c:pt>
                <c:pt idx="90">
                  <c:v>300</c:v>
                </c:pt>
                <c:pt idx="91">
                  <c:v>310</c:v>
                </c:pt>
                <c:pt idx="92">
                  <c:v>320</c:v>
                </c:pt>
                <c:pt idx="93">
                  <c:v>330</c:v>
                </c:pt>
                <c:pt idx="94">
                  <c:v>340</c:v>
                </c:pt>
                <c:pt idx="95">
                  <c:v>350</c:v>
                </c:pt>
                <c:pt idx="96">
                  <c:v>360</c:v>
                </c:pt>
                <c:pt idx="97">
                  <c:v>370</c:v>
                </c:pt>
                <c:pt idx="98">
                  <c:v>380</c:v>
                </c:pt>
                <c:pt idx="99">
                  <c:v>390</c:v>
                </c:pt>
                <c:pt idx="100">
                  <c:v>400</c:v>
                </c:pt>
                <c:pt idx="101">
                  <c:v>410</c:v>
                </c:pt>
                <c:pt idx="102">
                  <c:v>420</c:v>
                </c:pt>
                <c:pt idx="103">
                  <c:v>430</c:v>
                </c:pt>
                <c:pt idx="104">
                  <c:v>440</c:v>
                </c:pt>
                <c:pt idx="105">
                  <c:v>450</c:v>
                </c:pt>
                <c:pt idx="106">
                  <c:v>460</c:v>
                </c:pt>
                <c:pt idx="107">
                  <c:v>470</c:v>
                </c:pt>
                <c:pt idx="108">
                  <c:v>480</c:v>
                </c:pt>
                <c:pt idx="109">
                  <c:v>490</c:v>
                </c:pt>
                <c:pt idx="110">
                  <c:v>500</c:v>
                </c:pt>
                <c:pt idx="111">
                  <c:v>550</c:v>
                </c:pt>
                <c:pt idx="112">
                  <c:v>600</c:v>
                </c:pt>
                <c:pt idx="113">
                  <c:v>650</c:v>
                </c:pt>
                <c:pt idx="114">
                  <c:v>700</c:v>
                </c:pt>
                <c:pt idx="115">
                  <c:v>750</c:v>
                </c:pt>
                <c:pt idx="116">
                  <c:v>800</c:v>
                </c:pt>
                <c:pt idx="117">
                  <c:v>850</c:v>
                </c:pt>
                <c:pt idx="118">
                  <c:v>900</c:v>
                </c:pt>
                <c:pt idx="119">
                  <c:v>950</c:v>
                </c:pt>
                <c:pt idx="120">
                  <c:v>1000</c:v>
                </c:pt>
                <c:pt idx="121">
                  <c:v>1050</c:v>
                </c:pt>
                <c:pt idx="122">
                  <c:v>1100</c:v>
                </c:pt>
                <c:pt idx="123">
                  <c:v>1150</c:v>
                </c:pt>
                <c:pt idx="124">
                  <c:v>1200</c:v>
                </c:pt>
                <c:pt idx="125">
                  <c:v>1250</c:v>
                </c:pt>
                <c:pt idx="126">
                  <c:v>1300</c:v>
                </c:pt>
                <c:pt idx="127">
                  <c:v>1350</c:v>
                </c:pt>
                <c:pt idx="128">
                  <c:v>1400</c:v>
                </c:pt>
                <c:pt idx="129">
                  <c:v>1450</c:v>
                </c:pt>
                <c:pt idx="130">
                  <c:v>1500</c:v>
                </c:pt>
                <c:pt idx="131">
                  <c:v>1550</c:v>
                </c:pt>
                <c:pt idx="132">
                  <c:v>1600</c:v>
                </c:pt>
                <c:pt idx="133">
                  <c:v>1650</c:v>
                </c:pt>
                <c:pt idx="134">
                  <c:v>1700</c:v>
                </c:pt>
                <c:pt idx="135">
                  <c:v>1750</c:v>
                </c:pt>
                <c:pt idx="136">
                  <c:v>1800</c:v>
                </c:pt>
                <c:pt idx="137">
                  <c:v>1850</c:v>
                </c:pt>
                <c:pt idx="138">
                  <c:v>1900</c:v>
                </c:pt>
                <c:pt idx="139">
                  <c:v>1950</c:v>
                </c:pt>
                <c:pt idx="140">
                  <c:v>2000</c:v>
                </c:pt>
                <c:pt idx="141">
                  <c:v>2050</c:v>
                </c:pt>
                <c:pt idx="142">
                  <c:v>2100</c:v>
                </c:pt>
                <c:pt idx="143">
                  <c:v>2150</c:v>
                </c:pt>
                <c:pt idx="144">
                  <c:v>2200</c:v>
                </c:pt>
                <c:pt idx="145">
                  <c:v>2250</c:v>
                </c:pt>
                <c:pt idx="146">
                  <c:v>2300</c:v>
                </c:pt>
                <c:pt idx="147">
                  <c:v>2350</c:v>
                </c:pt>
                <c:pt idx="148">
                  <c:v>2400</c:v>
                </c:pt>
                <c:pt idx="149">
                  <c:v>2450</c:v>
                </c:pt>
                <c:pt idx="150">
                  <c:v>2500</c:v>
                </c:pt>
                <c:pt idx="151">
                  <c:v>2550</c:v>
                </c:pt>
                <c:pt idx="152">
                  <c:v>2600</c:v>
                </c:pt>
                <c:pt idx="153">
                  <c:v>2650</c:v>
                </c:pt>
                <c:pt idx="154">
                  <c:v>2700</c:v>
                </c:pt>
                <c:pt idx="155">
                  <c:v>2750</c:v>
                </c:pt>
                <c:pt idx="156">
                  <c:v>2800</c:v>
                </c:pt>
                <c:pt idx="157">
                  <c:v>2850</c:v>
                </c:pt>
                <c:pt idx="158">
                  <c:v>2900</c:v>
                </c:pt>
                <c:pt idx="159">
                  <c:v>2950</c:v>
                </c:pt>
                <c:pt idx="160">
                  <c:v>3000</c:v>
                </c:pt>
                <c:pt idx="161">
                  <c:v>3050</c:v>
                </c:pt>
                <c:pt idx="162">
                  <c:v>3100</c:v>
                </c:pt>
                <c:pt idx="163">
                  <c:v>3150</c:v>
                </c:pt>
                <c:pt idx="164">
                  <c:v>3200</c:v>
                </c:pt>
                <c:pt idx="165">
                  <c:v>3250</c:v>
                </c:pt>
                <c:pt idx="166">
                  <c:v>3300</c:v>
                </c:pt>
                <c:pt idx="167">
                  <c:v>3350</c:v>
                </c:pt>
                <c:pt idx="168">
                  <c:v>3400</c:v>
                </c:pt>
                <c:pt idx="169">
                  <c:v>3450</c:v>
                </c:pt>
                <c:pt idx="170">
                  <c:v>3500</c:v>
                </c:pt>
                <c:pt idx="171">
                  <c:v>3550</c:v>
                </c:pt>
                <c:pt idx="172">
                  <c:v>3600</c:v>
                </c:pt>
                <c:pt idx="173">
                  <c:v>3650</c:v>
                </c:pt>
                <c:pt idx="174">
                  <c:v>3700</c:v>
                </c:pt>
                <c:pt idx="175">
                  <c:v>3750</c:v>
                </c:pt>
                <c:pt idx="176">
                  <c:v>3800</c:v>
                </c:pt>
                <c:pt idx="177">
                  <c:v>3850</c:v>
                </c:pt>
                <c:pt idx="178">
                  <c:v>3900</c:v>
                </c:pt>
                <c:pt idx="179">
                  <c:v>3950</c:v>
                </c:pt>
                <c:pt idx="180">
                  <c:v>4000</c:v>
                </c:pt>
                <c:pt idx="181">
                  <c:v>4050</c:v>
                </c:pt>
                <c:pt idx="182">
                  <c:v>4100</c:v>
                </c:pt>
                <c:pt idx="183">
                  <c:v>4150</c:v>
                </c:pt>
                <c:pt idx="184">
                  <c:v>4200</c:v>
                </c:pt>
                <c:pt idx="185">
                  <c:v>4250</c:v>
                </c:pt>
                <c:pt idx="186">
                  <c:v>4300</c:v>
                </c:pt>
                <c:pt idx="187">
                  <c:v>4350</c:v>
                </c:pt>
                <c:pt idx="188">
                  <c:v>4400</c:v>
                </c:pt>
                <c:pt idx="189">
                  <c:v>4450</c:v>
                </c:pt>
                <c:pt idx="190">
                  <c:v>4500</c:v>
                </c:pt>
                <c:pt idx="191">
                  <c:v>4550</c:v>
                </c:pt>
                <c:pt idx="192">
                  <c:v>4600</c:v>
                </c:pt>
                <c:pt idx="193">
                  <c:v>4650</c:v>
                </c:pt>
                <c:pt idx="194">
                  <c:v>4700</c:v>
                </c:pt>
                <c:pt idx="195">
                  <c:v>4750</c:v>
                </c:pt>
                <c:pt idx="196">
                  <c:v>4800</c:v>
                </c:pt>
                <c:pt idx="197">
                  <c:v>4850</c:v>
                </c:pt>
                <c:pt idx="198">
                  <c:v>4900</c:v>
                </c:pt>
                <c:pt idx="199">
                  <c:v>4950</c:v>
                </c:pt>
                <c:pt idx="200">
                  <c:v>5000</c:v>
                </c:pt>
              </c:numCache>
            </c:numRef>
          </c:xVal>
          <c:yVal>
            <c:numRef>
              <c:f>'MC Results'!$Z$8:$Z$208</c:f>
              <c:numCache>
                <c:formatCode>General</c:formatCode>
                <c:ptCount val="2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706544"/>
        <c:axId val="1943677712"/>
      </c:scatterChart>
      <c:valAx>
        <c:axId val="1943706544"/>
        <c:scaling>
          <c:logBase val="10"/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sz="1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Ceiling Ratio (Rc)</a:t>
                </a:r>
              </a:p>
            </c:rich>
          </c:tx>
          <c:layout>
            <c:manualLayout>
              <c:xMode val="edge"/>
              <c:yMode val="edge"/>
              <c:x val="0.39576365663322199"/>
              <c:y val="0.903436988543370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3677712"/>
        <c:crosses val="autoZero"/>
        <c:crossBetween val="midCat"/>
      </c:valAx>
      <c:valAx>
        <c:axId val="1943677712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1.2263099219621E-2"/>
              <c:y val="0.19312602291325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37065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0" workbookViewId="0"/>
  </sheetViews>
  <pageMargins left="0.75" right="0.75" top="1" bottom="1" header="0.5" footer="0.5"/>
  <pageSetup orientation="landscape" horizontalDpi="300" verticalDpi="300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68" workbookViewId="0"/>
  </sheetViews>
  <pageMargins left="0.75" right="0.75" top="1" bottom="1" header="0.5" footer="0.5"/>
  <pageSetup orientation="landscape" horizontalDpi="4294967292" verticalDpi="300" r:id="rId1"/>
  <headerFooter alignWithMargins="0"/>
  <drawing r:id="rId2"/>
</chartsheet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30</xdr:row>
      <xdr:rowOff>0</xdr:rowOff>
    </xdr:from>
    <xdr:to>
      <xdr:col>7</xdr:col>
      <xdr:colOff>438150</xdr:colOff>
      <xdr:row>31</xdr:row>
      <xdr:rowOff>171450</xdr:rowOff>
    </xdr:to>
    <xdr:sp macro="[0]!Analysis" textlink="">
      <xdr:nvSpPr>
        <xdr:cNvPr id="2" name="AutoShape 1"/>
        <xdr:cNvSpPr>
          <a:spLocks noChangeArrowheads="1"/>
        </xdr:cNvSpPr>
      </xdr:nvSpPr>
      <xdr:spPr bwMode="auto">
        <a:xfrm>
          <a:off x="2209800" y="5734050"/>
          <a:ext cx="2495550" cy="3619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Run Monte Carlo Simulation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590550</xdr:colOff>
      <xdr:row>4</xdr:row>
      <xdr:rowOff>123826</xdr:rowOff>
    </xdr:from>
    <xdr:to>
      <xdr:col>15</xdr:col>
      <xdr:colOff>38100</xdr:colOff>
      <xdr:row>10</xdr:row>
      <xdr:rowOff>66675</xdr:rowOff>
    </xdr:to>
    <xdr:sp macro="" textlink="">
      <xdr:nvSpPr>
        <xdr:cNvPr id="3" name="TextBox 2"/>
        <xdr:cNvSpPr txBox="1"/>
      </xdr:nvSpPr>
      <xdr:spPr>
        <a:xfrm>
          <a:off x="10858500" y="733426"/>
          <a:ext cx="2495550" cy="10953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* For sensitivity analyses</a:t>
          </a:r>
          <a:r>
            <a:rPr lang="en-US" sz="1100" baseline="0"/>
            <a:t> we can vary the cost, the unit amounts or both. Varying both will introduce lots of uncertainty that will be sometimes difficult to justify so might be better to choose one.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419100</xdr:colOff>
      <xdr:row>3</xdr:row>
      <xdr:rowOff>90488</xdr:rowOff>
    </xdr:from>
    <xdr:to>
      <xdr:col>30</xdr:col>
      <xdr:colOff>409575</xdr:colOff>
      <xdr:row>30</xdr:row>
      <xdr:rowOff>69850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622300</xdr:colOff>
      <xdr:row>9</xdr:row>
      <xdr:rowOff>177800</xdr:rowOff>
    </xdr:from>
    <xdr:to>
      <xdr:col>42</xdr:col>
      <xdr:colOff>622300</xdr:colOff>
      <xdr:row>36</xdr:row>
      <xdr:rowOff>139700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660400</xdr:colOff>
      <xdr:row>36</xdr:row>
      <xdr:rowOff>188910</xdr:rowOff>
    </xdr:from>
    <xdr:to>
      <xdr:col>35</xdr:col>
      <xdr:colOff>660400</xdr:colOff>
      <xdr:row>63</xdr:row>
      <xdr:rowOff>165100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545286" cy="5810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558493" cy="584106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419100</xdr:colOff>
      <xdr:row>1</xdr:row>
      <xdr:rowOff>0</xdr:rowOff>
    </xdr:from>
    <xdr:to>
      <xdr:col>15</xdr:col>
      <xdr:colOff>0</xdr:colOff>
      <xdr:row>2</xdr:row>
      <xdr:rowOff>9525</xdr:rowOff>
    </xdr:to>
    <xdr:sp macro="" textlink="">
      <xdr:nvSpPr>
        <xdr:cNvPr id="7" name="Oval 11"/>
        <xdr:cNvSpPr>
          <a:spLocks noChangeArrowheads="1"/>
        </xdr:cNvSpPr>
      </xdr:nvSpPr>
      <xdr:spPr bwMode="auto">
        <a:xfrm>
          <a:off x="8115300" y="161925"/>
          <a:ext cx="0" cy="1714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0</xdr:colOff>
      <xdr:row>31</xdr:row>
      <xdr:rowOff>0</xdr:rowOff>
    </xdr:to>
    <xdr:sp macro="" textlink="">
      <xdr:nvSpPr>
        <xdr:cNvPr id="49" name="Rectangle 70"/>
        <xdr:cNvSpPr>
          <a:spLocks noChangeArrowheads="1"/>
        </xdr:cNvSpPr>
      </xdr:nvSpPr>
      <xdr:spPr bwMode="auto">
        <a:xfrm>
          <a:off x="209550" y="6153150"/>
          <a:ext cx="1905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66FF" mc:Ignorable="a14" a14:legacySpreadsheetColorIndex="48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A</a:t>
          </a:r>
        </a:p>
      </xdr:txBody>
    </xdr:sp>
    <xdr:clientData/>
  </xdr:twoCellAnchor>
  <xdr:twoCellAnchor>
    <xdr:from>
      <xdr:col>2</xdr:col>
      <xdr:colOff>0</xdr:colOff>
      <xdr:row>30</xdr:row>
      <xdr:rowOff>85725</xdr:rowOff>
    </xdr:from>
    <xdr:to>
      <xdr:col>4</xdr:col>
      <xdr:colOff>0</xdr:colOff>
      <xdr:row>30</xdr:row>
      <xdr:rowOff>85725</xdr:rowOff>
    </xdr:to>
    <xdr:cxnSp macro="">
      <xdr:nvCxnSpPr>
        <xdr:cNvPr id="51" name="AutoShape 73"/>
        <xdr:cNvCxnSpPr>
          <a:cxnSpLocks noChangeShapeType="1"/>
          <a:stCxn id="49" idx="3"/>
        </xdr:cNvCxnSpPr>
      </xdr:nvCxnSpPr>
      <xdr:spPr bwMode="auto">
        <a:xfrm>
          <a:off x="400050" y="6238875"/>
          <a:ext cx="142875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95250</xdr:colOff>
      <xdr:row>16</xdr:row>
      <xdr:rowOff>89806</xdr:rowOff>
    </xdr:from>
    <xdr:to>
      <xdr:col>9</xdr:col>
      <xdr:colOff>0</xdr:colOff>
      <xdr:row>16</xdr:row>
      <xdr:rowOff>89806</xdr:rowOff>
    </xdr:to>
    <xdr:cxnSp macro="">
      <xdr:nvCxnSpPr>
        <xdr:cNvPr id="5" name="Straight Connector 4"/>
        <xdr:cNvCxnSpPr/>
      </xdr:nvCxnSpPr>
      <xdr:spPr>
        <a:xfrm>
          <a:off x="1932214" y="4171949"/>
          <a:ext cx="363310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77561</xdr:colOff>
      <xdr:row>25</xdr:row>
      <xdr:rowOff>77561</xdr:rowOff>
    </xdr:from>
    <xdr:to>
      <xdr:col>8</xdr:col>
      <xdr:colOff>703489</xdr:colOff>
      <xdr:row>25</xdr:row>
      <xdr:rowOff>77561</xdr:rowOff>
    </xdr:to>
    <xdr:cxnSp macro="">
      <xdr:nvCxnSpPr>
        <xdr:cNvPr id="20" name="Straight Connector 19"/>
        <xdr:cNvCxnSpPr/>
      </xdr:nvCxnSpPr>
      <xdr:spPr>
        <a:xfrm>
          <a:off x="1914525" y="5629275"/>
          <a:ext cx="363310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104775</xdr:colOff>
      <xdr:row>34</xdr:row>
      <xdr:rowOff>99332</xdr:rowOff>
    </xdr:from>
    <xdr:to>
      <xdr:col>9</xdr:col>
      <xdr:colOff>9525</xdr:colOff>
      <xdr:row>34</xdr:row>
      <xdr:rowOff>99332</xdr:rowOff>
    </xdr:to>
    <xdr:cxnSp macro="">
      <xdr:nvCxnSpPr>
        <xdr:cNvPr id="21" name="Straight Connector 20"/>
        <xdr:cNvCxnSpPr/>
      </xdr:nvCxnSpPr>
      <xdr:spPr>
        <a:xfrm>
          <a:off x="1941739" y="7120618"/>
          <a:ext cx="363310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10886</xdr:rowOff>
    </xdr:to>
    <xdr:sp macro="" textlink="">
      <xdr:nvSpPr>
        <xdr:cNvPr id="34" name="Oval 41"/>
        <xdr:cNvSpPr>
          <a:spLocks noChangeArrowheads="1"/>
        </xdr:cNvSpPr>
      </xdr:nvSpPr>
      <xdr:spPr bwMode="auto">
        <a:xfrm>
          <a:off x="5565321" y="816429"/>
          <a:ext cx="190500" cy="174171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9</xdr:col>
      <xdr:colOff>95250</xdr:colOff>
      <xdr:row>4</xdr:row>
      <xdr:rowOff>81644</xdr:rowOff>
    </xdr:from>
    <xdr:to>
      <xdr:col>13</xdr:col>
      <xdr:colOff>0</xdr:colOff>
      <xdr:row>6</xdr:row>
      <xdr:rowOff>149679</xdr:rowOff>
    </xdr:to>
    <xdr:cxnSp macro="">
      <xdr:nvCxnSpPr>
        <xdr:cNvPr id="9" name="Elbow Connector 8"/>
        <xdr:cNvCxnSpPr/>
      </xdr:nvCxnSpPr>
      <xdr:spPr>
        <a:xfrm rot="5400000" flipH="1" flipV="1">
          <a:off x="6728732" y="1136197"/>
          <a:ext cx="394607" cy="2530929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7" name="AutoShape 28"/>
        <xdr:cNvSpPr>
          <a:spLocks noChangeArrowheads="1"/>
        </xdr:cNvSpPr>
      </xdr:nvSpPr>
      <xdr:spPr bwMode="auto">
        <a:xfrm rot="-5400000">
          <a:off x="8205107" y="2109107"/>
          <a:ext cx="16328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95251</xdr:colOff>
      <xdr:row>8</xdr:row>
      <xdr:rowOff>10885</xdr:rowOff>
    </xdr:from>
    <xdr:to>
      <xdr:col>13</xdr:col>
      <xdr:colOff>13608</xdr:colOff>
      <xdr:row>10</xdr:row>
      <xdr:rowOff>81642</xdr:rowOff>
    </xdr:to>
    <xdr:cxnSp macro="">
      <xdr:nvCxnSpPr>
        <xdr:cNvPr id="11" name="Elbow Connector 10"/>
        <xdr:cNvCxnSpPr>
          <a:stCxn id="34" idx="4"/>
          <a:endCxn id="40" idx="0"/>
        </xdr:cNvCxnSpPr>
      </xdr:nvCxnSpPr>
      <xdr:spPr>
        <a:xfrm rot="16200000" flipH="1">
          <a:off x="6734175" y="1713139"/>
          <a:ext cx="397329" cy="2544536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13607</xdr:colOff>
      <xdr:row>10</xdr:row>
      <xdr:rowOff>0</xdr:rowOff>
    </xdr:from>
    <xdr:to>
      <xdr:col>14</xdr:col>
      <xdr:colOff>13607</xdr:colOff>
      <xdr:row>11</xdr:row>
      <xdr:rowOff>1</xdr:rowOff>
    </xdr:to>
    <xdr:sp macro="" textlink="">
      <xdr:nvSpPr>
        <xdr:cNvPr id="40" name="AutoShape 28"/>
        <xdr:cNvSpPr>
          <a:spLocks noChangeArrowheads="1"/>
        </xdr:cNvSpPr>
      </xdr:nvSpPr>
      <xdr:spPr bwMode="auto">
        <a:xfrm rot="-5400000">
          <a:off x="8218714" y="3088822"/>
          <a:ext cx="16328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10886</xdr:rowOff>
    </xdr:to>
    <xdr:sp macro="" textlink="">
      <xdr:nvSpPr>
        <xdr:cNvPr id="52" name="Oval 41"/>
        <xdr:cNvSpPr>
          <a:spLocks noChangeArrowheads="1"/>
        </xdr:cNvSpPr>
      </xdr:nvSpPr>
      <xdr:spPr bwMode="auto">
        <a:xfrm>
          <a:off x="5565321" y="2612571"/>
          <a:ext cx="190500" cy="174172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9</xdr:col>
      <xdr:colOff>95250</xdr:colOff>
      <xdr:row>13</xdr:row>
      <xdr:rowOff>81644</xdr:rowOff>
    </xdr:from>
    <xdr:to>
      <xdr:col>13</xdr:col>
      <xdr:colOff>0</xdr:colOff>
      <xdr:row>15</xdr:row>
      <xdr:rowOff>149679</xdr:rowOff>
    </xdr:to>
    <xdr:cxnSp macro="">
      <xdr:nvCxnSpPr>
        <xdr:cNvPr id="53" name="Elbow Connector 52"/>
        <xdr:cNvCxnSpPr/>
      </xdr:nvCxnSpPr>
      <xdr:spPr>
        <a:xfrm rot="5400000" flipH="1" flipV="1">
          <a:off x="6633482" y="1231447"/>
          <a:ext cx="394607" cy="2340429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14</xdr:row>
      <xdr:rowOff>0</xdr:rowOff>
    </xdr:to>
    <xdr:sp macro="" textlink="">
      <xdr:nvSpPr>
        <xdr:cNvPr id="54" name="AutoShape 28"/>
        <xdr:cNvSpPr>
          <a:spLocks noChangeArrowheads="1"/>
        </xdr:cNvSpPr>
      </xdr:nvSpPr>
      <xdr:spPr bwMode="auto">
        <a:xfrm rot="-5400000">
          <a:off x="8014607" y="2109107"/>
          <a:ext cx="16328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95251</xdr:colOff>
      <xdr:row>17</xdr:row>
      <xdr:rowOff>10885</xdr:rowOff>
    </xdr:from>
    <xdr:to>
      <xdr:col>13</xdr:col>
      <xdr:colOff>13608</xdr:colOff>
      <xdr:row>19</xdr:row>
      <xdr:rowOff>81642</xdr:rowOff>
    </xdr:to>
    <xdr:cxnSp macro="">
      <xdr:nvCxnSpPr>
        <xdr:cNvPr id="55" name="Elbow Connector 54"/>
        <xdr:cNvCxnSpPr>
          <a:stCxn id="52" idx="4"/>
          <a:endCxn id="56" idx="0"/>
        </xdr:cNvCxnSpPr>
      </xdr:nvCxnSpPr>
      <xdr:spPr>
        <a:xfrm rot="16200000" flipH="1">
          <a:off x="6638925" y="1808389"/>
          <a:ext cx="397329" cy="2354036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13607</xdr:colOff>
      <xdr:row>19</xdr:row>
      <xdr:rowOff>0</xdr:rowOff>
    </xdr:from>
    <xdr:to>
      <xdr:col>14</xdr:col>
      <xdr:colOff>13607</xdr:colOff>
      <xdr:row>20</xdr:row>
      <xdr:rowOff>1</xdr:rowOff>
    </xdr:to>
    <xdr:sp macro="" textlink="">
      <xdr:nvSpPr>
        <xdr:cNvPr id="56" name="AutoShape 28"/>
        <xdr:cNvSpPr>
          <a:spLocks noChangeArrowheads="1"/>
        </xdr:cNvSpPr>
      </xdr:nvSpPr>
      <xdr:spPr bwMode="auto">
        <a:xfrm rot="-5400000">
          <a:off x="8028214" y="3088822"/>
          <a:ext cx="16328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10886</xdr:rowOff>
    </xdr:to>
    <xdr:sp macro="" textlink="">
      <xdr:nvSpPr>
        <xdr:cNvPr id="57" name="Oval 41"/>
        <xdr:cNvSpPr>
          <a:spLocks noChangeArrowheads="1"/>
        </xdr:cNvSpPr>
      </xdr:nvSpPr>
      <xdr:spPr bwMode="auto">
        <a:xfrm>
          <a:off x="5565321" y="2612571"/>
          <a:ext cx="190500" cy="174172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9</xdr:col>
      <xdr:colOff>95250</xdr:colOff>
      <xdr:row>22</xdr:row>
      <xdr:rowOff>81644</xdr:rowOff>
    </xdr:from>
    <xdr:to>
      <xdr:col>13</xdr:col>
      <xdr:colOff>0</xdr:colOff>
      <xdr:row>24</xdr:row>
      <xdr:rowOff>149679</xdr:rowOff>
    </xdr:to>
    <xdr:cxnSp macro="">
      <xdr:nvCxnSpPr>
        <xdr:cNvPr id="59" name="Elbow Connector 58"/>
        <xdr:cNvCxnSpPr/>
      </xdr:nvCxnSpPr>
      <xdr:spPr>
        <a:xfrm rot="5400000" flipH="1" flipV="1">
          <a:off x="6633482" y="1231447"/>
          <a:ext cx="394607" cy="2340429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23</xdr:row>
      <xdr:rowOff>0</xdr:rowOff>
    </xdr:to>
    <xdr:sp macro="" textlink="">
      <xdr:nvSpPr>
        <xdr:cNvPr id="62" name="AutoShape 28"/>
        <xdr:cNvSpPr>
          <a:spLocks noChangeArrowheads="1"/>
        </xdr:cNvSpPr>
      </xdr:nvSpPr>
      <xdr:spPr bwMode="auto">
        <a:xfrm rot="-5400000">
          <a:off x="8014607" y="2109107"/>
          <a:ext cx="16328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95251</xdr:colOff>
      <xdr:row>26</xdr:row>
      <xdr:rowOff>10885</xdr:rowOff>
    </xdr:from>
    <xdr:to>
      <xdr:col>13</xdr:col>
      <xdr:colOff>13608</xdr:colOff>
      <xdr:row>28</xdr:row>
      <xdr:rowOff>81642</xdr:rowOff>
    </xdr:to>
    <xdr:cxnSp macro="">
      <xdr:nvCxnSpPr>
        <xdr:cNvPr id="63" name="Elbow Connector 62"/>
        <xdr:cNvCxnSpPr>
          <a:stCxn id="57" idx="4"/>
          <a:endCxn id="64" idx="0"/>
        </xdr:cNvCxnSpPr>
      </xdr:nvCxnSpPr>
      <xdr:spPr>
        <a:xfrm rot="16200000" flipH="1">
          <a:off x="6638925" y="1808389"/>
          <a:ext cx="397329" cy="2354036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13607</xdr:colOff>
      <xdr:row>28</xdr:row>
      <xdr:rowOff>0</xdr:rowOff>
    </xdr:from>
    <xdr:to>
      <xdr:col>14</xdr:col>
      <xdr:colOff>13607</xdr:colOff>
      <xdr:row>29</xdr:row>
      <xdr:rowOff>1</xdr:rowOff>
    </xdr:to>
    <xdr:sp macro="" textlink="">
      <xdr:nvSpPr>
        <xdr:cNvPr id="64" name="AutoShape 28"/>
        <xdr:cNvSpPr>
          <a:spLocks noChangeArrowheads="1"/>
        </xdr:cNvSpPr>
      </xdr:nvSpPr>
      <xdr:spPr bwMode="auto">
        <a:xfrm rot="-5400000">
          <a:off x="8028214" y="3088822"/>
          <a:ext cx="16328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10886</xdr:rowOff>
    </xdr:to>
    <xdr:sp macro="" textlink="">
      <xdr:nvSpPr>
        <xdr:cNvPr id="65" name="Oval 41"/>
        <xdr:cNvSpPr>
          <a:spLocks noChangeArrowheads="1"/>
        </xdr:cNvSpPr>
      </xdr:nvSpPr>
      <xdr:spPr bwMode="auto">
        <a:xfrm>
          <a:off x="5565321" y="2612571"/>
          <a:ext cx="190500" cy="174172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9</xdr:col>
      <xdr:colOff>95250</xdr:colOff>
      <xdr:row>31</xdr:row>
      <xdr:rowOff>81644</xdr:rowOff>
    </xdr:from>
    <xdr:to>
      <xdr:col>13</xdr:col>
      <xdr:colOff>0</xdr:colOff>
      <xdr:row>33</xdr:row>
      <xdr:rowOff>149679</xdr:rowOff>
    </xdr:to>
    <xdr:cxnSp macro="">
      <xdr:nvCxnSpPr>
        <xdr:cNvPr id="66" name="Elbow Connector 65"/>
        <xdr:cNvCxnSpPr/>
      </xdr:nvCxnSpPr>
      <xdr:spPr>
        <a:xfrm rot="5400000" flipH="1" flipV="1">
          <a:off x="6633482" y="1231447"/>
          <a:ext cx="394607" cy="2340429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31</xdr:row>
      <xdr:rowOff>0</xdr:rowOff>
    </xdr:from>
    <xdr:to>
      <xdr:col>14</xdr:col>
      <xdr:colOff>0</xdr:colOff>
      <xdr:row>32</xdr:row>
      <xdr:rowOff>0</xdr:rowOff>
    </xdr:to>
    <xdr:sp macro="" textlink="">
      <xdr:nvSpPr>
        <xdr:cNvPr id="67" name="AutoShape 28"/>
        <xdr:cNvSpPr>
          <a:spLocks noChangeArrowheads="1"/>
        </xdr:cNvSpPr>
      </xdr:nvSpPr>
      <xdr:spPr bwMode="auto">
        <a:xfrm rot="-5400000">
          <a:off x="8014607" y="2109107"/>
          <a:ext cx="16328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95251</xdr:colOff>
      <xdr:row>35</xdr:row>
      <xdr:rowOff>10885</xdr:rowOff>
    </xdr:from>
    <xdr:to>
      <xdr:col>13</xdr:col>
      <xdr:colOff>13608</xdr:colOff>
      <xdr:row>37</xdr:row>
      <xdr:rowOff>81642</xdr:rowOff>
    </xdr:to>
    <xdr:cxnSp macro="">
      <xdr:nvCxnSpPr>
        <xdr:cNvPr id="68" name="Elbow Connector 67"/>
        <xdr:cNvCxnSpPr>
          <a:stCxn id="65" idx="4"/>
          <a:endCxn id="69" idx="0"/>
        </xdr:cNvCxnSpPr>
      </xdr:nvCxnSpPr>
      <xdr:spPr>
        <a:xfrm rot="16200000" flipH="1">
          <a:off x="6638925" y="1808389"/>
          <a:ext cx="397329" cy="2354036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13607</xdr:colOff>
      <xdr:row>37</xdr:row>
      <xdr:rowOff>0</xdr:rowOff>
    </xdr:from>
    <xdr:to>
      <xdr:col>14</xdr:col>
      <xdr:colOff>13607</xdr:colOff>
      <xdr:row>38</xdr:row>
      <xdr:rowOff>1</xdr:rowOff>
    </xdr:to>
    <xdr:sp macro="" textlink="">
      <xdr:nvSpPr>
        <xdr:cNvPr id="69" name="AutoShape 28"/>
        <xdr:cNvSpPr>
          <a:spLocks noChangeArrowheads="1"/>
        </xdr:cNvSpPr>
      </xdr:nvSpPr>
      <xdr:spPr bwMode="auto">
        <a:xfrm rot="-5400000">
          <a:off x="8028214" y="3088822"/>
          <a:ext cx="16328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95250</xdr:colOff>
      <xdr:row>24</xdr:row>
      <xdr:rowOff>-1</xdr:rowOff>
    </xdr:from>
    <xdr:to>
      <xdr:col>9</xdr:col>
      <xdr:colOff>0</xdr:colOff>
      <xdr:row>43</xdr:row>
      <xdr:rowOff>81642</xdr:rowOff>
    </xdr:to>
    <xdr:cxnSp macro="">
      <xdr:nvCxnSpPr>
        <xdr:cNvPr id="38" name="Elbow Connector 37"/>
        <xdr:cNvCxnSpPr/>
      </xdr:nvCxnSpPr>
      <xdr:spPr>
        <a:xfrm rot="16200000" flipH="1">
          <a:off x="2156732" y="5163910"/>
          <a:ext cx="3184071" cy="363310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30</xdr:row>
      <xdr:rowOff>1</xdr:rowOff>
    </xdr:from>
    <xdr:to>
      <xdr:col>5</xdr:col>
      <xdr:colOff>0</xdr:colOff>
      <xdr:row>31</xdr:row>
      <xdr:rowOff>1</xdr:rowOff>
    </xdr:to>
    <xdr:sp macro="" textlink="">
      <xdr:nvSpPr>
        <xdr:cNvPr id="81" name="Oval 72"/>
        <xdr:cNvSpPr>
          <a:spLocks noChangeArrowheads="1"/>
        </xdr:cNvSpPr>
      </xdr:nvSpPr>
      <xdr:spPr bwMode="auto">
        <a:xfrm>
          <a:off x="1836964" y="6368144"/>
          <a:ext cx="190500" cy="1632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4</xdr:col>
      <xdr:colOff>95250</xdr:colOff>
      <xdr:row>7</xdr:row>
      <xdr:rowOff>87087</xdr:rowOff>
    </xdr:from>
    <xdr:to>
      <xdr:col>9</xdr:col>
      <xdr:colOff>0</xdr:colOff>
      <xdr:row>30</xdr:row>
      <xdr:rowOff>2</xdr:rowOff>
    </xdr:to>
    <xdr:cxnSp macro="">
      <xdr:nvCxnSpPr>
        <xdr:cNvPr id="84" name="Elbow Connector 83"/>
        <xdr:cNvCxnSpPr>
          <a:stCxn id="81" idx="0"/>
          <a:endCxn id="34" idx="2"/>
        </xdr:cNvCxnSpPr>
      </xdr:nvCxnSpPr>
      <xdr:spPr>
        <a:xfrm rot="5400000" flipH="1" flipV="1">
          <a:off x="1914524" y="2717348"/>
          <a:ext cx="3668487" cy="363310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5" name="AutoShape 28"/>
        <xdr:cNvSpPr>
          <a:spLocks noChangeArrowheads="1"/>
        </xdr:cNvSpPr>
      </xdr:nvSpPr>
      <xdr:spPr bwMode="auto">
        <a:xfrm rot="-5400000">
          <a:off x="5578928" y="8477250"/>
          <a:ext cx="16328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10886</xdr:rowOff>
    </xdr:to>
    <xdr:sp macro="" textlink="">
      <xdr:nvSpPr>
        <xdr:cNvPr id="86" name="Oval 41"/>
        <xdr:cNvSpPr>
          <a:spLocks noChangeArrowheads="1"/>
        </xdr:cNvSpPr>
      </xdr:nvSpPr>
      <xdr:spPr bwMode="auto">
        <a:xfrm>
          <a:off x="5565321" y="7021286"/>
          <a:ext cx="190500" cy="174171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9</xdr:col>
      <xdr:colOff>95250</xdr:colOff>
      <xdr:row>40</xdr:row>
      <xdr:rowOff>81644</xdr:rowOff>
    </xdr:from>
    <xdr:to>
      <xdr:col>13</xdr:col>
      <xdr:colOff>0</xdr:colOff>
      <xdr:row>42</xdr:row>
      <xdr:rowOff>149679</xdr:rowOff>
    </xdr:to>
    <xdr:cxnSp macro="">
      <xdr:nvCxnSpPr>
        <xdr:cNvPr id="87" name="Elbow Connector 86"/>
        <xdr:cNvCxnSpPr/>
      </xdr:nvCxnSpPr>
      <xdr:spPr>
        <a:xfrm rot="5400000" flipH="1" flipV="1">
          <a:off x="6633483" y="5640161"/>
          <a:ext cx="394606" cy="2340429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40</xdr:row>
      <xdr:rowOff>0</xdr:rowOff>
    </xdr:from>
    <xdr:to>
      <xdr:col>14</xdr:col>
      <xdr:colOff>0</xdr:colOff>
      <xdr:row>41</xdr:row>
      <xdr:rowOff>0</xdr:rowOff>
    </xdr:to>
    <xdr:sp macro="" textlink="">
      <xdr:nvSpPr>
        <xdr:cNvPr id="88" name="AutoShape 28"/>
        <xdr:cNvSpPr>
          <a:spLocks noChangeArrowheads="1"/>
        </xdr:cNvSpPr>
      </xdr:nvSpPr>
      <xdr:spPr bwMode="auto">
        <a:xfrm rot="-5400000">
          <a:off x="8014607" y="6517822"/>
          <a:ext cx="163285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95251</xdr:colOff>
      <xdr:row>44</xdr:row>
      <xdr:rowOff>10885</xdr:rowOff>
    </xdr:from>
    <xdr:to>
      <xdr:col>13</xdr:col>
      <xdr:colOff>13608</xdr:colOff>
      <xdr:row>46</xdr:row>
      <xdr:rowOff>81642</xdr:rowOff>
    </xdr:to>
    <xdr:cxnSp macro="">
      <xdr:nvCxnSpPr>
        <xdr:cNvPr id="89" name="Elbow Connector 88"/>
        <xdr:cNvCxnSpPr>
          <a:stCxn id="86" idx="4"/>
          <a:endCxn id="90" idx="0"/>
        </xdr:cNvCxnSpPr>
      </xdr:nvCxnSpPr>
      <xdr:spPr>
        <a:xfrm rot="16200000" flipH="1">
          <a:off x="6638925" y="6217103"/>
          <a:ext cx="397329" cy="2354036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13607</xdr:colOff>
      <xdr:row>46</xdr:row>
      <xdr:rowOff>0</xdr:rowOff>
    </xdr:from>
    <xdr:to>
      <xdr:col>14</xdr:col>
      <xdr:colOff>13607</xdr:colOff>
      <xdr:row>47</xdr:row>
      <xdr:rowOff>1</xdr:rowOff>
    </xdr:to>
    <xdr:sp macro="" textlink="">
      <xdr:nvSpPr>
        <xdr:cNvPr id="90" name="AutoShape 28"/>
        <xdr:cNvSpPr>
          <a:spLocks noChangeArrowheads="1"/>
        </xdr:cNvSpPr>
      </xdr:nvSpPr>
      <xdr:spPr bwMode="auto">
        <a:xfrm rot="-5400000">
          <a:off x="8028213" y="7497537"/>
          <a:ext cx="163287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93" name="AutoShape 28"/>
        <xdr:cNvSpPr>
          <a:spLocks noChangeArrowheads="1"/>
        </xdr:cNvSpPr>
      </xdr:nvSpPr>
      <xdr:spPr bwMode="auto">
        <a:xfrm rot="-5400000">
          <a:off x="5578928" y="8477250"/>
          <a:ext cx="16328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95250</xdr:colOff>
      <xdr:row>43</xdr:row>
      <xdr:rowOff>81643</xdr:rowOff>
    </xdr:from>
    <xdr:to>
      <xdr:col>9</xdr:col>
      <xdr:colOff>0</xdr:colOff>
      <xdr:row>52</xdr:row>
      <xdr:rowOff>81643</xdr:rowOff>
    </xdr:to>
    <xdr:cxnSp macro="">
      <xdr:nvCxnSpPr>
        <xdr:cNvPr id="100" name="Elbow Connector 99"/>
        <xdr:cNvCxnSpPr>
          <a:endCxn id="93" idx="0"/>
        </xdr:cNvCxnSpPr>
      </xdr:nvCxnSpPr>
      <xdr:spPr>
        <a:xfrm>
          <a:off x="1932214" y="8572500"/>
          <a:ext cx="3633107" cy="1469572"/>
        </a:xfrm>
        <a:prstGeom prst="bentConnector3">
          <a:avLst>
            <a:gd name="adj1" fmla="val -43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61</xdr:row>
      <xdr:rowOff>76200</xdr:rowOff>
    </xdr:from>
    <xdr:to>
      <xdr:col>3</xdr:col>
      <xdr:colOff>95251</xdr:colOff>
      <xdr:row>83</xdr:row>
      <xdr:rowOff>68036</xdr:rowOff>
    </xdr:to>
    <xdr:cxnSp macro="">
      <xdr:nvCxnSpPr>
        <xdr:cNvPr id="2" name="Straight Connector 1"/>
        <xdr:cNvCxnSpPr/>
      </xdr:nvCxnSpPr>
      <xdr:spPr>
        <a:xfrm flipV="1">
          <a:off x="1924051" y="7524750"/>
          <a:ext cx="0" cy="35541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112568</xdr:colOff>
      <xdr:row>111</xdr:row>
      <xdr:rowOff>173182</xdr:rowOff>
    </xdr:from>
    <xdr:to>
      <xdr:col>8</xdr:col>
      <xdr:colOff>17318</xdr:colOff>
      <xdr:row>131</xdr:row>
      <xdr:rowOff>58882</xdr:rowOff>
    </xdr:to>
    <xdr:cxnSp macro="">
      <xdr:nvCxnSpPr>
        <xdr:cNvPr id="4" name="AutoShape 67"/>
        <xdr:cNvCxnSpPr>
          <a:cxnSpLocks noChangeShapeType="1"/>
        </xdr:cNvCxnSpPr>
      </xdr:nvCxnSpPr>
      <xdr:spPr bwMode="auto">
        <a:xfrm rot="16200000" flipH="1">
          <a:off x="1351684" y="29327475"/>
          <a:ext cx="3695700" cy="2537114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95251</xdr:colOff>
      <xdr:row>61</xdr:row>
      <xdr:rowOff>76200</xdr:rowOff>
    </xdr:from>
    <xdr:to>
      <xdr:col>8</xdr:col>
      <xdr:colOff>1</xdr:colOff>
      <xdr:row>76</xdr:row>
      <xdr:rowOff>152400</xdr:rowOff>
    </xdr:to>
    <xdr:cxnSp macro="">
      <xdr:nvCxnSpPr>
        <xdr:cNvPr id="5" name="AutoShape 68"/>
        <xdr:cNvCxnSpPr>
          <a:cxnSpLocks noChangeShapeType="1"/>
        </xdr:cNvCxnSpPr>
      </xdr:nvCxnSpPr>
      <xdr:spPr bwMode="auto">
        <a:xfrm rot="16200000">
          <a:off x="2147888" y="7300913"/>
          <a:ext cx="2505075" cy="2952750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0</xdr:colOff>
      <xdr:row>94</xdr:row>
      <xdr:rowOff>0</xdr:rowOff>
    </xdr:from>
    <xdr:to>
      <xdr:col>1</xdr:col>
      <xdr:colOff>0</xdr:colOff>
      <xdr:row>95</xdr:row>
      <xdr:rowOff>0</xdr:rowOff>
    </xdr:to>
    <xdr:sp macro="" textlink="">
      <xdr:nvSpPr>
        <xdr:cNvPr id="6" name="Rectangle 70"/>
        <xdr:cNvSpPr>
          <a:spLocks noChangeArrowheads="1"/>
        </xdr:cNvSpPr>
      </xdr:nvSpPr>
      <xdr:spPr bwMode="auto">
        <a:xfrm>
          <a:off x="0" y="15240000"/>
          <a:ext cx="61912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66FF" mc:Ignorable="a14" a14:legacySpreadsheetColorIndex="48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</a:t>
          </a:r>
        </a:p>
      </xdr:txBody>
    </xdr:sp>
    <xdr:clientData/>
  </xdr:twoCellAnchor>
  <xdr:twoCellAnchor>
    <xdr:from>
      <xdr:col>3</xdr:col>
      <xdr:colOff>0</xdr:colOff>
      <xdr:row>94</xdr:row>
      <xdr:rowOff>0</xdr:rowOff>
    </xdr:from>
    <xdr:to>
      <xdr:col>4</xdr:col>
      <xdr:colOff>0</xdr:colOff>
      <xdr:row>95</xdr:row>
      <xdr:rowOff>0</xdr:rowOff>
    </xdr:to>
    <xdr:sp macro="" textlink="">
      <xdr:nvSpPr>
        <xdr:cNvPr id="7" name="Oval 72"/>
        <xdr:cNvSpPr>
          <a:spLocks noChangeArrowheads="1"/>
        </xdr:cNvSpPr>
      </xdr:nvSpPr>
      <xdr:spPr bwMode="auto">
        <a:xfrm>
          <a:off x="1828800" y="10525125"/>
          <a:ext cx="190500" cy="1619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94</xdr:row>
      <xdr:rowOff>85725</xdr:rowOff>
    </xdr:from>
    <xdr:to>
      <xdr:col>3</xdr:col>
      <xdr:colOff>0</xdr:colOff>
      <xdr:row>94</xdr:row>
      <xdr:rowOff>85725</xdr:rowOff>
    </xdr:to>
    <xdr:cxnSp macro="">
      <xdr:nvCxnSpPr>
        <xdr:cNvPr id="8" name="AutoShape 73"/>
        <xdr:cNvCxnSpPr>
          <a:cxnSpLocks noChangeShapeType="1"/>
          <a:stCxn id="6" idx="3"/>
          <a:endCxn id="7" idx="2"/>
        </xdr:cNvCxnSpPr>
      </xdr:nvCxnSpPr>
      <xdr:spPr bwMode="auto">
        <a:xfrm>
          <a:off x="400050" y="10610850"/>
          <a:ext cx="142875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13607</xdr:colOff>
      <xdr:row>61</xdr:row>
      <xdr:rowOff>0</xdr:rowOff>
    </xdr:from>
    <xdr:to>
      <xdr:col>9</xdr:col>
      <xdr:colOff>13607</xdr:colOff>
      <xdr:row>62</xdr:row>
      <xdr:rowOff>10885</xdr:rowOff>
    </xdr:to>
    <xdr:sp macro="" textlink="">
      <xdr:nvSpPr>
        <xdr:cNvPr id="9" name="Oval 41"/>
        <xdr:cNvSpPr>
          <a:spLocks noChangeArrowheads="1"/>
        </xdr:cNvSpPr>
      </xdr:nvSpPr>
      <xdr:spPr bwMode="auto">
        <a:xfrm>
          <a:off x="4890407" y="7448550"/>
          <a:ext cx="190500" cy="17281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8</xdr:col>
      <xdr:colOff>95252</xdr:colOff>
      <xdr:row>56</xdr:row>
      <xdr:rowOff>22414</xdr:rowOff>
    </xdr:from>
    <xdr:to>
      <xdr:col>13</xdr:col>
      <xdr:colOff>2</xdr:colOff>
      <xdr:row>64</xdr:row>
      <xdr:rowOff>98614</xdr:rowOff>
    </xdr:to>
    <xdr:cxnSp macro="">
      <xdr:nvCxnSpPr>
        <xdr:cNvPr id="25" name="AutoShape 42"/>
        <xdr:cNvCxnSpPr>
          <a:cxnSpLocks noChangeShapeType="1"/>
        </xdr:cNvCxnSpPr>
      </xdr:nvCxnSpPr>
      <xdr:spPr bwMode="auto">
        <a:xfrm rot="16200000" flipH="1">
          <a:off x="5007351" y="10215844"/>
          <a:ext cx="1600200" cy="2549339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95251</xdr:colOff>
      <xdr:row>30</xdr:row>
      <xdr:rowOff>87407</xdr:rowOff>
    </xdr:from>
    <xdr:to>
      <xdr:col>13</xdr:col>
      <xdr:colOff>1</xdr:colOff>
      <xdr:row>38</xdr:row>
      <xdr:rowOff>163607</xdr:rowOff>
    </xdr:to>
    <xdr:cxnSp macro="">
      <xdr:nvCxnSpPr>
        <xdr:cNvPr id="26" name="AutoShape 43"/>
        <xdr:cNvCxnSpPr>
          <a:cxnSpLocks noChangeShapeType="1"/>
        </xdr:cNvCxnSpPr>
      </xdr:nvCxnSpPr>
      <xdr:spPr bwMode="auto">
        <a:xfrm rot="16200000">
          <a:off x="5007350" y="12757337"/>
          <a:ext cx="1600200" cy="2549339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106455</xdr:colOff>
      <xdr:row>37</xdr:row>
      <xdr:rowOff>89649</xdr:rowOff>
    </xdr:from>
    <xdr:to>
      <xdr:col>8</xdr:col>
      <xdr:colOff>106455</xdr:colOff>
      <xdr:row>60</xdr:row>
      <xdr:rowOff>22412</xdr:rowOff>
    </xdr:to>
    <xdr:cxnSp macro="">
      <xdr:nvCxnSpPr>
        <xdr:cNvPr id="28" name="Straight Connector 27"/>
        <xdr:cNvCxnSpPr/>
      </xdr:nvCxnSpPr>
      <xdr:spPr>
        <a:xfrm flipV="1">
          <a:off x="4543984" y="7138149"/>
          <a:ext cx="0" cy="43142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29" name="Oval 72"/>
        <xdr:cNvSpPr>
          <a:spLocks noChangeArrowheads="1"/>
        </xdr:cNvSpPr>
      </xdr:nvSpPr>
      <xdr:spPr bwMode="auto">
        <a:xfrm>
          <a:off x="7082118" y="13144500"/>
          <a:ext cx="201706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8</xdr:col>
      <xdr:colOff>13607</xdr:colOff>
      <xdr:row>61</xdr:row>
      <xdr:rowOff>0</xdr:rowOff>
    </xdr:from>
    <xdr:to>
      <xdr:col>9</xdr:col>
      <xdr:colOff>13607</xdr:colOff>
      <xdr:row>62</xdr:row>
      <xdr:rowOff>10885</xdr:rowOff>
    </xdr:to>
    <xdr:sp macro="" textlink="">
      <xdr:nvSpPr>
        <xdr:cNvPr id="30" name="Oval 41"/>
        <xdr:cNvSpPr>
          <a:spLocks noChangeArrowheads="1"/>
        </xdr:cNvSpPr>
      </xdr:nvSpPr>
      <xdr:spPr bwMode="auto">
        <a:xfrm>
          <a:off x="4890407" y="7448550"/>
          <a:ext cx="190500" cy="17281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13</xdr:col>
      <xdr:colOff>95250</xdr:colOff>
      <xdr:row>16</xdr:row>
      <xdr:rowOff>89806</xdr:rowOff>
    </xdr:from>
    <xdr:to>
      <xdr:col>18</xdr:col>
      <xdr:colOff>0</xdr:colOff>
      <xdr:row>16</xdr:row>
      <xdr:rowOff>89806</xdr:rowOff>
    </xdr:to>
    <xdr:cxnSp macro="">
      <xdr:nvCxnSpPr>
        <xdr:cNvPr id="134" name="Straight Connector 133"/>
        <xdr:cNvCxnSpPr/>
      </xdr:nvCxnSpPr>
      <xdr:spPr>
        <a:xfrm>
          <a:off x="1924050" y="2680606"/>
          <a:ext cx="36099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77561</xdr:colOff>
      <xdr:row>25</xdr:row>
      <xdr:rowOff>77561</xdr:rowOff>
    </xdr:from>
    <xdr:to>
      <xdr:col>17</xdr:col>
      <xdr:colOff>703489</xdr:colOff>
      <xdr:row>25</xdr:row>
      <xdr:rowOff>77561</xdr:rowOff>
    </xdr:to>
    <xdr:cxnSp macro="">
      <xdr:nvCxnSpPr>
        <xdr:cNvPr id="135" name="Straight Connector 134"/>
        <xdr:cNvCxnSpPr/>
      </xdr:nvCxnSpPr>
      <xdr:spPr>
        <a:xfrm>
          <a:off x="1906361" y="4125686"/>
          <a:ext cx="3616778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34</xdr:row>
      <xdr:rowOff>99332</xdr:rowOff>
    </xdr:from>
    <xdr:to>
      <xdr:col>18</xdr:col>
      <xdr:colOff>9525</xdr:colOff>
      <xdr:row>34</xdr:row>
      <xdr:rowOff>99332</xdr:rowOff>
    </xdr:to>
    <xdr:cxnSp macro="">
      <xdr:nvCxnSpPr>
        <xdr:cNvPr id="136" name="Straight Connector 135"/>
        <xdr:cNvCxnSpPr/>
      </xdr:nvCxnSpPr>
      <xdr:spPr>
        <a:xfrm>
          <a:off x="1933575" y="5604782"/>
          <a:ext cx="36099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7</xdr:row>
      <xdr:rowOff>0</xdr:rowOff>
    </xdr:from>
    <xdr:to>
      <xdr:col>19</xdr:col>
      <xdr:colOff>0</xdr:colOff>
      <xdr:row>8</xdr:row>
      <xdr:rowOff>10886</xdr:rowOff>
    </xdr:to>
    <xdr:sp macro="" textlink="">
      <xdr:nvSpPr>
        <xdr:cNvPr id="137" name="Oval 41"/>
        <xdr:cNvSpPr>
          <a:spLocks noChangeArrowheads="1"/>
        </xdr:cNvSpPr>
      </xdr:nvSpPr>
      <xdr:spPr bwMode="auto">
        <a:xfrm>
          <a:off x="5534025" y="1133475"/>
          <a:ext cx="190500" cy="172811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4</xdr:row>
      <xdr:rowOff>81645</xdr:rowOff>
    </xdr:from>
    <xdr:to>
      <xdr:col>22</xdr:col>
      <xdr:colOff>1</xdr:colOff>
      <xdr:row>7</xdr:row>
      <xdr:rowOff>0</xdr:rowOff>
    </xdr:to>
    <xdr:cxnSp macro="">
      <xdr:nvCxnSpPr>
        <xdr:cNvPr id="138" name="Elbow Connector 137"/>
        <xdr:cNvCxnSpPr>
          <a:stCxn id="137" idx="0"/>
        </xdr:cNvCxnSpPr>
      </xdr:nvCxnSpPr>
      <xdr:spPr>
        <a:xfrm rot="5400000" flipH="1" flipV="1">
          <a:off x="10904926" y="124867"/>
          <a:ext cx="489855" cy="192741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4</xdr:row>
      <xdr:rowOff>0</xdr:rowOff>
    </xdr:from>
    <xdr:to>
      <xdr:col>23</xdr:col>
      <xdr:colOff>0</xdr:colOff>
      <xdr:row>5</xdr:row>
      <xdr:rowOff>0</xdr:rowOff>
    </xdr:to>
    <xdr:sp macro="" textlink="">
      <xdr:nvSpPr>
        <xdr:cNvPr id="139" name="AutoShape 28"/>
        <xdr:cNvSpPr>
          <a:spLocks noChangeArrowheads="1"/>
        </xdr:cNvSpPr>
      </xdr:nvSpPr>
      <xdr:spPr bwMode="auto">
        <a:xfrm rot="-5400000">
          <a:off x="7996237" y="633413"/>
          <a:ext cx="161925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8</xdr:row>
      <xdr:rowOff>10885</xdr:rowOff>
    </xdr:from>
    <xdr:to>
      <xdr:col>22</xdr:col>
      <xdr:colOff>13608</xdr:colOff>
      <xdr:row>10</xdr:row>
      <xdr:rowOff>81642</xdr:rowOff>
    </xdr:to>
    <xdr:cxnSp macro="">
      <xdr:nvCxnSpPr>
        <xdr:cNvPr id="140" name="Elbow Connector 139"/>
        <xdr:cNvCxnSpPr>
          <a:stCxn id="137" idx="4"/>
          <a:endCxn id="141" idx="0"/>
        </xdr:cNvCxnSpPr>
      </xdr:nvCxnSpPr>
      <xdr:spPr>
        <a:xfrm rot="16200000" flipH="1">
          <a:off x="6615113" y="320448"/>
          <a:ext cx="394607" cy="236628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10</xdr:row>
      <xdr:rowOff>0</xdr:rowOff>
    </xdr:from>
    <xdr:to>
      <xdr:col>23</xdr:col>
      <xdr:colOff>13607</xdr:colOff>
      <xdr:row>11</xdr:row>
      <xdr:rowOff>1</xdr:rowOff>
    </xdr:to>
    <xdr:sp macro="" textlink="">
      <xdr:nvSpPr>
        <xdr:cNvPr id="141" name="AutoShape 28"/>
        <xdr:cNvSpPr>
          <a:spLocks noChangeArrowheads="1"/>
        </xdr:cNvSpPr>
      </xdr:nvSpPr>
      <xdr:spPr bwMode="auto">
        <a:xfrm rot="-5400000">
          <a:off x="8009844" y="1604963"/>
          <a:ext cx="16192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16</xdr:row>
      <xdr:rowOff>0</xdr:rowOff>
    </xdr:from>
    <xdr:to>
      <xdr:col>19</xdr:col>
      <xdr:colOff>0</xdr:colOff>
      <xdr:row>17</xdr:row>
      <xdr:rowOff>10886</xdr:rowOff>
    </xdr:to>
    <xdr:sp macro="" textlink="">
      <xdr:nvSpPr>
        <xdr:cNvPr id="142" name="Oval 41"/>
        <xdr:cNvSpPr>
          <a:spLocks noChangeArrowheads="1"/>
        </xdr:cNvSpPr>
      </xdr:nvSpPr>
      <xdr:spPr bwMode="auto">
        <a:xfrm>
          <a:off x="5534025" y="2590800"/>
          <a:ext cx="190500" cy="172811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13</xdr:row>
      <xdr:rowOff>81645</xdr:rowOff>
    </xdr:from>
    <xdr:to>
      <xdr:col>22</xdr:col>
      <xdr:colOff>1</xdr:colOff>
      <xdr:row>16</xdr:row>
      <xdr:rowOff>0</xdr:rowOff>
    </xdr:to>
    <xdr:cxnSp macro="">
      <xdr:nvCxnSpPr>
        <xdr:cNvPr id="143" name="Elbow Connector 142"/>
        <xdr:cNvCxnSpPr>
          <a:stCxn id="142" idx="0"/>
        </xdr:cNvCxnSpPr>
      </xdr:nvCxnSpPr>
      <xdr:spPr>
        <a:xfrm rot="5400000" flipH="1" flipV="1">
          <a:off x="10904926" y="1839367"/>
          <a:ext cx="489855" cy="192741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13</xdr:row>
      <xdr:rowOff>0</xdr:rowOff>
    </xdr:from>
    <xdr:to>
      <xdr:col>23</xdr:col>
      <xdr:colOff>0</xdr:colOff>
      <xdr:row>14</xdr:row>
      <xdr:rowOff>0</xdr:rowOff>
    </xdr:to>
    <xdr:sp macro="" textlink="">
      <xdr:nvSpPr>
        <xdr:cNvPr id="144" name="AutoShape 28"/>
        <xdr:cNvSpPr>
          <a:spLocks noChangeArrowheads="1"/>
        </xdr:cNvSpPr>
      </xdr:nvSpPr>
      <xdr:spPr bwMode="auto">
        <a:xfrm rot="-5400000">
          <a:off x="7996237" y="2090738"/>
          <a:ext cx="161925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17</xdr:row>
      <xdr:rowOff>10885</xdr:rowOff>
    </xdr:from>
    <xdr:to>
      <xdr:col>22</xdr:col>
      <xdr:colOff>13608</xdr:colOff>
      <xdr:row>19</xdr:row>
      <xdr:rowOff>81642</xdr:rowOff>
    </xdr:to>
    <xdr:cxnSp macro="">
      <xdr:nvCxnSpPr>
        <xdr:cNvPr id="145" name="Elbow Connector 144"/>
        <xdr:cNvCxnSpPr>
          <a:stCxn id="142" idx="4"/>
          <a:endCxn id="146" idx="0"/>
        </xdr:cNvCxnSpPr>
      </xdr:nvCxnSpPr>
      <xdr:spPr>
        <a:xfrm rot="16200000" flipH="1">
          <a:off x="6615113" y="1777773"/>
          <a:ext cx="394607" cy="236628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19</xdr:row>
      <xdr:rowOff>0</xdr:rowOff>
    </xdr:from>
    <xdr:to>
      <xdr:col>23</xdr:col>
      <xdr:colOff>13607</xdr:colOff>
      <xdr:row>20</xdr:row>
      <xdr:rowOff>1</xdr:rowOff>
    </xdr:to>
    <xdr:sp macro="" textlink="">
      <xdr:nvSpPr>
        <xdr:cNvPr id="146" name="AutoShape 28"/>
        <xdr:cNvSpPr>
          <a:spLocks noChangeArrowheads="1"/>
        </xdr:cNvSpPr>
      </xdr:nvSpPr>
      <xdr:spPr bwMode="auto">
        <a:xfrm rot="-5400000">
          <a:off x="8009844" y="3062288"/>
          <a:ext cx="16192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25</xdr:row>
      <xdr:rowOff>0</xdr:rowOff>
    </xdr:from>
    <xdr:to>
      <xdr:col>19</xdr:col>
      <xdr:colOff>0</xdr:colOff>
      <xdr:row>26</xdr:row>
      <xdr:rowOff>10886</xdr:rowOff>
    </xdr:to>
    <xdr:sp macro="" textlink="">
      <xdr:nvSpPr>
        <xdr:cNvPr id="147" name="Oval 41"/>
        <xdr:cNvSpPr>
          <a:spLocks noChangeArrowheads="1"/>
        </xdr:cNvSpPr>
      </xdr:nvSpPr>
      <xdr:spPr bwMode="auto">
        <a:xfrm>
          <a:off x="5534025" y="4048125"/>
          <a:ext cx="190500" cy="172811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22</xdr:row>
      <xdr:rowOff>81645</xdr:rowOff>
    </xdr:from>
    <xdr:to>
      <xdr:col>22</xdr:col>
      <xdr:colOff>1</xdr:colOff>
      <xdr:row>25</xdr:row>
      <xdr:rowOff>0</xdr:rowOff>
    </xdr:to>
    <xdr:cxnSp macro="">
      <xdr:nvCxnSpPr>
        <xdr:cNvPr id="148" name="Elbow Connector 147"/>
        <xdr:cNvCxnSpPr>
          <a:stCxn id="147" idx="0"/>
        </xdr:cNvCxnSpPr>
      </xdr:nvCxnSpPr>
      <xdr:spPr>
        <a:xfrm rot="5400000" flipH="1" flipV="1">
          <a:off x="10904926" y="3553867"/>
          <a:ext cx="489855" cy="192741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22</xdr:row>
      <xdr:rowOff>0</xdr:rowOff>
    </xdr:from>
    <xdr:to>
      <xdr:col>23</xdr:col>
      <xdr:colOff>0</xdr:colOff>
      <xdr:row>23</xdr:row>
      <xdr:rowOff>0</xdr:rowOff>
    </xdr:to>
    <xdr:sp macro="" textlink="">
      <xdr:nvSpPr>
        <xdr:cNvPr id="149" name="AutoShape 28"/>
        <xdr:cNvSpPr>
          <a:spLocks noChangeArrowheads="1"/>
        </xdr:cNvSpPr>
      </xdr:nvSpPr>
      <xdr:spPr bwMode="auto">
        <a:xfrm rot="-5400000">
          <a:off x="7996237" y="3548063"/>
          <a:ext cx="161925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26</xdr:row>
      <xdr:rowOff>10885</xdr:rowOff>
    </xdr:from>
    <xdr:to>
      <xdr:col>22</xdr:col>
      <xdr:colOff>13608</xdr:colOff>
      <xdr:row>28</xdr:row>
      <xdr:rowOff>81642</xdr:rowOff>
    </xdr:to>
    <xdr:cxnSp macro="">
      <xdr:nvCxnSpPr>
        <xdr:cNvPr id="150" name="Elbow Connector 149"/>
        <xdr:cNvCxnSpPr>
          <a:stCxn id="147" idx="4"/>
          <a:endCxn id="151" idx="0"/>
        </xdr:cNvCxnSpPr>
      </xdr:nvCxnSpPr>
      <xdr:spPr>
        <a:xfrm rot="16200000" flipH="1">
          <a:off x="6615113" y="3235098"/>
          <a:ext cx="394607" cy="236628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28</xdr:row>
      <xdr:rowOff>0</xdr:rowOff>
    </xdr:from>
    <xdr:to>
      <xdr:col>23</xdr:col>
      <xdr:colOff>13607</xdr:colOff>
      <xdr:row>29</xdr:row>
      <xdr:rowOff>1</xdr:rowOff>
    </xdr:to>
    <xdr:sp macro="" textlink="">
      <xdr:nvSpPr>
        <xdr:cNvPr id="151" name="AutoShape 28"/>
        <xdr:cNvSpPr>
          <a:spLocks noChangeArrowheads="1"/>
        </xdr:cNvSpPr>
      </xdr:nvSpPr>
      <xdr:spPr bwMode="auto">
        <a:xfrm rot="-5400000">
          <a:off x="8009844" y="4519613"/>
          <a:ext cx="16192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34</xdr:row>
      <xdr:rowOff>0</xdr:rowOff>
    </xdr:from>
    <xdr:to>
      <xdr:col>19</xdr:col>
      <xdr:colOff>0</xdr:colOff>
      <xdr:row>35</xdr:row>
      <xdr:rowOff>10886</xdr:rowOff>
    </xdr:to>
    <xdr:sp macro="" textlink="">
      <xdr:nvSpPr>
        <xdr:cNvPr id="152" name="Oval 41"/>
        <xdr:cNvSpPr>
          <a:spLocks noChangeArrowheads="1"/>
        </xdr:cNvSpPr>
      </xdr:nvSpPr>
      <xdr:spPr bwMode="auto">
        <a:xfrm>
          <a:off x="5534025" y="5505450"/>
          <a:ext cx="190500" cy="172811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31</xdr:row>
      <xdr:rowOff>81645</xdr:rowOff>
    </xdr:from>
    <xdr:to>
      <xdr:col>22</xdr:col>
      <xdr:colOff>1</xdr:colOff>
      <xdr:row>34</xdr:row>
      <xdr:rowOff>0</xdr:rowOff>
    </xdr:to>
    <xdr:cxnSp macro="">
      <xdr:nvCxnSpPr>
        <xdr:cNvPr id="153" name="Elbow Connector 152"/>
        <xdr:cNvCxnSpPr>
          <a:stCxn id="152" idx="0"/>
        </xdr:cNvCxnSpPr>
      </xdr:nvCxnSpPr>
      <xdr:spPr>
        <a:xfrm rot="5400000" flipH="1" flipV="1">
          <a:off x="10904926" y="5268367"/>
          <a:ext cx="489855" cy="192741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31</xdr:row>
      <xdr:rowOff>0</xdr:rowOff>
    </xdr:from>
    <xdr:to>
      <xdr:col>23</xdr:col>
      <xdr:colOff>0</xdr:colOff>
      <xdr:row>32</xdr:row>
      <xdr:rowOff>0</xdr:rowOff>
    </xdr:to>
    <xdr:sp macro="" textlink="">
      <xdr:nvSpPr>
        <xdr:cNvPr id="154" name="AutoShape 28"/>
        <xdr:cNvSpPr>
          <a:spLocks noChangeArrowheads="1"/>
        </xdr:cNvSpPr>
      </xdr:nvSpPr>
      <xdr:spPr bwMode="auto">
        <a:xfrm rot="-5400000">
          <a:off x="7996237" y="5005388"/>
          <a:ext cx="161925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35</xdr:row>
      <xdr:rowOff>10885</xdr:rowOff>
    </xdr:from>
    <xdr:to>
      <xdr:col>22</xdr:col>
      <xdr:colOff>13608</xdr:colOff>
      <xdr:row>37</xdr:row>
      <xdr:rowOff>81642</xdr:rowOff>
    </xdr:to>
    <xdr:cxnSp macro="">
      <xdr:nvCxnSpPr>
        <xdr:cNvPr id="155" name="Elbow Connector 154"/>
        <xdr:cNvCxnSpPr>
          <a:stCxn id="152" idx="4"/>
          <a:endCxn id="156" idx="0"/>
        </xdr:cNvCxnSpPr>
      </xdr:nvCxnSpPr>
      <xdr:spPr>
        <a:xfrm rot="16200000" flipH="1">
          <a:off x="6615113" y="4692423"/>
          <a:ext cx="394607" cy="236628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37</xdr:row>
      <xdr:rowOff>0</xdr:rowOff>
    </xdr:from>
    <xdr:to>
      <xdr:col>23</xdr:col>
      <xdr:colOff>13607</xdr:colOff>
      <xdr:row>38</xdr:row>
      <xdr:rowOff>1</xdr:rowOff>
    </xdr:to>
    <xdr:sp macro="" textlink="">
      <xdr:nvSpPr>
        <xdr:cNvPr id="156" name="AutoShape 28"/>
        <xdr:cNvSpPr>
          <a:spLocks noChangeArrowheads="1"/>
        </xdr:cNvSpPr>
      </xdr:nvSpPr>
      <xdr:spPr bwMode="auto">
        <a:xfrm rot="-5400000">
          <a:off x="8009844" y="5976938"/>
          <a:ext cx="16192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95250</xdr:colOff>
      <xdr:row>24</xdr:row>
      <xdr:rowOff>-1</xdr:rowOff>
    </xdr:from>
    <xdr:to>
      <xdr:col>18</xdr:col>
      <xdr:colOff>0</xdr:colOff>
      <xdr:row>43</xdr:row>
      <xdr:rowOff>81642</xdr:rowOff>
    </xdr:to>
    <xdr:cxnSp macro="">
      <xdr:nvCxnSpPr>
        <xdr:cNvPr id="157" name="Elbow Connector 156"/>
        <xdr:cNvCxnSpPr/>
      </xdr:nvCxnSpPr>
      <xdr:spPr>
        <a:xfrm rot="16200000" flipH="1">
          <a:off x="2149929" y="3660320"/>
          <a:ext cx="3158218" cy="3609975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30</xdr:row>
      <xdr:rowOff>1</xdr:rowOff>
    </xdr:from>
    <xdr:to>
      <xdr:col>14</xdr:col>
      <xdr:colOff>0</xdr:colOff>
      <xdr:row>31</xdr:row>
      <xdr:rowOff>1</xdr:rowOff>
    </xdr:to>
    <xdr:sp macro="" textlink="">
      <xdr:nvSpPr>
        <xdr:cNvPr id="158" name="Oval 72"/>
        <xdr:cNvSpPr>
          <a:spLocks noChangeArrowheads="1"/>
        </xdr:cNvSpPr>
      </xdr:nvSpPr>
      <xdr:spPr bwMode="auto">
        <a:xfrm>
          <a:off x="1828800" y="4857751"/>
          <a:ext cx="190500" cy="1619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95250</xdr:colOff>
      <xdr:row>7</xdr:row>
      <xdr:rowOff>87087</xdr:rowOff>
    </xdr:from>
    <xdr:to>
      <xdr:col>18</xdr:col>
      <xdr:colOff>0</xdr:colOff>
      <xdr:row>30</xdr:row>
      <xdr:rowOff>2</xdr:rowOff>
    </xdr:to>
    <xdr:cxnSp macro="">
      <xdr:nvCxnSpPr>
        <xdr:cNvPr id="159" name="Elbow Connector 158"/>
        <xdr:cNvCxnSpPr>
          <a:stCxn id="158" idx="0"/>
          <a:endCxn id="137" idx="2"/>
        </xdr:cNvCxnSpPr>
      </xdr:nvCxnSpPr>
      <xdr:spPr>
        <a:xfrm rot="5400000" flipH="1" flipV="1">
          <a:off x="6478520" y="2119435"/>
          <a:ext cx="4294415" cy="289672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43</xdr:row>
      <xdr:rowOff>0</xdr:rowOff>
    </xdr:from>
    <xdr:to>
      <xdr:col>19</xdr:col>
      <xdr:colOff>0</xdr:colOff>
      <xdr:row>44</xdr:row>
      <xdr:rowOff>10886</xdr:rowOff>
    </xdr:to>
    <xdr:sp macro="" textlink="">
      <xdr:nvSpPr>
        <xdr:cNvPr id="161" name="Oval 41"/>
        <xdr:cNvSpPr>
          <a:spLocks noChangeArrowheads="1"/>
        </xdr:cNvSpPr>
      </xdr:nvSpPr>
      <xdr:spPr bwMode="auto">
        <a:xfrm>
          <a:off x="5534025" y="6962775"/>
          <a:ext cx="190500" cy="172811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40</xdr:row>
      <xdr:rowOff>81645</xdr:rowOff>
    </xdr:from>
    <xdr:to>
      <xdr:col>22</xdr:col>
      <xdr:colOff>1</xdr:colOff>
      <xdr:row>43</xdr:row>
      <xdr:rowOff>0</xdr:rowOff>
    </xdr:to>
    <xdr:cxnSp macro="">
      <xdr:nvCxnSpPr>
        <xdr:cNvPr id="162" name="Elbow Connector 161"/>
        <xdr:cNvCxnSpPr>
          <a:stCxn id="161" idx="0"/>
        </xdr:cNvCxnSpPr>
      </xdr:nvCxnSpPr>
      <xdr:spPr>
        <a:xfrm rot="5400000" flipH="1" flipV="1">
          <a:off x="10904926" y="6982867"/>
          <a:ext cx="489855" cy="192741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40</xdr:row>
      <xdr:rowOff>0</xdr:rowOff>
    </xdr:from>
    <xdr:to>
      <xdr:col>23</xdr:col>
      <xdr:colOff>0</xdr:colOff>
      <xdr:row>41</xdr:row>
      <xdr:rowOff>0</xdr:rowOff>
    </xdr:to>
    <xdr:sp macro="" textlink="">
      <xdr:nvSpPr>
        <xdr:cNvPr id="163" name="AutoShape 28"/>
        <xdr:cNvSpPr>
          <a:spLocks noChangeArrowheads="1"/>
        </xdr:cNvSpPr>
      </xdr:nvSpPr>
      <xdr:spPr bwMode="auto">
        <a:xfrm rot="-5400000">
          <a:off x="7996237" y="6462713"/>
          <a:ext cx="161925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44</xdr:row>
      <xdr:rowOff>10885</xdr:rowOff>
    </xdr:from>
    <xdr:to>
      <xdr:col>22</xdr:col>
      <xdr:colOff>13608</xdr:colOff>
      <xdr:row>46</xdr:row>
      <xdr:rowOff>81642</xdr:rowOff>
    </xdr:to>
    <xdr:cxnSp macro="">
      <xdr:nvCxnSpPr>
        <xdr:cNvPr id="164" name="Elbow Connector 163"/>
        <xdr:cNvCxnSpPr>
          <a:stCxn id="161" idx="4"/>
          <a:endCxn id="165" idx="0"/>
        </xdr:cNvCxnSpPr>
      </xdr:nvCxnSpPr>
      <xdr:spPr>
        <a:xfrm rot="16200000" flipH="1">
          <a:off x="6615113" y="6149748"/>
          <a:ext cx="394607" cy="236628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46</xdr:row>
      <xdr:rowOff>0</xdr:rowOff>
    </xdr:from>
    <xdr:to>
      <xdr:col>23</xdr:col>
      <xdr:colOff>13607</xdr:colOff>
      <xdr:row>47</xdr:row>
      <xdr:rowOff>1</xdr:rowOff>
    </xdr:to>
    <xdr:sp macro="" textlink="">
      <xdr:nvSpPr>
        <xdr:cNvPr id="165" name="AutoShape 28"/>
        <xdr:cNvSpPr>
          <a:spLocks noChangeArrowheads="1"/>
        </xdr:cNvSpPr>
      </xdr:nvSpPr>
      <xdr:spPr bwMode="auto">
        <a:xfrm rot="-5400000">
          <a:off x="8009844" y="7434263"/>
          <a:ext cx="16192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52</xdr:row>
      <xdr:rowOff>0</xdr:rowOff>
    </xdr:from>
    <xdr:to>
      <xdr:col>19</xdr:col>
      <xdr:colOff>0</xdr:colOff>
      <xdr:row>53</xdr:row>
      <xdr:rowOff>0</xdr:rowOff>
    </xdr:to>
    <xdr:sp macro="" textlink="">
      <xdr:nvSpPr>
        <xdr:cNvPr id="166" name="AutoShape 28"/>
        <xdr:cNvSpPr>
          <a:spLocks noChangeArrowheads="1"/>
        </xdr:cNvSpPr>
      </xdr:nvSpPr>
      <xdr:spPr bwMode="auto">
        <a:xfrm rot="-5400000">
          <a:off x="5548312" y="8405813"/>
          <a:ext cx="161925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95250</xdr:colOff>
      <xdr:row>43</xdr:row>
      <xdr:rowOff>81643</xdr:rowOff>
    </xdr:from>
    <xdr:to>
      <xdr:col>18</xdr:col>
      <xdr:colOff>0</xdr:colOff>
      <xdr:row>52</xdr:row>
      <xdr:rowOff>81643</xdr:rowOff>
    </xdr:to>
    <xdr:cxnSp macro="">
      <xdr:nvCxnSpPr>
        <xdr:cNvPr id="167" name="Elbow Connector 166"/>
        <xdr:cNvCxnSpPr>
          <a:endCxn id="166" idx="0"/>
        </xdr:cNvCxnSpPr>
      </xdr:nvCxnSpPr>
      <xdr:spPr>
        <a:xfrm>
          <a:off x="1924050" y="7044418"/>
          <a:ext cx="3609975" cy="1457325"/>
        </a:xfrm>
        <a:prstGeom prst="bentConnector3">
          <a:avLst>
            <a:gd name="adj1" fmla="val -43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131</xdr:row>
      <xdr:rowOff>0</xdr:rowOff>
    </xdr:from>
    <xdr:to>
      <xdr:col>9</xdr:col>
      <xdr:colOff>0</xdr:colOff>
      <xdr:row>132</xdr:row>
      <xdr:rowOff>38100</xdr:rowOff>
    </xdr:to>
    <xdr:sp macro="" textlink="">
      <xdr:nvSpPr>
        <xdr:cNvPr id="203" name="Oval 63"/>
        <xdr:cNvSpPr>
          <a:spLocks noChangeArrowheads="1"/>
        </xdr:cNvSpPr>
      </xdr:nvSpPr>
      <xdr:spPr bwMode="auto">
        <a:xfrm>
          <a:off x="4450773" y="32385000"/>
          <a:ext cx="225136" cy="2286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3</xdr:col>
      <xdr:colOff>103909</xdr:colOff>
      <xdr:row>82</xdr:row>
      <xdr:rowOff>17319</xdr:rowOff>
    </xdr:from>
    <xdr:to>
      <xdr:col>3</xdr:col>
      <xdr:colOff>103909</xdr:colOff>
      <xdr:row>112</xdr:row>
      <xdr:rowOff>51955</xdr:rowOff>
    </xdr:to>
    <xdr:cxnSp macro="">
      <xdr:nvCxnSpPr>
        <xdr:cNvPr id="205" name="Straight Connector 204"/>
        <xdr:cNvCxnSpPr/>
      </xdr:nvCxnSpPr>
      <xdr:spPr>
        <a:xfrm flipV="1">
          <a:off x="1922318" y="23067819"/>
          <a:ext cx="0" cy="574963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126178</xdr:colOff>
      <xdr:row>102</xdr:row>
      <xdr:rowOff>132123</xdr:rowOff>
    </xdr:from>
    <xdr:to>
      <xdr:col>13</xdr:col>
      <xdr:colOff>65564</xdr:colOff>
      <xdr:row>113</xdr:row>
      <xdr:rowOff>28214</xdr:rowOff>
    </xdr:to>
    <xdr:cxnSp macro="">
      <xdr:nvCxnSpPr>
        <xdr:cNvPr id="207" name="Elbow Connector 206"/>
        <xdr:cNvCxnSpPr/>
      </xdr:nvCxnSpPr>
      <xdr:spPr>
        <a:xfrm rot="5400000" flipH="1" flipV="1">
          <a:off x="4923932" y="19255726"/>
          <a:ext cx="1991591" cy="2606386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64</xdr:row>
      <xdr:rowOff>0</xdr:rowOff>
    </xdr:from>
    <xdr:to>
      <xdr:col>14</xdr:col>
      <xdr:colOff>0</xdr:colOff>
      <xdr:row>65</xdr:row>
      <xdr:rowOff>0</xdr:rowOff>
    </xdr:to>
    <xdr:sp macro="" textlink="">
      <xdr:nvSpPr>
        <xdr:cNvPr id="208" name="Oval 72"/>
        <xdr:cNvSpPr>
          <a:spLocks noChangeArrowheads="1"/>
        </xdr:cNvSpPr>
      </xdr:nvSpPr>
      <xdr:spPr bwMode="auto">
        <a:xfrm>
          <a:off x="7100455" y="30289500"/>
          <a:ext cx="207818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135</xdr:row>
      <xdr:rowOff>0</xdr:rowOff>
    </xdr:from>
    <xdr:to>
      <xdr:col>14</xdr:col>
      <xdr:colOff>0</xdr:colOff>
      <xdr:row>136</xdr:row>
      <xdr:rowOff>0</xdr:rowOff>
    </xdr:to>
    <xdr:sp macro="" textlink="">
      <xdr:nvSpPr>
        <xdr:cNvPr id="209" name="Oval 72"/>
        <xdr:cNvSpPr>
          <a:spLocks noChangeArrowheads="1"/>
        </xdr:cNvSpPr>
      </xdr:nvSpPr>
      <xdr:spPr bwMode="auto">
        <a:xfrm>
          <a:off x="7100455" y="34290000"/>
          <a:ext cx="207818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8</xdr:col>
      <xdr:colOff>112568</xdr:colOff>
      <xdr:row>126</xdr:row>
      <xdr:rowOff>38100</xdr:rowOff>
    </xdr:from>
    <xdr:to>
      <xdr:col>13</xdr:col>
      <xdr:colOff>0</xdr:colOff>
      <xdr:row>135</xdr:row>
      <xdr:rowOff>95250</xdr:rowOff>
    </xdr:to>
    <xdr:cxnSp macro="">
      <xdr:nvCxnSpPr>
        <xdr:cNvPr id="211" name="Elbow Connector 210"/>
        <xdr:cNvCxnSpPr/>
      </xdr:nvCxnSpPr>
      <xdr:spPr>
        <a:xfrm rot="16200000" flipH="1">
          <a:off x="4994316" y="23649709"/>
          <a:ext cx="1771650" cy="255443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100853</xdr:colOff>
      <xdr:row>61</xdr:row>
      <xdr:rowOff>81646</xdr:rowOff>
    </xdr:from>
    <xdr:to>
      <xdr:col>17</xdr:col>
      <xdr:colOff>0</xdr:colOff>
      <xdr:row>64</xdr:row>
      <xdr:rowOff>1</xdr:rowOff>
    </xdr:to>
    <xdr:cxnSp macro="">
      <xdr:nvCxnSpPr>
        <xdr:cNvPr id="220" name="Elbow Connector 219"/>
        <xdr:cNvCxnSpPr>
          <a:stCxn id="208" idx="0"/>
        </xdr:cNvCxnSpPr>
      </xdr:nvCxnSpPr>
      <xdr:spPr>
        <a:xfrm rot="5400000" flipH="1" flipV="1">
          <a:off x="7896146" y="29086471"/>
          <a:ext cx="489855" cy="1916205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61</xdr:row>
      <xdr:rowOff>0</xdr:rowOff>
    </xdr:from>
    <xdr:to>
      <xdr:col>18</xdr:col>
      <xdr:colOff>0</xdr:colOff>
      <xdr:row>62</xdr:row>
      <xdr:rowOff>0</xdr:rowOff>
    </xdr:to>
    <xdr:sp macro="" textlink="">
      <xdr:nvSpPr>
        <xdr:cNvPr id="221" name="AutoShape 28"/>
        <xdr:cNvSpPr>
          <a:spLocks noChangeArrowheads="1"/>
        </xdr:cNvSpPr>
      </xdr:nvSpPr>
      <xdr:spPr bwMode="auto">
        <a:xfrm rot="-5400000">
          <a:off x="7996237" y="6462713"/>
          <a:ext cx="161925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95251</xdr:colOff>
      <xdr:row>65</xdr:row>
      <xdr:rowOff>10885</xdr:rowOff>
    </xdr:from>
    <xdr:to>
      <xdr:col>17</xdr:col>
      <xdr:colOff>13608</xdr:colOff>
      <xdr:row>67</xdr:row>
      <xdr:rowOff>81642</xdr:rowOff>
    </xdr:to>
    <xdr:cxnSp macro="">
      <xdr:nvCxnSpPr>
        <xdr:cNvPr id="222" name="Elbow Connector 221"/>
        <xdr:cNvCxnSpPr>
          <a:endCxn id="223" idx="0"/>
        </xdr:cNvCxnSpPr>
      </xdr:nvCxnSpPr>
      <xdr:spPr>
        <a:xfrm rot="16200000" flipH="1">
          <a:off x="6615113" y="6149748"/>
          <a:ext cx="394607" cy="236628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13607</xdr:colOff>
      <xdr:row>67</xdr:row>
      <xdr:rowOff>0</xdr:rowOff>
    </xdr:from>
    <xdr:to>
      <xdr:col>18</xdr:col>
      <xdr:colOff>13607</xdr:colOff>
      <xdr:row>68</xdr:row>
      <xdr:rowOff>1</xdr:rowOff>
    </xdr:to>
    <xdr:sp macro="" textlink="">
      <xdr:nvSpPr>
        <xdr:cNvPr id="223" name="AutoShape 28"/>
        <xdr:cNvSpPr>
          <a:spLocks noChangeArrowheads="1"/>
        </xdr:cNvSpPr>
      </xdr:nvSpPr>
      <xdr:spPr bwMode="auto">
        <a:xfrm rot="-5400000">
          <a:off x="8009844" y="7434263"/>
          <a:ext cx="161926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0</xdr:colOff>
      <xdr:row>135</xdr:row>
      <xdr:rowOff>0</xdr:rowOff>
    </xdr:from>
    <xdr:to>
      <xdr:col>14</xdr:col>
      <xdr:colOff>0</xdr:colOff>
      <xdr:row>136</xdr:row>
      <xdr:rowOff>0</xdr:rowOff>
    </xdr:to>
    <xdr:sp macro="" textlink="">
      <xdr:nvSpPr>
        <xdr:cNvPr id="226" name="Oval 72"/>
        <xdr:cNvSpPr>
          <a:spLocks noChangeArrowheads="1"/>
        </xdr:cNvSpPr>
      </xdr:nvSpPr>
      <xdr:spPr bwMode="auto">
        <a:xfrm>
          <a:off x="7082118" y="30289500"/>
          <a:ext cx="201706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100853</xdr:colOff>
      <xdr:row>132</xdr:row>
      <xdr:rowOff>81646</xdr:rowOff>
    </xdr:from>
    <xdr:to>
      <xdr:col>17</xdr:col>
      <xdr:colOff>0</xdr:colOff>
      <xdr:row>135</xdr:row>
      <xdr:rowOff>1</xdr:rowOff>
    </xdr:to>
    <xdr:cxnSp macro="">
      <xdr:nvCxnSpPr>
        <xdr:cNvPr id="227" name="Elbow Connector 226"/>
        <xdr:cNvCxnSpPr>
          <a:stCxn id="226" idx="0"/>
        </xdr:cNvCxnSpPr>
      </xdr:nvCxnSpPr>
      <xdr:spPr>
        <a:xfrm rot="5400000" flipH="1" flipV="1">
          <a:off x="7896146" y="29086471"/>
          <a:ext cx="489855" cy="1916205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132</xdr:row>
      <xdr:rowOff>0</xdr:rowOff>
    </xdr:from>
    <xdr:to>
      <xdr:col>18</xdr:col>
      <xdr:colOff>0</xdr:colOff>
      <xdr:row>133</xdr:row>
      <xdr:rowOff>0</xdr:rowOff>
    </xdr:to>
    <xdr:sp macro="" textlink="">
      <xdr:nvSpPr>
        <xdr:cNvPr id="228" name="AutoShape 28"/>
        <xdr:cNvSpPr>
          <a:spLocks noChangeArrowheads="1"/>
        </xdr:cNvSpPr>
      </xdr:nvSpPr>
      <xdr:spPr bwMode="auto">
        <a:xfrm rot="-5400000">
          <a:off x="9306485" y="29510691"/>
          <a:ext cx="190500" cy="605118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95251</xdr:colOff>
      <xdr:row>136</xdr:row>
      <xdr:rowOff>10885</xdr:rowOff>
    </xdr:from>
    <xdr:to>
      <xdr:col>17</xdr:col>
      <xdr:colOff>13608</xdr:colOff>
      <xdr:row>138</xdr:row>
      <xdr:rowOff>81642</xdr:rowOff>
    </xdr:to>
    <xdr:cxnSp macro="">
      <xdr:nvCxnSpPr>
        <xdr:cNvPr id="229" name="Elbow Connector 228"/>
        <xdr:cNvCxnSpPr>
          <a:endCxn id="230" idx="0"/>
        </xdr:cNvCxnSpPr>
      </xdr:nvCxnSpPr>
      <xdr:spPr>
        <a:xfrm rot="16200000" flipH="1">
          <a:off x="7919198" y="29749056"/>
          <a:ext cx="451757" cy="1935415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13607</xdr:colOff>
      <xdr:row>138</xdr:row>
      <xdr:rowOff>0</xdr:rowOff>
    </xdr:from>
    <xdr:to>
      <xdr:col>18</xdr:col>
      <xdr:colOff>13607</xdr:colOff>
      <xdr:row>139</xdr:row>
      <xdr:rowOff>1</xdr:rowOff>
    </xdr:to>
    <xdr:sp macro="" textlink="">
      <xdr:nvSpPr>
        <xdr:cNvPr id="230" name="AutoShape 28"/>
        <xdr:cNvSpPr>
          <a:spLocks noChangeArrowheads="1"/>
        </xdr:cNvSpPr>
      </xdr:nvSpPr>
      <xdr:spPr bwMode="auto">
        <a:xfrm rot="-5400000">
          <a:off x="9320091" y="30653692"/>
          <a:ext cx="190501" cy="605118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0</xdr:colOff>
      <xdr:row>64</xdr:row>
      <xdr:rowOff>0</xdr:rowOff>
    </xdr:from>
    <xdr:to>
      <xdr:col>14</xdr:col>
      <xdr:colOff>0</xdr:colOff>
      <xdr:row>65</xdr:row>
      <xdr:rowOff>0</xdr:rowOff>
    </xdr:to>
    <xdr:sp macro="" textlink="">
      <xdr:nvSpPr>
        <xdr:cNvPr id="242" name="Oval 72"/>
        <xdr:cNvSpPr>
          <a:spLocks noChangeArrowheads="1"/>
        </xdr:cNvSpPr>
      </xdr:nvSpPr>
      <xdr:spPr bwMode="auto">
        <a:xfrm>
          <a:off x="7082118" y="12192000"/>
          <a:ext cx="201706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102</xdr:row>
      <xdr:rowOff>0</xdr:rowOff>
    </xdr:from>
    <xdr:to>
      <xdr:col>14</xdr:col>
      <xdr:colOff>0</xdr:colOff>
      <xdr:row>103</xdr:row>
      <xdr:rowOff>0</xdr:rowOff>
    </xdr:to>
    <xdr:sp macro="" textlink="">
      <xdr:nvSpPr>
        <xdr:cNvPr id="277" name="Oval 72"/>
        <xdr:cNvSpPr>
          <a:spLocks noChangeArrowheads="1"/>
        </xdr:cNvSpPr>
      </xdr:nvSpPr>
      <xdr:spPr bwMode="auto">
        <a:xfrm>
          <a:off x="7157357" y="5715000"/>
          <a:ext cx="204107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95250</xdr:colOff>
      <xdr:row>88</xdr:row>
      <xdr:rowOff>89806</xdr:rowOff>
    </xdr:from>
    <xdr:to>
      <xdr:col>18</xdr:col>
      <xdr:colOff>0</xdr:colOff>
      <xdr:row>88</xdr:row>
      <xdr:rowOff>89806</xdr:rowOff>
    </xdr:to>
    <xdr:cxnSp macro="">
      <xdr:nvCxnSpPr>
        <xdr:cNvPr id="278" name="Straight Connector 277"/>
        <xdr:cNvCxnSpPr/>
      </xdr:nvCxnSpPr>
      <xdr:spPr>
        <a:xfrm>
          <a:off x="7252607" y="3137806"/>
          <a:ext cx="289832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77561</xdr:colOff>
      <xdr:row>97</xdr:row>
      <xdr:rowOff>77561</xdr:rowOff>
    </xdr:from>
    <xdr:to>
      <xdr:col>17</xdr:col>
      <xdr:colOff>703489</xdr:colOff>
      <xdr:row>97</xdr:row>
      <xdr:rowOff>77561</xdr:rowOff>
    </xdr:to>
    <xdr:cxnSp macro="">
      <xdr:nvCxnSpPr>
        <xdr:cNvPr id="279" name="Straight Connector 278"/>
        <xdr:cNvCxnSpPr/>
      </xdr:nvCxnSpPr>
      <xdr:spPr>
        <a:xfrm>
          <a:off x="7234918" y="4840061"/>
          <a:ext cx="292009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106</xdr:row>
      <xdr:rowOff>99332</xdr:rowOff>
    </xdr:from>
    <xdr:to>
      <xdr:col>18</xdr:col>
      <xdr:colOff>9525</xdr:colOff>
      <xdr:row>106</xdr:row>
      <xdr:rowOff>99332</xdr:rowOff>
    </xdr:to>
    <xdr:cxnSp macro="">
      <xdr:nvCxnSpPr>
        <xdr:cNvPr id="280" name="Straight Connector 279"/>
        <xdr:cNvCxnSpPr/>
      </xdr:nvCxnSpPr>
      <xdr:spPr>
        <a:xfrm>
          <a:off x="7262132" y="6576332"/>
          <a:ext cx="289832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79</xdr:row>
      <xdr:rowOff>0</xdr:rowOff>
    </xdr:from>
    <xdr:to>
      <xdr:col>19</xdr:col>
      <xdr:colOff>0</xdr:colOff>
      <xdr:row>80</xdr:row>
      <xdr:rowOff>10886</xdr:rowOff>
    </xdr:to>
    <xdr:sp macro="" textlink="">
      <xdr:nvSpPr>
        <xdr:cNvPr id="281" name="Oval 41"/>
        <xdr:cNvSpPr>
          <a:spLocks noChangeArrowheads="1"/>
        </xdr:cNvSpPr>
      </xdr:nvSpPr>
      <xdr:spPr bwMode="auto">
        <a:xfrm>
          <a:off x="10150929" y="1333500"/>
          <a:ext cx="231321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76</xdr:row>
      <xdr:rowOff>81645</xdr:rowOff>
    </xdr:from>
    <xdr:to>
      <xdr:col>22</xdr:col>
      <xdr:colOff>1</xdr:colOff>
      <xdr:row>79</xdr:row>
      <xdr:rowOff>0</xdr:rowOff>
    </xdr:to>
    <xdr:cxnSp macro="">
      <xdr:nvCxnSpPr>
        <xdr:cNvPr id="282" name="Elbow Connector 281"/>
        <xdr:cNvCxnSpPr>
          <a:stCxn id="281" idx="0"/>
        </xdr:cNvCxnSpPr>
      </xdr:nvCxnSpPr>
      <xdr:spPr>
        <a:xfrm rot="5400000" flipH="1" flipV="1">
          <a:off x="10996174" y="110460"/>
          <a:ext cx="489855" cy="1956226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76</xdr:row>
      <xdr:rowOff>0</xdr:rowOff>
    </xdr:from>
    <xdr:to>
      <xdr:col>23</xdr:col>
      <xdr:colOff>0</xdr:colOff>
      <xdr:row>77</xdr:row>
      <xdr:rowOff>0</xdr:rowOff>
    </xdr:to>
    <xdr:sp macro="" textlink="">
      <xdr:nvSpPr>
        <xdr:cNvPr id="283" name="AutoShape 28"/>
        <xdr:cNvSpPr>
          <a:spLocks noChangeArrowheads="1"/>
        </xdr:cNvSpPr>
      </xdr:nvSpPr>
      <xdr:spPr bwMode="auto">
        <a:xfrm rot="-5400000">
          <a:off x="12219214" y="762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80</xdr:row>
      <xdr:rowOff>10885</xdr:rowOff>
    </xdr:from>
    <xdr:to>
      <xdr:col>22</xdr:col>
      <xdr:colOff>13608</xdr:colOff>
      <xdr:row>82</xdr:row>
      <xdr:rowOff>81642</xdr:rowOff>
    </xdr:to>
    <xdr:cxnSp macro="">
      <xdr:nvCxnSpPr>
        <xdr:cNvPr id="284" name="Elbow Connector 283"/>
        <xdr:cNvCxnSpPr>
          <a:stCxn id="281" idx="4"/>
          <a:endCxn id="285" idx="0"/>
        </xdr:cNvCxnSpPr>
      </xdr:nvCxnSpPr>
      <xdr:spPr>
        <a:xfrm rot="16200000" flipH="1">
          <a:off x="11013622" y="767443"/>
          <a:ext cx="451757" cy="198664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81</xdr:row>
      <xdr:rowOff>0</xdr:rowOff>
    </xdr:from>
    <xdr:to>
      <xdr:col>23</xdr:col>
      <xdr:colOff>13607</xdr:colOff>
      <xdr:row>82</xdr:row>
      <xdr:rowOff>1</xdr:rowOff>
    </xdr:to>
    <xdr:sp macro="" textlink="">
      <xdr:nvSpPr>
        <xdr:cNvPr id="285" name="AutoShape 28"/>
        <xdr:cNvSpPr>
          <a:spLocks noChangeArrowheads="1"/>
        </xdr:cNvSpPr>
      </xdr:nvSpPr>
      <xdr:spPr bwMode="auto">
        <a:xfrm rot="-5400000">
          <a:off x="12232820" y="19050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88</xdr:row>
      <xdr:rowOff>0</xdr:rowOff>
    </xdr:from>
    <xdr:to>
      <xdr:col>19</xdr:col>
      <xdr:colOff>0</xdr:colOff>
      <xdr:row>89</xdr:row>
      <xdr:rowOff>10886</xdr:rowOff>
    </xdr:to>
    <xdr:sp macro="" textlink="">
      <xdr:nvSpPr>
        <xdr:cNvPr id="286" name="Oval 41"/>
        <xdr:cNvSpPr>
          <a:spLocks noChangeArrowheads="1"/>
        </xdr:cNvSpPr>
      </xdr:nvSpPr>
      <xdr:spPr bwMode="auto">
        <a:xfrm>
          <a:off x="10150929" y="3048000"/>
          <a:ext cx="231321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85</xdr:row>
      <xdr:rowOff>81645</xdr:rowOff>
    </xdr:from>
    <xdr:to>
      <xdr:col>22</xdr:col>
      <xdr:colOff>1</xdr:colOff>
      <xdr:row>88</xdr:row>
      <xdr:rowOff>0</xdr:rowOff>
    </xdr:to>
    <xdr:cxnSp macro="">
      <xdr:nvCxnSpPr>
        <xdr:cNvPr id="287" name="Elbow Connector 286"/>
        <xdr:cNvCxnSpPr>
          <a:stCxn id="286" idx="0"/>
        </xdr:cNvCxnSpPr>
      </xdr:nvCxnSpPr>
      <xdr:spPr>
        <a:xfrm rot="5400000" flipH="1" flipV="1">
          <a:off x="10996174" y="1824960"/>
          <a:ext cx="489855" cy="1956226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85</xdr:row>
      <xdr:rowOff>0</xdr:rowOff>
    </xdr:from>
    <xdr:to>
      <xdr:col>23</xdr:col>
      <xdr:colOff>0</xdr:colOff>
      <xdr:row>86</xdr:row>
      <xdr:rowOff>0</xdr:rowOff>
    </xdr:to>
    <xdr:sp macro="" textlink="">
      <xdr:nvSpPr>
        <xdr:cNvPr id="288" name="AutoShape 28"/>
        <xdr:cNvSpPr>
          <a:spLocks noChangeArrowheads="1"/>
        </xdr:cNvSpPr>
      </xdr:nvSpPr>
      <xdr:spPr bwMode="auto">
        <a:xfrm rot="-5400000">
          <a:off x="12219214" y="24765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89</xdr:row>
      <xdr:rowOff>10885</xdr:rowOff>
    </xdr:from>
    <xdr:to>
      <xdr:col>22</xdr:col>
      <xdr:colOff>13608</xdr:colOff>
      <xdr:row>91</xdr:row>
      <xdr:rowOff>81642</xdr:rowOff>
    </xdr:to>
    <xdr:cxnSp macro="">
      <xdr:nvCxnSpPr>
        <xdr:cNvPr id="289" name="Elbow Connector 288"/>
        <xdr:cNvCxnSpPr>
          <a:stCxn id="286" idx="4"/>
          <a:endCxn id="290" idx="0"/>
        </xdr:cNvCxnSpPr>
      </xdr:nvCxnSpPr>
      <xdr:spPr>
        <a:xfrm rot="16200000" flipH="1">
          <a:off x="11013622" y="2481943"/>
          <a:ext cx="451757" cy="198664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91</xdr:row>
      <xdr:rowOff>0</xdr:rowOff>
    </xdr:from>
    <xdr:to>
      <xdr:col>23</xdr:col>
      <xdr:colOff>13607</xdr:colOff>
      <xdr:row>92</xdr:row>
      <xdr:rowOff>1</xdr:rowOff>
    </xdr:to>
    <xdr:sp macro="" textlink="">
      <xdr:nvSpPr>
        <xdr:cNvPr id="290" name="AutoShape 28"/>
        <xdr:cNvSpPr>
          <a:spLocks noChangeArrowheads="1"/>
        </xdr:cNvSpPr>
      </xdr:nvSpPr>
      <xdr:spPr bwMode="auto">
        <a:xfrm rot="-5400000">
          <a:off x="12232820" y="36195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97</xdr:row>
      <xdr:rowOff>0</xdr:rowOff>
    </xdr:from>
    <xdr:to>
      <xdr:col>19</xdr:col>
      <xdr:colOff>0</xdr:colOff>
      <xdr:row>98</xdr:row>
      <xdr:rowOff>10886</xdr:rowOff>
    </xdr:to>
    <xdr:sp macro="" textlink="">
      <xdr:nvSpPr>
        <xdr:cNvPr id="291" name="Oval 41"/>
        <xdr:cNvSpPr>
          <a:spLocks noChangeArrowheads="1"/>
        </xdr:cNvSpPr>
      </xdr:nvSpPr>
      <xdr:spPr bwMode="auto">
        <a:xfrm>
          <a:off x="10150929" y="4762500"/>
          <a:ext cx="231321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94</xdr:row>
      <xdr:rowOff>81645</xdr:rowOff>
    </xdr:from>
    <xdr:to>
      <xdr:col>22</xdr:col>
      <xdr:colOff>1</xdr:colOff>
      <xdr:row>97</xdr:row>
      <xdr:rowOff>0</xdr:rowOff>
    </xdr:to>
    <xdr:cxnSp macro="">
      <xdr:nvCxnSpPr>
        <xdr:cNvPr id="292" name="Elbow Connector 291"/>
        <xdr:cNvCxnSpPr>
          <a:stCxn id="291" idx="0"/>
        </xdr:cNvCxnSpPr>
      </xdr:nvCxnSpPr>
      <xdr:spPr>
        <a:xfrm rot="5400000" flipH="1" flipV="1">
          <a:off x="10996174" y="3539460"/>
          <a:ext cx="489855" cy="1956226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94</xdr:row>
      <xdr:rowOff>0</xdr:rowOff>
    </xdr:from>
    <xdr:to>
      <xdr:col>23</xdr:col>
      <xdr:colOff>0</xdr:colOff>
      <xdr:row>95</xdr:row>
      <xdr:rowOff>0</xdr:rowOff>
    </xdr:to>
    <xdr:sp macro="" textlink="">
      <xdr:nvSpPr>
        <xdr:cNvPr id="293" name="AutoShape 28"/>
        <xdr:cNvSpPr>
          <a:spLocks noChangeArrowheads="1"/>
        </xdr:cNvSpPr>
      </xdr:nvSpPr>
      <xdr:spPr bwMode="auto">
        <a:xfrm rot="-5400000">
          <a:off x="12219214" y="4191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98</xdr:row>
      <xdr:rowOff>10885</xdr:rowOff>
    </xdr:from>
    <xdr:to>
      <xdr:col>22</xdr:col>
      <xdr:colOff>13608</xdr:colOff>
      <xdr:row>100</xdr:row>
      <xdr:rowOff>81642</xdr:rowOff>
    </xdr:to>
    <xdr:cxnSp macro="">
      <xdr:nvCxnSpPr>
        <xdr:cNvPr id="294" name="Elbow Connector 293"/>
        <xdr:cNvCxnSpPr>
          <a:stCxn id="291" idx="4"/>
          <a:endCxn id="295" idx="0"/>
        </xdr:cNvCxnSpPr>
      </xdr:nvCxnSpPr>
      <xdr:spPr>
        <a:xfrm rot="16200000" flipH="1">
          <a:off x="11013622" y="4196443"/>
          <a:ext cx="451757" cy="198664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100</xdr:row>
      <xdr:rowOff>0</xdr:rowOff>
    </xdr:from>
    <xdr:to>
      <xdr:col>23</xdr:col>
      <xdr:colOff>13607</xdr:colOff>
      <xdr:row>101</xdr:row>
      <xdr:rowOff>1</xdr:rowOff>
    </xdr:to>
    <xdr:sp macro="" textlink="">
      <xdr:nvSpPr>
        <xdr:cNvPr id="295" name="AutoShape 28"/>
        <xdr:cNvSpPr>
          <a:spLocks noChangeArrowheads="1"/>
        </xdr:cNvSpPr>
      </xdr:nvSpPr>
      <xdr:spPr bwMode="auto">
        <a:xfrm rot="-5400000">
          <a:off x="12232820" y="53340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106</xdr:row>
      <xdr:rowOff>0</xdr:rowOff>
    </xdr:from>
    <xdr:to>
      <xdr:col>19</xdr:col>
      <xdr:colOff>0</xdr:colOff>
      <xdr:row>107</xdr:row>
      <xdr:rowOff>10886</xdr:rowOff>
    </xdr:to>
    <xdr:sp macro="" textlink="">
      <xdr:nvSpPr>
        <xdr:cNvPr id="296" name="Oval 41"/>
        <xdr:cNvSpPr>
          <a:spLocks noChangeArrowheads="1"/>
        </xdr:cNvSpPr>
      </xdr:nvSpPr>
      <xdr:spPr bwMode="auto">
        <a:xfrm>
          <a:off x="10150929" y="6477000"/>
          <a:ext cx="231321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103</xdr:row>
      <xdr:rowOff>81645</xdr:rowOff>
    </xdr:from>
    <xdr:to>
      <xdr:col>22</xdr:col>
      <xdr:colOff>1</xdr:colOff>
      <xdr:row>106</xdr:row>
      <xdr:rowOff>0</xdr:rowOff>
    </xdr:to>
    <xdr:cxnSp macro="">
      <xdr:nvCxnSpPr>
        <xdr:cNvPr id="297" name="Elbow Connector 296"/>
        <xdr:cNvCxnSpPr>
          <a:stCxn id="296" idx="0"/>
        </xdr:cNvCxnSpPr>
      </xdr:nvCxnSpPr>
      <xdr:spPr>
        <a:xfrm rot="5400000" flipH="1" flipV="1">
          <a:off x="10996174" y="5253960"/>
          <a:ext cx="489855" cy="1956226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103</xdr:row>
      <xdr:rowOff>0</xdr:rowOff>
    </xdr:from>
    <xdr:to>
      <xdr:col>23</xdr:col>
      <xdr:colOff>0</xdr:colOff>
      <xdr:row>104</xdr:row>
      <xdr:rowOff>0</xdr:rowOff>
    </xdr:to>
    <xdr:sp macro="" textlink="">
      <xdr:nvSpPr>
        <xdr:cNvPr id="298" name="AutoShape 28"/>
        <xdr:cNvSpPr>
          <a:spLocks noChangeArrowheads="1"/>
        </xdr:cNvSpPr>
      </xdr:nvSpPr>
      <xdr:spPr bwMode="auto">
        <a:xfrm rot="-5400000">
          <a:off x="12219214" y="59055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107</xdr:row>
      <xdr:rowOff>10885</xdr:rowOff>
    </xdr:from>
    <xdr:to>
      <xdr:col>22</xdr:col>
      <xdr:colOff>13608</xdr:colOff>
      <xdr:row>109</xdr:row>
      <xdr:rowOff>81642</xdr:rowOff>
    </xdr:to>
    <xdr:cxnSp macro="">
      <xdr:nvCxnSpPr>
        <xdr:cNvPr id="299" name="Elbow Connector 298"/>
        <xdr:cNvCxnSpPr>
          <a:stCxn id="296" idx="4"/>
          <a:endCxn id="300" idx="0"/>
        </xdr:cNvCxnSpPr>
      </xdr:nvCxnSpPr>
      <xdr:spPr>
        <a:xfrm rot="16200000" flipH="1">
          <a:off x="11013622" y="5910943"/>
          <a:ext cx="451757" cy="198664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109</xdr:row>
      <xdr:rowOff>0</xdr:rowOff>
    </xdr:from>
    <xdr:to>
      <xdr:col>23</xdr:col>
      <xdr:colOff>13607</xdr:colOff>
      <xdr:row>110</xdr:row>
      <xdr:rowOff>1</xdr:rowOff>
    </xdr:to>
    <xdr:sp macro="" textlink="">
      <xdr:nvSpPr>
        <xdr:cNvPr id="300" name="AutoShape 28"/>
        <xdr:cNvSpPr>
          <a:spLocks noChangeArrowheads="1"/>
        </xdr:cNvSpPr>
      </xdr:nvSpPr>
      <xdr:spPr bwMode="auto">
        <a:xfrm rot="-5400000">
          <a:off x="12232820" y="70485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95250</xdr:colOff>
      <xdr:row>96</xdr:row>
      <xdr:rowOff>-1</xdr:rowOff>
    </xdr:from>
    <xdr:to>
      <xdr:col>18</xdr:col>
      <xdr:colOff>0</xdr:colOff>
      <xdr:row>115</xdr:row>
      <xdr:rowOff>81642</xdr:rowOff>
    </xdr:to>
    <xdr:cxnSp macro="">
      <xdr:nvCxnSpPr>
        <xdr:cNvPr id="301" name="Elbow Connector 300"/>
        <xdr:cNvCxnSpPr/>
      </xdr:nvCxnSpPr>
      <xdr:spPr>
        <a:xfrm rot="16200000" flipH="1">
          <a:off x="6851196" y="4973410"/>
          <a:ext cx="3701143" cy="289832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102</xdr:row>
      <xdr:rowOff>1</xdr:rowOff>
    </xdr:from>
    <xdr:to>
      <xdr:col>14</xdr:col>
      <xdr:colOff>0</xdr:colOff>
      <xdr:row>103</xdr:row>
      <xdr:rowOff>1</xdr:rowOff>
    </xdr:to>
    <xdr:sp macro="" textlink="">
      <xdr:nvSpPr>
        <xdr:cNvPr id="302" name="Oval 72"/>
        <xdr:cNvSpPr>
          <a:spLocks noChangeArrowheads="1"/>
        </xdr:cNvSpPr>
      </xdr:nvSpPr>
      <xdr:spPr bwMode="auto">
        <a:xfrm>
          <a:off x="7157357" y="5715001"/>
          <a:ext cx="204107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95250</xdr:colOff>
      <xdr:row>79</xdr:row>
      <xdr:rowOff>87087</xdr:rowOff>
    </xdr:from>
    <xdr:to>
      <xdr:col>18</xdr:col>
      <xdr:colOff>0</xdr:colOff>
      <xdr:row>102</xdr:row>
      <xdr:rowOff>2</xdr:rowOff>
    </xdr:to>
    <xdr:cxnSp macro="">
      <xdr:nvCxnSpPr>
        <xdr:cNvPr id="303" name="Elbow Connector 302"/>
        <xdr:cNvCxnSpPr>
          <a:stCxn id="302" idx="0"/>
          <a:endCxn id="281" idx="2"/>
        </xdr:cNvCxnSpPr>
      </xdr:nvCxnSpPr>
      <xdr:spPr>
        <a:xfrm rot="5400000" flipH="1" flipV="1">
          <a:off x="6554560" y="2118634"/>
          <a:ext cx="4294415" cy="289832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115</xdr:row>
      <xdr:rowOff>0</xdr:rowOff>
    </xdr:from>
    <xdr:to>
      <xdr:col>19</xdr:col>
      <xdr:colOff>0</xdr:colOff>
      <xdr:row>116</xdr:row>
      <xdr:rowOff>10886</xdr:rowOff>
    </xdr:to>
    <xdr:sp macro="" textlink="">
      <xdr:nvSpPr>
        <xdr:cNvPr id="304" name="Oval 41"/>
        <xdr:cNvSpPr>
          <a:spLocks noChangeArrowheads="1"/>
        </xdr:cNvSpPr>
      </xdr:nvSpPr>
      <xdr:spPr bwMode="auto">
        <a:xfrm>
          <a:off x="10150929" y="8191500"/>
          <a:ext cx="231321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112</xdr:row>
      <xdr:rowOff>81645</xdr:rowOff>
    </xdr:from>
    <xdr:to>
      <xdr:col>22</xdr:col>
      <xdr:colOff>1</xdr:colOff>
      <xdr:row>115</xdr:row>
      <xdr:rowOff>0</xdr:rowOff>
    </xdr:to>
    <xdr:cxnSp macro="">
      <xdr:nvCxnSpPr>
        <xdr:cNvPr id="305" name="Elbow Connector 304"/>
        <xdr:cNvCxnSpPr>
          <a:stCxn id="304" idx="0"/>
        </xdr:cNvCxnSpPr>
      </xdr:nvCxnSpPr>
      <xdr:spPr>
        <a:xfrm rot="5400000" flipH="1" flipV="1">
          <a:off x="10996174" y="6968460"/>
          <a:ext cx="489855" cy="1956226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112</xdr:row>
      <xdr:rowOff>0</xdr:rowOff>
    </xdr:from>
    <xdr:to>
      <xdr:col>23</xdr:col>
      <xdr:colOff>0</xdr:colOff>
      <xdr:row>113</xdr:row>
      <xdr:rowOff>0</xdr:rowOff>
    </xdr:to>
    <xdr:sp macro="" textlink="">
      <xdr:nvSpPr>
        <xdr:cNvPr id="306" name="AutoShape 28"/>
        <xdr:cNvSpPr>
          <a:spLocks noChangeArrowheads="1"/>
        </xdr:cNvSpPr>
      </xdr:nvSpPr>
      <xdr:spPr bwMode="auto">
        <a:xfrm rot="-5400000">
          <a:off x="12219214" y="7620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116</xdr:row>
      <xdr:rowOff>10885</xdr:rowOff>
    </xdr:from>
    <xdr:to>
      <xdr:col>22</xdr:col>
      <xdr:colOff>13608</xdr:colOff>
      <xdr:row>118</xdr:row>
      <xdr:rowOff>81642</xdr:rowOff>
    </xdr:to>
    <xdr:cxnSp macro="">
      <xdr:nvCxnSpPr>
        <xdr:cNvPr id="307" name="Elbow Connector 306"/>
        <xdr:cNvCxnSpPr>
          <a:stCxn id="304" idx="4"/>
          <a:endCxn id="308" idx="0"/>
        </xdr:cNvCxnSpPr>
      </xdr:nvCxnSpPr>
      <xdr:spPr>
        <a:xfrm rot="16200000" flipH="1">
          <a:off x="11013622" y="7625443"/>
          <a:ext cx="451757" cy="198664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118</xdr:row>
      <xdr:rowOff>0</xdr:rowOff>
    </xdr:from>
    <xdr:to>
      <xdr:col>23</xdr:col>
      <xdr:colOff>13607</xdr:colOff>
      <xdr:row>119</xdr:row>
      <xdr:rowOff>1</xdr:rowOff>
    </xdr:to>
    <xdr:sp macro="" textlink="">
      <xdr:nvSpPr>
        <xdr:cNvPr id="308" name="AutoShape 28"/>
        <xdr:cNvSpPr>
          <a:spLocks noChangeArrowheads="1"/>
        </xdr:cNvSpPr>
      </xdr:nvSpPr>
      <xdr:spPr bwMode="auto">
        <a:xfrm rot="-5400000">
          <a:off x="12232820" y="87630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124</xdr:row>
      <xdr:rowOff>0</xdr:rowOff>
    </xdr:from>
    <xdr:to>
      <xdr:col>19</xdr:col>
      <xdr:colOff>0</xdr:colOff>
      <xdr:row>125</xdr:row>
      <xdr:rowOff>0</xdr:rowOff>
    </xdr:to>
    <xdr:sp macro="" textlink="">
      <xdr:nvSpPr>
        <xdr:cNvPr id="309" name="AutoShape 28"/>
        <xdr:cNvSpPr>
          <a:spLocks noChangeArrowheads="1"/>
        </xdr:cNvSpPr>
      </xdr:nvSpPr>
      <xdr:spPr bwMode="auto">
        <a:xfrm rot="-5400000">
          <a:off x="10171340" y="9885589"/>
          <a:ext cx="190500" cy="231321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95250</xdr:colOff>
      <xdr:row>115</xdr:row>
      <xdr:rowOff>81643</xdr:rowOff>
    </xdr:from>
    <xdr:to>
      <xdr:col>18</xdr:col>
      <xdr:colOff>0</xdr:colOff>
      <xdr:row>124</xdr:row>
      <xdr:rowOff>81643</xdr:rowOff>
    </xdr:to>
    <xdr:cxnSp macro="">
      <xdr:nvCxnSpPr>
        <xdr:cNvPr id="310" name="Elbow Connector 309"/>
        <xdr:cNvCxnSpPr>
          <a:endCxn id="309" idx="0"/>
        </xdr:cNvCxnSpPr>
      </xdr:nvCxnSpPr>
      <xdr:spPr>
        <a:xfrm>
          <a:off x="7252607" y="8273143"/>
          <a:ext cx="2898322" cy="1714500"/>
        </a:xfrm>
        <a:prstGeom prst="bentConnector3">
          <a:avLst>
            <a:gd name="adj1" fmla="val -43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108857</xdr:colOff>
      <xdr:row>110</xdr:row>
      <xdr:rowOff>0</xdr:rowOff>
    </xdr:from>
    <xdr:to>
      <xdr:col>8</xdr:col>
      <xdr:colOff>122464</xdr:colOff>
      <xdr:row>131</xdr:row>
      <xdr:rowOff>0</xdr:rowOff>
    </xdr:to>
    <xdr:cxnSp macro="">
      <xdr:nvCxnSpPr>
        <xdr:cNvPr id="312" name="Straight Connector 311"/>
        <xdr:cNvCxnSpPr>
          <a:stCxn id="203" idx="0"/>
        </xdr:cNvCxnSpPr>
      </xdr:nvCxnSpPr>
      <xdr:spPr>
        <a:xfrm flipV="1">
          <a:off x="4599214" y="20955000"/>
          <a:ext cx="13607" cy="4000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61</xdr:row>
      <xdr:rowOff>76200</xdr:rowOff>
    </xdr:from>
    <xdr:to>
      <xdr:col>3</xdr:col>
      <xdr:colOff>95251</xdr:colOff>
      <xdr:row>83</xdr:row>
      <xdr:rowOff>68036</xdr:rowOff>
    </xdr:to>
    <xdr:cxnSp macro="">
      <xdr:nvCxnSpPr>
        <xdr:cNvPr id="2" name="Straight Connector 1"/>
        <xdr:cNvCxnSpPr/>
      </xdr:nvCxnSpPr>
      <xdr:spPr>
        <a:xfrm flipV="1">
          <a:off x="1924051" y="11696700"/>
          <a:ext cx="0" cy="418283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112568</xdr:colOff>
      <xdr:row>111</xdr:row>
      <xdr:rowOff>173182</xdr:rowOff>
    </xdr:from>
    <xdr:to>
      <xdr:col>8</xdr:col>
      <xdr:colOff>17318</xdr:colOff>
      <xdr:row>131</xdr:row>
      <xdr:rowOff>58882</xdr:rowOff>
    </xdr:to>
    <xdr:cxnSp macro="">
      <xdr:nvCxnSpPr>
        <xdr:cNvPr id="3" name="AutoShape 67"/>
        <xdr:cNvCxnSpPr>
          <a:cxnSpLocks noChangeShapeType="1"/>
        </xdr:cNvCxnSpPr>
      </xdr:nvCxnSpPr>
      <xdr:spPr bwMode="auto">
        <a:xfrm rot="16200000" flipH="1">
          <a:off x="1365106" y="21894944"/>
          <a:ext cx="3695700" cy="2543175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95251</xdr:colOff>
      <xdr:row>61</xdr:row>
      <xdr:rowOff>76200</xdr:rowOff>
    </xdr:from>
    <xdr:to>
      <xdr:col>8</xdr:col>
      <xdr:colOff>1</xdr:colOff>
      <xdr:row>76</xdr:row>
      <xdr:rowOff>152400</xdr:rowOff>
    </xdr:to>
    <xdr:cxnSp macro="">
      <xdr:nvCxnSpPr>
        <xdr:cNvPr id="4" name="AutoShape 68"/>
        <xdr:cNvCxnSpPr>
          <a:cxnSpLocks noChangeShapeType="1"/>
        </xdr:cNvCxnSpPr>
      </xdr:nvCxnSpPr>
      <xdr:spPr bwMode="auto">
        <a:xfrm rot="16200000">
          <a:off x="1728789" y="11891962"/>
          <a:ext cx="2933700" cy="2543175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0</xdr:colOff>
      <xdr:row>94</xdr:row>
      <xdr:rowOff>0</xdr:rowOff>
    </xdr:from>
    <xdr:to>
      <xdr:col>1</xdr:col>
      <xdr:colOff>0</xdr:colOff>
      <xdr:row>95</xdr:row>
      <xdr:rowOff>0</xdr:rowOff>
    </xdr:to>
    <xdr:sp macro="" textlink="">
      <xdr:nvSpPr>
        <xdr:cNvPr id="5" name="Rectangle 70"/>
        <xdr:cNvSpPr>
          <a:spLocks noChangeArrowheads="1"/>
        </xdr:cNvSpPr>
      </xdr:nvSpPr>
      <xdr:spPr bwMode="auto">
        <a:xfrm>
          <a:off x="0" y="17907000"/>
          <a:ext cx="609600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66FF" mc:Ignorable="a14" a14:legacySpreadsheetColorIndex="48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</xdr:col>
      <xdr:colOff>0</xdr:colOff>
      <xdr:row>94</xdr:row>
      <xdr:rowOff>0</xdr:rowOff>
    </xdr:from>
    <xdr:to>
      <xdr:col>4</xdr:col>
      <xdr:colOff>0</xdr:colOff>
      <xdr:row>95</xdr:row>
      <xdr:rowOff>0</xdr:rowOff>
    </xdr:to>
    <xdr:sp macro="" textlink="">
      <xdr:nvSpPr>
        <xdr:cNvPr id="6" name="Oval 72"/>
        <xdr:cNvSpPr>
          <a:spLocks noChangeArrowheads="1"/>
        </xdr:cNvSpPr>
      </xdr:nvSpPr>
      <xdr:spPr bwMode="auto">
        <a:xfrm>
          <a:off x="1828800" y="179070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94</xdr:row>
      <xdr:rowOff>85725</xdr:rowOff>
    </xdr:from>
    <xdr:to>
      <xdr:col>3</xdr:col>
      <xdr:colOff>0</xdr:colOff>
      <xdr:row>94</xdr:row>
      <xdr:rowOff>85725</xdr:rowOff>
    </xdr:to>
    <xdr:cxnSp macro="">
      <xdr:nvCxnSpPr>
        <xdr:cNvPr id="7" name="AutoShape 73"/>
        <xdr:cNvCxnSpPr>
          <a:cxnSpLocks noChangeShapeType="1"/>
          <a:stCxn id="5" idx="3"/>
          <a:endCxn id="6" idx="2"/>
        </xdr:cNvCxnSpPr>
      </xdr:nvCxnSpPr>
      <xdr:spPr bwMode="auto">
        <a:xfrm>
          <a:off x="609600" y="17992725"/>
          <a:ext cx="121920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13607</xdr:colOff>
      <xdr:row>61</xdr:row>
      <xdr:rowOff>0</xdr:rowOff>
    </xdr:from>
    <xdr:to>
      <xdr:col>9</xdr:col>
      <xdr:colOff>13607</xdr:colOff>
      <xdr:row>62</xdr:row>
      <xdr:rowOff>10885</xdr:rowOff>
    </xdr:to>
    <xdr:sp macro="" textlink="">
      <xdr:nvSpPr>
        <xdr:cNvPr id="8" name="Oval 41"/>
        <xdr:cNvSpPr>
          <a:spLocks noChangeArrowheads="1"/>
        </xdr:cNvSpPr>
      </xdr:nvSpPr>
      <xdr:spPr bwMode="auto">
        <a:xfrm>
          <a:off x="4480832" y="11620500"/>
          <a:ext cx="219075" cy="20138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8</xdr:col>
      <xdr:colOff>95252</xdr:colOff>
      <xdr:row>56</xdr:row>
      <xdr:rowOff>22414</xdr:rowOff>
    </xdr:from>
    <xdr:to>
      <xdr:col>13</xdr:col>
      <xdr:colOff>2</xdr:colOff>
      <xdr:row>64</xdr:row>
      <xdr:rowOff>98614</xdr:rowOff>
    </xdr:to>
    <xdr:cxnSp macro="">
      <xdr:nvCxnSpPr>
        <xdr:cNvPr id="9" name="AutoShape 42"/>
        <xdr:cNvCxnSpPr>
          <a:cxnSpLocks noChangeShapeType="1"/>
        </xdr:cNvCxnSpPr>
      </xdr:nvCxnSpPr>
      <xdr:spPr bwMode="auto">
        <a:xfrm rot="16200000" flipH="1">
          <a:off x="5043490" y="10209401"/>
          <a:ext cx="1600200" cy="2562225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95251</xdr:colOff>
      <xdr:row>30</xdr:row>
      <xdr:rowOff>87407</xdr:rowOff>
    </xdr:from>
    <xdr:to>
      <xdr:col>13</xdr:col>
      <xdr:colOff>1</xdr:colOff>
      <xdr:row>38</xdr:row>
      <xdr:rowOff>163607</xdr:rowOff>
    </xdr:to>
    <xdr:cxnSp macro="">
      <xdr:nvCxnSpPr>
        <xdr:cNvPr id="10" name="AutoShape 43"/>
        <xdr:cNvCxnSpPr>
          <a:cxnSpLocks noChangeShapeType="1"/>
        </xdr:cNvCxnSpPr>
      </xdr:nvCxnSpPr>
      <xdr:spPr bwMode="auto">
        <a:xfrm rot="16200000">
          <a:off x="5043489" y="5321394"/>
          <a:ext cx="1600200" cy="2562225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106455</xdr:colOff>
      <xdr:row>37</xdr:row>
      <xdr:rowOff>89649</xdr:rowOff>
    </xdr:from>
    <xdr:to>
      <xdr:col>8</xdr:col>
      <xdr:colOff>106455</xdr:colOff>
      <xdr:row>60</xdr:row>
      <xdr:rowOff>22412</xdr:rowOff>
    </xdr:to>
    <xdr:cxnSp macro="">
      <xdr:nvCxnSpPr>
        <xdr:cNvPr id="11" name="Straight Connector 10"/>
        <xdr:cNvCxnSpPr/>
      </xdr:nvCxnSpPr>
      <xdr:spPr>
        <a:xfrm flipV="1">
          <a:off x="4573680" y="7138149"/>
          <a:ext cx="0" cy="43142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31</xdr:row>
      <xdr:rowOff>0</xdr:rowOff>
    </xdr:to>
    <xdr:sp macro="" textlink="">
      <xdr:nvSpPr>
        <xdr:cNvPr id="12" name="Oval 72"/>
        <xdr:cNvSpPr>
          <a:spLocks noChangeArrowheads="1"/>
        </xdr:cNvSpPr>
      </xdr:nvSpPr>
      <xdr:spPr bwMode="auto">
        <a:xfrm>
          <a:off x="7124700" y="57150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8</xdr:col>
      <xdr:colOff>13607</xdr:colOff>
      <xdr:row>61</xdr:row>
      <xdr:rowOff>0</xdr:rowOff>
    </xdr:from>
    <xdr:to>
      <xdr:col>9</xdr:col>
      <xdr:colOff>13607</xdr:colOff>
      <xdr:row>62</xdr:row>
      <xdr:rowOff>10885</xdr:rowOff>
    </xdr:to>
    <xdr:sp macro="" textlink="">
      <xdr:nvSpPr>
        <xdr:cNvPr id="13" name="Oval 41"/>
        <xdr:cNvSpPr>
          <a:spLocks noChangeArrowheads="1"/>
        </xdr:cNvSpPr>
      </xdr:nvSpPr>
      <xdr:spPr bwMode="auto">
        <a:xfrm>
          <a:off x="4480832" y="11620500"/>
          <a:ext cx="219075" cy="20138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13</xdr:col>
      <xdr:colOff>95250</xdr:colOff>
      <xdr:row>16</xdr:row>
      <xdr:rowOff>89806</xdr:rowOff>
    </xdr:from>
    <xdr:to>
      <xdr:col>18</xdr:col>
      <xdr:colOff>0</xdr:colOff>
      <xdr:row>16</xdr:row>
      <xdr:rowOff>89806</xdr:rowOff>
    </xdr:to>
    <xdr:cxnSp macro="">
      <xdr:nvCxnSpPr>
        <xdr:cNvPr id="14" name="Straight Connector 13"/>
        <xdr:cNvCxnSpPr/>
      </xdr:nvCxnSpPr>
      <xdr:spPr>
        <a:xfrm>
          <a:off x="7219950" y="3137806"/>
          <a:ext cx="28956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77561</xdr:colOff>
      <xdr:row>25</xdr:row>
      <xdr:rowOff>77561</xdr:rowOff>
    </xdr:from>
    <xdr:to>
      <xdr:col>17</xdr:col>
      <xdr:colOff>608239</xdr:colOff>
      <xdr:row>25</xdr:row>
      <xdr:rowOff>77561</xdr:rowOff>
    </xdr:to>
    <xdr:cxnSp macro="">
      <xdr:nvCxnSpPr>
        <xdr:cNvPr id="15" name="Straight Connector 14"/>
        <xdr:cNvCxnSpPr/>
      </xdr:nvCxnSpPr>
      <xdr:spPr>
        <a:xfrm>
          <a:off x="7202261" y="4840061"/>
          <a:ext cx="2911928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34</xdr:row>
      <xdr:rowOff>99332</xdr:rowOff>
    </xdr:from>
    <xdr:to>
      <xdr:col>18</xdr:col>
      <xdr:colOff>9525</xdr:colOff>
      <xdr:row>34</xdr:row>
      <xdr:rowOff>99332</xdr:rowOff>
    </xdr:to>
    <xdr:cxnSp macro="">
      <xdr:nvCxnSpPr>
        <xdr:cNvPr id="16" name="Straight Connector 15"/>
        <xdr:cNvCxnSpPr/>
      </xdr:nvCxnSpPr>
      <xdr:spPr>
        <a:xfrm>
          <a:off x="7229475" y="6576332"/>
          <a:ext cx="28956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7</xdr:row>
      <xdr:rowOff>0</xdr:rowOff>
    </xdr:from>
    <xdr:to>
      <xdr:col>19</xdr:col>
      <xdr:colOff>0</xdr:colOff>
      <xdr:row>8</xdr:row>
      <xdr:rowOff>10886</xdr:rowOff>
    </xdr:to>
    <xdr:sp macro="" textlink="">
      <xdr:nvSpPr>
        <xdr:cNvPr id="17" name="Oval 41"/>
        <xdr:cNvSpPr>
          <a:spLocks noChangeArrowheads="1"/>
        </xdr:cNvSpPr>
      </xdr:nvSpPr>
      <xdr:spPr bwMode="auto">
        <a:xfrm>
          <a:off x="10115550" y="13335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4</xdr:row>
      <xdr:rowOff>81645</xdr:rowOff>
    </xdr:from>
    <xdr:to>
      <xdr:col>22</xdr:col>
      <xdr:colOff>1</xdr:colOff>
      <xdr:row>7</xdr:row>
      <xdr:rowOff>0</xdr:rowOff>
    </xdr:to>
    <xdr:cxnSp macro="">
      <xdr:nvCxnSpPr>
        <xdr:cNvPr id="18" name="Elbow Connector 17"/>
        <xdr:cNvCxnSpPr>
          <a:stCxn id="17" idx="0"/>
        </xdr:cNvCxnSpPr>
      </xdr:nvCxnSpPr>
      <xdr:spPr>
        <a:xfrm rot="5400000" flipH="1" flipV="1">
          <a:off x="10955353" y="1159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4</xdr:row>
      <xdr:rowOff>0</xdr:rowOff>
    </xdr:from>
    <xdr:to>
      <xdr:col>23</xdr:col>
      <xdr:colOff>0</xdr:colOff>
      <xdr:row>5</xdr:row>
      <xdr:rowOff>0</xdr:rowOff>
    </xdr:to>
    <xdr:sp macro="" textlink="">
      <xdr:nvSpPr>
        <xdr:cNvPr id="19" name="AutoShape 28"/>
        <xdr:cNvSpPr>
          <a:spLocks noChangeArrowheads="1"/>
        </xdr:cNvSpPr>
      </xdr:nvSpPr>
      <xdr:spPr bwMode="auto">
        <a:xfrm rot="-5400000">
          <a:off x="12172950" y="762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8</xdr:row>
      <xdr:rowOff>10885</xdr:rowOff>
    </xdr:from>
    <xdr:to>
      <xdr:col>22</xdr:col>
      <xdr:colOff>13608</xdr:colOff>
      <xdr:row>10</xdr:row>
      <xdr:rowOff>81642</xdr:rowOff>
    </xdr:to>
    <xdr:cxnSp macro="">
      <xdr:nvCxnSpPr>
        <xdr:cNvPr id="20" name="Elbow Connector 19"/>
        <xdr:cNvCxnSpPr>
          <a:stCxn id="17" idx="4"/>
          <a:endCxn id="21" idx="0"/>
        </xdr:cNvCxnSpPr>
      </xdr:nvCxnSpPr>
      <xdr:spPr>
        <a:xfrm rot="16200000" flipH="1">
          <a:off x="10972801" y="7728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10</xdr:row>
      <xdr:rowOff>0</xdr:rowOff>
    </xdr:from>
    <xdr:to>
      <xdr:col>23</xdr:col>
      <xdr:colOff>13607</xdr:colOff>
      <xdr:row>11</xdr:row>
      <xdr:rowOff>1</xdr:rowOff>
    </xdr:to>
    <xdr:sp macro="" textlink="">
      <xdr:nvSpPr>
        <xdr:cNvPr id="21" name="AutoShape 28"/>
        <xdr:cNvSpPr>
          <a:spLocks noChangeArrowheads="1"/>
        </xdr:cNvSpPr>
      </xdr:nvSpPr>
      <xdr:spPr bwMode="auto">
        <a:xfrm rot="-5400000">
          <a:off x="12186556" y="19050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16</xdr:row>
      <xdr:rowOff>0</xdr:rowOff>
    </xdr:from>
    <xdr:to>
      <xdr:col>19</xdr:col>
      <xdr:colOff>0</xdr:colOff>
      <xdr:row>17</xdr:row>
      <xdr:rowOff>10886</xdr:rowOff>
    </xdr:to>
    <xdr:sp macro="" textlink="">
      <xdr:nvSpPr>
        <xdr:cNvPr id="22" name="Oval 41"/>
        <xdr:cNvSpPr>
          <a:spLocks noChangeArrowheads="1"/>
        </xdr:cNvSpPr>
      </xdr:nvSpPr>
      <xdr:spPr bwMode="auto">
        <a:xfrm>
          <a:off x="10115550" y="30480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13</xdr:row>
      <xdr:rowOff>81645</xdr:rowOff>
    </xdr:from>
    <xdr:to>
      <xdr:col>22</xdr:col>
      <xdr:colOff>1</xdr:colOff>
      <xdr:row>16</xdr:row>
      <xdr:rowOff>0</xdr:rowOff>
    </xdr:to>
    <xdr:cxnSp macro="">
      <xdr:nvCxnSpPr>
        <xdr:cNvPr id="23" name="Elbow Connector 22"/>
        <xdr:cNvCxnSpPr>
          <a:stCxn id="22" idx="0"/>
        </xdr:cNvCxnSpPr>
      </xdr:nvCxnSpPr>
      <xdr:spPr>
        <a:xfrm rot="5400000" flipH="1" flipV="1">
          <a:off x="10955353" y="18304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13</xdr:row>
      <xdr:rowOff>0</xdr:rowOff>
    </xdr:from>
    <xdr:to>
      <xdr:col>23</xdr:col>
      <xdr:colOff>0</xdr:colOff>
      <xdr:row>14</xdr:row>
      <xdr:rowOff>0</xdr:rowOff>
    </xdr:to>
    <xdr:sp macro="" textlink="">
      <xdr:nvSpPr>
        <xdr:cNvPr id="24" name="AutoShape 28"/>
        <xdr:cNvSpPr>
          <a:spLocks noChangeArrowheads="1"/>
        </xdr:cNvSpPr>
      </xdr:nvSpPr>
      <xdr:spPr bwMode="auto">
        <a:xfrm rot="-5400000">
          <a:off x="12172950" y="24765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17</xdr:row>
      <xdr:rowOff>10885</xdr:rowOff>
    </xdr:from>
    <xdr:to>
      <xdr:col>22</xdr:col>
      <xdr:colOff>13608</xdr:colOff>
      <xdr:row>19</xdr:row>
      <xdr:rowOff>81642</xdr:rowOff>
    </xdr:to>
    <xdr:cxnSp macro="">
      <xdr:nvCxnSpPr>
        <xdr:cNvPr id="25" name="Elbow Connector 24"/>
        <xdr:cNvCxnSpPr>
          <a:stCxn id="22" idx="4"/>
          <a:endCxn id="26" idx="0"/>
        </xdr:cNvCxnSpPr>
      </xdr:nvCxnSpPr>
      <xdr:spPr>
        <a:xfrm rot="16200000" flipH="1">
          <a:off x="10972801" y="24873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19</xdr:row>
      <xdr:rowOff>0</xdr:rowOff>
    </xdr:from>
    <xdr:to>
      <xdr:col>23</xdr:col>
      <xdr:colOff>13607</xdr:colOff>
      <xdr:row>20</xdr:row>
      <xdr:rowOff>1</xdr:rowOff>
    </xdr:to>
    <xdr:sp macro="" textlink="">
      <xdr:nvSpPr>
        <xdr:cNvPr id="26" name="AutoShape 28"/>
        <xdr:cNvSpPr>
          <a:spLocks noChangeArrowheads="1"/>
        </xdr:cNvSpPr>
      </xdr:nvSpPr>
      <xdr:spPr bwMode="auto">
        <a:xfrm rot="-5400000">
          <a:off x="12186556" y="36195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25</xdr:row>
      <xdr:rowOff>0</xdr:rowOff>
    </xdr:from>
    <xdr:to>
      <xdr:col>19</xdr:col>
      <xdr:colOff>0</xdr:colOff>
      <xdr:row>26</xdr:row>
      <xdr:rowOff>10886</xdr:rowOff>
    </xdr:to>
    <xdr:sp macro="" textlink="">
      <xdr:nvSpPr>
        <xdr:cNvPr id="27" name="Oval 41"/>
        <xdr:cNvSpPr>
          <a:spLocks noChangeArrowheads="1"/>
        </xdr:cNvSpPr>
      </xdr:nvSpPr>
      <xdr:spPr bwMode="auto">
        <a:xfrm>
          <a:off x="10115550" y="47625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22</xdr:row>
      <xdr:rowOff>81645</xdr:rowOff>
    </xdr:from>
    <xdr:to>
      <xdr:col>22</xdr:col>
      <xdr:colOff>1</xdr:colOff>
      <xdr:row>25</xdr:row>
      <xdr:rowOff>0</xdr:rowOff>
    </xdr:to>
    <xdr:cxnSp macro="">
      <xdr:nvCxnSpPr>
        <xdr:cNvPr id="28" name="Elbow Connector 27"/>
        <xdr:cNvCxnSpPr>
          <a:stCxn id="27" idx="0"/>
        </xdr:cNvCxnSpPr>
      </xdr:nvCxnSpPr>
      <xdr:spPr>
        <a:xfrm rot="5400000" flipH="1" flipV="1">
          <a:off x="10955353" y="35449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22</xdr:row>
      <xdr:rowOff>0</xdr:rowOff>
    </xdr:from>
    <xdr:to>
      <xdr:col>23</xdr:col>
      <xdr:colOff>0</xdr:colOff>
      <xdr:row>23</xdr:row>
      <xdr:rowOff>0</xdr:rowOff>
    </xdr:to>
    <xdr:sp macro="" textlink="">
      <xdr:nvSpPr>
        <xdr:cNvPr id="29" name="AutoShape 28"/>
        <xdr:cNvSpPr>
          <a:spLocks noChangeArrowheads="1"/>
        </xdr:cNvSpPr>
      </xdr:nvSpPr>
      <xdr:spPr bwMode="auto">
        <a:xfrm rot="-5400000">
          <a:off x="12172950" y="4191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26</xdr:row>
      <xdr:rowOff>10885</xdr:rowOff>
    </xdr:from>
    <xdr:to>
      <xdr:col>22</xdr:col>
      <xdr:colOff>13608</xdr:colOff>
      <xdr:row>28</xdr:row>
      <xdr:rowOff>81642</xdr:rowOff>
    </xdr:to>
    <xdr:cxnSp macro="">
      <xdr:nvCxnSpPr>
        <xdr:cNvPr id="30" name="Elbow Connector 29"/>
        <xdr:cNvCxnSpPr>
          <a:stCxn id="27" idx="4"/>
          <a:endCxn id="31" idx="0"/>
        </xdr:cNvCxnSpPr>
      </xdr:nvCxnSpPr>
      <xdr:spPr>
        <a:xfrm rot="16200000" flipH="1">
          <a:off x="10972801" y="42018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28</xdr:row>
      <xdr:rowOff>0</xdr:rowOff>
    </xdr:from>
    <xdr:to>
      <xdr:col>23</xdr:col>
      <xdr:colOff>13607</xdr:colOff>
      <xdr:row>29</xdr:row>
      <xdr:rowOff>1</xdr:rowOff>
    </xdr:to>
    <xdr:sp macro="" textlink="">
      <xdr:nvSpPr>
        <xdr:cNvPr id="31" name="AutoShape 28"/>
        <xdr:cNvSpPr>
          <a:spLocks noChangeArrowheads="1"/>
        </xdr:cNvSpPr>
      </xdr:nvSpPr>
      <xdr:spPr bwMode="auto">
        <a:xfrm rot="-5400000">
          <a:off x="12186556" y="53340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34</xdr:row>
      <xdr:rowOff>0</xdr:rowOff>
    </xdr:from>
    <xdr:to>
      <xdr:col>19</xdr:col>
      <xdr:colOff>0</xdr:colOff>
      <xdr:row>35</xdr:row>
      <xdr:rowOff>10886</xdr:rowOff>
    </xdr:to>
    <xdr:sp macro="" textlink="">
      <xdr:nvSpPr>
        <xdr:cNvPr id="32" name="Oval 41"/>
        <xdr:cNvSpPr>
          <a:spLocks noChangeArrowheads="1"/>
        </xdr:cNvSpPr>
      </xdr:nvSpPr>
      <xdr:spPr bwMode="auto">
        <a:xfrm>
          <a:off x="10115550" y="64770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31</xdr:row>
      <xdr:rowOff>81645</xdr:rowOff>
    </xdr:from>
    <xdr:to>
      <xdr:col>22</xdr:col>
      <xdr:colOff>1</xdr:colOff>
      <xdr:row>34</xdr:row>
      <xdr:rowOff>0</xdr:rowOff>
    </xdr:to>
    <xdr:cxnSp macro="">
      <xdr:nvCxnSpPr>
        <xdr:cNvPr id="33" name="Elbow Connector 32"/>
        <xdr:cNvCxnSpPr>
          <a:stCxn id="32" idx="0"/>
        </xdr:cNvCxnSpPr>
      </xdr:nvCxnSpPr>
      <xdr:spPr>
        <a:xfrm rot="5400000" flipH="1" flipV="1">
          <a:off x="10955353" y="52594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31</xdr:row>
      <xdr:rowOff>0</xdr:rowOff>
    </xdr:from>
    <xdr:to>
      <xdr:col>23</xdr:col>
      <xdr:colOff>0</xdr:colOff>
      <xdr:row>32</xdr:row>
      <xdr:rowOff>0</xdr:rowOff>
    </xdr:to>
    <xdr:sp macro="" textlink="">
      <xdr:nvSpPr>
        <xdr:cNvPr id="34" name="AutoShape 28"/>
        <xdr:cNvSpPr>
          <a:spLocks noChangeArrowheads="1"/>
        </xdr:cNvSpPr>
      </xdr:nvSpPr>
      <xdr:spPr bwMode="auto">
        <a:xfrm rot="-5400000">
          <a:off x="12172950" y="59055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35</xdr:row>
      <xdr:rowOff>10885</xdr:rowOff>
    </xdr:from>
    <xdr:to>
      <xdr:col>22</xdr:col>
      <xdr:colOff>13608</xdr:colOff>
      <xdr:row>37</xdr:row>
      <xdr:rowOff>81642</xdr:rowOff>
    </xdr:to>
    <xdr:cxnSp macro="">
      <xdr:nvCxnSpPr>
        <xdr:cNvPr id="35" name="Elbow Connector 34"/>
        <xdr:cNvCxnSpPr>
          <a:stCxn id="32" idx="4"/>
          <a:endCxn id="36" idx="0"/>
        </xdr:cNvCxnSpPr>
      </xdr:nvCxnSpPr>
      <xdr:spPr>
        <a:xfrm rot="16200000" flipH="1">
          <a:off x="10972801" y="59163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37</xdr:row>
      <xdr:rowOff>0</xdr:rowOff>
    </xdr:from>
    <xdr:to>
      <xdr:col>23</xdr:col>
      <xdr:colOff>13607</xdr:colOff>
      <xdr:row>38</xdr:row>
      <xdr:rowOff>1</xdr:rowOff>
    </xdr:to>
    <xdr:sp macro="" textlink="">
      <xdr:nvSpPr>
        <xdr:cNvPr id="36" name="AutoShape 28"/>
        <xdr:cNvSpPr>
          <a:spLocks noChangeArrowheads="1"/>
        </xdr:cNvSpPr>
      </xdr:nvSpPr>
      <xdr:spPr bwMode="auto">
        <a:xfrm rot="-5400000">
          <a:off x="12186556" y="70485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95250</xdr:colOff>
      <xdr:row>23</xdr:row>
      <xdr:rowOff>190499</xdr:rowOff>
    </xdr:from>
    <xdr:to>
      <xdr:col>18</xdr:col>
      <xdr:colOff>0</xdr:colOff>
      <xdr:row>43</xdr:row>
      <xdr:rowOff>81642</xdr:rowOff>
    </xdr:to>
    <xdr:cxnSp macro="">
      <xdr:nvCxnSpPr>
        <xdr:cNvPr id="37" name="Elbow Connector 36"/>
        <xdr:cNvCxnSpPr/>
      </xdr:nvCxnSpPr>
      <xdr:spPr>
        <a:xfrm rot="16200000" flipH="1">
          <a:off x="6817178" y="4974771"/>
          <a:ext cx="3701143" cy="289560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30</xdr:row>
      <xdr:rowOff>1</xdr:rowOff>
    </xdr:from>
    <xdr:to>
      <xdr:col>14</xdr:col>
      <xdr:colOff>0</xdr:colOff>
      <xdr:row>31</xdr:row>
      <xdr:rowOff>1</xdr:rowOff>
    </xdr:to>
    <xdr:sp macro="" textlink="">
      <xdr:nvSpPr>
        <xdr:cNvPr id="38" name="Oval 72"/>
        <xdr:cNvSpPr>
          <a:spLocks noChangeArrowheads="1"/>
        </xdr:cNvSpPr>
      </xdr:nvSpPr>
      <xdr:spPr bwMode="auto">
        <a:xfrm>
          <a:off x="7124700" y="5715001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95250</xdr:colOff>
      <xdr:row>7</xdr:row>
      <xdr:rowOff>87087</xdr:rowOff>
    </xdr:from>
    <xdr:to>
      <xdr:col>18</xdr:col>
      <xdr:colOff>0</xdr:colOff>
      <xdr:row>30</xdr:row>
      <xdr:rowOff>2</xdr:rowOff>
    </xdr:to>
    <xdr:cxnSp macro="">
      <xdr:nvCxnSpPr>
        <xdr:cNvPr id="39" name="Elbow Connector 38"/>
        <xdr:cNvCxnSpPr>
          <a:stCxn id="38" idx="0"/>
          <a:endCxn id="17" idx="2"/>
        </xdr:cNvCxnSpPr>
      </xdr:nvCxnSpPr>
      <xdr:spPr>
        <a:xfrm rot="5400000" flipH="1" flipV="1">
          <a:off x="6520542" y="2119995"/>
          <a:ext cx="4294415" cy="289560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43</xdr:row>
      <xdr:rowOff>0</xdr:rowOff>
    </xdr:from>
    <xdr:to>
      <xdr:col>19</xdr:col>
      <xdr:colOff>0</xdr:colOff>
      <xdr:row>44</xdr:row>
      <xdr:rowOff>10886</xdr:rowOff>
    </xdr:to>
    <xdr:sp macro="" textlink="">
      <xdr:nvSpPr>
        <xdr:cNvPr id="40" name="Oval 41"/>
        <xdr:cNvSpPr>
          <a:spLocks noChangeArrowheads="1"/>
        </xdr:cNvSpPr>
      </xdr:nvSpPr>
      <xdr:spPr bwMode="auto">
        <a:xfrm>
          <a:off x="10115550" y="81915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40</xdr:row>
      <xdr:rowOff>81645</xdr:rowOff>
    </xdr:from>
    <xdr:to>
      <xdr:col>22</xdr:col>
      <xdr:colOff>1</xdr:colOff>
      <xdr:row>43</xdr:row>
      <xdr:rowOff>0</xdr:rowOff>
    </xdr:to>
    <xdr:cxnSp macro="">
      <xdr:nvCxnSpPr>
        <xdr:cNvPr id="41" name="Elbow Connector 40"/>
        <xdr:cNvCxnSpPr>
          <a:stCxn id="40" idx="0"/>
        </xdr:cNvCxnSpPr>
      </xdr:nvCxnSpPr>
      <xdr:spPr>
        <a:xfrm rot="5400000" flipH="1" flipV="1">
          <a:off x="10955353" y="69739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40</xdr:row>
      <xdr:rowOff>0</xdr:rowOff>
    </xdr:from>
    <xdr:to>
      <xdr:col>23</xdr:col>
      <xdr:colOff>0</xdr:colOff>
      <xdr:row>41</xdr:row>
      <xdr:rowOff>0</xdr:rowOff>
    </xdr:to>
    <xdr:sp macro="" textlink="">
      <xdr:nvSpPr>
        <xdr:cNvPr id="42" name="AutoShape 28"/>
        <xdr:cNvSpPr>
          <a:spLocks noChangeArrowheads="1"/>
        </xdr:cNvSpPr>
      </xdr:nvSpPr>
      <xdr:spPr bwMode="auto">
        <a:xfrm rot="-5400000">
          <a:off x="12172950" y="7620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44</xdr:row>
      <xdr:rowOff>10885</xdr:rowOff>
    </xdr:from>
    <xdr:to>
      <xdr:col>22</xdr:col>
      <xdr:colOff>13608</xdr:colOff>
      <xdr:row>46</xdr:row>
      <xdr:rowOff>81642</xdr:rowOff>
    </xdr:to>
    <xdr:cxnSp macro="">
      <xdr:nvCxnSpPr>
        <xdr:cNvPr id="43" name="Elbow Connector 42"/>
        <xdr:cNvCxnSpPr>
          <a:stCxn id="40" idx="4"/>
          <a:endCxn id="44" idx="0"/>
        </xdr:cNvCxnSpPr>
      </xdr:nvCxnSpPr>
      <xdr:spPr>
        <a:xfrm rot="16200000" flipH="1">
          <a:off x="10972801" y="76308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46</xdr:row>
      <xdr:rowOff>0</xdr:rowOff>
    </xdr:from>
    <xdr:to>
      <xdr:col>23</xdr:col>
      <xdr:colOff>13607</xdr:colOff>
      <xdr:row>47</xdr:row>
      <xdr:rowOff>1</xdr:rowOff>
    </xdr:to>
    <xdr:sp macro="" textlink="">
      <xdr:nvSpPr>
        <xdr:cNvPr id="44" name="AutoShape 28"/>
        <xdr:cNvSpPr>
          <a:spLocks noChangeArrowheads="1"/>
        </xdr:cNvSpPr>
      </xdr:nvSpPr>
      <xdr:spPr bwMode="auto">
        <a:xfrm rot="-5400000">
          <a:off x="12186556" y="87630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52</xdr:row>
      <xdr:rowOff>0</xdr:rowOff>
    </xdr:from>
    <xdr:to>
      <xdr:col>19</xdr:col>
      <xdr:colOff>0</xdr:colOff>
      <xdr:row>53</xdr:row>
      <xdr:rowOff>0</xdr:rowOff>
    </xdr:to>
    <xdr:sp macro="" textlink="">
      <xdr:nvSpPr>
        <xdr:cNvPr id="45" name="AutoShape 28"/>
        <xdr:cNvSpPr>
          <a:spLocks noChangeArrowheads="1"/>
        </xdr:cNvSpPr>
      </xdr:nvSpPr>
      <xdr:spPr bwMode="auto">
        <a:xfrm rot="-5400000">
          <a:off x="10134600" y="9886950"/>
          <a:ext cx="190500" cy="2286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95250</xdr:colOff>
      <xdr:row>43</xdr:row>
      <xdr:rowOff>81643</xdr:rowOff>
    </xdr:from>
    <xdr:to>
      <xdr:col>18</xdr:col>
      <xdr:colOff>0</xdr:colOff>
      <xdr:row>52</xdr:row>
      <xdr:rowOff>81643</xdr:rowOff>
    </xdr:to>
    <xdr:cxnSp macro="">
      <xdr:nvCxnSpPr>
        <xdr:cNvPr id="46" name="Elbow Connector 45"/>
        <xdr:cNvCxnSpPr>
          <a:endCxn id="45" idx="0"/>
        </xdr:cNvCxnSpPr>
      </xdr:nvCxnSpPr>
      <xdr:spPr>
        <a:xfrm>
          <a:off x="7219950" y="8273143"/>
          <a:ext cx="2895600" cy="1714500"/>
        </a:xfrm>
        <a:prstGeom prst="bentConnector3">
          <a:avLst>
            <a:gd name="adj1" fmla="val -43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131</xdr:row>
      <xdr:rowOff>0</xdr:rowOff>
    </xdr:from>
    <xdr:to>
      <xdr:col>9</xdr:col>
      <xdr:colOff>0</xdr:colOff>
      <xdr:row>132</xdr:row>
      <xdr:rowOff>38100</xdr:rowOff>
    </xdr:to>
    <xdr:sp macro="" textlink="">
      <xdr:nvSpPr>
        <xdr:cNvPr id="47" name="Oval 63"/>
        <xdr:cNvSpPr>
          <a:spLocks noChangeArrowheads="1"/>
        </xdr:cNvSpPr>
      </xdr:nvSpPr>
      <xdr:spPr bwMode="auto">
        <a:xfrm>
          <a:off x="4467225" y="24955500"/>
          <a:ext cx="219075" cy="2286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3</xdr:col>
      <xdr:colOff>103909</xdr:colOff>
      <xdr:row>82</xdr:row>
      <xdr:rowOff>17319</xdr:rowOff>
    </xdr:from>
    <xdr:to>
      <xdr:col>3</xdr:col>
      <xdr:colOff>103909</xdr:colOff>
      <xdr:row>112</xdr:row>
      <xdr:rowOff>51955</xdr:rowOff>
    </xdr:to>
    <xdr:cxnSp macro="">
      <xdr:nvCxnSpPr>
        <xdr:cNvPr id="48" name="Straight Connector 47"/>
        <xdr:cNvCxnSpPr/>
      </xdr:nvCxnSpPr>
      <xdr:spPr>
        <a:xfrm flipV="1">
          <a:off x="1932709" y="15638319"/>
          <a:ext cx="0" cy="574963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126178</xdr:colOff>
      <xdr:row>102</xdr:row>
      <xdr:rowOff>132123</xdr:rowOff>
    </xdr:from>
    <xdr:to>
      <xdr:col>13</xdr:col>
      <xdr:colOff>65564</xdr:colOff>
      <xdr:row>113</xdr:row>
      <xdr:rowOff>28214</xdr:rowOff>
    </xdr:to>
    <xdr:cxnSp macro="">
      <xdr:nvCxnSpPr>
        <xdr:cNvPr id="49" name="Elbow Connector 48"/>
        <xdr:cNvCxnSpPr/>
      </xdr:nvCxnSpPr>
      <xdr:spPr>
        <a:xfrm rot="5400000" flipH="1" flipV="1">
          <a:off x="4896038" y="19260488"/>
          <a:ext cx="1991591" cy="259686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64</xdr:row>
      <xdr:rowOff>0</xdr:rowOff>
    </xdr:from>
    <xdr:to>
      <xdr:col>14</xdr:col>
      <xdr:colOff>0</xdr:colOff>
      <xdr:row>65</xdr:row>
      <xdr:rowOff>0</xdr:rowOff>
    </xdr:to>
    <xdr:sp macro="" textlink="">
      <xdr:nvSpPr>
        <xdr:cNvPr id="50" name="Oval 72"/>
        <xdr:cNvSpPr>
          <a:spLocks noChangeArrowheads="1"/>
        </xdr:cNvSpPr>
      </xdr:nvSpPr>
      <xdr:spPr bwMode="auto">
        <a:xfrm>
          <a:off x="7124700" y="121920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135</xdr:row>
      <xdr:rowOff>0</xdr:rowOff>
    </xdr:from>
    <xdr:to>
      <xdr:col>14</xdr:col>
      <xdr:colOff>0</xdr:colOff>
      <xdr:row>136</xdr:row>
      <xdr:rowOff>0</xdr:rowOff>
    </xdr:to>
    <xdr:sp macro="" textlink="">
      <xdr:nvSpPr>
        <xdr:cNvPr id="51" name="Oval 72"/>
        <xdr:cNvSpPr>
          <a:spLocks noChangeArrowheads="1"/>
        </xdr:cNvSpPr>
      </xdr:nvSpPr>
      <xdr:spPr bwMode="auto">
        <a:xfrm>
          <a:off x="7124700" y="257175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8</xdr:col>
      <xdr:colOff>112568</xdr:colOff>
      <xdr:row>126</xdr:row>
      <xdr:rowOff>38100</xdr:rowOff>
    </xdr:from>
    <xdr:to>
      <xdr:col>13</xdr:col>
      <xdr:colOff>0</xdr:colOff>
      <xdr:row>135</xdr:row>
      <xdr:rowOff>95250</xdr:rowOff>
    </xdr:to>
    <xdr:cxnSp macro="">
      <xdr:nvCxnSpPr>
        <xdr:cNvPr id="52" name="Elbow Connector 51"/>
        <xdr:cNvCxnSpPr/>
      </xdr:nvCxnSpPr>
      <xdr:spPr>
        <a:xfrm rot="16200000" flipH="1">
          <a:off x="4966422" y="23654471"/>
          <a:ext cx="1771650" cy="254490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100853</xdr:colOff>
      <xdr:row>61</xdr:row>
      <xdr:rowOff>81646</xdr:rowOff>
    </xdr:from>
    <xdr:to>
      <xdr:col>17</xdr:col>
      <xdr:colOff>0</xdr:colOff>
      <xdr:row>64</xdr:row>
      <xdr:rowOff>1</xdr:rowOff>
    </xdr:to>
    <xdr:cxnSp macro="">
      <xdr:nvCxnSpPr>
        <xdr:cNvPr id="53" name="Elbow Connector 52"/>
        <xdr:cNvCxnSpPr>
          <a:stCxn id="50" idx="0"/>
        </xdr:cNvCxnSpPr>
      </xdr:nvCxnSpPr>
      <xdr:spPr>
        <a:xfrm rot="5400000" flipH="1" flipV="1">
          <a:off x="8320849" y="10606850"/>
          <a:ext cx="489855" cy="268044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61</xdr:row>
      <xdr:rowOff>0</xdr:rowOff>
    </xdr:from>
    <xdr:to>
      <xdr:col>18</xdr:col>
      <xdr:colOff>0</xdr:colOff>
      <xdr:row>62</xdr:row>
      <xdr:rowOff>0</xdr:rowOff>
    </xdr:to>
    <xdr:sp macro="" textlink="">
      <xdr:nvSpPr>
        <xdr:cNvPr id="54" name="AutoShape 28"/>
        <xdr:cNvSpPr>
          <a:spLocks noChangeArrowheads="1"/>
        </xdr:cNvSpPr>
      </xdr:nvSpPr>
      <xdr:spPr bwMode="auto">
        <a:xfrm rot="-5400000">
          <a:off x="9915525" y="11610975"/>
          <a:ext cx="190500" cy="20955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95251</xdr:colOff>
      <xdr:row>65</xdr:row>
      <xdr:rowOff>10885</xdr:rowOff>
    </xdr:from>
    <xdr:to>
      <xdr:col>17</xdr:col>
      <xdr:colOff>13608</xdr:colOff>
      <xdr:row>67</xdr:row>
      <xdr:rowOff>81642</xdr:rowOff>
    </xdr:to>
    <xdr:cxnSp macro="">
      <xdr:nvCxnSpPr>
        <xdr:cNvPr id="55" name="Elbow Connector 54"/>
        <xdr:cNvCxnSpPr>
          <a:endCxn id="56" idx="0"/>
        </xdr:cNvCxnSpPr>
      </xdr:nvCxnSpPr>
      <xdr:spPr>
        <a:xfrm rot="16200000" flipH="1">
          <a:off x="8343901" y="11269435"/>
          <a:ext cx="451757" cy="26996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13607</xdr:colOff>
      <xdr:row>67</xdr:row>
      <xdr:rowOff>0</xdr:rowOff>
    </xdr:from>
    <xdr:to>
      <xdr:col>18</xdr:col>
      <xdr:colOff>13607</xdr:colOff>
      <xdr:row>68</xdr:row>
      <xdr:rowOff>1</xdr:rowOff>
    </xdr:to>
    <xdr:sp macro="" textlink="">
      <xdr:nvSpPr>
        <xdr:cNvPr id="56" name="AutoShape 28"/>
        <xdr:cNvSpPr>
          <a:spLocks noChangeArrowheads="1"/>
        </xdr:cNvSpPr>
      </xdr:nvSpPr>
      <xdr:spPr bwMode="auto">
        <a:xfrm rot="-5400000">
          <a:off x="9929131" y="12753976"/>
          <a:ext cx="190501" cy="20955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0</xdr:colOff>
      <xdr:row>135</xdr:row>
      <xdr:rowOff>0</xdr:rowOff>
    </xdr:from>
    <xdr:to>
      <xdr:col>14</xdr:col>
      <xdr:colOff>0</xdr:colOff>
      <xdr:row>136</xdr:row>
      <xdr:rowOff>0</xdr:rowOff>
    </xdr:to>
    <xdr:sp macro="" textlink="">
      <xdr:nvSpPr>
        <xdr:cNvPr id="57" name="Oval 72"/>
        <xdr:cNvSpPr>
          <a:spLocks noChangeArrowheads="1"/>
        </xdr:cNvSpPr>
      </xdr:nvSpPr>
      <xdr:spPr bwMode="auto">
        <a:xfrm>
          <a:off x="7124700" y="257175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100853</xdr:colOff>
      <xdr:row>132</xdr:row>
      <xdr:rowOff>81646</xdr:rowOff>
    </xdr:from>
    <xdr:to>
      <xdr:col>17</xdr:col>
      <xdr:colOff>0</xdr:colOff>
      <xdr:row>135</xdr:row>
      <xdr:rowOff>1</xdr:rowOff>
    </xdr:to>
    <xdr:cxnSp macro="">
      <xdr:nvCxnSpPr>
        <xdr:cNvPr id="58" name="Elbow Connector 57"/>
        <xdr:cNvCxnSpPr>
          <a:stCxn id="57" idx="0"/>
        </xdr:cNvCxnSpPr>
      </xdr:nvCxnSpPr>
      <xdr:spPr>
        <a:xfrm rot="5400000" flipH="1" flipV="1">
          <a:off x="8320849" y="24132350"/>
          <a:ext cx="489855" cy="268044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132</xdr:row>
      <xdr:rowOff>0</xdr:rowOff>
    </xdr:from>
    <xdr:to>
      <xdr:col>18</xdr:col>
      <xdr:colOff>0</xdr:colOff>
      <xdr:row>133</xdr:row>
      <xdr:rowOff>0</xdr:rowOff>
    </xdr:to>
    <xdr:sp macro="" textlink="">
      <xdr:nvSpPr>
        <xdr:cNvPr id="59" name="AutoShape 28"/>
        <xdr:cNvSpPr>
          <a:spLocks noChangeArrowheads="1"/>
        </xdr:cNvSpPr>
      </xdr:nvSpPr>
      <xdr:spPr bwMode="auto">
        <a:xfrm rot="-5400000">
          <a:off x="9915525" y="25136475"/>
          <a:ext cx="190500" cy="20955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95251</xdr:colOff>
      <xdr:row>136</xdr:row>
      <xdr:rowOff>10885</xdr:rowOff>
    </xdr:from>
    <xdr:to>
      <xdr:col>17</xdr:col>
      <xdr:colOff>13608</xdr:colOff>
      <xdr:row>138</xdr:row>
      <xdr:rowOff>81642</xdr:rowOff>
    </xdr:to>
    <xdr:cxnSp macro="">
      <xdr:nvCxnSpPr>
        <xdr:cNvPr id="60" name="Elbow Connector 59"/>
        <xdr:cNvCxnSpPr>
          <a:endCxn id="61" idx="0"/>
        </xdr:cNvCxnSpPr>
      </xdr:nvCxnSpPr>
      <xdr:spPr>
        <a:xfrm rot="16200000" flipH="1">
          <a:off x="8343901" y="24794935"/>
          <a:ext cx="451757" cy="26996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13607</xdr:colOff>
      <xdr:row>138</xdr:row>
      <xdr:rowOff>0</xdr:rowOff>
    </xdr:from>
    <xdr:to>
      <xdr:col>18</xdr:col>
      <xdr:colOff>13607</xdr:colOff>
      <xdr:row>139</xdr:row>
      <xdr:rowOff>1</xdr:rowOff>
    </xdr:to>
    <xdr:sp macro="" textlink="">
      <xdr:nvSpPr>
        <xdr:cNvPr id="61" name="AutoShape 28"/>
        <xdr:cNvSpPr>
          <a:spLocks noChangeArrowheads="1"/>
        </xdr:cNvSpPr>
      </xdr:nvSpPr>
      <xdr:spPr bwMode="auto">
        <a:xfrm rot="-5400000">
          <a:off x="9929131" y="26279476"/>
          <a:ext cx="190501" cy="20955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0</xdr:colOff>
      <xdr:row>64</xdr:row>
      <xdr:rowOff>0</xdr:rowOff>
    </xdr:from>
    <xdr:to>
      <xdr:col>14</xdr:col>
      <xdr:colOff>0</xdr:colOff>
      <xdr:row>65</xdr:row>
      <xdr:rowOff>0</xdr:rowOff>
    </xdr:to>
    <xdr:sp macro="" textlink="">
      <xdr:nvSpPr>
        <xdr:cNvPr id="62" name="Oval 72"/>
        <xdr:cNvSpPr>
          <a:spLocks noChangeArrowheads="1"/>
        </xdr:cNvSpPr>
      </xdr:nvSpPr>
      <xdr:spPr bwMode="auto">
        <a:xfrm>
          <a:off x="7124700" y="121920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102</xdr:row>
      <xdr:rowOff>0</xdr:rowOff>
    </xdr:from>
    <xdr:to>
      <xdr:col>14</xdr:col>
      <xdr:colOff>0</xdr:colOff>
      <xdr:row>103</xdr:row>
      <xdr:rowOff>0</xdr:rowOff>
    </xdr:to>
    <xdr:sp macro="" textlink="">
      <xdr:nvSpPr>
        <xdr:cNvPr id="63" name="Oval 72"/>
        <xdr:cNvSpPr>
          <a:spLocks noChangeArrowheads="1"/>
        </xdr:cNvSpPr>
      </xdr:nvSpPr>
      <xdr:spPr bwMode="auto">
        <a:xfrm>
          <a:off x="7124700" y="194310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95250</xdr:colOff>
      <xdr:row>88</xdr:row>
      <xdr:rowOff>89806</xdr:rowOff>
    </xdr:from>
    <xdr:to>
      <xdr:col>18</xdr:col>
      <xdr:colOff>0</xdr:colOff>
      <xdr:row>88</xdr:row>
      <xdr:rowOff>89806</xdr:rowOff>
    </xdr:to>
    <xdr:cxnSp macro="">
      <xdr:nvCxnSpPr>
        <xdr:cNvPr id="64" name="Straight Connector 63"/>
        <xdr:cNvCxnSpPr/>
      </xdr:nvCxnSpPr>
      <xdr:spPr>
        <a:xfrm>
          <a:off x="7219950" y="16853806"/>
          <a:ext cx="28956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77561</xdr:colOff>
      <xdr:row>97</xdr:row>
      <xdr:rowOff>77561</xdr:rowOff>
    </xdr:from>
    <xdr:to>
      <xdr:col>17</xdr:col>
      <xdr:colOff>608239</xdr:colOff>
      <xdr:row>97</xdr:row>
      <xdr:rowOff>77561</xdr:rowOff>
    </xdr:to>
    <xdr:cxnSp macro="">
      <xdr:nvCxnSpPr>
        <xdr:cNvPr id="65" name="Straight Connector 64"/>
        <xdr:cNvCxnSpPr/>
      </xdr:nvCxnSpPr>
      <xdr:spPr>
        <a:xfrm>
          <a:off x="7202261" y="18556061"/>
          <a:ext cx="2911928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106</xdr:row>
      <xdr:rowOff>99332</xdr:rowOff>
    </xdr:from>
    <xdr:to>
      <xdr:col>18</xdr:col>
      <xdr:colOff>9525</xdr:colOff>
      <xdr:row>106</xdr:row>
      <xdr:rowOff>99332</xdr:rowOff>
    </xdr:to>
    <xdr:cxnSp macro="">
      <xdr:nvCxnSpPr>
        <xdr:cNvPr id="66" name="Straight Connector 65"/>
        <xdr:cNvCxnSpPr/>
      </xdr:nvCxnSpPr>
      <xdr:spPr>
        <a:xfrm>
          <a:off x="7229475" y="20292332"/>
          <a:ext cx="28956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79</xdr:row>
      <xdr:rowOff>0</xdr:rowOff>
    </xdr:from>
    <xdr:to>
      <xdr:col>19</xdr:col>
      <xdr:colOff>0</xdr:colOff>
      <xdr:row>80</xdr:row>
      <xdr:rowOff>10886</xdr:rowOff>
    </xdr:to>
    <xdr:sp macro="" textlink="">
      <xdr:nvSpPr>
        <xdr:cNvPr id="67" name="Oval 41"/>
        <xdr:cNvSpPr>
          <a:spLocks noChangeArrowheads="1"/>
        </xdr:cNvSpPr>
      </xdr:nvSpPr>
      <xdr:spPr bwMode="auto">
        <a:xfrm>
          <a:off x="10115550" y="150495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76</xdr:row>
      <xdr:rowOff>81645</xdr:rowOff>
    </xdr:from>
    <xdr:to>
      <xdr:col>22</xdr:col>
      <xdr:colOff>1</xdr:colOff>
      <xdr:row>79</xdr:row>
      <xdr:rowOff>0</xdr:rowOff>
    </xdr:to>
    <xdr:cxnSp macro="">
      <xdr:nvCxnSpPr>
        <xdr:cNvPr id="68" name="Elbow Connector 67"/>
        <xdr:cNvCxnSpPr>
          <a:stCxn id="67" idx="0"/>
        </xdr:cNvCxnSpPr>
      </xdr:nvCxnSpPr>
      <xdr:spPr>
        <a:xfrm rot="5400000" flipH="1" flipV="1">
          <a:off x="10955353" y="138319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76</xdr:row>
      <xdr:rowOff>0</xdr:rowOff>
    </xdr:from>
    <xdr:to>
      <xdr:col>23</xdr:col>
      <xdr:colOff>0</xdr:colOff>
      <xdr:row>77</xdr:row>
      <xdr:rowOff>0</xdr:rowOff>
    </xdr:to>
    <xdr:sp macro="" textlink="">
      <xdr:nvSpPr>
        <xdr:cNvPr id="69" name="AutoShape 28"/>
        <xdr:cNvSpPr>
          <a:spLocks noChangeArrowheads="1"/>
        </xdr:cNvSpPr>
      </xdr:nvSpPr>
      <xdr:spPr bwMode="auto">
        <a:xfrm rot="-5400000">
          <a:off x="12172950" y="14478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80</xdr:row>
      <xdr:rowOff>10885</xdr:rowOff>
    </xdr:from>
    <xdr:to>
      <xdr:col>22</xdr:col>
      <xdr:colOff>13608</xdr:colOff>
      <xdr:row>82</xdr:row>
      <xdr:rowOff>81642</xdr:rowOff>
    </xdr:to>
    <xdr:cxnSp macro="">
      <xdr:nvCxnSpPr>
        <xdr:cNvPr id="70" name="Elbow Connector 69"/>
        <xdr:cNvCxnSpPr>
          <a:stCxn id="67" idx="4"/>
          <a:endCxn id="71" idx="0"/>
        </xdr:cNvCxnSpPr>
      </xdr:nvCxnSpPr>
      <xdr:spPr>
        <a:xfrm rot="16200000" flipH="1">
          <a:off x="10972801" y="144888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81</xdr:row>
      <xdr:rowOff>0</xdr:rowOff>
    </xdr:from>
    <xdr:to>
      <xdr:col>23</xdr:col>
      <xdr:colOff>13607</xdr:colOff>
      <xdr:row>82</xdr:row>
      <xdr:rowOff>1</xdr:rowOff>
    </xdr:to>
    <xdr:sp macro="" textlink="">
      <xdr:nvSpPr>
        <xdr:cNvPr id="71" name="AutoShape 28"/>
        <xdr:cNvSpPr>
          <a:spLocks noChangeArrowheads="1"/>
        </xdr:cNvSpPr>
      </xdr:nvSpPr>
      <xdr:spPr bwMode="auto">
        <a:xfrm rot="-5400000">
          <a:off x="12186556" y="154305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88</xdr:row>
      <xdr:rowOff>0</xdr:rowOff>
    </xdr:from>
    <xdr:to>
      <xdr:col>19</xdr:col>
      <xdr:colOff>0</xdr:colOff>
      <xdr:row>89</xdr:row>
      <xdr:rowOff>10886</xdr:rowOff>
    </xdr:to>
    <xdr:sp macro="" textlink="">
      <xdr:nvSpPr>
        <xdr:cNvPr id="72" name="Oval 41"/>
        <xdr:cNvSpPr>
          <a:spLocks noChangeArrowheads="1"/>
        </xdr:cNvSpPr>
      </xdr:nvSpPr>
      <xdr:spPr bwMode="auto">
        <a:xfrm>
          <a:off x="10115550" y="167640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85</xdr:row>
      <xdr:rowOff>81645</xdr:rowOff>
    </xdr:from>
    <xdr:to>
      <xdr:col>22</xdr:col>
      <xdr:colOff>1</xdr:colOff>
      <xdr:row>88</xdr:row>
      <xdr:rowOff>0</xdr:rowOff>
    </xdr:to>
    <xdr:cxnSp macro="">
      <xdr:nvCxnSpPr>
        <xdr:cNvPr id="73" name="Elbow Connector 72"/>
        <xdr:cNvCxnSpPr>
          <a:stCxn id="72" idx="0"/>
        </xdr:cNvCxnSpPr>
      </xdr:nvCxnSpPr>
      <xdr:spPr>
        <a:xfrm rot="5400000" flipH="1" flipV="1">
          <a:off x="10955353" y="155464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85</xdr:row>
      <xdr:rowOff>0</xdr:rowOff>
    </xdr:from>
    <xdr:to>
      <xdr:col>23</xdr:col>
      <xdr:colOff>0</xdr:colOff>
      <xdr:row>86</xdr:row>
      <xdr:rowOff>0</xdr:rowOff>
    </xdr:to>
    <xdr:sp macro="" textlink="">
      <xdr:nvSpPr>
        <xdr:cNvPr id="74" name="AutoShape 28"/>
        <xdr:cNvSpPr>
          <a:spLocks noChangeArrowheads="1"/>
        </xdr:cNvSpPr>
      </xdr:nvSpPr>
      <xdr:spPr bwMode="auto">
        <a:xfrm rot="-5400000">
          <a:off x="12172950" y="161925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89</xdr:row>
      <xdr:rowOff>10885</xdr:rowOff>
    </xdr:from>
    <xdr:to>
      <xdr:col>22</xdr:col>
      <xdr:colOff>13608</xdr:colOff>
      <xdr:row>91</xdr:row>
      <xdr:rowOff>81642</xdr:rowOff>
    </xdr:to>
    <xdr:cxnSp macro="">
      <xdr:nvCxnSpPr>
        <xdr:cNvPr id="75" name="Elbow Connector 74"/>
        <xdr:cNvCxnSpPr>
          <a:stCxn id="72" idx="4"/>
          <a:endCxn id="76" idx="0"/>
        </xdr:cNvCxnSpPr>
      </xdr:nvCxnSpPr>
      <xdr:spPr>
        <a:xfrm rot="16200000" flipH="1">
          <a:off x="10972801" y="162033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91</xdr:row>
      <xdr:rowOff>0</xdr:rowOff>
    </xdr:from>
    <xdr:to>
      <xdr:col>23</xdr:col>
      <xdr:colOff>13607</xdr:colOff>
      <xdr:row>92</xdr:row>
      <xdr:rowOff>1</xdr:rowOff>
    </xdr:to>
    <xdr:sp macro="" textlink="">
      <xdr:nvSpPr>
        <xdr:cNvPr id="76" name="AutoShape 28"/>
        <xdr:cNvSpPr>
          <a:spLocks noChangeArrowheads="1"/>
        </xdr:cNvSpPr>
      </xdr:nvSpPr>
      <xdr:spPr bwMode="auto">
        <a:xfrm rot="-5400000">
          <a:off x="12186556" y="173355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97</xdr:row>
      <xdr:rowOff>0</xdr:rowOff>
    </xdr:from>
    <xdr:to>
      <xdr:col>19</xdr:col>
      <xdr:colOff>0</xdr:colOff>
      <xdr:row>98</xdr:row>
      <xdr:rowOff>10886</xdr:rowOff>
    </xdr:to>
    <xdr:sp macro="" textlink="">
      <xdr:nvSpPr>
        <xdr:cNvPr id="77" name="Oval 41"/>
        <xdr:cNvSpPr>
          <a:spLocks noChangeArrowheads="1"/>
        </xdr:cNvSpPr>
      </xdr:nvSpPr>
      <xdr:spPr bwMode="auto">
        <a:xfrm>
          <a:off x="10115550" y="184785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94</xdr:row>
      <xdr:rowOff>81645</xdr:rowOff>
    </xdr:from>
    <xdr:to>
      <xdr:col>22</xdr:col>
      <xdr:colOff>1</xdr:colOff>
      <xdr:row>97</xdr:row>
      <xdr:rowOff>0</xdr:rowOff>
    </xdr:to>
    <xdr:cxnSp macro="">
      <xdr:nvCxnSpPr>
        <xdr:cNvPr id="78" name="Elbow Connector 77"/>
        <xdr:cNvCxnSpPr>
          <a:stCxn id="77" idx="0"/>
        </xdr:cNvCxnSpPr>
      </xdr:nvCxnSpPr>
      <xdr:spPr>
        <a:xfrm rot="5400000" flipH="1" flipV="1">
          <a:off x="10955353" y="172609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94</xdr:row>
      <xdr:rowOff>0</xdr:rowOff>
    </xdr:from>
    <xdr:to>
      <xdr:col>23</xdr:col>
      <xdr:colOff>0</xdr:colOff>
      <xdr:row>95</xdr:row>
      <xdr:rowOff>0</xdr:rowOff>
    </xdr:to>
    <xdr:sp macro="" textlink="">
      <xdr:nvSpPr>
        <xdr:cNvPr id="79" name="AutoShape 28"/>
        <xdr:cNvSpPr>
          <a:spLocks noChangeArrowheads="1"/>
        </xdr:cNvSpPr>
      </xdr:nvSpPr>
      <xdr:spPr bwMode="auto">
        <a:xfrm rot="-5400000">
          <a:off x="12172950" y="17907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98</xdr:row>
      <xdr:rowOff>10885</xdr:rowOff>
    </xdr:from>
    <xdr:to>
      <xdr:col>22</xdr:col>
      <xdr:colOff>13608</xdr:colOff>
      <xdr:row>100</xdr:row>
      <xdr:rowOff>81642</xdr:rowOff>
    </xdr:to>
    <xdr:cxnSp macro="">
      <xdr:nvCxnSpPr>
        <xdr:cNvPr id="80" name="Elbow Connector 79"/>
        <xdr:cNvCxnSpPr>
          <a:stCxn id="77" idx="4"/>
          <a:endCxn id="81" idx="0"/>
        </xdr:cNvCxnSpPr>
      </xdr:nvCxnSpPr>
      <xdr:spPr>
        <a:xfrm rot="16200000" flipH="1">
          <a:off x="10972801" y="179178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100</xdr:row>
      <xdr:rowOff>0</xdr:rowOff>
    </xdr:from>
    <xdr:to>
      <xdr:col>23</xdr:col>
      <xdr:colOff>13607</xdr:colOff>
      <xdr:row>101</xdr:row>
      <xdr:rowOff>1</xdr:rowOff>
    </xdr:to>
    <xdr:sp macro="" textlink="">
      <xdr:nvSpPr>
        <xdr:cNvPr id="81" name="AutoShape 28"/>
        <xdr:cNvSpPr>
          <a:spLocks noChangeArrowheads="1"/>
        </xdr:cNvSpPr>
      </xdr:nvSpPr>
      <xdr:spPr bwMode="auto">
        <a:xfrm rot="-5400000">
          <a:off x="12186556" y="190500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106</xdr:row>
      <xdr:rowOff>0</xdr:rowOff>
    </xdr:from>
    <xdr:to>
      <xdr:col>19</xdr:col>
      <xdr:colOff>0</xdr:colOff>
      <xdr:row>107</xdr:row>
      <xdr:rowOff>10886</xdr:rowOff>
    </xdr:to>
    <xdr:sp macro="" textlink="">
      <xdr:nvSpPr>
        <xdr:cNvPr id="82" name="Oval 41"/>
        <xdr:cNvSpPr>
          <a:spLocks noChangeArrowheads="1"/>
        </xdr:cNvSpPr>
      </xdr:nvSpPr>
      <xdr:spPr bwMode="auto">
        <a:xfrm>
          <a:off x="10115550" y="201930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103</xdr:row>
      <xdr:rowOff>81645</xdr:rowOff>
    </xdr:from>
    <xdr:to>
      <xdr:col>22</xdr:col>
      <xdr:colOff>1</xdr:colOff>
      <xdr:row>106</xdr:row>
      <xdr:rowOff>0</xdr:rowOff>
    </xdr:to>
    <xdr:cxnSp macro="">
      <xdr:nvCxnSpPr>
        <xdr:cNvPr id="83" name="Elbow Connector 82"/>
        <xdr:cNvCxnSpPr>
          <a:stCxn id="82" idx="0"/>
        </xdr:cNvCxnSpPr>
      </xdr:nvCxnSpPr>
      <xdr:spPr>
        <a:xfrm rot="5400000" flipH="1" flipV="1">
          <a:off x="10955353" y="189754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103</xdr:row>
      <xdr:rowOff>0</xdr:rowOff>
    </xdr:from>
    <xdr:to>
      <xdr:col>23</xdr:col>
      <xdr:colOff>0</xdr:colOff>
      <xdr:row>104</xdr:row>
      <xdr:rowOff>0</xdr:rowOff>
    </xdr:to>
    <xdr:sp macro="" textlink="">
      <xdr:nvSpPr>
        <xdr:cNvPr id="84" name="AutoShape 28"/>
        <xdr:cNvSpPr>
          <a:spLocks noChangeArrowheads="1"/>
        </xdr:cNvSpPr>
      </xdr:nvSpPr>
      <xdr:spPr bwMode="auto">
        <a:xfrm rot="-5400000">
          <a:off x="12172950" y="196215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107</xdr:row>
      <xdr:rowOff>10885</xdr:rowOff>
    </xdr:from>
    <xdr:to>
      <xdr:col>22</xdr:col>
      <xdr:colOff>13608</xdr:colOff>
      <xdr:row>109</xdr:row>
      <xdr:rowOff>81642</xdr:rowOff>
    </xdr:to>
    <xdr:cxnSp macro="">
      <xdr:nvCxnSpPr>
        <xdr:cNvPr id="85" name="Elbow Connector 84"/>
        <xdr:cNvCxnSpPr>
          <a:stCxn id="82" idx="4"/>
          <a:endCxn id="86" idx="0"/>
        </xdr:cNvCxnSpPr>
      </xdr:nvCxnSpPr>
      <xdr:spPr>
        <a:xfrm rot="16200000" flipH="1">
          <a:off x="10972801" y="196323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109</xdr:row>
      <xdr:rowOff>0</xdr:rowOff>
    </xdr:from>
    <xdr:to>
      <xdr:col>23</xdr:col>
      <xdr:colOff>13607</xdr:colOff>
      <xdr:row>110</xdr:row>
      <xdr:rowOff>1</xdr:rowOff>
    </xdr:to>
    <xdr:sp macro="" textlink="">
      <xdr:nvSpPr>
        <xdr:cNvPr id="86" name="AutoShape 28"/>
        <xdr:cNvSpPr>
          <a:spLocks noChangeArrowheads="1"/>
        </xdr:cNvSpPr>
      </xdr:nvSpPr>
      <xdr:spPr bwMode="auto">
        <a:xfrm rot="-5400000">
          <a:off x="12186556" y="207645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95250</xdr:colOff>
      <xdr:row>95</xdr:row>
      <xdr:rowOff>190499</xdr:rowOff>
    </xdr:from>
    <xdr:to>
      <xdr:col>18</xdr:col>
      <xdr:colOff>0</xdr:colOff>
      <xdr:row>115</xdr:row>
      <xdr:rowOff>81642</xdr:rowOff>
    </xdr:to>
    <xdr:cxnSp macro="">
      <xdr:nvCxnSpPr>
        <xdr:cNvPr id="87" name="Elbow Connector 86"/>
        <xdr:cNvCxnSpPr/>
      </xdr:nvCxnSpPr>
      <xdr:spPr>
        <a:xfrm rot="16200000" flipH="1">
          <a:off x="6817178" y="18690771"/>
          <a:ext cx="3701143" cy="289560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102</xdr:row>
      <xdr:rowOff>1</xdr:rowOff>
    </xdr:from>
    <xdr:to>
      <xdr:col>14</xdr:col>
      <xdr:colOff>0</xdr:colOff>
      <xdr:row>103</xdr:row>
      <xdr:rowOff>1</xdr:rowOff>
    </xdr:to>
    <xdr:sp macro="" textlink="">
      <xdr:nvSpPr>
        <xdr:cNvPr id="88" name="Oval 72"/>
        <xdr:cNvSpPr>
          <a:spLocks noChangeArrowheads="1"/>
        </xdr:cNvSpPr>
      </xdr:nvSpPr>
      <xdr:spPr bwMode="auto">
        <a:xfrm>
          <a:off x="7124700" y="19431001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95250</xdr:colOff>
      <xdr:row>79</xdr:row>
      <xdr:rowOff>87087</xdr:rowOff>
    </xdr:from>
    <xdr:to>
      <xdr:col>18</xdr:col>
      <xdr:colOff>0</xdr:colOff>
      <xdr:row>102</xdr:row>
      <xdr:rowOff>2</xdr:rowOff>
    </xdr:to>
    <xdr:cxnSp macro="">
      <xdr:nvCxnSpPr>
        <xdr:cNvPr id="89" name="Elbow Connector 88"/>
        <xdr:cNvCxnSpPr>
          <a:stCxn id="88" idx="0"/>
          <a:endCxn id="67" idx="2"/>
        </xdr:cNvCxnSpPr>
      </xdr:nvCxnSpPr>
      <xdr:spPr>
        <a:xfrm rot="5400000" flipH="1" flipV="1">
          <a:off x="6520542" y="15835995"/>
          <a:ext cx="4294415" cy="289560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115</xdr:row>
      <xdr:rowOff>0</xdr:rowOff>
    </xdr:from>
    <xdr:to>
      <xdr:col>19</xdr:col>
      <xdr:colOff>0</xdr:colOff>
      <xdr:row>116</xdr:row>
      <xdr:rowOff>10886</xdr:rowOff>
    </xdr:to>
    <xdr:sp macro="" textlink="">
      <xdr:nvSpPr>
        <xdr:cNvPr id="90" name="Oval 41"/>
        <xdr:cNvSpPr>
          <a:spLocks noChangeArrowheads="1"/>
        </xdr:cNvSpPr>
      </xdr:nvSpPr>
      <xdr:spPr bwMode="auto">
        <a:xfrm>
          <a:off x="10115550" y="219075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112060</xdr:colOff>
      <xdr:row>112</xdr:row>
      <xdr:rowOff>81645</xdr:rowOff>
    </xdr:from>
    <xdr:to>
      <xdr:col>22</xdr:col>
      <xdr:colOff>1</xdr:colOff>
      <xdr:row>115</xdr:row>
      <xdr:rowOff>0</xdr:rowOff>
    </xdr:to>
    <xdr:cxnSp macro="">
      <xdr:nvCxnSpPr>
        <xdr:cNvPr id="91" name="Elbow Connector 90"/>
        <xdr:cNvCxnSpPr>
          <a:stCxn id="90" idx="0"/>
        </xdr:cNvCxnSpPr>
      </xdr:nvCxnSpPr>
      <xdr:spPr>
        <a:xfrm rot="5400000" flipH="1" flipV="1">
          <a:off x="10955353" y="206899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112</xdr:row>
      <xdr:rowOff>0</xdr:rowOff>
    </xdr:from>
    <xdr:to>
      <xdr:col>23</xdr:col>
      <xdr:colOff>0</xdr:colOff>
      <xdr:row>113</xdr:row>
      <xdr:rowOff>0</xdr:rowOff>
    </xdr:to>
    <xdr:sp macro="" textlink="">
      <xdr:nvSpPr>
        <xdr:cNvPr id="92" name="AutoShape 28"/>
        <xdr:cNvSpPr>
          <a:spLocks noChangeArrowheads="1"/>
        </xdr:cNvSpPr>
      </xdr:nvSpPr>
      <xdr:spPr bwMode="auto">
        <a:xfrm rot="-5400000">
          <a:off x="12172950" y="21336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116</xdr:row>
      <xdr:rowOff>10885</xdr:rowOff>
    </xdr:from>
    <xdr:to>
      <xdr:col>22</xdr:col>
      <xdr:colOff>13608</xdr:colOff>
      <xdr:row>118</xdr:row>
      <xdr:rowOff>81642</xdr:rowOff>
    </xdr:to>
    <xdr:cxnSp macro="">
      <xdr:nvCxnSpPr>
        <xdr:cNvPr id="93" name="Elbow Connector 92"/>
        <xdr:cNvCxnSpPr>
          <a:stCxn id="90" idx="4"/>
          <a:endCxn id="94" idx="0"/>
        </xdr:cNvCxnSpPr>
      </xdr:nvCxnSpPr>
      <xdr:spPr>
        <a:xfrm rot="16200000" flipH="1">
          <a:off x="10972801" y="213468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118</xdr:row>
      <xdr:rowOff>0</xdr:rowOff>
    </xdr:from>
    <xdr:to>
      <xdr:col>23</xdr:col>
      <xdr:colOff>13607</xdr:colOff>
      <xdr:row>119</xdr:row>
      <xdr:rowOff>1</xdr:rowOff>
    </xdr:to>
    <xdr:sp macro="" textlink="">
      <xdr:nvSpPr>
        <xdr:cNvPr id="94" name="AutoShape 28"/>
        <xdr:cNvSpPr>
          <a:spLocks noChangeArrowheads="1"/>
        </xdr:cNvSpPr>
      </xdr:nvSpPr>
      <xdr:spPr bwMode="auto">
        <a:xfrm rot="-5400000">
          <a:off x="12186556" y="224790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124</xdr:row>
      <xdr:rowOff>0</xdr:rowOff>
    </xdr:from>
    <xdr:to>
      <xdr:col>19</xdr:col>
      <xdr:colOff>0</xdr:colOff>
      <xdr:row>125</xdr:row>
      <xdr:rowOff>0</xdr:rowOff>
    </xdr:to>
    <xdr:sp macro="" textlink="">
      <xdr:nvSpPr>
        <xdr:cNvPr id="95" name="AutoShape 28"/>
        <xdr:cNvSpPr>
          <a:spLocks noChangeArrowheads="1"/>
        </xdr:cNvSpPr>
      </xdr:nvSpPr>
      <xdr:spPr bwMode="auto">
        <a:xfrm rot="-5400000">
          <a:off x="10134600" y="23602950"/>
          <a:ext cx="190500" cy="2286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95250</xdr:colOff>
      <xdr:row>115</xdr:row>
      <xdr:rowOff>81643</xdr:rowOff>
    </xdr:from>
    <xdr:to>
      <xdr:col>18</xdr:col>
      <xdr:colOff>0</xdr:colOff>
      <xdr:row>124</xdr:row>
      <xdr:rowOff>81643</xdr:rowOff>
    </xdr:to>
    <xdr:cxnSp macro="">
      <xdr:nvCxnSpPr>
        <xdr:cNvPr id="96" name="Elbow Connector 95"/>
        <xdr:cNvCxnSpPr>
          <a:endCxn id="95" idx="0"/>
        </xdr:cNvCxnSpPr>
      </xdr:nvCxnSpPr>
      <xdr:spPr>
        <a:xfrm>
          <a:off x="7219950" y="21989143"/>
          <a:ext cx="2895600" cy="1714500"/>
        </a:xfrm>
        <a:prstGeom prst="bentConnector3">
          <a:avLst>
            <a:gd name="adj1" fmla="val -43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108857</xdr:colOff>
      <xdr:row>110</xdr:row>
      <xdr:rowOff>0</xdr:rowOff>
    </xdr:from>
    <xdr:to>
      <xdr:col>8</xdr:col>
      <xdr:colOff>122464</xdr:colOff>
      <xdr:row>131</xdr:row>
      <xdr:rowOff>0</xdr:rowOff>
    </xdr:to>
    <xdr:cxnSp macro="">
      <xdr:nvCxnSpPr>
        <xdr:cNvPr id="97" name="Straight Connector 96"/>
        <xdr:cNvCxnSpPr>
          <a:stCxn id="47" idx="0"/>
        </xdr:cNvCxnSpPr>
      </xdr:nvCxnSpPr>
      <xdr:spPr>
        <a:xfrm flipV="1">
          <a:off x="4576082" y="20955000"/>
          <a:ext cx="13607" cy="4000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91</xdr:row>
      <xdr:rowOff>76200</xdr:rowOff>
    </xdr:from>
    <xdr:to>
      <xdr:col>3</xdr:col>
      <xdr:colOff>95251</xdr:colOff>
      <xdr:row>113</xdr:row>
      <xdr:rowOff>68036</xdr:rowOff>
    </xdr:to>
    <xdr:cxnSp macro="">
      <xdr:nvCxnSpPr>
        <xdr:cNvPr id="2" name="Straight Connector 1"/>
        <xdr:cNvCxnSpPr/>
      </xdr:nvCxnSpPr>
      <xdr:spPr>
        <a:xfrm flipV="1">
          <a:off x="1924051" y="25603200"/>
          <a:ext cx="0" cy="418283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93518</xdr:colOff>
      <xdr:row>142</xdr:row>
      <xdr:rowOff>1734</xdr:rowOff>
    </xdr:from>
    <xdr:to>
      <xdr:col>7</xdr:col>
      <xdr:colOff>607868</xdr:colOff>
      <xdr:row>161</xdr:row>
      <xdr:rowOff>77934</xdr:rowOff>
    </xdr:to>
    <xdr:cxnSp macro="">
      <xdr:nvCxnSpPr>
        <xdr:cNvPr id="3" name="AutoShape 67"/>
        <xdr:cNvCxnSpPr>
          <a:cxnSpLocks noChangeShapeType="1"/>
        </xdr:cNvCxnSpPr>
      </xdr:nvCxnSpPr>
      <xdr:spPr bwMode="auto">
        <a:xfrm rot="16200000" flipH="1">
          <a:off x="1346056" y="27628996"/>
          <a:ext cx="3695700" cy="2543175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95251</xdr:colOff>
      <xdr:row>91</xdr:row>
      <xdr:rowOff>76200</xdr:rowOff>
    </xdr:from>
    <xdr:to>
      <xdr:col>8</xdr:col>
      <xdr:colOff>1</xdr:colOff>
      <xdr:row>106</xdr:row>
      <xdr:rowOff>152400</xdr:rowOff>
    </xdr:to>
    <xdr:cxnSp macro="">
      <xdr:nvCxnSpPr>
        <xdr:cNvPr id="4" name="AutoShape 68"/>
        <xdr:cNvCxnSpPr>
          <a:cxnSpLocks noChangeShapeType="1"/>
        </xdr:cNvCxnSpPr>
      </xdr:nvCxnSpPr>
      <xdr:spPr bwMode="auto">
        <a:xfrm rot="16200000">
          <a:off x="1728789" y="25798462"/>
          <a:ext cx="2933700" cy="2543175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0</xdr:colOff>
      <xdr:row>124</xdr:row>
      <xdr:rowOff>0</xdr:rowOff>
    </xdr:from>
    <xdr:to>
      <xdr:col>1</xdr:col>
      <xdr:colOff>0</xdr:colOff>
      <xdr:row>125</xdr:row>
      <xdr:rowOff>0</xdr:rowOff>
    </xdr:to>
    <xdr:sp macro="" textlink="">
      <xdr:nvSpPr>
        <xdr:cNvPr id="5" name="Rectangle 70"/>
        <xdr:cNvSpPr>
          <a:spLocks noChangeArrowheads="1"/>
        </xdr:cNvSpPr>
      </xdr:nvSpPr>
      <xdr:spPr bwMode="auto">
        <a:xfrm>
          <a:off x="0" y="31813500"/>
          <a:ext cx="609600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66FF" mc:Ignorable="a14" a14:legacySpreadsheetColorIndex="48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</a:p>
      </xdr:txBody>
    </xdr:sp>
    <xdr:clientData/>
  </xdr:twoCellAnchor>
  <xdr:twoCellAnchor>
    <xdr:from>
      <xdr:col>3</xdr:col>
      <xdr:colOff>0</xdr:colOff>
      <xdr:row>124</xdr:row>
      <xdr:rowOff>0</xdr:rowOff>
    </xdr:from>
    <xdr:to>
      <xdr:col>4</xdr:col>
      <xdr:colOff>0</xdr:colOff>
      <xdr:row>125</xdr:row>
      <xdr:rowOff>0</xdr:rowOff>
    </xdr:to>
    <xdr:sp macro="" textlink="">
      <xdr:nvSpPr>
        <xdr:cNvPr id="6" name="Oval 72"/>
        <xdr:cNvSpPr>
          <a:spLocks noChangeArrowheads="1"/>
        </xdr:cNvSpPr>
      </xdr:nvSpPr>
      <xdr:spPr bwMode="auto">
        <a:xfrm>
          <a:off x="1828800" y="318135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124</xdr:row>
      <xdr:rowOff>85725</xdr:rowOff>
    </xdr:from>
    <xdr:to>
      <xdr:col>3</xdr:col>
      <xdr:colOff>0</xdr:colOff>
      <xdr:row>124</xdr:row>
      <xdr:rowOff>85725</xdr:rowOff>
    </xdr:to>
    <xdr:cxnSp macro="">
      <xdr:nvCxnSpPr>
        <xdr:cNvPr id="7" name="AutoShape 73"/>
        <xdr:cNvCxnSpPr>
          <a:cxnSpLocks noChangeShapeType="1"/>
          <a:stCxn id="5" idx="3"/>
          <a:endCxn id="6" idx="2"/>
        </xdr:cNvCxnSpPr>
      </xdr:nvCxnSpPr>
      <xdr:spPr bwMode="auto">
        <a:xfrm>
          <a:off x="609600" y="31899225"/>
          <a:ext cx="121920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13607</xdr:colOff>
      <xdr:row>91</xdr:row>
      <xdr:rowOff>0</xdr:rowOff>
    </xdr:from>
    <xdr:to>
      <xdr:col>9</xdr:col>
      <xdr:colOff>13607</xdr:colOff>
      <xdr:row>92</xdr:row>
      <xdr:rowOff>10885</xdr:rowOff>
    </xdr:to>
    <xdr:sp macro="" textlink="">
      <xdr:nvSpPr>
        <xdr:cNvPr id="8" name="Oval 41"/>
        <xdr:cNvSpPr>
          <a:spLocks noChangeArrowheads="1"/>
        </xdr:cNvSpPr>
      </xdr:nvSpPr>
      <xdr:spPr bwMode="auto">
        <a:xfrm>
          <a:off x="4480832" y="25527000"/>
          <a:ext cx="219075" cy="20138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8</xdr:col>
      <xdr:colOff>95252</xdr:colOff>
      <xdr:row>86</xdr:row>
      <xdr:rowOff>22414</xdr:rowOff>
    </xdr:from>
    <xdr:to>
      <xdr:col>13</xdr:col>
      <xdr:colOff>2</xdr:colOff>
      <xdr:row>94</xdr:row>
      <xdr:rowOff>98614</xdr:rowOff>
    </xdr:to>
    <xdr:cxnSp macro="">
      <xdr:nvCxnSpPr>
        <xdr:cNvPr id="9" name="AutoShape 42"/>
        <xdr:cNvCxnSpPr>
          <a:cxnSpLocks noChangeShapeType="1"/>
        </xdr:cNvCxnSpPr>
      </xdr:nvCxnSpPr>
      <xdr:spPr bwMode="auto">
        <a:xfrm rot="16200000" flipH="1">
          <a:off x="5043490" y="24115901"/>
          <a:ext cx="1600200" cy="2562225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95251</xdr:colOff>
      <xdr:row>60</xdr:row>
      <xdr:rowOff>87407</xdr:rowOff>
    </xdr:from>
    <xdr:to>
      <xdr:col>13</xdr:col>
      <xdr:colOff>1</xdr:colOff>
      <xdr:row>68</xdr:row>
      <xdr:rowOff>163607</xdr:rowOff>
    </xdr:to>
    <xdr:cxnSp macro="">
      <xdr:nvCxnSpPr>
        <xdr:cNvPr id="10" name="AutoShape 43"/>
        <xdr:cNvCxnSpPr>
          <a:cxnSpLocks noChangeShapeType="1"/>
        </xdr:cNvCxnSpPr>
      </xdr:nvCxnSpPr>
      <xdr:spPr bwMode="auto">
        <a:xfrm rot="16200000">
          <a:off x="5043489" y="19227894"/>
          <a:ext cx="1600200" cy="2562225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96930</xdr:colOff>
      <xdr:row>67</xdr:row>
      <xdr:rowOff>108699</xdr:rowOff>
    </xdr:from>
    <xdr:to>
      <xdr:col>8</xdr:col>
      <xdr:colOff>96930</xdr:colOff>
      <xdr:row>90</xdr:row>
      <xdr:rowOff>41462</xdr:rowOff>
    </xdr:to>
    <xdr:cxnSp macro="">
      <xdr:nvCxnSpPr>
        <xdr:cNvPr id="11" name="Straight Connector 10"/>
        <xdr:cNvCxnSpPr/>
      </xdr:nvCxnSpPr>
      <xdr:spPr>
        <a:xfrm flipV="1">
          <a:off x="4564155" y="18015699"/>
          <a:ext cx="0" cy="43142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60</xdr:row>
      <xdr:rowOff>0</xdr:rowOff>
    </xdr:from>
    <xdr:to>
      <xdr:col>14</xdr:col>
      <xdr:colOff>0</xdr:colOff>
      <xdr:row>61</xdr:row>
      <xdr:rowOff>0</xdr:rowOff>
    </xdr:to>
    <xdr:sp macro="" textlink="">
      <xdr:nvSpPr>
        <xdr:cNvPr id="12" name="Oval 72"/>
        <xdr:cNvSpPr>
          <a:spLocks noChangeArrowheads="1"/>
        </xdr:cNvSpPr>
      </xdr:nvSpPr>
      <xdr:spPr bwMode="auto">
        <a:xfrm>
          <a:off x="7124700" y="196215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8</xdr:col>
      <xdr:colOff>13607</xdr:colOff>
      <xdr:row>91</xdr:row>
      <xdr:rowOff>0</xdr:rowOff>
    </xdr:from>
    <xdr:to>
      <xdr:col>9</xdr:col>
      <xdr:colOff>13607</xdr:colOff>
      <xdr:row>92</xdr:row>
      <xdr:rowOff>10885</xdr:rowOff>
    </xdr:to>
    <xdr:sp macro="" textlink="">
      <xdr:nvSpPr>
        <xdr:cNvPr id="13" name="Oval 41"/>
        <xdr:cNvSpPr>
          <a:spLocks noChangeArrowheads="1"/>
        </xdr:cNvSpPr>
      </xdr:nvSpPr>
      <xdr:spPr bwMode="auto">
        <a:xfrm>
          <a:off x="4480832" y="25527000"/>
          <a:ext cx="219075" cy="20138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60</xdr:row>
      <xdr:rowOff>1</xdr:rowOff>
    </xdr:from>
    <xdr:to>
      <xdr:col>14</xdr:col>
      <xdr:colOff>0</xdr:colOff>
      <xdr:row>61</xdr:row>
      <xdr:rowOff>1</xdr:rowOff>
    </xdr:to>
    <xdr:sp macro="" textlink="">
      <xdr:nvSpPr>
        <xdr:cNvPr id="14" name="Oval 72"/>
        <xdr:cNvSpPr>
          <a:spLocks noChangeArrowheads="1"/>
        </xdr:cNvSpPr>
      </xdr:nvSpPr>
      <xdr:spPr bwMode="auto">
        <a:xfrm>
          <a:off x="7124700" y="19621501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161</xdr:row>
      <xdr:rowOff>0</xdr:rowOff>
    </xdr:from>
    <xdr:to>
      <xdr:col>9</xdr:col>
      <xdr:colOff>0</xdr:colOff>
      <xdr:row>162</xdr:row>
      <xdr:rowOff>38100</xdr:rowOff>
    </xdr:to>
    <xdr:sp macro="" textlink="">
      <xdr:nvSpPr>
        <xdr:cNvPr id="15" name="Oval 63"/>
        <xdr:cNvSpPr>
          <a:spLocks noChangeArrowheads="1"/>
        </xdr:cNvSpPr>
      </xdr:nvSpPr>
      <xdr:spPr bwMode="auto">
        <a:xfrm>
          <a:off x="4467225" y="38862000"/>
          <a:ext cx="219075" cy="2286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3</xdr:col>
      <xdr:colOff>94384</xdr:colOff>
      <xdr:row>111</xdr:row>
      <xdr:rowOff>141144</xdr:rowOff>
    </xdr:from>
    <xdr:to>
      <xdr:col>3</xdr:col>
      <xdr:colOff>94384</xdr:colOff>
      <xdr:row>141</xdr:row>
      <xdr:rowOff>175780</xdr:rowOff>
    </xdr:to>
    <xdr:cxnSp macro="">
      <xdr:nvCxnSpPr>
        <xdr:cNvPr id="16" name="Straight Connector 15"/>
        <xdr:cNvCxnSpPr/>
      </xdr:nvCxnSpPr>
      <xdr:spPr>
        <a:xfrm flipV="1">
          <a:off x="1923184" y="26430144"/>
          <a:ext cx="0" cy="5749636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126178</xdr:colOff>
      <xdr:row>145</xdr:row>
      <xdr:rowOff>98505</xdr:rowOff>
    </xdr:from>
    <xdr:to>
      <xdr:col>13</xdr:col>
      <xdr:colOff>65564</xdr:colOff>
      <xdr:row>155</xdr:row>
      <xdr:rowOff>185096</xdr:rowOff>
    </xdr:to>
    <xdr:cxnSp macro="">
      <xdr:nvCxnSpPr>
        <xdr:cNvPr id="17" name="Elbow Connector 16"/>
        <xdr:cNvCxnSpPr/>
      </xdr:nvCxnSpPr>
      <xdr:spPr>
        <a:xfrm rot="5400000" flipH="1" flipV="1">
          <a:off x="4886513" y="32571395"/>
          <a:ext cx="1991591" cy="257781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94</xdr:row>
      <xdr:rowOff>0</xdr:rowOff>
    </xdr:from>
    <xdr:to>
      <xdr:col>14</xdr:col>
      <xdr:colOff>0</xdr:colOff>
      <xdr:row>95</xdr:row>
      <xdr:rowOff>0</xdr:rowOff>
    </xdr:to>
    <xdr:sp macro="" textlink="">
      <xdr:nvSpPr>
        <xdr:cNvPr id="18" name="Oval 72"/>
        <xdr:cNvSpPr>
          <a:spLocks noChangeArrowheads="1"/>
        </xdr:cNvSpPr>
      </xdr:nvSpPr>
      <xdr:spPr bwMode="auto">
        <a:xfrm>
          <a:off x="7124700" y="260985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8</xdr:col>
      <xdr:colOff>122093</xdr:colOff>
      <xdr:row>167</xdr:row>
      <xdr:rowOff>94128</xdr:rowOff>
    </xdr:from>
    <xdr:to>
      <xdr:col>13</xdr:col>
      <xdr:colOff>9525</xdr:colOff>
      <xdr:row>176</xdr:row>
      <xdr:rowOff>95249</xdr:rowOff>
    </xdr:to>
    <xdr:cxnSp macro="">
      <xdr:nvCxnSpPr>
        <xdr:cNvPr id="20" name="Elbow Connector 19"/>
        <xdr:cNvCxnSpPr/>
      </xdr:nvCxnSpPr>
      <xdr:spPr>
        <a:xfrm rot="16200000" flipH="1">
          <a:off x="4994436" y="36588860"/>
          <a:ext cx="1715621" cy="25258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94</xdr:row>
      <xdr:rowOff>0</xdr:rowOff>
    </xdr:from>
    <xdr:to>
      <xdr:col>14</xdr:col>
      <xdr:colOff>0</xdr:colOff>
      <xdr:row>95</xdr:row>
      <xdr:rowOff>0</xdr:rowOff>
    </xdr:to>
    <xdr:sp macro="" textlink="">
      <xdr:nvSpPr>
        <xdr:cNvPr id="22" name="Oval 72"/>
        <xdr:cNvSpPr>
          <a:spLocks noChangeArrowheads="1"/>
        </xdr:cNvSpPr>
      </xdr:nvSpPr>
      <xdr:spPr bwMode="auto">
        <a:xfrm>
          <a:off x="7124700" y="260985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8</xdr:col>
      <xdr:colOff>119903</xdr:colOff>
      <xdr:row>155</xdr:row>
      <xdr:rowOff>171450</xdr:rowOff>
    </xdr:from>
    <xdr:to>
      <xdr:col>8</xdr:col>
      <xdr:colOff>119903</xdr:colOff>
      <xdr:row>168</xdr:row>
      <xdr:rowOff>104180</xdr:rowOff>
    </xdr:to>
    <xdr:cxnSp macro="">
      <xdr:nvCxnSpPr>
        <xdr:cNvPr id="25" name="Straight Connector 24"/>
        <xdr:cNvCxnSpPr/>
      </xdr:nvCxnSpPr>
      <xdr:spPr>
        <a:xfrm>
          <a:off x="4587128" y="34842450"/>
          <a:ext cx="0" cy="2352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13607</xdr:colOff>
      <xdr:row>60</xdr:row>
      <xdr:rowOff>0</xdr:rowOff>
    </xdr:from>
    <xdr:to>
      <xdr:col>14</xdr:col>
      <xdr:colOff>13607</xdr:colOff>
      <xdr:row>61</xdr:row>
      <xdr:rowOff>10885</xdr:rowOff>
    </xdr:to>
    <xdr:sp macro="" textlink="">
      <xdr:nvSpPr>
        <xdr:cNvPr id="339" name="Oval 41"/>
        <xdr:cNvSpPr>
          <a:spLocks noChangeArrowheads="1"/>
        </xdr:cNvSpPr>
      </xdr:nvSpPr>
      <xdr:spPr bwMode="auto">
        <a:xfrm>
          <a:off x="4480832" y="11620500"/>
          <a:ext cx="219075" cy="20138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13</xdr:col>
      <xdr:colOff>95252</xdr:colOff>
      <xdr:row>55</xdr:row>
      <xdr:rowOff>22414</xdr:rowOff>
    </xdr:from>
    <xdr:to>
      <xdr:col>18</xdr:col>
      <xdr:colOff>2</xdr:colOff>
      <xdr:row>63</xdr:row>
      <xdr:rowOff>98614</xdr:rowOff>
    </xdr:to>
    <xdr:cxnSp macro="">
      <xdr:nvCxnSpPr>
        <xdr:cNvPr id="340" name="AutoShape 42"/>
        <xdr:cNvCxnSpPr>
          <a:cxnSpLocks noChangeShapeType="1"/>
        </xdr:cNvCxnSpPr>
      </xdr:nvCxnSpPr>
      <xdr:spPr bwMode="auto">
        <a:xfrm rot="16200000" flipH="1">
          <a:off x="5043490" y="10209401"/>
          <a:ext cx="1600200" cy="2562225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95251</xdr:colOff>
      <xdr:row>29</xdr:row>
      <xdr:rowOff>87407</xdr:rowOff>
    </xdr:from>
    <xdr:to>
      <xdr:col>18</xdr:col>
      <xdr:colOff>1</xdr:colOff>
      <xdr:row>37</xdr:row>
      <xdr:rowOff>163607</xdr:rowOff>
    </xdr:to>
    <xdr:cxnSp macro="">
      <xdr:nvCxnSpPr>
        <xdr:cNvPr id="341" name="AutoShape 43"/>
        <xdr:cNvCxnSpPr>
          <a:cxnSpLocks noChangeShapeType="1"/>
        </xdr:cNvCxnSpPr>
      </xdr:nvCxnSpPr>
      <xdr:spPr bwMode="auto">
        <a:xfrm rot="16200000">
          <a:off x="5043489" y="5321394"/>
          <a:ext cx="1600200" cy="2562225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96930</xdr:colOff>
      <xdr:row>36</xdr:row>
      <xdr:rowOff>99174</xdr:rowOff>
    </xdr:from>
    <xdr:to>
      <xdr:col>13</xdr:col>
      <xdr:colOff>96930</xdr:colOff>
      <xdr:row>59</xdr:row>
      <xdr:rowOff>31937</xdr:rowOff>
    </xdr:to>
    <xdr:cxnSp macro="">
      <xdr:nvCxnSpPr>
        <xdr:cNvPr id="342" name="Straight Connector 341"/>
        <xdr:cNvCxnSpPr/>
      </xdr:nvCxnSpPr>
      <xdr:spPr>
        <a:xfrm flipV="1">
          <a:off x="7202580" y="12100674"/>
          <a:ext cx="0" cy="43142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29</xdr:row>
      <xdr:rowOff>0</xdr:rowOff>
    </xdr:from>
    <xdr:to>
      <xdr:col>19</xdr:col>
      <xdr:colOff>0</xdr:colOff>
      <xdr:row>30</xdr:row>
      <xdr:rowOff>0</xdr:rowOff>
    </xdr:to>
    <xdr:sp macro="" textlink="">
      <xdr:nvSpPr>
        <xdr:cNvPr id="343" name="Oval 72"/>
        <xdr:cNvSpPr>
          <a:spLocks noChangeArrowheads="1"/>
        </xdr:cNvSpPr>
      </xdr:nvSpPr>
      <xdr:spPr bwMode="auto">
        <a:xfrm>
          <a:off x="7124700" y="57150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13607</xdr:colOff>
      <xdr:row>60</xdr:row>
      <xdr:rowOff>0</xdr:rowOff>
    </xdr:from>
    <xdr:to>
      <xdr:col>14</xdr:col>
      <xdr:colOff>13607</xdr:colOff>
      <xdr:row>61</xdr:row>
      <xdr:rowOff>10885</xdr:rowOff>
    </xdr:to>
    <xdr:sp macro="" textlink="">
      <xdr:nvSpPr>
        <xdr:cNvPr id="344" name="Oval 41"/>
        <xdr:cNvSpPr>
          <a:spLocks noChangeArrowheads="1"/>
        </xdr:cNvSpPr>
      </xdr:nvSpPr>
      <xdr:spPr bwMode="auto">
        <a:xfrm>
          <a:off x="4480832" y="11620500"/>
          <a:ext cx="219075" cy="20138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18</xdr:col>
      <xdr:colOff>95250</xdr:colOff>
      <xdr:row>15</xdr:row>
      <xdr:rowOff>89806</xdr:rowOff>
    </xdr:from>
    <xdr:to>
      <xdr:col>23</xdr:col>
      <xdr:colOff>0</xdr:colOff>
      <xdr:row>15</xdr:row>
      <xdr:rowOff>89806</xdr:rowOff>
    </xdr:to>
    <xdr:cxnSp macro="">
      <xdr:nvCxnSpPr>
        <xdr:cNvPr id="345" name="Straight Connector 344"/>
        <xdr:cNvCxnSpPr/>
      </xdr:nvCxnSpPr>
      <xdr:spPr>
        <a:xfrm>
          <a:off x="7219950" y="3137806"/>
          <a:ext cx="28956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77561</xdr:colOff>
      <xdr:row>24</xdr:row>
      <xdr:rowOff>77561</xdr:rowOff>
    </xdr:from>
    <xdr:to>
      <xdr:col>22</xdr:col>
      <xdr:colOff>703489</xdr:colOff>
      <xdr:row>24</xdr:row>
      <xdr:rowOff>77561</xdr:rowOff>
    </xdr:to>
    <xdr:cxnSp macro="">
      <xdr:nvCxnSpPr>
        <xdr:cNvPr id="346" name="Straight Connector 345"/>
        <xdr:cNvCxnSpPr/>
      </xdr:nvCxnSpPr>
      <xdr:spPr>
        <a:xfrm>
          <a:off x="7202261" y="4840061"/>
          <a:ext cx="2911928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104775</xdr:colOff>
      <xdr:row>33</xdr:row>
      <xdr:rowOff>99332</xdr:rowOff>
    </xdr:from>
    <xdr:to>
      <xdr:col>23</xdr:col>
      <xdr:colOff>9525</xdr:colOff>
      <xdr:row>33</xdr:row>
      <xdr:rowOff>99332</xdr:rowOff>
    </xdr:to>
    <xdr:cxnSp macro="">
      <xdr:nvCxnSpPr>
        <xdr:cNvPr id="347" name="Straight Connector 346"/>
        <xdr:cNvCxnSpPr/>
      </xdr:nvCxnSpPr>
      <xdr:spPr>
        <a:xfrm>
          <a:off x="7229475" y="6576332"/>
          <a:ext cx="28956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6</xdr:row>
      <xdr:rowOff>0</xdr:rowOff>
    </xdr:from>
    <xdr:to>
      <xdr:col>24</xdr:col>
      <xdr:colOff>0</xdr:colOff>
      <xdr:row>7</xdr:row>
      <xdr:rowOff>10886</xdr:rowOff>
    </xdr:to>
    <xdr:sp macro="" textlink="">
      <xdr:nvSpPr>
        <xdr:cNvPr id="348" name="Oval 41"/>
        <xdr:cNvSpPr>
          <a:spLocks noChangeArrowheads="1"/>
        </xdr:cNvSpPr>
      </xdr:nvSpPr>
      <xdr:spPr bwMode="auto">
        <a:xfrm>
          <a:off x="10115550" y="13335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23</xdr:col>
      <xdr:colOff>112060</xdr:colOff>
      <xdr:row>3</xdr:row>
      <xdr:rowOff>81645</xdr:rowOff>
    </xdr:from>
    <xdr:to>
      <xdr:col>27</xdr:col>
      <xdr:colOff>1</xdr:colOff>
      <xdr:row>6</xdr:row>
      <xdr:rowOff>0</xdr:rowOff>
    </xdr:to>
    <xdr:cxnSp macro="">
      <xdr:nvCxnSpPr>
        <xdr:cNvPr id="349" name="Elbow Connector 348"/>
        <xdr:cNvCxnSpPr>
          <a:stCxn id="348" idx="0"/>
        </xdr:cNvCxnSpPr>
      </xdr:nvCxnSpPr>
      <xdr:spPr>
        <a:xfrm rot="5400000" flipH="1" flipV="1">
          <a:off x="10955353" y="1159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4</xdr:row>
      <xdr:rowOff>0</xdr:rowOff>
    </xdr:to>
    <xdr:sp macro="" textlink="">
      <xdr:nvSpPr>
        <xdr:cNvPr id="350" name="AutoShape 28"/>
        <xdr:cNvSpPr>
          <a:spLocks noChangeArrowheads="1"/>
        </xdr:cNvSpPr>
      </xdr:nvSpPr>
      <xdr:spPr bwMode="auto">
        <a:xfrm rot="-5400000">
          <a:off x="12172950" y="762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95251</xdr:colOff>
      <xdr:row>7</xdr:row>
      <xdr:rowOff>10885</xdr:rowOff>
    </xdr:from>
    <xdr:to>
      <xdr:col>27</xdr:col>
      <xdr:colOff>13608</xdr:colOff>
      <xdr:row>9</xdr:row>
      <xdr:rowOff>81642</xdr:rowOff>
    </xdr:to>
    <xdr:cxnSp macro="">
      <xdr:nvCxnSpPr>
        <xdr:cNvPr id="351" name="Elbow Connector 350"/>
        <xdr:cNvCxnSpPr>
          <a:stCxn id="348" idx="4"/>
          <a:endCxn id="352" idx="0"/>
        </xdr:cNvCxnSpPr>
      </xdr:nvCxnSpPr>
      <xdr:spPr>
        <a:xfrm rot="16200000" flipH="1">
          <a:off x="10972801" y="7728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13607</xdr:colOff>
      <xdr:row>9</xdr:row>
      <xdr:rowOff>0</xdr:rowOff>
    </xdr:from>
    <xdr:to>
      <xdr:col>28</xdr:col>
      <xdr:colOff>13607</xdr:colOff>
      <xdr:row>10</xdr:row>
      <xdr:rowOff>1</xdr:rowOff>
    </xdr:to>
    <xdr:sp macro="" textlink="">
      <xdr:nvSpPr>
        <xdr:cNvPr id="352" name="AutoShape 28"/>
        <xdr:cNvSpPr>
          <a:spLocks noChangeArrowheads="1"/>
        </xdr:cNvSpPr>
      </xdr:nvSpPr>
      <xdr:spPr bwMode="auto">
        <a:xfrm rot="-5400000">
          <a:off x="12186556" y="19050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15</xdr:row>
      <xdr:rowOff>0</xdr:rowOff>
    </xdr:from>
    <xdr:to>
      <xdr:col>24</xdr:col>
      <xdr:colOff>0</xdr:colOff>
      <xdr:row>16</xdr:row>
      <xdr:rowOff>10886</xdr:rowOff>
    </xdr:to>
    <xdr:sp macro="" textlink="">
      <xdr:nvSpPr>
        <xdr:cNvPr id="353" name="Oval 41"/>
        <xdr:cNvSpPr>
          <a:spLocks noChangeArrowheads="1"/>
        </xdr:cNvSpPr>
      </xdr:nvSpPr>
      <xdr:spPr bwMode="auto">
        <a:xfrm>
          <a:off x="10115550" y="30480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23</xdr:col>
      <xdr:colOff>112060</xdr:colOff>
      <xdr:row>12</xdr:row>
      <xdr:rowOff>81645</xdr:rowOff>
    </xdr:from>
    <xdr:to>
      <xdr:col>27</xdr:col>
      <xdr:colOff>1</xdr:colOff>
      <xdr:row>15</xdr:row>
      <xdr:rowOff>0</xdr:rowOff>
    </xdr:to>
    <xdr:cxnSp macro="">
      <xdr:nvCxnSpPr>
        <xdr:cNvPr id="354" name="Elbow Connector 353"/>
        <xdr:cNvCxnSpPr>
          <a:stCxn id="353" idx="0"/>
        </xdr:cNvCxnSpPr>
      </xdr:nvCxnSpPr>
      <xdr:spPr>
        <a:xfrm rot="5400000" flipH="1" flipV="1">
          <a:off x="10955353" y="18304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12</xdr:row>
      <xdr:rowOff>0</xdr:rowOff>
    </xdr:from>
    <xdr:to>
      <xdr:col>28</xdr:col>
      <xdr:colOff>0</xdr:colOff>
      <xdr:row>13</xdr:row>
      <xdr:rowOff>0</xdr:rowOff>
    </xdr:to>
    <xdr:sp macro="" textlink="">
      <xdr:nvSpPr>
        <xdr:cNvPr id="355" name="AutoShape 28"/>
        <xdr:cNvSpPr>
          <a:spLocks noChangeArrowheads="1"/>
        </xdr:cNvSpPr>
      </xdr:nvSpPr>
      <xdr:spPr bwMode="auto">
        <a:xfrm rot="-5400000">
          <a:off x="12172950" y="24765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95251</xdr:colOff>
      <xdr:row>16</xdr:row>
      <xdr:rowOff>10885</xdr:rowOff>
    </xdr:from>
    <xdr:to>
      <xdr:col>27</xdr:col>
      <xdr:colOff>13608</xdr:colOff>
      <xdr:row>18</xdr:row>
      <xdr:rowOff>81642</xdr:rowOff>
    </xdr:to>
    <xdr:cxnSp macro="">
      <xdr:nvCxnSpPr>
        <xdr:cNvPr id="356" name="Elbow Connector 355"/>
        <xdr:cNvCxnSpPr>
          <a:stCxn id="353" idx="4"/>
          <a:endCxn id="357" idx="0"/>
        </xdr:cNvCxnSpPr>
      </xdr:nvCxnSpPr>
      <xdr:spPr>
        <a:xfrm rot="16200000" flipH="1">
          <a:off x="10972801" y="24873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13607</xdr:colOff>
      <xdr:row>18</xdr:row>
      <xdr:rowOff>0</xdr:rowOff>
    </xdr:from>
    <xdr:to>
      <xdr:col>28</xdr:col>
      <xdr:colOff>13607</xdr:colOff>
      <xdr:row>19</xdr:row>
      <xdr:rowOff>1</xdr:rowOff>
    </xdr:to>
    <xdr:sp macro="" textlink="">
      <xdr:nvSpPr>
        <xdr:cNvPr id="357" name="AutoShape 28"/>
        <xdr:cNvSpPr>
          <a:spLocks noChangeArrowheads="1"/>
        </xdr:cNvSpPr>
      </xdr:nvSpPr>
      <xdr:spPr bwMode="auto">
        <a:xfrm rot="-5400000">
          <a:off x="12186556" y="36195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24</xdr:row>
      <xdr:rowOff>0</xdr:rowOff>
    </xdr:from>
    <xdr:to>
      <xdr:col>24</xdr:col>
      <xdr:colOff>0</xdr:colOff>
      <xdr:row>25</xdr:row>
      <xdr:rowOff>10886</xdr:rowOff>
    </xdr:to>
    <xdr:sp macro="" textlink="">
      <xdr:nvSpPr>
        <xdr:cNvPr id="358" name="Oval 41"/>
        <xdr:cNvSpPr>
          <a:spLocks noChangeArrowheads="1"/>
        </xdr:cNvSpPr>
      </xdr:nvSpPr>
      <xdr:spPr bwMode="auto">
        <a:xfrm>
          <a:off x="10115550" y="47625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23</xdr:col>
      <xdr:colOff>112060</xdr:colOff>
      <xdr:row>21</xdr:row>
      <xdr:rowOff>81645</xdr:rowOff>
    </xdr:from>
    <xdr:to>
      <xdr:col>27</xdr:col>
      <xdr:colOff>1</xdr:colOff>
      <xdr:row>24</xdr:row>
      <xdr:rowOff>0</xdr:rowOff>
    </xdr:to>
    <xdr:cxnSp macro="">
      <xdr:nvCxnSpPr>
        <xdr:cNvPr id="359" name="Elbow Connector 358"/>
        <xdr:cNvCxnSpPr>
          <a:stCxn id="358" idx="0"/>
        </xdr:cNvCxnSpPr>
      </xdr:nvCxnSpPr>
      <xdr:spPr>
        <a:xfrm rot="5400000" flipH="1" flipV="1">
          <a:off x="10955353" y="35449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21</xdr:row>
      <xdr:rowOff>0</xdr:rowOff>
    </xdr:from>
    <xdr:to>
      <xdr:col>28</xdr:col>
      <xdr:colOff>0</xdr:colOff>
      <xdr:row>22</xdr:row>
      <xdr:rowOff>0</xdr:rowOff>
    </xdr:to>
    <xdr:sp macro="" textlink="">
      <xdr:nvSpPr>
        <xdr:cNvPr id="360" name="AutoShape 28"/>
        <xdr:cNvSpPr>
          <a:spLocks noChangeArrowheads="1"/>
        </xdr:cNvSpPr>
      </xdr:nvSpPr>
      <xdr:spPr bwMode="auto">
        <a:xfrm rot="-5400000">
          <a:off x="12172950" y="4191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95251</xdr:colOff>
      <xdr:row>25</xdr:row>
      <xdr:rowOff>10885</xdr:rowOff>
    </xdr:from>
    <xdr:to>
      <xdr:col>27</xdr:col>
      <xdr:colOff>13608</xdr:colOff>
      <xdr:row>27</xdr:row>
      <xdr:rowOff>81642</xdr:rowOff>
    </xdr:to>
    <xdr:cxnSp macro="">
      <xdr:nvCxnSpPr>
        <xdr:cNvPr id="361" name="Elbow Connector 360"/>
        <xdr:cNvCxnSpPr>
          <a:stCxn id="358" idx="4"/>
          <a:endCxn id="362" idx="0"/>
        </xdr:cNvCxnSpPr>
      </xdr:nvCxnSpPr>
      <xdr:spPr>
        <a:xfrm rot="16200000" flipH="1">
          <a:off x="10972801" y="42018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13607</xdr:colOff>
      <xdr:row>27</xdr:row>
      <xdr:rowOff>0</xdr:rowOff>
    </xdr:from>
    <xdr:to>
      <xdr:col>28</xdr:col>
      <xdr:colOff>13607</xdr:colOff>
      <xdr:row>28</xdr:row>
      <xdr:rowOff>1</xdr:rowOff>
    </xdr:to>
    <xdr:sp macro="" textlink="">
      <xdr:nvSpPr>
        <xdr:cNvPr id="362" name="AutoShape 28"/>
        <xdr:cNvSpPr>
          <a:spLocks noChangeArrowheads="1"/>
        </xdr:cNvSpPr>
      </xdr:nvSpPr>
      <xdr:spPr bwMode="auto">
        <a:xfrm rot="-5400000">
          <a:off x="12186556" y="53340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33</xdr:row>
      <xdr:rowOff>0</xdr:rowOff>
    </xdr:from>
    <xdr:to>
      <xdr:col>24</xdr:col>
      <xdr:colOff>0</xdr:colOff>
      <xdr:row>34</xdr:row>
      <xdr:rowOff>10886</xdr:rowOff>
    </xdr:to>
    <xdr:sp macro="" textlink="">
      <xdr:nvSpPr>
        <xdr:cNvPr id="363" name="Oval 41"/>
        <xdr:cNvSpPr>
          <a:spLocks noChangeArrowheads="1"/>
        </xdr:cNvSpPr>
      </xdr:nvSpPr>
      <xdr:spPr bwMode="auto">
        <a:xfrm>
          <a:off x="10115550" y="64770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23</xdr:col>
      <xdr:colOff>112060</xdr:colOff>
      <xdr:row>30</xdr:row>
      <xdr:rowOff>81645</xdr:rowOff>
    </xdr:from>
    <xdr:to>
      <xdr:col>27</xdr:col>
      <xdr:colOff>1</xdr:colOff>
      <xdr:row>33</xdr:row>
      <xdr:rowOff>0</xdr:rowOff>
    </xdr:to>
    <xdr:cxnSp macro="">
      <xdr:nvCxnSpPr>
        <xdr:cNvPr id="364" name="Elbow Connector 363"/>
        <xdr:cNvCxnSpPr>
          <a:stCxn id="363" idx="0"/>
        </xdr:cNvCxnSpPr>
      </xdr:nvCxnSpPr>
      <xdr:spPr>
        <a:xfrm rot="5400000" flipH="1" flipV="1">
          <a:off x="10955353" y="52594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30</xdr:row>
      <xdr:rowOff>0</xdr:rowOff>
    </xdr:from>
    <xdr:to>
      <xdr:col>28</xdr:col>
      <xdr:colOff>0</xdr:colOff>
      <xdr:row>31</xdr:row>
      <xdr:rowOff>0</xdr:rowOff>
    </xdr:to>
    <xdr:sp macro="" textlink="">
      <xdr:nvSpPr>
        <xdr:cNvPr id="365" name="AutoShape 28"/>
        <xdr:cNvSpPr>
          <a:spLocks noChangeArrowheads="1"/>
        </xdr:cNvSpPr>
      </xdr:nvSpPr>
      <xdr:spPr bwMode="auto">
        <a:xfrm rot="-5400000">
          <a:off x="12172950" y="59055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95251</xdr:colOff>
      <xdr:row>34</xdr:row>
      <xdr:rowOff>10885</xdr:rowOff>
    </xdr:from>
    <xdr:to>
      <xdr:col>27</xdr:col>
      <xdr:colOff>13608</xdr:colOff>
      <xdr:row>36</xdr:row>
      <xdr:rowOff>81642</xdr:rowOff>
    </xdr:to>
    <xdr:cxnSp macro="">
      <xdr:nvCxnSpPr>
        <xdr:cNvPr id="366" name="Elbow Connector 365"/>
        <xdr:cNvCxnSpPr>
          <a:stCxn id="363" idx="4"/>
          <a:endCxn id="367" idx="0"/>
        </xdr:cNvCxnSpPr>
      </xdr:nvCxnSpPr>
      <xdr:spPr>
        <a:xfrm rot="16200000" flipH="1">
          <a:off x="10972801" y="59163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13607</xdr:colOff>
      <xdr:row>36</xdr:row>
      <xdr:rowOff>0</xdr:rowOff>
    </xdr:from>
    <xdr:to>
      <xdr:col>28</xdr:col>
      <xdr:colOff>13607</xdr:colOff>
      <xdr:row>37</xdr:row>
      <xdr:rowOff>1</xdr:rowOff>
    </xdr:to>
    <xdr:sp macro="" textlink="">
      <xdr:nvSpPr>
        <xdr:cNvPr id="367" name="AutoShape 28"/>
        <xdr:cNvSpPr>
          <a:spLocks noChangeArrowheads="1"/>
        </xdr:cNvSpPr>
      </xdr:nvSpPr>
      <xdr:spPr bwMode="auto">
        <a:xfrm rot="-5400000">
          <a:off x="12186556" y="70485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95250</xdr:colOff>
      <xdr:row>23</xdr:row>
      <xdr:rowOff>-1</xdr:rowOff>
    </xdr:from>
    <xdr:to>
      <xdr:col>23</xdr:col>
      <xdr:colOff>0</xdr:colOff>
      <xdr:row>42</xdr:row>
      <xdr:rowOff>81642</xdr:rowOff>
    </xdr:to>
    <xdr:cxnSp macro="">
      <xdr:nvCxnSpPr>
        <xdr:cNvPr id="368" name="Elbow Connector 367"/>
        <xdr:cNvCxnSpPr/>
      </xdr:nvCxnSpPr>
      <xdr:spPr>
        <a:xfrm rot="16200000" flipH="1">
          <a:off x="6817178" y="4974771"/>
          <a:ext cx="3701143" cy="289560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29</xdr:row>
      <xdr:rowOff>1</xdr:rowOff>
    </xdr:from>
    <xdr:to>
      <xdr:col>19</xdr:col>
      <xdr:colOff>0</xdr:colOff>
      <xdr:row>30</xdr:row>
      <xdr:rowOff>1</xdr:rowOff>
    </xdr:to>
    <xdr:sp macro="" textlink="">
      <xdr:nvSpPr>
        <xdr:cNvPr id="369" name="Oval 72"/>
        <xdr:cNvSpPr>
          <a:spLocks noChangeArrowheads="1"/>
        </xdr:cNvSpPr>
      </xdr:nvSpPr>
      <xdr:spPr bwMode="auto">
        <a:xfrm>
          <a:off x="7124700" y="5715001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18</xdr:col>
      <xdr:colOff>95250</xdr:colOff>
      <xdr:row>6</xdr:row>
      <xdr:rowOff>87087</xdr:rowOff>
    </xdr:from>
    <xdr:to>
      <xdr:col>23</xdr:col>
      <xdr:colOff>0</xdr:colOff>
      <xdr:row>29</xdr:row>
      <xdr:rowOff>2</xdr:rowOff>
    </xdr:to>
    <xdr:cxnSp macro="">
      <xdr:nvCxnSpPr>
        <xdr:cNvPr id="370" name="Elbow Connector 369"/>
        <xdr:cNvCxnSpPr>
          <a:stCxn id="369" idx="0"/>
          <a:endCxn id="348" idx="2"/>
        </xdr:cNvCxnSpPr>
      </xdr:nvCxnSpPr>
      <xdr:spPr>
        <a:xfrm rot="5400000" flipH="1" flipV="1">
          <a:off x="6520542" y="2119995"/>
          <a:ext cx="4294415" cy="289560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42</xdr:row>
      <xdr:rowOff>0</xdr:rowOff>
    </xdr:from>
    <xdr:to>
      <xdr:col>24</xdr:col>
      <xdr:colOff>0</xdr:colOff>
      <xdr:row>43</xdr:row>
      <xdr:rowOff>10886</xdr:rowOff>
    </xdr:to>
    <xdr:sp macro="" textlink="">
      <xdr:nvSpPr>
        <xdr:cNvPr id="371" name="Oval 41"/>
        <xdr:cNvSpPr>
          <a:spLocks noChangeArrowheads="1"/>
        </xdr:cNvSpPr>
      </xdr:nvSpPr>
      <xdr:spPr bwMode="auto">
        <a:xfrm>
          <a:off x="10115550" y="81915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23</xdr:col>
      <xdr:colOff>112060</xdr:colOff>
      <xdr:row>39</xdr:row>
      <xdr:rowOff>81645</xdr:rowOff>
    </xdr:from>
    <xdr:to>
      <xdr:col>27</xdr:col>
      <xdr:colOff>1</xdr:colOff>
      <xdr:row>42</xdr:row>
      <xdr:rowOff>0</xdr:rowOff>
    </xdr:to>
    <xdr:cxnSp macro="">
      <xdr:nvCxnSpPr>
        <xdr:cNvPr id="372" name="Elbow Connector 371"/>
        <xdr:cNvCxnSpPr>
          <a:stCxn id="371" idx="0"/>
        </xdr:cNvCxnSpPr>
      </xdr:nvCxnSpPr>
      <xdr:spPr>
        <a:xfrm rot="5400000" flipH="1" flipV="1">
          <a:off x="10955353" y="69739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39</xdr:row>
      <xdr:rowOff>0</xdr:rowOff>
    </xdr:from>
    <xdr:to>
      <xdr:col>28</xdr:col>
      <xdr:colOff>0</xdr:colOff>
      <xdr:row>40</xdr:row>
      <xdr:rowOff>0</xdr:rowOff>
    </xdr:to>
    <xdr:sp macro="" textlink="">
      <xdr:nvSpPr>
        <xdr:cNvPr id="373" name="AutoShape 28"/>
        <xdr:cNvSpPr>
          <a:spLocks noChangeArrowheads="1"/>
        </xdr:cNvSpPr>
      </xdr:nvSpPr>
      <xdr:spPr bwMode="auto">
        <a:xfrm rot="-5400000">
          <a:off x="12172950" y="7620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95251</xdr:colOff>
      <xdr:row>43</xdr:row>
      <xdr:rowOff>10885</xdr:rowOff>
    </xdr:from>
    <xdr:to>
      <xdr:col>27</xdr:col>
      <xdr:colOff>13608</xdr:colOff>
      <xdr:row>45</xdr:row>
      <xdr:rowOff>81642</xdr:rowOff>
    </xdr:to>
    <xdr:cxnSp macro="">
      <xdr:nvCxnSpPr>
        <xdr:cNvPr id="374" name="Elbow Connector 373"/>
        <xdr:cNvCxnSpPr>
          <a:stCxn id="371" idx="4"/>
          <a:endCxn id="375" idx="0"/>
        </xdr:cNvCxnSpPr>
      </xdr:nvCxnSpPr>
      <xdr:spPr>
        <a:xfrm rot="16200000" flipH="1">
          <a:off x="10972801" y="76308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13607</xdr:colOff>
      <xdr:row>45</xdr:row>
      <xdr:rowOff>0</xdr:rowOff>
    </xdr:from>
    <xdr:to>
      <xdr:col>28</xdr:col>
      <xdr:colOff>13607</xdr:colOff>
      <xdr:row>46</xdr:row>
      <xdr:rowOff>1</xdr:rowOff>
    </xdr:to>
    <xdr:sp macro="" textlink="">
      <xdr:nvSpPr>
        <xdr:cNvPr id="375" name="AutoShape 28"/>
        <xdr:cNvSpPr>
          <a:spLocks noChangeArrowheads="1"/>
        </xdr:cNvSpPr>
      </xdr:nvSpPr>
      <xdr:spPr bwMode="auto">
        <a:xfrm rot="-5400000">
          <a:off x="12186556" y="87630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51</xdr:row>
      <xdr:rowOff>0</xdr:rowOff>
    </xdr:from>
    <xdr:to>
      <xdr:col>24</xdr:col>
      <xdr:colOff>0</xdr:colOff>
      <xdr:row>52</xdr:row>
      <xdr:rowOff>0</xdr:rowOff>
    </xdr:to>
    <xdr:sp macro="" textlink="">
      <xdr:nvSpPr>
        <xdr:cNvPr id="376" name="AutoShape 28"/>
        <xdr:cNvSpPr>
          <a:spLocks noChangeArrowheads="1"/>
        </xdr:cNvSpPr>
      </xdr:nvSpPr>
      <xdr:spPr bwMode="auto">
        <a:xfrm rot="-5400000">
          <a:off x="10134600" y="9886950"/>
          <a:ext cx="190500" cy="2286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95250</xdr:colOff>
      <xdr:row>42</xdr:row>
      <xdr:rowOff>81643</xdr:rowOff>
    </xdr:from>
    <xdr:to>
      <xdr:col>23</xdr:col>
      <xdr:colOff>0</xdr:colOff>
      <xdr:row>51</xdr:row>
      <xdr:rowOff>81643</xdr:rowOff>
    </xdr:to>
    <xdr:cxnSp macro="">
      <xdr:nvCxnSpPr>
        <xdr:cNvPr id="377" name="Elbow Connector 376"/>
        <xdr:cNvCxnSpPr>
          <a:endCxn id="376" idx="0"/>
        </xdr:cNvCxnSpPr>
      </xdr:nvCxnSpPr>
      <xdr:spPr>
        <a:xfrm>
          <a:off x="7219950" y="8273143"/>
          <a:ext cx="2895600" cy="1714500"/>
        </a:xfrm>
        <a:prstGeom prst="bentConnector3">
          <a:avLst>
            <a:gd name="adj1" fmla="val -43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63</xdr:row>
      <xdr:rowOff>0</xdr:rowOff>
    </xdr:from>
    <xdr:to>
      <xdr:col>19</xdr:col>
      <xdr:colOff>0</xdr:colOff>
      <xdr:row>64</xdr:row>
      <xdr:rowOff>0</xdr:rowOff>
    </xdr:to>
    <xdr:sp macro="" textlink="">
      <xdr:nvSpPr>
        <xdr:cNvPr id="378" name="Oval 72"/>
        <xdr:cNvSpPr>
          <a:spLocks noChangeArrowheads="1"/>
        </xdr:cNvSpPr>
      </xdr:nvSpPr>
      <xdr:spPr bwMode="auto">
        <a:xfrm>
          <a:off x="7124700" y="121920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18</xdr:col>
      <xdr:colOff>100853</xdr:colOff>
      <xdr:row>60</xdr:row>
      <xdr:rowOff>81646</xdr:rowOff>
    </xdr:from>
    <xdr:to>
      <xdr:col>22</xdr:col>
      <xdr:colOff>0</xdr:colOff>
      <xdr:row>63</xdr:row>
      <xdr:rowOff>1</xdr:rowOff>
    </xdr:to>
    <xdr:cxnSp macro="">
      <xdr:nvCxnSpPr>
        <xdr:cNvPr id="379" name="Elbow Connector 378"/>
        <xdr:cNvCxnSpPr>
          <a:stCxn id="378" idx="0"/>
        </xdr:cNvCxnSpPr>
      </xdr:nvCxnSpPr>
      <xdr:spPr>
        <a:xfrm rot="5400000" flipH="1" flipV="1">
          <a:off x="8320849" y="10606850"/>
          <a:ext cx="489855" cy="268044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60</xdr:row>
      <xdr:rowOff>0</xdr:rowOff>
    </xdr:from>
    <xdr:to>
      <xdr:col>23</xdr:col>
      <xdr:colOff>0</xdr:colOff>
      <xdr:row>61</xdr:row>
      <xdr:rowOff>0</xdr:rowOff>
    </xdr:to>
    <xdr:sp macro="" textlink="">
      <xdr:nvSpPr>
        <xdr:cNvPr id="380" name="AutoShape 28"/>
        <xdr:cNvSpPr>
          <a:spLocks noChangeArrowheads="1"/>
        </xdr:cNvSpPr>
      </xdr:nvSpPr>
      <xdr:spPr bwMode="auto">
        <a:xfrm rot="-5400000">
          <a:off x="9915525" y="11610975"/>
          <a:ext cx="190500" cy="20955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64</xdr:row>
      <xdr:rowOff>10885</xdr:rowOff>
    </xdr:from>
    <xdr:to>
      <xdr:col>22</xdr:col>
      <xdr:colOff>13608</xdr:colOff>
      <xdr:row>66</xdr:row>
      <xdr:rowOff>81642</xdr:rowOff>
    </xdr:to>
    <xdr:cxnSp macro="">
      <xdr:nvCxnSpPr>
        <xdr:cNvPr id="381" name="Elbow Connector 380"/>
        <xdr:cNvCxnSpPr>
          <a:endCxn id="382" idx="0"/>
        </xdr:cNvCxnSpPr>
      </xdr:nvCxnSpPr>
      <xdr:spPr>
        <a:xfrm rot="16200000" flipH="1">
          <a:off x="8343901" y="11269435"/>
          <a:ext cx="451757" cy="26996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66</xdr:row>
      <xdr:rowOff>0</xdr:rowOff>
    </xdr:from>
    <xdr:to>
      <xdr:col>23</xdr:col>
      <xdr:colOff>13607</xdr:colOff>
      <xdr:row>67</xdr:row>
      <xdr:rowOff>1</xdr:rowOff>
    </xdr:to>
    <xdr:sp macro="" textlink="">
      <xdr:nvSpPr>
        <xdr:cNvPr id="382" name="AutoShape 28"/>
        <xdr:cNvSpPr>
          <a:spLocks noChangeArrowheads="1"/>
        </xdr:cNvSpPr>
      </xdr:nvSpPr>
      <xdr:spPr bwMode="auto">
        <a:xfrm rot="-5400000">
          <a:off x="9929131" y="12753976"/>
          <a:ext cx="190501" cy="20955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63</xdr:row>
      <xdr:rowOff>0</xdr:rowOff>
    </xdr:from>
    <xdr:to>
      <xdr:col>19</xdr:col>
      <xdr:colOff>0</xdr:colOff>
      <xdr:row>64</xdr:row>
      <xdr:rowOff>0</xdr:rowOff>
    </xdr:to>
    <xdr:sp macro="" textlink="">
      <xdr:nvSpPr>
        <xdr:cNvPr id="383" name="Oval 72"/>
        <xdr:cNvSpPr>
          <a:spLocks noChangeArrowheads="1"/>
        </xdr:cNvSpPr>
      </xdr:nvSpPr>
      <xdr:spPr bwMode="auto">
        <a:xfrm>
          <a:off x="7124700" y="121920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94</xdr:row>
      <xdr:rowOff>0</xdr:rowOff>
    </xdr:from>
    <xdr:to>
      <xdr:col>14</xdr:col>
      <xdr:colOff>0</xdr:colOff>
      <xdr:row>95</xdr:row>
      <xdr:rowOff>0</xdr:rowOff>
    </xdr:to>
    <xdr:sp macro="" textlink="">
      <xdr:nvSpPr>
        <xdr:cNvPr id="390" name="Oval 72"/>
        <xdr:cNvSpPr>
          <a:spLocks noChangeArrowheads="1"/>
        </xdr:cNvSpPr>
      </xdr:nvSpPr>
      <xdr:spPr bwMode="auto">
        <a:xfrm>
          <a:off x="7124700" y="121920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100853</xdr:colOff>
      <xdr:row>91</xdr:row>
      <xdr:rowOff>81646</xdr:rowOff>
    </xdr:from>
    <xdr:to>
      <xdr:col>17</xdr:col>
      <xdr:colOff>0</xdr:colOff>
      <xdr:row>94</xdr:row>
      <xdr:rowOff>1</xdr:rowOff>
    </xdr:to>
    <xdr:cxnSp macro="">
      <xdr:nvCxnSpPr>
        <xdr:cNvPr id="391" name="Elbow Connector 390"/>
        <xdr:cNvCxnSpPr>
          <a:stCxn id="390" idx="0"/>
        </xdr:cNvCxnSpPr>
      </xdr:nvCxnSpPr>
      <xdr:spPr>
        <a:xfrm rot="5400000" flipH="1" flipV="1">
          <a:off x="8320849" y="10606850"/>
          <a:ext cx="489855" cy="268044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0</xdr:colOff>
      <xdr:row>92</xdr:row>
      <xdr:rowOff>0</xdr:rowOff>
    </xdr:to>
    <xdr:sp macro="" textlink="">
      <xdr:nvSpPr>
        <xdr:cNvPr id="392" name="AutoShape 28"/>
        <xdr:cNvSpPr>
          <a:spLocks noChangeArrowheads="1"/>
        </xdr:cNvSpPr>
      </xdr:nvSpPr>
      <xdr:spPr bwMode="auto">
        <a:xfrm rot="-5400000">
          <a:off x="9915525" y="11610975"/>
          <a:ext cx="190500" cy="20955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95251</xdr:colOff>
      <xdr:row>95</xdr:row>
      <xdr:rowOff>10885</xdr:rowOff>
    </xdr:from>
    <xdr:to>
      <xdr:col>17</xdr:col>
      <xdr:colOff>13608</xdr:colOff>
      <xdr:row>97</xdr:row>
      <xdr:rowOff>81642</xdr:rowOff>
    </xdr:to>
    <xdr:cxnSp macro="">
      <xdr:nvCxnSpPr>
        <xdr:cNvPr id="393" name="Elbow Connector 392"/>
        <xdr:cNvCxnSpPr>
          <a:endCxn id="394" idx="0"/>
        </xdr:cNvCxnSpPr>
      </xdr:nvCxnSpPr>
      <xdr:spPr>
        <a:xfrm rot="16200000" flipH="1">
          <a:off x="8343901" y="11269435"/>
          <a:ext cx="451757" cy="26996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13607</xdr:colOff>
      <xdr:row>97</xdr:row>
      <xdr:rowOff>0</xdr:rowOff>
    </xdr:from>
    <xdr:to>
      <xdr:col>18</xdr:col>
      <xdr:colOff>13607</xdr:colOff>
      <xdr:row>98</xdr:row>
      <xdr:rowOff>1</xdr:rowOff>
    </xdr:to>
    <xdr:sp macro="" textlink="">
      <xdr:nvSpPr>
        <xdr:cNvPr id="394" name="AutoShape 28"/>
        <xdr:cNvSpPr>
          <a:spLocks noChangeArrowheads="1"/>
        </xdr:cNvSpPr>
      </xdr:nvSpPr>
      <xdr:spPr bwMode="auto">
        <a:xfrm rot="-5400000">
          <a:off x="9929131" y="12753976"/>
          <a:ext cx="190501" cy="20955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0</xdr:colOff>
      <xdr:row>94</xdr:row>
      <xdr:rowOff>0</xdr:rowOff>
    </xdr:from>
    <xdr:to>
      <xdr:col>14</xdr:col>
      <xdr:colOff>0</xdr:colOff>
      <xdr:row>95</xdr:row>
      <xdr:rowOff>0</xdr:rowOff>
    </xdr:to>
    <xdr:sp macro="" textlink="">
      <xdr:nvSpPr>
        <xdr:cNvPr id="395" name="Oval 72"/>
        <xdr:cNvSpPr>
          <a:spLocks noChangeArrowheads="1"/>
        </xdr:cNvSpPr>
      </xdr:nvSpPr>
      <xdr:spPr bwMode="auto">
        <a:xfrm>
          <a:off x="7124700" y="121920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126178</xdr:colOff>
      <xdr:row>129</xdr:row>
      <xdr:rowOff>132123</xdr:rowOff>
    </xdr:from>
    <xdr:to>
      <xdr:col>18</xdr:col>
      <xdr:colOff>65564</xdr:colOff>
      <xdr:row>140</xdr:row>
      <xdr:rowOff>28214</xdr:rowOff>
    </xdr:to>
    <xdr:cxnSp macro="">
      <xdr:nvCxnSpPr>
        <xdr:cNvPr id="399" name="Elbow Connector 398"/>
        <xdr:cNvCxnSpPr/>
      </xdr:nvCxnSpPr>
      <xdr:spPr>
        <a:xfrm rot="5400000" flipH="1" flipV="1">
          <a:off x="4896038" y="19260488"/>
          <a:ext cx="1991591" cy="259686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162</xdr:row>
      <xdr:rowOff>0</xdr:rowOff>
    </xdr:from>
    <xdr:to>
      <xdr:col>19</xdr:col>
      <xdr:colOff>0</xdr:colOff>
      <xdr:row>163</xdr:row>
      <xdr:rowOff>0</xdr:rowOff>
    </xdr:to>
    <xdr:sp macro="" textlink="">
      <xdr:nvSpPr>
        <xdr:cNvPr id="400" name="Oval 72"/>
        <xdr:cNvSpPr>
          <a:spLocks noChangeArrowheads="1"/>
        </xdr:cNvSpPr>
      </xdr:nvSpPr>
      <xdr:spPr bwMode="auto">
        <a:xfrm>
          <a:off x="7124700" y="257175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112568</xdr:colOff>
      <xdr:row>153</xdr:row>
      <xdr:rowOff>38100</xdr:rowOff>
    </xdr:from>
    <xdr:to>
      <xdr:col>18</xdr:col>
      <xdr:colOff>0</xdr:colOff>
      <xdr:row>162</xdr:row>
      <xdr:rowOff>95250</xdr:rowOff>
    </xdr:to>
    <xdr:cxnSp macro="">
      <xdr:nvCxnSpPr>
        <xdr:cNvPr id="401" name="Elbow Connector 400"/>
        <xdr:cNvCxnSpPr/>
      </xdr:nvCxnSpPr>
      <xdr:spPr>
        <a:xfrm rot="16200000" flipH="1">
          <a:off x="4966422" y="23654471"/>
          <a:ext cx="1771650" cy="254490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162</xdr:row>
      <xdr:rowOff>0</xdr:rowOff>
    </xdr:from>
    <xdr:to>
      <xdr:col>19</xdr:col>
      <xdr:colOff>0</xdr:colOff>
      <xdr:row>163</xdr:row>
      <xdr:rowOff>0</xdr:rowOff>
    </xdr:to>
    <xdr:sp macro="" textlink="">
      <xdr:nvSpPr>
        <xdr:cNvPr id="402" name="Oval 72"/>
        <xdr:cNvSpPr>
          <a:spLocks noChangeArrowheads="1"/>
        </xdr:cNvSpPr>
      </xdr:nvSpPr>
      <xdr:spPr bwMode="auto">
        <a:xfrm>
          <a:off x="7124700" y="257175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18</xdr:col>
      <xdr:colOff>100853</xdr:colOff>
      <xdr:row>159</xdr:row>
      <xdr:rowOff>81646</xdr:rowOff>
    </xdr:from>
    <xdr:to>
      <xdr:col>22</xdr:col>
      <xdr:colOff>0</xdr:colOff>
      <xdr:row>162</xdr:row>
      <xdr:rowOff>1</xdr:rowOff>
    </xdr:to>
    <xdr:cxnSp macro="">
      <xdr:nvCxnSpPr>
        <xdr:cNvPr id="403" name="Elbow Connector 402"/>
        <xdr:cNvCxnSpPr>
          <a:stCxn id="402" idx="0"/>
        </xdr:cNvCxnSpPr>
      </xdr:nvCxnSpPr>
      <xdr:spPr>
        <a:xfrm rot="5400000" flipH="1" flipV="1">
          <a:off x="8320849" y="24132350"/>
          <a:ext cx="489855" cy="268044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159</xdr:row>
      <xdr:rowOff>0</xdr:rowOff>
    </xdr:from>
    <xdr:to>
      <xdr:col>23</xdr:col>
      <xdr:colOff>0</xdr:colOff>
      <xdr:row>160</xdr:row>
      <xdr:rowOff>0</xdr:rowOff>
    </xdr:to>
    <xdr:sp macro="" textlink="">
      <xdr:nvSpPr>
        <xdr:cNvPr id="404" name="AutoShape 28"/>
        <xdr:cNvSpPr>
          <a:spLocks noChangeArrowheads="1"/>
        </xdr:cNvSpPr>
      </xdr:nvSpPr>
      <xdr:spPr bwMode="auto">
        <a:xfrm rot="-5400000">
          <a:off x="9915525" y="25136475"/>
          <a:ext cx="190500" cy="20955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95251</xdr:colOff>
      <xdr:row>163</xdr:row>
      <xdr:rowOff>10885</xdr:rowOff>
    </xdr:from>
    <xdr:to>
      <xdr:col>22</xdr:col>
      <xdr:colOff>13608</xdr:colOff>
      <xdr:row>165</xdr:row>
      <xdr:rowOff>81642</xdr:rowOff>
    </xdr:to>
    <xdr:cxnSp macro="">
      <xdr:nvCxnSpPr>
        <xdr:cNvPr id="405" name="Elbow Connector 404"/>
        <xdr:cNvCxnSpPr>
          <a:endCxn id="406" idx="0"/>
        </xdr:cNvCxnSpPr>
      </xdr:nvCxnSpPr>
      <xdr:spPr>
        <a:xfrm rot="16200000" flipH="1">
          <a:off x="8343901" y="24794935"/>
          <a:ext cx="451757" cy="26996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13607</xdr:colOff>
      <xdr:row>165</xdr:row>
      <xdr:rowOff>0</xdr:rowOff>
    </xdr:from>
    <xdr:to>
      <xdr:col>23</xdr:col>
      <xdr:colOff>13607</xdr:colOff>
      <xdr:row>166</xdr:row>
      <xdr:rowOff>1</xdr:rowOff>
    </xdr:to>
    <xdr:sp macro="" textlink="">
      <xdr:nvSpPr>
        <xdr:cNvPr id="406" name="AutoShape 28"/>
        <xdr:cNvSpPr>
          <a:spLocks noChangeArrowheads="1"/>
        </xdr:cNvSpPr>
      </xdr:nvSpPr>
      <xdr:spPr bwMode="auto">
        <a:xfrm rot="-5400000">
          <a:off x="9929131" y="26279476"/>
          <a:ext cx="190501" cy="20955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129</xdr:row>
      <xdr:rowOff>0</xdr:rowOff>
    </xdr:from>
    <xdr:to>
      <xdr:col>19</xdr:col>
      <xdr:colOff>0</xdr:colOff>
      <xdr:row>130</xdr:row>
      <xdr:rowOff>0</xdr:rowOff>
    </xdr:to>
    <xdr:sp macro="" textlink="">
      <xdr:nvSpPr>
        <xdr:cNvPr id="407" name="Oval 72"/>
        <xdr:cNvSpPr>
          <a:spLocks noChangeArrowheads="1"/>
        </xdr:cNvSpPr>
      </xdr:nvSpPr>
      <xdr:spPr bwMode="auto">
        <a:xfrm>
          <a:off x="7124700" y="194310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18</xdr:col>
      <xdr:colOff>95250</xdr:colOff>
      <xdr:row>115</xdr:row>
      <xdr:rowOff>89806</xdr:rowOff>
    </xdr:from>
    <xdr:to>
      <xdr:col>23</xdr:col>
      <xdr:colOff>0</xdr:colOff>
      <xdr:row>115</xdr:row>
      <xdr:rowOff>89806</xdr:rowOff>
    </xdr:to>
    <xdr:cxnSp macro="">
      <xdr:nvCxnSpPr>
        <xdr:cNvPr id="408" name="Straight Connector 407"/>
        <xdr:cNvCxnSpPr/>
      </xdr:nvCxnSpPr>
      <xdr:spPr>
        <a:xfrm>
          <a:off x="7219950" y="16853806"/>
          <a:ext cx="28956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77561</xdr:colOff>
      <xdr:row>124</xdr:row>
      <xdr:rowOff>77561</xdr:rowOff>
    </xdr:from>
    <xdr:to>
      <xdr:col>22</xdr:col>
      <xdr:colOff>703489</xdr:colOff>
      <xdr:row>124</xdr:row>
      <xdr:rowOff>77561</xdr:rowOff>
    </xdr:to>
    <xdr:cxnSp macro="">
      <xdr:nvCxnSpPr>
        <xdr:cNvPr id="409" name="Straight Connector 408"/>
        <xdr:cNvCxnSpPr/>
      </xdr:nvCxnSpPr>
      <xdr:spPr>
        <a:xfrm>
          <a:off x="7202261" y="18556061"/>
          <a:ext cx="2911928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104775</xdr:colOff>
      <xdr:row>133</xdr:row>
      <xdr:rowOff>99332</xdr:rowOff>
    </xdr:from>
    <xdr:to>
      <xdr:col>23</xdr:col>
      <xdr:colOff>9525</xdr:colOff>
      <xdr:row>133</xdr:row>
      <xdr:rowOff>99332</xdr:rowOff>
    </xdr:to>
    <xdr:cxnSp macro="">
      <xdr:nvCxnSpPr>
        <xdr:cNvPr id="410" name="Straight Connector 409"/>
        <xdr:cNvCxnSpPr/>
      </xdr:nvCxnSpPr>
      <xdr:spPr>
        <a:xfrm>
          <a:off x="7229475" y="20292332"/>
          <a:ext cx="28956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106</xdr:row>
      <xdr:rowOff>0</xdr:rowOff>
    </xdr:from>
    <xdr:to>
      <xdr:col>24</xdr:col>
      <xdr:colOff>0</xdr:colOff>
      <xdr:row>107</xdr:row>
      <xdr:rowOff>10886</xdr:rowOff>
    </xdr:to>
    <xdr:sp macro="" textlink="">
      <xdr:nvSpPr>
        <xdr:cNvPr id="411" name="Oval 41"/>
        <xdr:cNvSpPr>
          <a:spLocks noChangeArrowheads="1"/>
        </xdr:cNvSpPr>
      </xdr:nvSpPr>
      <xdr:spPr bwMode="auto">
        <a:xfrm>
          <a:off x="10115550" y="150495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23</xdr:col>
      <xdr:colOff>112060</xdr:colOff>
      <xdr:row>103</xdr:row>
      <xdr:rowOff>81645</xdr:rowOff>
    </xdr:from>
    <xdr:to>
      <xdr:col>27</xdr:col>
      <xdr:colOff>1</xdr:colOff>
      <xdr:row>106</xdr:row>
      <xdr:rowOff>0</xdr:rowOff>
    </xdr:to>
    <xdr:cxnSp macro="">
      <xdr:nvCxnSpPr>
        <xdr:cNvPr id="412" name="Elbow Connector 411"/>
        <xdr:cNvCxnSpPr>
          <a:stCxn id="411" idx="0"/>
        </xdr:cNvCxnSpPr>
      </xdr:nvCxnSpPr>
      <xdr:spPr>
        <a:xfrm rot="5400000" flipH="1" flipV="1">
          <a:off x="10955353" y="138319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103</xdr:row>
      <xdr:rowOff>0</xdr:rowOff>
    </xdr:from>
    <xdr:to>
      <xdr:col>28</xdr:col>
      <xdr:colOff>0</xdr:colOff>
      <xdr:row>104</xdr:row>
      <xdr:rowOff>0</xdr:rowOff>
    </xdr:to>
    <xdr:sp macro="" textlink="">
      <xdr:nvSpPr>
        <xdr:cNvPr id="413" name="AutoShape 28"/>
        <xdr:cNvSpPr>
          <a:spLocks noChangeArrowheads="1"/>
        </xdr:cNvSpPr>
      </xdr:nvSpPr>
      <xdr:spPr bwMode="auto">
        <a:xfrm rot="-5400000">
          <a:off x="12172950" y="14478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104775</xdr:colOff>
      <xdr:row>107</xdr:row>
      <xdr:rowOff>10886</xdr:rowOff>
    </xdr:from>
    <xdr:to>
      <xdr:col>27</xdr:col>
      <xdr:colOff>13607</xdr:colOff>
      <xdr:row>109</xdr:row>
      <xdr:rowOff>114300</xdr:rowOff>
    </xdr:to>
    <xdr:cxnSp macro="">
      <xdr:nvCxnSpPr>
        <xdr:cNvPr id="414" name="Elbow Connector 413"/>
        <xdr:cNvCxnSpPr>
          <a:stCxn id="411" idx="4"/>
          <a:endCxn id="415" idx="0"/>
        </xdr:cNvCxnSpPr>
      </xdr:nvCxnSpPr>
      <xdr:spPr>
        <a:xfrm rot="16200000" flipH="1">
          <a:off x="13361534" y="19663002"/>
          <a:ext cx="484414" cy="1947182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13607</xdr:colOff>
      <xdr:row>109</xdr:row>
      <xdr:rowOff>19050</xdr:rowOff>
    </xdr:from>
    <xdr:to>
      <xdr:col>28</xdr:col>
      <xdr:colOff>13607</xdr:colOff>
      <xdr:row>110</xdr:row>
      <xdr:rowOff>19051</xdr:rowOff>
    </xdr:to>
    <xdr:sp macro="" textlink="">
      <xdr:nvSpPr>
        <xdr:cNvPr id="415" name="AutoShape 28"/>
        <xdr:cNvSpPr>
          <a:spLocks noChangeArrowheads="1"/>
        </xdr:cNvSpPr>
      </xdr:nvSpPr>
      <xdr:spPr bwMode="auto">
        <a:xfrm rot="-5400000">
          <a:off x="14563044" y="20797838"/>
          <a:ext cx="190501" cy="16192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115</xdr:row>
      <xdr:rowOff>0</xdr:rowOff>
    </xdr:from>
    <xdr:to>
      <xdr:col>24</xdr:col>
      <xdr:colOff>0</xdr:colOff>
      <xdr:row>116</xdr:row>
      <xdr:rowOff>10886</xdr:rowOff>
    </xdr:to>
    <xdr:sp macro="" textlink="">
      <xdr:nvSpPr>
        <xdr:cNvPr id="416" name="Oval 41"/>
        <xdr:cNvSpPr>
          <a:spLocks noChangeArrowheads="1"/>
        </xdr:cNvSpPr>
      </xdr:nvSpPr>
      <xdr:spPr bwMode="auto">
        <a:xfrm>
          <a:off x="10115550" y="167640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23</xdr:col>
      <xdr:colOff>112060</xdr:colOff>
      <xdr:row>112</xdr:row>
      <xdr:rowOff>81645</xdr:rowOff>
    </xdr:from>
    <xdr:to>
      <xdr:col>27</xdr:col>
      <xdr:colOff>1</xdr:colOff>
      <xdr:row>115</xdr:row>
      <xdr:rowOff>0</xdr:rowOff>
    </xdr:to>
    <xdr:cxnSp macro="">
      <xdr:nvCxnSpPr>
        <xdr:cNvPr id="417" name="Elbow Connector 416"/>
        <xdr:cNvCxnSpPr>
          <a:stCxn id="416" idx="0"/>
        </xdr:cNvCxnSpPr>
      </xdr:nvCxnSpPr>
      <xdr:spPr>
        <a:xfrm rot="5400000" flipH="1" flipV="1">
          <a:off x="10955353" y="155464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112</xdr:row>
      <xdr:rowOff>0</xdr:rowOff>
    </xdr:from>
    <xdr:to>
      <xdr:col>28</xdr:col>
      <xdr:colOff>0</xdr:colOff>
      <xdr:row>113</xdr:row>
      <xdr:rowOff>0</xdr:rowOff>
    </xdr:to>
    <xdr:sp macro="" textlink="">
      <xdr:nvSpPr>
        <xdr:cNvPr id="418" name="AutoShape 28"/>
        <xdr:cNvSpPr>
          <a:spLocks noChangeArrowheads="1"/>
        </xdr:cNvSpPr>
      </xdr:nvSpPr>
      <xdr:spPr bwMode="auto">
        <a:xfrm rot="-5400000">
          <a:off x="12172950" y="161925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95251</xdr:colOff>
      <xdr:row>116</xdr:row>
      <xdr:rowOff>10885</xdr:rowOff>
    </xdr:from>
    <xdr:to>
      <xdr:col>27</xdr:col>
      <xdr:colOff>13608</xdr:colOff>
      <xdr:row>118</xdr:row>
      <xdr:rowOff>81642</xdr:rowOff>
    </xdr:to>
    <xdr:cxnSp macro="">
      <xdr:nvCxnSpPr>
        <xdr:cNvPr id="419" name="Elbow Connector 418"/>
        <xdr:cNvCxnSpPr>
          <a:stCxn id="416" idx="4"/>
          <a:endCxn id="420" idx="0"/>
        </xdr:cNvCxnSpPr>
      </xdr:nvCxnSpPr>
      <xdr:spPr>
        <a:xfrm rot="16200000" flipH="1">
          <a:off x="10972801" y="162033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13607</xdr:colOff>
      <xdr:row>118</xdr:row>
      <xdr:rowOff>0</xdr:rowOff>
    </xdr:from>
    <xdr:to>
      <xdr:col>28</xdr:col>
      <xdr:colOff>13607</xdr:colOff>
      <xdr:row>119</xdr:row>
      <xdr:rowOff>1</xdr:rowOff>
    </xdr:to>
    <xdr:sp macro="" textlink="">
      <xdr:nvSpPr>
        <xdr:cNvPr id="420" name="AutoShape 28"/>
        <xdr:cNvSpPr>
          <a:spLocks noChangeArrowheads="1"/>
        </xdr:cNvSpPr>
      </xdr:nvSpPr>
      <xdr:spPr bwMode="auto">
        <a:xfrm rot="-5400000">
          <a:off x="12186556" y="173355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124</xdr:row>
      <xdr:rowOff>0</xdr:rowOff>
    </xdr:from>
    <xdr:to>
      <xdr:col>24</xdr:col>
      <xdr:colOff>0</xdr:colOff>
      <xdr:row>125</xdr:row>
      <xdr:rowOff>10886</xdr:rowOff>
    </xdr:to>
    <xdr:sp macro="" textlink="">
      <xdr:nvSpPr>
        <xdr:cNvPr id="421" name="Oval 41"/>
        <xdr:cNvSpPr>
          <a:spLocks noChangeArrowheads="1"/>
        </xdr:cNvSpPr>
      </xdr:nvSpPr>
      <xdr:spPr bwMode="auto">
        <a:xfrm>
          <a:off x="10115550" y="184785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23</xdr:col>
      <xdr:colOff>112060</xdr:colOff>
      <xdr:row>121</xdr:row>
      <xdr:rowOff>81645</xdr:rowOff>
    </xdr:from>
    <xdr:to>
      <xdr:col>27</xdr:col>
      <xdr:colOff>1</xdr:colOff>
      <xdr:row>124</xdr:row>
      <xdr:rowOff>0</xdr:rowOff>
    </xdr:to>
    <xdr:cxnSp macro="">
      <xdr:nvCxnSpPr>
        <xdr:cNvPr id="422" name="Elbow Connector 421"/>
        <xdr:cNvCxnSpPr>
          <a:stCxn id="421" idx="0"/>
        </xdr:cNvCxnSpPr>
      </xdr:nvCxnSpPr>
      <xdr:spPr>
        <a:xfrm rot="5400000" flipH="1" flipV="1">
          <a:off x="10955353" y="172609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121</xdr:row>
      <xdr:rowOff>0</xdr:rowOff>
    </xdr:from>
    <xdr:to>
      <xdr:col>28</xdr:col>
      <xdr:colOff>0</xdr:colOff>
      <xdr:row>122</xdr:row>
      <xdr:rowOff>0</xdr:rowOff>
    </xdr:to>
    <xdr:sp macro="" textlink="">
      <xdr:nvSpPr>
        <xdr:cNvPr id="423" name="AutoShape 28"/>
        <xdr:cNvSpPr>
          <a:spLocks noChangeArrowheads="1"/>
        </xdr:cNvSpPr>
      </xdr:nvSpPr>
      <xdr:spPr bwMode="auto">
        <a:xfrm rot="-5400000">
          <a:off x="12172950" y="17907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95251</xdr:colOff>
      <xdr:row>125</xdr:row>
      <xdr:rowOff>10885</xdr:rowOff>
    </xdr:from>
    <xdr:to>
      <xdr:col>27</xdr:col>
      <xdr:colOff>13608</xdr:colOff>
      <xdr:row>127</xdr:row>
      <xdr:rowOff>81642</xdr:rowOff>
    </xdr:to>
    <xdr:cxnSp macro="">
      <xdr:nvCxnSpPr>
        <xdr:cNvPr id="424" name="Elbow Connector 423"/>
        <xdr:cNvCxnSpPr>
          <a:stCxn id="421" idx="4"/>
          <a:endCxn id="425" idx="0"/>
        </xdr:cNvCxnSpPr>
      </xdr:nvCxnSpPr>
      <xdr:spPr>
        <a:xfrm rot="16200000" flipH="1">
          <a:off x="10972801" y="179178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13607</xdr:colOff>
      <xdr:row>127</xdr:row>
      <xdr:rowOff>0</xdr:rowOff>
    </xdr:from>
    <xdr:to>
      <xdr:col>28</xdr:col>
      <xdr:colOff>13607</xdr:colOff>
      <xdr:row>128</xdr:row>
      <xdr:rowOff>1</xdr:rowOff>
    </xdr:to>
    <xdr:sp macro="" textlink="">
      <xdr:nvSpPr>
        <xdr:cNvPr id="425" name="AutoShape 28"/>
        <xdr:cNvSpPr>
          <a:spLocks noChangeArrowheads="1"/>
        </xdr:cNvSpPr>
      </xdr:nvSpPr>
      <xdr:spPr bwMode="auto">
        <a:xfrm rot="-5400000">
          <a:off x="12186556" y="190500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133</xdr:row>
      <xdr:rowOff>0</xdr:rowOff>
    </xdr:from>
    <xdr:to>
      <xdr:col>24</xdr:col>
      <xdr:colOff>0</xdr:colOff>
      <xdr:row>134</xdr:row>
      <xdr:rowOff>10886</xdr:rowOff>
    </xdr:to>
    <xdr:sp macro="" textlink="">
      <xdr:nvSpPr>
        <xdr:cNvPr id="426" name="Oval 41"/>
        <xdr:cNvSpPr>
          <a:spLocks noChangeArrowheads="1"/>
        </xdr:cNvSpPr>
      </xdr:nvSpPr>
      <xdr:spPr bwMode="auto">
        <a:xfrm>
          <a:off x="10115550" y="201930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23</xdr:col>
      <xdr:colOff>112060</xdr:colOff>
      <xdr:row>130</xdr:row>
      <xdr:rowOff>81645</xdr:rowOff>
    </xdr:from>
    <xdr:to>
      <xdr:col>27</xdr:col>
      <xdr:colOff>1</xdr:colOff>
      <xdr:row>133</xdr:row>
      <xdr:rowOff>0</xdr:rowOff>
    </xdr:to>
    <xdr:cxnSp macro="">
      <xdr:nvCxnSpPr>
        <xdr:cNvPr id="427" name="Elbow Connector 426"/>
        <xdr:cNvCxnSpPr>
          <a:stCxn id="426" idx="0"/>
        </xdr:cNvCxnSpPr>
      </xdr:nvCxnSpPr>
      <xdr:spPr>
        <a:xfrm rot="5400000" flipH="1" flipV="1">
          <a:off x="10955353" y="189754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130</xdr:row>
      <xdr:rowOff>0</xdr:rowOff>
    </xdr:from>
    <xdr:to>
      <xdr:col>28</xdr:col>
      <xdr:colOff>0</xdr:colOff>
      <xdr:row>131</xdr:row>
      <xdr:rowOff>0</xdr:rowOff>
    </xdr:to>
    <xdr:sp macro="" textlink="">
      <xdr:nvSpPr>
        <xdr:cNvPr id="428" name="AutoShape 28"/>
        <xdr:cNvSpPr>
          <a:spLocks noChangeArrowheads="1"/>
        </xdr:cNvSpPr>
      </xdr:nvSpPr>
      <xdr:spPr bwMode="auto">
        <a:xfrm rot="-5400000">
          <a:off x="12172950" y="196215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95251</xdr:colOff>
      <xdr:row>134</xdr:row>
      <xdr:rowOff>10885</xdr:rowOff>
    </xdr:from>
    <xdr:to>
      <xdr:col>27</xdr:col>
      <xdr:colOff>13608</xdr:colOff>
      <xdr:row>136</xdr:row>
      <xdr:rowOff>81642</xdr:rowOff>
    </xdr:to>
    <xdr:cxnSp macro="">
      <xdr:nvCxnSpPr>
        <xdr:cNvPr id="429" name="Elbow Connector 428"/>
        <xdr:cNvCxnSpPr>
          <a:stCxn id="426" idx="4"/>
          <a:endCxn id="430" idx="0"/>
        </xdr:cNvCxnSpPr>
      </xdr:nvCxnSpPr>
      <xdr:spPr>
        <a:xfrm rot="16200000" flipH="1">
          <a:off x="10972801" y="196323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13607</xdr:colOff>
      <xdr:row>136</xdr:row>
      <xdr:rowOff>0</xdr:rowOff>
    </xdr:from>
    <xdr:to>
      <xdr:col>28</xdr:col>
      <xdr:colOff>13607</xdr:colOff>
      <xdr:row>137</xdr:row>
      <xdr:rowOff>1</xdr:rowOff>
    </xdr:to>
    <xdr:sp macro="" textlink="">
      <xdr:nvSpPr>
        <xdr:cNvPr id="430" name="AutoShape 28"/>
        <xdr:cNvSpPr>
          <a:spLocks noChangeArrowheads="1"/>
        </xdr:cNvSpPr>
      </xdr:nvSpPr>
      <xdr:spPr bwMode="auto">
        <a:xfrm rot="-5400000">
          <a:off x="12186556" y="207645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95250</xdr:colOff>
      <xdr:row>123</xdr:row>
      <xdr:rowOff>-1</xdr:rowOff>
    </xdr:from>
    <xdr:to>
      <xdr:col>23</xdr:col>
      <xdr:colOff>0</xdr:colOff>
      <xdr:row>142</xdr:row>
      <xdr:rowOff>81642</xdr:rowOff>
    </xdr:to>
    <xdr:cxnSp macro="">
      <xdr:nvCxnSpPr>
        <xdr:cNvPr id="431" name="Elbow Connector 430"/>
        <xdr:cNvCxnSpPr/>
      </xdr:nvCxnSpPr>
      <xdr:spPr>
        <a:xfrm rot="16200000" flipH="1">
          <a:off x="6817178" y="18690771"/>
          <a:ext cx="3701143" cy="289560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129</xdr:row>
      <xdr:rowOff>1</xdr:rowOff>
    </xdr:from>
    <xdr:to>
      <xdr:col>19</xdr:col>
      <xdr:colOff>0</xdr:colOff>
      <xdr:row>130</xdr:row>
      <xdr:rowOff>1</xdr:rowOff>
    </xdr:to>
    <xdr:sp macro="" textlink="">
      <xdr:nvSpPr>
        <xdr:cNvPr id="432" name="Oval 72"/>
        <xdr:cNvSpPr>
          <a:spLocks noChangeArrowheads="1"/>
        </xdr:cNvSpPr>
      </xdr:nvSpPr>
      <xdr:spPr bwMode="auto">
        <a:xfrm>
          <a:off x="7124700" y="19431001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18</xdr:col>
      <xdr:colOff>95250</xdr:colOff>
      <xdr:row>106</xdr:row>
      <xdr:rowOff>87087</xdr:rowOff>
    </xdr:from>
    <xdr:to>
      <xdr:col>23</xdr:col>
      <xdr:colOff>0</xdr:colOff>
      <xdr:row>129</xdr:row>
      <xdr:rowOff>2</xdr:rowOff>
    </xdr:to>
    <xdr:cxnSp macro="">
      <xdr:nvCxnSpPr>
        <xdr:cNvPr id="433" name="Elbow Connector 432"/>
        <xdr:cNvCxnSpPr>
          <a:stCxn id="432" idx="0"/>
          <a:endCxn id="411" idx="2"/>
        </xdr:cNvCxnSpPr>
      </xdr:nvCxnSpPr>
      <xdr:spPr>
        <a:xfrm rot="5400000" flipH="1" flipV="1">
          <a:off x="6520542" y="15835995"/>
          <a:ext cx="4294415" cy="2895600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142</xdr:row>
      <xdr:rowOff>0</xdr:rowOff>
    </xdr:from>
    <xdr:to>
      <xdr:col>24</xdr:col>
      <xdr:colOff>0</xdr:colOff>
      <xdr:row>143</xdr:row>
      <xdr:rowOff>10886</xdr:rowOff>
    </xdr:to>
    <xdr:sp macro="" textlink="">
      <xdr:nvSpPr>
        <xdr:cNvPr id="434" name="Oval 41"/>
        <xdr:cNvSpPr>
          <a:spLocks noChangeArrowheads="1"/>
        </xdr:cNvSpPr>
      </xdr:nvSpPr>
      <xdr:spPr bwMode="auto">
        <a:xfrm>
          <a:off x="10115550" y="21907500"/>
          <a:ext cx="228600" cy="201386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  <a:round/>
          <a:headEnd/>
          <a:tailEnd/>
        </a:ln>
      </xdr:spPr>
    </xdr:sp>
    <xdr:clientData/>
  </xdr:twoCellAnchor>
  <xdr:twoCellAnchor>
    <xdr:from>
      <xdr:col>23</xdr:col>
      <xdr:colOff>112060</xdr:colOff>
      <xdr:row>139</xdr:row>
      <xdr:rowOff>81645</xdr:rowOff>
    </xdr:from>
    <xdr:to>
      <xdr:col>27</xdr:col>
      <xdr:colOff>1</xdr:colOff>
      <xdr:row>142</xdr:row>
      <xdr:rowOff>0</xdr:rowOff>
    </xdr:to>
    <xdr:cxnSp macro="">
      <xdr:nvCxnSpPr>
        <xdr:cNvPr id="435" name="Elbow Connector 434"/>
        <xdr:cNvCxnSpPr>
          <a:stCxn id="434" idx="0"/>
        </xdr:cNvCxnSpPr>
      </xdr:nvCxnSpPr>
      <xdr:spPr>
        <a:xfrm rot="5400000" flipH="1" flipV="1">
          <a:off x="10955353" y="20689902"/>
          <a:ext cx="489855" cy="1945341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139</xdr:row>
      <xdr:rowOff>0</xdr:rowOff>
    </xdr:from>
    <xdr:to>
      <xdr:col>28</xdr:col>
      <xdr:colOff>0</xdr:colOff>
      <xdr:row>140</xdr:row>
      <xdr:rowOff>0</xdr:rowOff>
    </xdr:to>
    <xdr:sp macro="" textlink="">
      <xdr:nvSpPr>
        <xdr:cNvPr id="436" name="AutoShape 28"/>
        <xdr:cNvSpPr>
          <a:spLocks noChangeArrowheads="1"/>
        </xdr:cNvSpPr>
      </xdr:nvSpPr>
      <xdr:spPr bwMode="auto">
        <a:xfrm rot="-5400000">
          <a:off x="12172950" y="21336000"/>
          <a:ext cx="19050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95251</xdr:colOff>
      <xdr:row>143</xdr:row>
      <xdr:rowOff>10885</xdr:rowOff>
    </xdr:from>
    <xdr:to>
      <xdr:col>27</xdr:col>
      <xdr:colOff>13608</xdr:colOff>
      <xdr:row>145</xdr:row>
      <xdr:rowOff>81642</xdr:rowOff>
    </xdr:to>
    <xdr:cxnSp macro="">
      <xdr:nvCxnSpPr>
        <xdr:cNvPr id="437" name="Elbow Connector 436"/>
        <xdr:cNvCxnSpPr>
          <a:stCxn id="434" idx="4"/>
          <a:endCxn id="438" idx="0"/>
        </xdr:cNvCxnSpPr>
      </xdr:nvCxnSpPr>
      <xdr:spPr>
        <a:xfrm rot="16200000" flipH="1">
          <a:off x="10972801" y="21346885"/>
          <a:ext cx="451757" cy="19757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13607</xdr:colOff>
      <xdr:row>145</xdr:row>
      <xdr:rowOff>0</xdr:rowOff>
    </xdr:from>
    <xdr:to>
      <xdr:col>28</xdr:col>
      <xdr:colOff>13607</xdr:colOff>
      <xdr:row>146</xdr:row>
      <xdr:rowOff>1</xdr:rowOff>
    </xdr:to>
    <xdr:sp macro="" textlink="">
      <xdr:nvSpPr>
        <xdr:cNvPr id="438" name="AutoShape 28"/>
        <xdr:cNvSpPr>
          <a:spLocks noChangeArrowheads="1"/>
        </xdr:cNvSpPr>
      </xdr:nvSpPr>
      <xdr:spPr bwMode="auto">
        <a:xfrm rot="-5400000">
          <a:off x="12186556" y="22479001"/>
          <a:ext cx="190501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151</xdr:row>
      <xdr:rowOff>0</xdr:rowOff>
    </xdr:from>
    <xdr:to>
      <xdr:col>24</xdr:col>
      <xdr:colOff>0</xdr:colOff>
      <xdr:row>152</xdr:row>
      <xdr:rowOff>0</xdr:rowOff>
    </xdr:to>
    <xdr:sp macro="" textlink="">
      <xdr:nvSpPr>
        <xdr:cNvPr id="439" name="AutoShape 28"/>
        <xdr:cNvSpPr>
          <a:spLocks noChangeArrowheads="1"/>
        </xdr:cNvSpPr>
      </xdr:nvSpPr>
      <xdr:spPr bwMode="auto">
        <a:xfrm rot="-5400000">
          <a:off x="10134600" y="23602950"/>
          <a:ext cx="190500" cy="2286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95250</xdr:colOff>
      <xdr:row>142</xdr:row>
      <xdr:rowOff>81643</xdr:rowOff>
    </xdr:from>
    <xdr:to>
      <xdr:col>23</xdr:col>
      <xdr:colOff>0</xdr:colOff>
      <xdr:row>151</xdr:row>
      <xdr:rowOff>81643</xdr:rowOff>
    </xdr:to>
    <xdr:cxnSp macro="">
      <xdr:nvCxnSpPr>
        <xdr:cNvPr id="440" name="Elbow Connector 439"/>
        <xdr:cNvCxnSpPr>
          <a:endCxn id="439" idx="0"/>
        </xdr:cNvCxnSpPr>
      </xdr:nvCxnSpPr>
      <xdr:spPr>
        <a:xfrm>
          <a:off x="7219950" y="21989143"/>
          <a:ext cx="2895600" cy="1714500"/>
        </a:xfrm>
        <a:prstGeom prst="bentConnector3">
          <a:avLst>
            <a:gd name="adj1" fmla="val -43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108857</xdr:colOff>
      <xdr:row>137</xdr:row>
      <xdr:rowOff>0</xdr:rowOff>
    </xdr:from>
    <xdr:to>
      <xdr:col>13</xdr:col>
      <xdr:colOff>122464</xdr:colOff>
      <xdr:row>158</xdr:row>
      <xdr:rowOff>0</xdr:rowOff>
    </xdr:to>
    <xdr:cxnSp macro="">
      <xdr:nvCxnSpPr>
        <xdr:cNvPr id="441" name="Straight Connector 440"/>
        <xdr:cNvCxnSpPr/>
      </xdr:nvCxnSpPr>
      <xdr:spPr>
        <a:xfrm flipV="1">
          <a:off x="4576082" y="20955000"/>
          <a:ext cx="13607" cy="4000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145</xdr:row>
      <xdr:rowOff>0</xdr:rowOff>
    </xdr:from>
    <xdr:to>
      <xdr:col>14</xdr:col>
      <xdr:colOff>0</xdr:colOff>
      <xdr:row>146</xdr:row>
      <xdr:rowOff>0</xdr:rowOff>
    </xdr:to>
    <xdr:sp macro="" textlink="">
      <xdr:nvSpPr>
        <xdr:cNvPr id="24" name="Oval 72"/>
        <xdr:cNvSpPr>
          <a:spLocks noChangeArrowheads="1"/>
        </xdr:cNvSpPr>
      </xdr:nvSpPr>
      <xdr:spPr bwMode="auto">
        <a:xfrm>
          <a:off x="7059706" y="32766000"/>
          <a:ext cx="212912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176</xdr:row>
      <xdr:rowOff>0</xdr:rowOff>
    </xdr:from>
    <xdr:to>
      <xdr:col>14</xdr:col>
      <xdr:colOff>0</xdr:colOff>
      <xdr:row>177</xdr:row>
      <xdr:rowOff>0</xdr:rowOff>
    </xdr:to>
    <xdr:sp macro="" textlink="">
      <xdr:nvSpPr>
        <xdr:cNvPr id="443" name="Oval 72"/>
        <xdr:cNvSpPr>
          <a:spLocks noChangeArrowheads="1"/>
        </xdr:cNvSpPr>
      </xdr:nvSpPr>
      <xdr:spPr bwMode="auto">
        <a:xfrm>
          <a:off x="7105650" y="38614350"/>
          <a:ext cx="209550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176</xdr:row>
      <xdr:rowOff>0</xdr:rowOff>
    </xdr:from>
    <xdr:to>
      <xdr:col>14</xdr:col>
      <xdr:colOff>0</xdr:colOff>
      <xdr:row>177</xdr:row>
      <xdr:rowOff>0</xdr:rowOff>
    </xdr:to>
    <xdr:sp macro="" textlink="">
      <xdr:nvSpPr>
        <xdr:cNvPr id="450" name="Oval 72"/>
        <xdr:cNvSpPr>
          <a:spLocks noChangeArrowheads="1"/>
        </xdr:cNvSpPr>
      </xdr:nvSpPr>
      <xdr:spPr bwMode="auto">
        <a:xfrm>
          <a:off x="7124700" y="257175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176</xdr:row>
      <xdr:rowOff>0</xdr:rowOff>
    </xdr:from>
    <xdr:to>
      <xdr:col>14</xdr:col>
      <xdr:colOff>0</xdr:colOff>
      <xdr:row>177</xdr:row>
      <xdr:rowOff>0</xdr:rowOff>
    </xdr:to>
    <xdr:sp macro="" textlink="">
      <xdr:nvSpPr>
        <xdr:cNvPr id="451" name="Oval 72"/>
        <xdr:cNvSpPr>
          <a:spLocks noChangeArrowheads="1"/>
        </xdr:cNvSpPr>
      </xdr:nvSpPr>
      <xdr:spPr bwMode="auto">
        <a:xfrm>
          <a:off x="7124700" y="25717500"/>
          <a:ext cx="200025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</xdr:spPr>
    </xdr:sp>
    <xdr:clientData/>
  </xdr:twoCellAnchor>
  <xdr:twoCellAnchor>
    <xdr:from>
      <xdr:col>13</xdr:col>
      <xdr:colOff>100853</xdr:colOff>
      <xdr:row>173</xdr:row>
      <xdr:rowOff>81646</xdr:rowOff>
    </xdr:from>
    <xdr:to>
      <xdr:col>17</xdr:col>
      <xdr:colOff>0</xdr:colOff>
      <xdr:row>176</xdr:row>
      <xdr:rowOff>1</xdr:rowOff>
    </xdr:to>
    <xdr:cxnSp macro="">
      <xdr:nvCxnSpPr>
        <xdr:cNvPr id="452" name="Elbow Connector 451"/>
        <xdr:cNvCxnSpPr>
          <a:stCxn id="451" idx="0"/>
        </xdr:cNvCxnSpPr>
      </xdr:nvCxnSpPr>
      <xdr:spPr>
        <a:xfrm rot="5400000" flipH="1" flipV="1">
          <a:off x="8320849" y="24132350"/>
          <a:ext cx="489855" cy="268044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173</xdr:row>
      <xdr:rowOff>0</xdr:rowOff>
    </xdr:from>
    <xdr:to>
      <xdr:col>18</xdr:col>
      <xdr:colOff>0</xdr:colOff>
      <xdr:row>174</xdr:row>
      <xdr:rowOff>0</xdr:rowOff>
    </xdr:to>
    <xdr:sp macro="" textlink="">
      <xdr:nvSpPr>
        <xdr:cNvPr id="453" name="AutoShape 28"/>
        <xdr:cNvSpPr>
          <a:spLocks noChangeArrowheads="1"/>
        </xdr:cNvSpPr>
      </xdr:nvSpPr>
      <xdr:spPr bwMode="auto">
        <a:xfrm rot="-5400000">
          <a:off x="9915525" y="25136475"/>
          <a:ext cx="190500" cy="20955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95251</xdr:colOff>
      <xdr:row>177</xdr:row>
      <xdr:rowOff>10885</xdr:rowOff>
    </xdr:from>
    <xdr:to>
      <xdr:col>17</xdr:col>
      <xdr:colOff>13608</xdr:colOff>
      <xdr:row>179</xdr:row>
      <xdr:rowOff>81642</xdr:rowOff>
    </xdr:to>
    <xdr:cxnSp macro="">
      <xdr:nvCxnSpPr>
        <xdr:cNvPr id="454" name="Elbow Connector 453"/>
        <xdr:cNvCxnSpPr>
          <a:endCxn id="455" idx="0"/>
        </xdr:cNvCxnSpPr>
      </xdr:nvCxnSpPr>
      <xdr:spPr>
        <a:xfrm rot="16200000" flipH="1">
          <a:off x="8343901" y="24794935"/>
          <a:ext cx="451757" cy="2699657"/>
        </a:xfrm>
        <a:prstGeom prst="bentConnector2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13607</xdr:colOff>
      <xdr:row>179</xdr:row>
      <xdr:rowOff>0</xdr:rowOff>
    </xdr:from>
    <xdr:to>
      <xdr:col>18</xdr:col>
      <xdr:colOff>13607</xdr:colOff>
      <xdr:row>180</xdr:row>
      <xdr:rowOff>1</xdr:rowOff>
    </xdr:to>
    <xdr:sp macro="" textlink="">
      <xdr:nvSpPr>
        <xdr:cNvPr id="455" name="AutoShape 28"/>
        <xdr:cNvSpPr>
          <a:spLocks noChangeArrowheads="1"/>
        </xdr:cNvSpPr>
      </xdr:nvSpPr>
      <xdr:spPr bwMode="auto">
        <a:xfrm rot="-5400000">
          <a:off x="9929131" y="26279476"/>
          <a:ext cx="190501" cy="20955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k/AppData/Local/Microsoft/Windows/INetCache/Content.Outlook/P8MC1SE2/GERD_brigg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"/>
      <sheetName val="Parameters"/>
      <sheetName val="Results"/>
      <sheetName val="CE plane"/>
      <sheetName val="CEA curves"/>
      <sheetName val="MC Results"/>
      <sheetName val="A - PPI Heal &amp; Wait"/>
      <sheetName val="B - PPI Heal &amp; Maintain"/>
      <sheetName val="C - H2 Heal &amp; Maintain"/>
      <sheetName val="D - PA Heal &amp; Maintain PA"/>
      <sheetName val="E - PPI Heal &amp; Maintain H2"/>
      <sheetName val="F - PPI Heal &amp; Maintain LDPPI"/>
      <sheetName val="GERD_briggs"/>
    </sheetNames>
    <sheetDataSet>
      <sheetData sheetId="0"/>
      <sheetData sheetId="1">
        <row r="3">
          <cell r="B3">
            <v>0</v>
          </cell>
        </row>
        <row r="11">
          <cell r="B11">
            <v>4.501798167986585E-2</v>
          </cell>
        </row>
        <row r="12">
          <cell r="B12">
            <v>6.7625957922929664E-2</v>
          </cell>
        </row>
        <row r="13">
          <cell r="B13">
            <v>9.0631096878033141E-2</v>
          </cell>
        </row>
        <row r="14">
          <cell r="B14">
            <v>0.21452108508996573</v>
          </cell>
        </row>
        <row r="15">
          <cell r="B15">
            <v>0.20853621739706879</v>
          </cell>
        </row>
        <row r="18">
          <cell r="B18">
            <v>0.41737747957049187</v>
          </cell>
        </row>
        <row r="19">
          <cell r="B19">
            <v>0.41783866594397834</v>
          </cell>
        </row>
        <row r="20">
          <cell r="B20">
            <v>0.51569905341114508</v>
          </cell>
        </row>
        <row r="21">
          <cell r="B21">
            <v>0.8202464765668569</v>
          </cell>
        </row>
        <row r="22">
          <cell r="B22">
            <v>0.81143070731215539</v>
          </cell>
        </row>
        <row r="25">
          <cell r="B25">
            <v>0.66548042704626331</v>
          </cell>
        </row>
        <row r="26">
          <cell r="B26">
            <v>0.23076923076923078</v>
          </cell>
        </row>
        <row r="27">
          <cell r="B27">
            <v>0.38082191780821917</v>
          </cell>
        </row>
        <row r="28">
          <cell r="B28">
            <v>0.1245944192083063</v>
          </cell>
        </row>
        <row r="29">
          <cell r="B29">
            <v>0.25440528634361231</v>
          </cell>
        </row>
        <row r="30">
          <cell r="B30">
            <v>0.1245944192083063</v>
          </cell>
        </row>
        <row r="31">
          <cell r="B31">
            <v>0.23414634146341465</v>
          </cell>
        </row>
        <row r="32">
          <cell r="B32">
            <v>0.13397129186602871</v>
          </cell>
        </row>
        <row r="33">
          <cell r="B33">
            <v>0.17788461538461539</v>
          </cell>
        </row>
        <row r="34">
          <cell r="B34">
            <v>7.8008298755186722E-2</v>
          </cell>
        </row>
        <row r="35">
          <cell r="B35">
            <v>0.13050570962479607</v>
          </cell>
        </row>
        <row r="38">
          <cell r="B38">
            <v>2.2798800907753947</v>
          </cell>
        </row>
        <row r="39">
          <cell r="B39">
            <v>1.5213821150067659</v>
          </cell>
        </row>
        <row r="40">
          <cell r="B40">
            <v>1.8156819349241333</v>
          </cell>
        </row>
        <row r="41">
          <cell r="B41">
            <v>2.3855888533626253</v>
          </cell>
        </row>
        <row r="42">
          <cell r="B42">
            <v>2.3825237524627134</v>
          </cell>
        </row>
        <row r="43">
          <cell r="B43">
            <v>0.5</v>
          </cell>
        </row>
        <row r="44">
          <cell r="B44">
            <v>12</v>
          </cell>
        </row>
        <row r="45">
          <cell r="B45">
            <v>8</v>
          </cell>
        </row>
        <row r="46">
          <cell r="B46">
            <v>9.2713503359294922</v>
          </cell>
        </row>
        <row r="47">
          <cell r="B47">
            <v>6.1786727874549392</v>
          </cell>
        </row>
        <row r="48">
          <cell r="B48">
            <v>5.6900895076349727</v>
          </cell>
        </row>
        <row r="49">
          <cell r="B49">
            <v>3.8236170408277701</v>
          </cell>
        </row>
        <row r="50">
          <cell r="B50">
            <v>3.8910780939654703</v>
          </cell>
        </row>
        <row r="53">
          <cell r="B53">
            <v>4.1100000000000003</v>
          </cell>
        </row>
        <row r="54">
          <cell r="B54">
            <v>0.44</v>
          </cell>
        </row>
        <row r="55">
          <cell r="B55">
            <v>0.61</v>
          </cell>
        </row>
        <row r="56">
          <cell r="B56">
            <v>2.42</v>
          </cell>
        </row>
        <row r="57">
          <cell r="B57">
            <v>1.93</v>
          </cell>
        </row>
        <row r="58">
          <cell r="B58">
            <v>48.2</v>
          </cell>
        </row>
        <row r="59">
          <cell r="B59">
            <v>28.1</v>
          </cell>
        </row>
        <row r="60">
          <cell r="B60">
            <v>16.25</v>
          </cell>
        </row>
        <row r="61">
          <cell r="B61">
            <v>38.65</v>
          </cell>
        </row>
        <row r="62">
          <cell r="B62">
            <v>23.1</v>
          </cell>
        </row>
        <row r="63">
          <cell r="B63">
            <v>118.22</v>
          </cell>
        </row>
        <row r="64">
          <cell r="B64">
            <v>141.43</v>
          </cell>
        </row>
        <row r="65">
          <cell r="B65">
            <v>84.81</v>
          </cell>
        </row>
        <row r="66">
          <cell r="B66">
            <v>42.77</v>
          </cell>
        </row>
        <row r="67">
          <cell r="B67">
            <v>135.1</v>
          </cell>
        </row>
        <row r="68">
          <cell r="B68">
            <v>2462.6</v>
          </cell>
        </row>
        <row r="76">
          <cell r="B76">
            <v>3.5000000000000003E-2</v>
          </cell>
        </row>
        <row r="77">
          <cell r="B77">
            <v>0.1</v>
          </cell>
        </row>
        <row r="78">
          <cell r="B78">
            <v>7.0000000000000007E-2</v>
          </cell>
        </row>
        <row r="79">
          <cell r="B79">
            <v>2.5</v>
          </cell>
        </row>
        <row r="80">
          <cell r="B80">
            <v>1.5</v>
          </cell>
        </row>
        <row r="82">
          <cell r="B82">
            <v>0.01</v>
          </cell>
        </row>
        <row r="83">
          <cell r="B83">
            <v>0.01</v>
          </cell>
        </row>
        <row r="84">
          <cell r="B84">
            <v>0.6</v>
          </cell>
        </row>
        <row r="85">
          <cell r="B85">
            <v>0.08</v>
          </cell>
        </row>
        <row r="89">
          <cell r="B89">
            <v>0.85799999999999998</v>
          </cell>
        </row>
        <row r="90">
          <cell r="B90">
            <v>53.39</v>
          </cell>
        </row>
        <row r="91">
          <cell r="B91">
            <v>64.477000000000004</v>
          </cell>
        </row>
        <row r="92">
          <cell r="B92">
            <v>116.223</v>
          </cell>
        </row>
        <row r="93">
          <cell r="B93">
            <v>167.55799999999999</v>
          </cell>
        </row>
        <row r="94">
          <cell r="B94">
            <v>100.206</v>
          </cell>
        </row>
        <row r="95">
          <cell r="B95">
            <v>34.701999999999998</v>
          </cell>
        </row>
        <row r="96">
          <cell r="B96">
            <v>139.63</v>
          </cell>
        </row>
        <row r="97">
          <cell r="B97">
            <v>174.33199999999999</v>
          </cell>
        </row>
        <row r="98">
          <cell r="B98">
            <v>313.55100000000004</v>
          </cell>
        </row>
        <row r="99">
          <cell r="B99">
            <v>452.77</v>
          </cell>
        </row>
        <row r="100">
          <cell r="B100">
            <v>251.81099999999998</v>
          </cell>
        </row>
        <row r="101">
          <cell r="B101">
            <v>363.59</v>
          </cell>
        </row>
        <row r="102">
          <cell r="B102">
            <v>275.14999999999998</v>
          </cell>
        </row>
        <row r="103">
          <cell r="B103">
            <v>52.884</v>
          </cell>
        </row>
        <row r="105">
          <cell r="B105">
            <v>209.07000000000002</v>
          </cell>
        </row>
        <row r="106">
          <cell r="B106">
            <v>123.67</v>
          </cell>
        </row>
        <row r="107">
          <cell r="B107">
            <v>159.06299999999999</v>
          </cell>
        </row>
        <row r="108">
          <cell r="B108">
            <v>229.43799999999999</v>
          </cell>
        </row>
        <row r="109">
          <cell r="B109">
            <v>102.675</v>
          </cell>
        </row>
        <row r="110">
          <cell r="B110">
            <v>102.675</v>
          </cell>
        </row>
        <row r="111">
          <cell r="B111">
            <v>138.3194</v>
          </cell>
        </row>
        <row r="112">
          <cell r="B112">
            <v>186.19719999999998</v>
          </cell>
        </row>
      </sheetData>
      <sheetData sheetId="2">
        <row r="6">
          <cell r="C6">
            <v>687.92789534772783</v>
          </cell>
        </row>
      </sheetData>
      <sheetData sheetId="3" refreshError="1"/>
      <sheetData sheetId="4" refreshError="1"/>
      <sheetData sheetId="5">
        <row r="2">
          <cell r="U2">
            <v>5000</v>
          </cell>
        </row>
      </sheetData>
      <sheetData sheetId="6">
        <row r="74">
          <cell r="AC74">
            <v>687.92789534772783</v>
          </cell>
        </row>
      </sheetData>
      <sheetData sheetId="7">
        <row r="74">
          <cell r="AC74">
            <v>1098.2468767940384</v>
          </cell>
        </row>
      </sheetData>
      <sheetData sheetId="8">
        <row r="121">
          <cell r="AH121">
            <v>660.21283201366202</v>
          </cell>
        </row>
      </sheetData>
      <sheetData sheetId="9">
        <row r="109">
          <cell r="AH109">
            <v>806.57722316114507</v>
          </cell>
        </row>
      </sheetData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9"/>
  <sheetViews>
    <sheetView workbookViewId="0">
      <selection activeCell="D48" sqref="D48"/>
    </sheetView>
  </sheetViews>
  <sheetFormatPr defaultColWidth="8.85546875" defaultRowHeight="15" x14ac:dyDescent="0.25"/>
  <sheetData>
    <row r="1" spans="1:6" x14ac:dyDescent="0.25">
      <c r="A1" s="1" t="s">
        <v>0</v>
      </c>
    </row>
    <row r="3" spans="1:6" ht="16.5" x14ac:dyDescent="0.25">
      <c r="F3" s="4" t="s">
        <v>10</v>
      </c>
    </row>
    <row r="5" spans="1:6" x14ac:dyDescent="0.25">
      <c r="F5" s="2" t="s">
        <v>11</v>
      </c>
    </row>
    <row r="6" spans="1:6" x14ac:dyDescent="0.25">
      <c r="F6" s="2" t="s">
        <v>117</v>
      </c>
    </row>
    <row r="7" spans="1:6" x14ac:dyDescent="0.25">
      <c r="F7" s="2" t="s">
        <v>118</v>
      </c>
    </row>
    <row r="8" spans="1:6" x14ac:dyDescent="0.25">
      <c r="F8" s="2" t="s">
        <v>12</v>
      </c>
    </row>
    <row r="10" spans="1:6" x14ac:dyDescent="0.25">
      <c r="F10" s="3" t="s">
        <v>13</v>
      </c>
    </row>
    <row r="12" spans="1:6" x14ac:dyDescent="0.25">
      <c r="C12" t="s">
        <v>1</v>
      </c>
    </row>
    <row r="13" spans="1:6" x14ac:dyDescent="0.25">
      <c r="C13" t="s">
        <v>2</v>
      </c>
    </row>
    <row r="15" spans="1:6" x14ac:dyDescent="0.25">
      <c r="C15" t="s">
        <v>3</v>
      </c>
    </row>
    <row r="19" spans="3:3" x14ac:dyDescent="0.25">
      <c r="C19" t="s">
        <v>4</v>
      </c>
    </row>
    <row r="20" spans="3:3" x14ac:dyDescent="0.25">
      <c r="C20" t="s">
        <v>5</v>
      </c>
    </row>
    <row r="22" spans="3:3" x14ac:dyDescent="0.25">
      <c r="C22" t="s">
        <v>6</v>
      </c>
    </row>
    <row r="27" spans="3:3" x14ac:dyDescent="0.25">
      <c r="C27" t="s">
        <v>7</v>
      </c>
    </row>
    <row r="28" spans="3:3" x14ac:dyDescent="0.25">
      <c r="C28" t="s">
        <v>8</v>
      </c>
    </row>
    <row r="29" spans="3:3" x14ac:dyDescent="0.25">
      <c r="C29" t="s">
        <v>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5"/>
  <sheetViews>
    <sheetView workbookViewId="0">
      <selection activeCell="F13" sqref="F13"/>
    </sheetView>
  </sheetViews>
  <sheetFormatPr defaultColWidth="8.85546875" defaultRowHeight="15" x14ac:dyDescent="0.25"/>
  <cols>
    <col min="1" max="1" width="27.42578125" customWidth="1"/>
    <col min="5" max="5" width="9.42578125" bestFit="1" customWidth="1"/>
    <col min="6" max="6" width="12.42578125" bestFit="1" customWidth="1"/>
    <col min="10" max="10" width="11" customWidth="1"/>
    <col min="11" max="11" width="12.42578125" customWidth="1"/>
  </cols>
  <sheetData>
    <row r="1" spans="1:11" ht="15.75" x14ac:dyDescent="0.25">
      <c r="A1" s="5" t="s">
        <v>41</v>
      </c>
    </row>
    <row r="2" spans="1:11" x14ac:dyDescent="0.25">
      <c r="A2" s="6"/>
    </row>
    <row r="3" spans="1:11" x14ac:dyDescent="0.25">
      <c r="A3" s="6"/>
      <c r="C3" s="108" t="s">
        <v>395</v>
      </c>
      <c r="H3" s="108" t="s">
        <v>396</v>
      </c>
    </row>
    <row r="4" spans="1:11" x14ac:dyDescent="0.25">
      <c r="A4" s="6" t="s">
        <v>42</v>
      </c>
      <c r="B4" s="6"/>
      <c r="C4" s="6" t="s">
        <v>43</v>
      </c>
      <c r="D4" s="6" t="s">
        <v>393</v>
      </c>
      <c r="E4" s="6" t="s">
        <v>352</v>
      </c>
      <c r="F4" s="6" t="s">
        <v>394</v>
      </c>
      <c r="H4" s="6" t="s">
        <v>43</v>
      </c>
      <c r="I4" s="6" t="s">
        <v>393</v>
      </c>
      <c r="J4" s="6" t="s">
        <v>352</v>
      </c>
      <c r="K4" s="6" t="s">
        <v>394</v>
      </c>
    </row>
    <row r="5" spans="1:11" x14ac:dyDescent="0.25">
      <c r="A5" s="6"/>
      <c r="B5" s="6"/>
      <c r="C5" s="6"/>
      <c r="D5" s="6"/>
      <c r="E5" s="6"/>
    </row>
    <row r="6" spans="1:11" x14ac:dyDescent="0.25">
      <c r="A6" s="6" t="s">
        <v>50</v>
      </c>
      <c r="B6" s="6"/>
      <c r="C6" s="28">
        <f ca="1">'A - ADAMTS13so'!T56</f>
        <v>15567.140040199785</v>
      </c>
      <c r="D6" s="16">
        <f ca="1">'A - ADAMTS13so'!U56</f>
        <v>0.98287597749862554</v>
      </c>
      <c r="E6" s="16">
        <f ca="1">(C6-C9)/(D6-D9)</f>
        <v>146241.56486176341</v>
      </c>
      <c r="F6" s="85">
        <f ca="1">C6/D6</f>
        <v>15838.356411779892</v>
      </c>
      <c r="H6" s="19">
        <f>'MC Results'!D1009</f>
        <v>15472.631902151677</v>
      </c>
      <c r="I6" s="19">
        <f>'MC Results'!C1009</f>
        <v>0.98294754877098656</v>
      </c>
      <c r="J6" s="16">
        <f>(H6-H9)/(I6-I9)</f>
        <v>105905.83217381033</v>
      </c>
      <c r="K6" s="85">
        <f>H6/I6</f>
        <v>15741.055483069922</v>
      </c>
    </row>
    <row r="7" spans="1:11" x14ac:dyDescent="0.25">
      <c r="A7" s="6" t="s">
        <v>51</v>
      </c>
      <c r="C7" s="28">
        <f ca="1">'B-ADAMTS13ih'!AB141</f>
        <v>4943.2460226971571</v>
      </c>
      <c r="D7" s="16">
        <f ca="1">'B-ADAMTS13ih'!AC141</f>
        <v>0.91304057736405475</v>
      </c>
      <c r="E7" s="16">
        <f ca="1">(C7-C9)/(D7-D9)</f>
        <v>49643.792365182795</v>
      </c>
      <c r="F7" s="85">
        <f t="shared" ref="F7:F9" ca="1" si="0">C7/D7</f>
        <v>5414.0485595594146</v>
      </c>
      <c r="H7" s="19">
        <f>'MC Results'!F1009</f>
        <v>5558.4354552611176</v>
      </c>
      <c r="I7" s="19">
        <f>'MC Results'!E1009</f>
        <v>0.88514619419300344</v>
      </c>
      <c r="J7" s="16">
        <f>(H7-H9)/(I7-I9)</f>
        <v>214213.03281576716</v>
      </c>
      <c r="K7" s="85">
        <f t="shared" ref="K7:K9" si="1">H7/I7</f>
        <v>6279.6806806911691</v>
      </c>
    </row>
    <row r="8" spans="1:11" x14ac:dyDescent="0.25">
      <c r="A8" s="6" t="s">
        <v>52</v>
      </c>
      <c r="C8" s="28">
        <f ca="1">'C - PSSO'!AB141</f>
        <v>9423.1602151215156</v>
      </c>
      <c r="D8" s="16">
        <f ca="1">'C - PSSO'!AC141</f>
        <v>0.95230533259003458</v>
      </c>
      <c r="E8" s="16">
        <f ca="1">(C8-C9)/(D8-D9)</f>
        <v>107793.09448268388</v>
      </c>
      <c r="F8" s="85">
        <f t="shared" ca="1" si="0"/>
        <v>9895.1039048504063</v>
      </c>
      <c r="H8" s="19">
        <f>'MC Results'!H1009</f>
        <v>9358.6402750995421</v>
      </c>
      <c r="I8" s="19">
        <f>'MC Results'!G1009</f>
        <v>0.94316214171914337</v>
      </c>
      <c r="J8" s="16">
        <f>(H8-H9)/(I8-I9)</f>
        <v>75307.691640494158</v>
      </c>
      <c r="K8" s="85">
        <f t="shared" si="1"/>
        <v>9922.6207892962429</v>
      </c>
    </row>
    <row r="9" spans="1:11" x14ac:dyDescent="0.25">
      <c r="A9" s="6" t="s">
        <v>53</v>
      </c>
      <c r="C9" s="28">
        <f ca="1">'D - PSIH'!AG184</f>
        <v>4731.9950879676717</v>
      </c>
      <c r="D9" s="16">
        <f ca="1">'D - PSIH'!AH184</f>
        <v>0.90878524301780839</v>
      </c>
      <c r="E9" s="16" t="s">
        <v>389</v>
      </c>
      <c r="F9" s="85">
        <f t="shared" ca="1" si="0"/>
        <v>5206.9453419535166</v>
      </c>
      <c r="H9" s="19">
        <f>'MC Results'!J1009</f>
        <v>4681.1946946775261</v>
      </c>
      <c r="I9" s="19">
        <f>'MC Results'!I1009</f>
        <v>0.88105101497326821</v>
      </c>
      <c r="J9" s="16" t="s">
        <v>389</v>
      </c>
      <c r="K9" s="85">
        <f t="shared" si="1"/>
        <v>5313.1936915361903</v>
      </c>
    </row>
    <row r="10" spans="1:11" x14ac:dyDescent="0.25">
      <c r="A10" s="6"/>
      <c r="C10" s="28"/>
      <c r="D10" s="16"/>
      <c r="E10" s="16"/>
    </row>
    <row r="11" spans="1:11" x14ac:dyDescent="0.25">
      <c r="A11" s="6"/>
      <c r="C11" s="28"/>
      <c r="D11" s="16"/>
      <c r="E11" s="16"/>
    </row>
    <row r="12" spans="1:11" x14ac:dyDescent="0.25">
      <c r="A12" s="6"/>
    </row>
    <row r="13" spans="1:11" x14ac:dyDescent="0.25">
      <c r="A13" s="6"/>
    </row>
    <row r="14" spans="1:11" x14ac:dyDescent="0.25">
      <c r="A14" s="6" t="s">
        <v>44</v>
      </c>
      <c r="B14" t="s">
        <v>45</v>
      </c>
      <c r="C14" s="28">
        <v>15567.077342655037</v>
      </c>
      <c r="D14" s="16">
        <v>0.98287597749862554</v>
      </c>
      <c r="E14" s="16"/>
    </row>
    <row r="15" spans="1:11" x14ac:dyDescent="0.25">
      <c r="A15" s="6"/>
      <c r="B15" t="s">
        <v>46</v>
      </c>
      <c r="C15" s="28">
        <v>4943.2269585783752</v>
      </c>
      <c r="D15" s="16">
        <v>0.91304057736405475</v>
      </c>
      <c r="E15" s="16"/>
    </row>
    <row r="16" spans="1:11" x14ac:dyDescent="0.25">
      <c r="A16" s="6"/>
      <c r="B16" t="s">
        <v>47</v>
      </c>
      <c r="C16" s="28">
        <v>9423.1230179659487</v>
      </c>
      <c r="D16" s="16">
        <v>0.9569271753707661</v>
      </c>
      <c r="E16" s="16"/>
    </row>
    <row r="17" spans="1:6" x14ac:dyDescent="0.25">
      <c r="A17" s="6"/>
      <c r="B17" t="s">
        <v>48</v>
      </c>
      <c r="C17" s="28">
        <v>4731.9763098106723</v>
      </c>
      <c r="D17" s="16">
        <v>0.90878524301780839</v>
      </c>
      <c r="E17" s="16"/>
    </row>
    <row r="18" spans="1:6" x14ac:dyDescent="0.25">
      <c r="A18" s="6"/>
      <c r="C18" s="28"/>
      <c r="D18" s="16"/>
      <c r="E18" s="16"/>
    </row>
    <row r="19" spans="1:6" x14ac:dyDescent="0.25">
      <c r="A19" s="6"/>
      <c r="C19" s="9" t="s">
        <v>43</v>
      </c>
      <c r="D19" s="9" t="s">
        <v>336</v>
      </c>
      <c r="E19" s="9" t="s">
        <v>358</v>
      </c>
      <c r="F19" s="53" t="s">
        <v>352</v>
      </c>
    </row>
    <row r="20" spans="1:6" x14ac:dyDescent="0.25">
      <c r="A20" s="6" t="s">
        <v>49</v>
      </c>
      <c r="B20" t="s">
        <v>48</v>
      </c>
      <c r="C20" s="28">
        <v>4731.9763098106723</v>
      </c>
      <c r="D20" s="16">
        <v>0.90878524301780839</v>
      </c>
      <c r="E20" s="92">
        <f>C20/D20</f>
        <v>5206.9246790332681</v>
      </c>
      <c r="F20" s="90"/>
    </row>
    <row r="21" spans="1:6" x14ac:dyDescent="0.25">
      <c r="A21" s="6"/>
      <c r="B21" t="s">
        <v>46</v>
      </c>
      <c r="C21" s="28">
        <v>4943.2269585783752</v>
      </c>
      <c r="D21" s="16">
        <v>0.91304057736405475</v>
      </c>
      <c r="E21" s="16">
        <f t="shared" ref="E21:E23" si="2">C21/D21</f>
        <v>5414.0276797439337</v>
      </c>
      <c r="F21" s="85">
        <f>(C21-C20)/(D21-D20)</f>
        <v>49643.725164403899</v>
      </c>
    </row>
    <row r="22" spans="1:6" x14ac:dyDescent="0.25">
      <c r="A22" s="6"/>
      <c r="B22" t="s">
        <v>47</v>
      </c>
      <c r="C22" s="28">
        <v>9423.1230179659487</v>
      </c>
      <c r="D22" s="16">
        <v>0.9569271753707661</v>
      </c>
      <c r="E22" s="16">
        <f t="shared" si="2"/>
        <v>9847.2728756134584</v>
      </c>
      <c r="F22" s="85">
        <f>(C22-C20)/(D22-D20)</f>
        <v>97444.08832120891</v>
      </c>
    </row>
    <row r="23" spans="1:6" x14ac:dyDescent="0.25">
      <c r="A23" s="6"/>
      <c r="B23" t="s">
        <v>45</v>
      </c>
      <c r="C23" s="28">
        <v>15567.077342655037</v>
      </c>
      <c r="D23" s="16">
        <v>0.98287597749862554</v>
      </c>
      <c r="E23" s="16">
        <f t="shared" si="2"/>
        <v>15838.292621895733</v>
      </c>
      <c r="F23" s="85">
        <f>(C23-C21)/(D23-D21)</f>
        <v>152127.00669867732</v>
      </c>
    </row>
    <row r="24" spans="1:6" x14ac:dyDescent="0.25">
      <c r="A24" s="6"/>
      <c r="C24" s="28"/>
      <c r="D24" s="16"/>
      <c r="E24" s="16"/>
    </row>
    <row r="25" spans="1:6" x14ac:dyDescent="0.25">
      <c r="A25" s="6"/>
      <c r="C25" s="28"/>
      <c r="D25" s="16"/>
      <c r="E25" s="16"/>
    </row>
  </sheetData>
  <sortState ref="B20:D23">
    <sortCondition ref="D20:D2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46"/>
  <sheetViews>
    <sheetView topLeftCell="A7" workbookViewId="0">
      <selection activeCell="G26" sqref="G26"/>
    </sheetView>
  </sheetViews>
  <sheetFormatPr defaultColWidth="8.85546875" defaultRowHeight="15" x14ac:dyDescent="0.25"/>
  <cols>
    <col min="1" max="1" width="27.42578125" style="6" customWidth="1"/>
    <col min="2" max="2" width="13" style="6" customWidth="1"/>
    <col min="3" max="3" width="55.85546875" style="6" customWidth="1"/>
    <col min="4" max="4" width="10.7109375" customWidth="1"/>
    <col min="5" max="5" width="12" bestFit="1" customWidth="1"/>
    <col min="6" max="6" width="9.42578125" customWidth="1"/>
    <col min="7" max="7" width="11" customWidth="1"/>
    <col min="8" max="8" width="11.140625" customWidth="1"/>
    <col min="9" max="9" width="23" customWidth="1"/>
    <col min="10" max="10" width="14.28515625" bestFit="1" customWidth="1"/>
    <col min="12" max="12" width="12" bestFit="1" customWidth="1"/>
    <col min="257" max="258" width="11" customWidth="1"/>
    <col min="259" max="259" width="55.85546875" customWidth="1"/>
    <col min="261" max="261" width="12" bestFit="1" customWidth="1"/>
    <col min="262" max="262" width="9.42578125" customWidth="1"/>
    <col min="513" max="514" width="11" customWidth="1"/>
    <col min="515" max="515" width="55.85546875" customWidth="1"/>
    <col min="517" max="517" width="12" bestFit="1" customWidth="1"/>
    <col min="518" max="518" width="9.42578125" customWidth="1"/>
    <col min="769" max="770" width="11" customWidth="1"/>
    <col min="771" max="771" width="55.85546875" customWidth="1"/>
    <col min="773" max="773" width="12" bestFit="1" customWidth="1"/>
    <col min="774" max="774" width="9.42578125" customWidth="1"/>
    <col min="1025" max="1026" width="11" customWidth="1"/>
    <col min="1027" max="1027" width="55.85546875" customWidth="1"/>
    <col min="1029" max="1029" width="12" bestFit="1" customWidth="1"/>
    <col min="1030" max="1030" width="9.42578125" customWidth="1"/>
    <col min="1281" max="1282" width="11" customWidth="1"/>
    <col min="1283" max="1283" width="55.85546875" customWidth="1"/>
    <col min="1285" max="1285" width="12" bestFit="1" customWidth="1"/>
    <col min="1286" max="1286" width="9.42578125" customWidth="1"/>
    <col min="1537" max="1538" width="11" customWidth="1"/>
    <col min="1539" max="1539" width="55.85546875" customWidth="1"/>
    <col min="1541" max="1541" width="12" bestFit="1" customWidth="1"/>
    <col min="1542" max="1542" width="9.42578125" customWidth="1"/>
    <col min="1793" max="1794" width="11" customWidth="1"/>
    <col min="1795" max="1795" width="55.85546875" customWidth="1"/>
    <col min="1797" max="1797" width="12" bestFit="1" customWidth="1"/>
    <col min="1798" max="1798" width="9.42578125" customWidth="1"/>
    <col min="2049" max="2050" width="11" customWidth="1"/>
    <col min="2051" max="2051" width="55.85546875" customWidth="1"/>
    <col min="2053" max="2053" width="12" bestFit="1" customWidth="1"/>
    <col min="2054" max="2054" width="9.42578125" customWidth="1"/>
    <col min="2305" max="2306" width="11" customWidth="1"/>
    <col min="2307" max="2307" width="55.85546875" customWidth="1"/>
    <col min="2309" max="2309" width="12" bestFit="1" customWidth="1"/>
    <col min="2310" max="2310" width="9.42578125" customWidth="1"/>
    <col min="2561" max="2562" width="11" customWidth="1"/>
    <col min="2563" max="2563" width="55.85546875" customWidth="1"/>
    <col min="2565" max="2565" width="12" bestFit="1" customWidth="1"/>
    <col min="2566" max="2566" width="9.42578125" customWidth="1"/>
    <col min="2817" max="2818" width="11" customWidth="1"/>
    <col min="2819" max="2819" width="55.85546875" customWidth="1"/>
    <col min="2821" max="2821" width="12" bestFit="1" customWidth="1"/>
    <col min="2822" max="2822" width="9.42578125" customWidth="1"/>
    <col min="3073" max="3074" width="11" customWidth="1"/>
    <col min="3075" max="3075" width="55.85546875" customWidth="1"/>
    <col min="3077" max="3077" width="12" bestFit="1" customWidth="1"/>
    <col min="3078" max="3078" width="9.42578125" customWidth="1"/>
    <col min="3329" max="3330" width="11" customWidth="1"/>
    <col min="3331" max="3331" width="55.85546875" customWidth="1"/>
    <col min="3333" max="3333" width="12" bestFit="1" customWidth="1"/>
    <col min="3334" max="3334" width="9.42578125" customWidth="1"/>
    <col min="3585" max="3586" width="11" customWidth="1"/>
    <col min="3587" max="3587" width="55.85546875" customWidth="1"/>
    <col min="3589" max="3589" width="12" bestFit="1" customWidth="1"/>
    <col min="3590" max="3590" width="9.42578125" customWidth="1"/>
    <col min="3841" max="3842" width="11" customWidth="1"/>
    <col min="3843" max="3843" width="55.85546875" customWidth="1"/>
    <col min="3845" max="3845" width="12" bestFit="1" customWidth="1"/>
    <col min="3846" max="3846" width="9.42578125" customWidth="1"/>
    <col min="4097" max="4098" width="11" customWidth="1"/>
    <col min="4099" max="4099" width="55.85546875" customWidth="1"/>
    <col min="4101" max="4101" width="12" bestFit="1" customWidth="1"/>
    <col min="4102" max="4102" width="9.42578125" customWidth="1"/>
    <col min="4353" max="4354" width="11" customWidth="1"/>
    <col min="4355" max="4355" width="55.85546875" customWidth="1"/>
    <col min="4357" max="4357" width="12" bestFit="1" customWidth="1"/>
    <col min="4358" max="4358" width="9.42578125" customWidth="1"/>
    <col min="4609" max="4610" width="11" customWidth="1"/>
    <col min="4611" max="4611" width="55.85546875" customWidth="1"/>
    <col min="4613" max="4613" width="12" bestFit="1" customWidth="1"/>
    <col min="4614" max="4614" width="9.42578125" customWidth="1"/>
    <col min="4865" max="4866" width="11" customWidth="1"/>
    <col min="4867" max="4867" width="55.85546875" customWidth="1"/>
    <col min="4869" max="4869" width="12" bestFit="1" customWidth="1"/>
    <col min="4870" max="4870" width="9.42578125" customWidth="1"/>
    <col min="5121" max="5122" width="11" customWidth="1"/>
    <col min="5123" max="5123" width="55.85546875" customWidth="1"/>
    <col min="5125" max="5125" width="12" bestFit="1" customWidth="1"/>
    <col min="5126" max="5126" width="9.42578125" customWidth="1"/>
    <col min="5377" max="5378" width="11" customWidth="1"/>
    <col min="5379" max="5379" width="55.85546875" customWidth="1"/>
    <col min="5381" max="5381" width="12" bestFit="1" customWidth="1"/>
    <col min="5382" max="5382" width="9.42578125" customWidth="1"/>
    <col min="5633" max="5634" width="11" customWidth="1"/>
    <col min="5635" max="5635" width="55.85546875" customWidth="1"/>
    <col min="5637" max="5637" width="12" bestFit="1" customWidth="1"/>
    <col min="5638" max="5638" width="9.42578125" customWidth="1"/>
    <col min="5889" max="5890" width="11" customWidth="1"/>
    <col min="5891" max="5891" width="55.85546875" customWidth="1"/>
    <col min="5893" max="5893" width="12" bestFit="1" customWidth="1"/>
    <col min="5894" max="5894" width="9.42578125" customWidth="1"/>
    <col min="6145" max="6146" width="11" customWidth="1"/>
    <col min="6147" max="6147" width="55.85546875" customWidth="1"/>
    <col min="6149" max="6149" width="12" bestFit="1" customWidth="1"/>
    <col min="6150" max="6150" width="9.42578125" customWidth="1"/>
    <col min="6401" max="6402" width="11" customWidth="1"/>
    <col min="6403" max="6403" width="55.85546875" customWidth="1"/>
    <col min="6405" max="6405" width="12" bestFit="1" customWidth="1"/>
    <col min="6406" max="6406" width="9.42578125" customWidth="1"/>
    <col min="6657" max="6658" width="11" customWidth="1"/>
    <col min="6659" max="6659" width="55.85546875" customWidth="1"/>
    <col min="6661" max="6661" width="12" bestFit="1" customWidth="1"/>
    <col min="6662" max="6662" width="9.42578125" customWidth="1"/>
    <col min="6913" max="6914" width="11" customWidth="1"/>
    <col min="6915" max="6915" width="55.85546875" customWidth="1"/>
    <col min="6917" max="6917" width="12" bestFit="1" customWidth="1"/>
    <col min="6918" max="6918" width="9.42578125" customWidth="1"/>
    <col min="7169" max="7170" width="11" customWidth="1"/>
    <col min="7171" max="7171" width="55.85546875" customWidth="1"/>
    <col min="7173" max="7173" width="12" bestFit="1" customWidth="1"/>
    <col min="7174" max="7174" width="9.42578125" customWidth="1"/>
    <col min="7425" max="7426" width="11" customWidth="1"/>
    <col min="7427" max="7427" width="55.85546875" customWidth="1"/>
    <col min="7429" max="7429" width="12" bestFit="1" customWidth="1"/>
    <col min="7430" max="7430" width="9.42578125" customWidth="1"/>
    <col min="7681" max="7682" width="11" customWidth="1"/>
    <col min="7683" max="7683" width="55.85546875" customWidth="1"/>
    <col min="7685" max="7685" width="12" bestFit="1" customWidth="1"/>
    <col min="7686" max="7686" width="9.42578125" customWidth="1"/>
    <col min="7937" max="7938" width="11" customWidth="1"/>
    <col min="7939" max="7939" width="55.85546875" customWidth="1"/>
    <col min="7941" max="7941" width="12" bestFit="1" customWidth="1"/>
    <col min="7942" max="7942" width="9.42578125" customWidth="1"/>
    <col min="8193" max="8194" width="11" customWidth="1"/>
    <col min="8195" max="8195" width="55.85546875" customWidth="1"/>
    <col min="8197" max="8197" width="12" bestFit="1" customWidth="1"/>
    <col min="8198" max="8198" width="9.42578125" customWidth="1"/>
    <col min="8449" max="8450" width="11" customWidth="1"/>
    <col min="8451" max="8451" width="55.85546875" customWidth="1"/>
    <col min="8453" max="8453" width="12" bestFit="1" customWidth="1"/>
    <col min="8454" max="8454" width="9.42578125" customWidth="1"/>
    <col min="8705" max="8706" width="11" customWidth="1"/>
    <col min="8707" max="8707" width="55.85546875" customWidth="1"/>
    <col min="8709" max="8709" width="12" bestFit="1" customWidth="1"/>
    <col min="8710" max="8710" width="9.42578125" customWidth="1"/>
    <col min="8961" max="8962" width="11" customWidth="1"/>
    <col min="8963" max="8963" width="55.85546875" customWidth="1"/>
    <col min="8965" max="8965" width="12" bestFit="1" customWidth="1"/>
    <col min="8966" max="8966" width="9.42578125" customWidth="1"/>
    <col min="9217" max="9218" width="11" customWidth="1"/>
    <col min="9219" max="9219" width="55.85546875" customWidth="1"/>
    <col min="9221" max="9221" width="12" bestFit="1" customWidth="1"/>
    <col min="9222" max="9222" width="9.42578125" customWidth="1"/>
    <col min="9473" max="9474" width="11" customWidth="1"/>
    <col min="9475" max="9475" width="55.85546875" customWidth="1"/>
    <col min="9477" max="9477" width="12" bestFit="1" customWidth="1"/>
    <col min="9478" max="9478" width="9.42578125" customWidth="1"/>
    <col min="9729" max="9730" width="11" customWidth="1"/>
    <col min="9731" max="9731" width="55.85546875" customWidth="1"/>
    <col min="9733" max="9733" width="12" bestFit="1" customWidth="1"/>
    <col min="9734" max="9734" width="9.42578125" customWidth="1"/>
    <col min="9985" max="9986" width="11" customWidth="1"/>
    <col min="9987" max="9987" width="55.85546875" customWidth="1"/>
    <col min="9989" max="9989" width="12" bestFit="1" customWidth="1"/>
    <col min="9990" max="9990" width="9.42578125" customWidth="1"/>
    <col min="10241" max="10242" width="11" customWidth="1"/>
    <col min="10243" max="10243" width="55.85546875" customWidth="1"/>
    <col min="10245" max="10245" width="12" bestFit="1" customWidth="1"/>
    <col min="10246" max="10246" width="9.42578125" customWidth="1"/>
    <col min="10497" max="10498" width="11" customWidth="1"/>
    <col min="10499" max="10499" width="55.85546875" customWidth="1"/>
    <col min="10501" max="10501" width="12" bestFit="1" customWidth="1"/>
    <col min="10502" max="10502" width="9.42578125" customWidth="1"/>
    <col min="10753" max="10754" width="11" customWidth="1"/>
    <col min="10755" max="10755" width="55.85546875" customWidth="1"/>
    <col min="10757" max="10757" width="12" bestFit="1" customWidth="1"/>
    <col min="10758" max="10758" width="9.42578125" customWidth="1"/>
    <col min="11009" max="11010" width="11" customWidth="1"/>
    <col min="11011" max="11011" width="55.85546875" customWidth="1"/>
    <col min="11013" max="11013" width="12" bestFit="1" customWidth="1"/>
    <col min="11014" max="11014" width="9.42578125" customWidth="1"/>
    <col min="11265" max="11266" width="11" customWidth="1"/>
    <col min="11267" max="11267" width="55.85546875" customWidth="1"/>
    <col min="11269" max="11269" width="12" bestFit="1" customWidth="1"/>
    <col min="11270" max="11270" width="9.42578125" customWidth="1"/>
    <col min="11521" max="11522" width="11" customWidth="1"/>
    <col min="11523" max="11523" width="55.85546875" customWidth="1"/>
    <col min="11525" max="11525" width="12" bestFit="1" customWidth="1"/>
    <col min="11526" max="11526" width="9.42578125" customWidth="1"/>
    <col min="11777" max="11778" width="11" customWidth="1"/>
    <col min="11779" max="11779" width="55.85546875" customWidth="1"/>
    <col min="11781" max="11781" width="12" bestFit="1" customWidth="1"/>
    <col min="11782" max="11782" width="9.42578125" customWidth="1"/>
    <col min="12033" max="12034" width="11" customWidth="1"/>
    <col min="12035" max="12035" width="55.85546875" customWidth="1"/>
    <col min="12037" max="12037" width="12" bestFit="1" customWidth="1"/>
    <col min="12038" max="12038" width="9.42578125" customWidth="1"/>
    <col min="12289" max="12290" width="11" customWidth="1"/>
    <col min="12291" max="12291" width="55.85546875" customWidth="1"/>
    <col min="12293" max="12293" width="12" bestFit="1" customWidth="1"/>
    <col min="12294" max="12294" width="9.42578125" customWidth="1"/>
    <col min="12545" max="12546" width="11" customWidth="1"/>
    <col min="12547" max="12547" width="55.85546875" customWidth="1"/>
    <col min="12549" max="12549" width="12" bestFit="1" customWidth="1"/>
    <col min="12550" max="12550" width="9.42578125" customWidth="1"/>
    <col min="12801" max="12802" width="11" customWidth="1"/>
    <col min="12803" max="12803" width="55.85546875" customWidth="1"/>
    <col min="12805" max="12805" width="12" bestFit="1" customWidth="1"/>
    <col min="12806" max="12806" width="9.42578125" customWidth="1"/>
    <col min="13057" max="13058" width="11" customWidth="1"/>
    <col min="13059" max="13059" width="55.85546875" customWidth="1"/>
    <col min="13061" max="13061" width="12" bestFit="1" customWidth="1"/>
    <col min="13062" max="13062" width="9.42578125" customWidth="1"/>
    <col min="13313" max="13314" width="11" customWidth="1"/>
    <col min="13315" max="13315" width="55.85546875" customWidth="1"/>
    <col min="13317" max="13317" width="12" bestFit="1" customWidth="1"/>
    <col min="13318" max="13318" width="9.42578125" customWidth="1"/>
    <col min="13569" max="13570" width="11" customWidth="1"/>
    <col min="13571" max="13571" width="55.85546875" customWidth="1"/>
    <col min="13573" max="13573" width="12" bestFit="1" customWidth="1"/>
    <col min="13574" max="13574" width="9.42578125" customWidth="1"/>
    <col min="13825" max="13826" width="11" customWidth="1"/>
    <col min="13827" max="13827" width="55.85546875" customWidth="1"/>
    <col min="13829" max="13829" width="12" bestFit="1" customWidth="1"/>
    <col min="13830" max="13830" width="9.42578125" customWidth="1"/>
    <col min="14081" max="14082" width="11" customWidth="1"/>
    <col min="14083" max="14083" width="55.85546875" customWidth="1"/>
    <col min="14085" max="14085" width="12" bestFit="1" customWidth="1"/>
    <col min="14086" max="14086" width="9.42578125" customWidth="1"/>
    <col min="14337" max="14338" width="11" customWidth="1"/>
    <col min="14339" max="14339" width="55.85546875" customWidth="1"/>
    <col min="14341" max="14341" width="12" bestFit="1" customWidth="1"/>
    <col min="14342" max="14342" width="9.42578125" customWidth="1"/>
    <col min="14593" max="14594" width="11" customWidth="1"/>
    <col min="14595" max="14595" width="55.85546875" customWidth="1"/>
    <col min="14597" max="14597" width="12" bestFit="1" customWidth="1"/>
    <col min="14598" max="14598" width="9.42578125" customWidth="1"/>
    <col min="14849" max="14850" width="11" customWidth="1"/>
    <col min="14851" max="14851" width="55.85546875" customWidth="1"/>
    <col min="14853" max="14853" width="12" bestFit="1" customWidth="1"/>
    <col min="14854" max="14854" width="9.42578125" customWidth="1"/>
    <col min="15105" max="15106" width="11" customWidth="1"/>
    <col min="15107" max="15107" width="55.85546875" customWidth="1"/>
    <col min="15109" max="15109" width="12" bestFit="1" customWidth="1"/>
    <col min="15110" max="15110" width="9.42578125" customWidth="1"/>
    <col min="15361" max="15362" width="11" customWidth="1"/>
    <col min="15363" max="15363" width="55.85546875" customWidth="1"/>
    <col min="15365" max="15365" width="12" bestFit="1" customWidth="1"/>
    <col min="15366" max="15366" width="9.42578125" customWidth="1"/>
    <col min="15617" max="15618" width="11" customWidth="1"/>
    <col min="15619" max="15619" width="55.85546875" customWidth="1"/>
    <col min="15621" max="15621" width="12" bestFit="1" customWidth="1"/>
    <col min="15622" max="15622" width="9.42578125" customWidth="1"/>
    <col min="15873" max="15874" width="11" customWidth="1"/>
    <col min="15875" max="15875" width="55.85546875" customWidth="1"/>
    <col min="15877" max="15877" width="12" bestFit="1" customWidth="1"/>
    <col min="15878" max="15878" width="9.42578125" customWidth="1"/>
    <col min="16129" max="16130" width="11" customWidth="1"/>
    <col min="16131" max="16131" width="55.85546875" customWidth="1"/>
    <col min="16133" max="16133" width="12" bestFit="1" customWidth="1"/>
    <col min="16134" max="16134" width="9.42578125" customWidth="1"/>
  </cols>
  <sheetData>
    <row r="1" spans="1:14" ht="15.75" x14ac:dyDescent="0.25">
      <c r="A1" s="5" t="s">
        <v>31</v>
      </c>
    </row>
    <row r="2" spans="1:14" ht="15.75" thickBot="1" x14ac:dyDescent="0.3"/>
    <row r="3" spans="1:14" ht="16.5" thickTop="1" thickBot="1" x14ac:dyDescent="0.3">
      <c r="B3" s="7">
        <v>0</v>
      </c>
      <c r="C3" s="8" t="s">
        <v>14</v>
      </c>
    </row>
    <row r="4" spans="1:14" ht="16.5" thickTop="1" thickBot="1" x14ac:dyDescent="0.3">
      <c r="B4" s="7">
        <v>39</v>
      </c>
      <c r="C4" s="81" t="s">
        <v>327</v>
      </c>
    </row>
    <row r="5" spans="1:14" ht="15.75" thickTop="1" x14ac:dyDescent="0.25"/>
    <row r="6" spans="1:14" x14ac:dyDescent="0.25">
      <c r="A6" s="9" t="s">
        <v>15</v>
      </c>
      <c r="B6" s="9" t="s">
        <v>16</v>
      </c>
      <c r="C6" s="9" t="s">
        <v>17</v>
      </c>
      <c r="D6" s="9" t="s">
        <v>18</v>
      </c>
      <c r="I6" s="53" t="s">
        <v>181</v>
      </c>
      <c r="J6" s="53" t="s">
        <v>119</v>
      </c>
    </row>
    <row r="7" spans="1:14" ht="18" x14ac:dyDescent="0.25">
      <c r="A7" s="56" t="s">
        <v>166</v>
      </c>
    </row>
    <row r="8" spans="1:14" x14ac:dyDescent="0.25">
      <c r="A8" s="10" t="s">
        <v>19</v>
      </c>
    </row>
    <row r="9" spans="1:14" x14ac:dyDescent="0.25">
      <c r="A9" s="11" t="s">
        <v>20</v>
      </c>
    </row>
    <row r="10" spans="1:14" x14ac:dyDescent="0.25">
      <c r="C10" s="6">
        <f ca="1">_xlfn.BINOM.DIST(2,10,RAND(),TRUE)</f>
        <v>0.40673957602377081</v>
      </c>
      <c r="E10" t="s">
        <v>120</v>
      </c>
    </row>
    <row r="11" spans="1:14" x14ac:dyDescent="0.25">
      <c r="A11" s="12" t="s">
        <v>65</v>
      </c>
      <c r="D11" s="13" t="s">
        <v>21</v>
      </c>
      <c r="E11" s="60" t="s">
        <v>22</v>
      </c>
      <c r="F11" s="13" t="s">
        <v>23</v>
      </c>
      <c r="G11" s="13" t="s">
        <v>24</v>
      </c>
      <c r="H11" s="13" t="s">
        <v>25</v>
      </c>
      <c r="J11" s="54"/>
    </row>
    <row r="12" spans="1:14" s="6" customFormat="1" ht="12.75" x14ac:dyDescent="0.2">
      <c r="A12" s="10" t="s">
        <v>40</v>
      </c>
      <c r="B12" s="14">
        <f ca="1">IF(prob=1,BETAINV(RAND(),F12,G12),IF(prob=0,D12,"error"))</f>
        <v>0.34164588528678302</v>
      </c>
      <c r="C12" s="10" t="s">
        <v>66</v>
      </c>
      <c r="D12" s="55">
        <f>F12/H12</f>
        <v>0.34164588528678302</v>
      </c>
      <c r="E12" s="16" t="s">
        <v>122</v>
      </c>
      <c r="F12" s="16">
        <v>137</v>
      </c>
      <c r="G12" s="16">
        <f>H12-F12</f>
        <v>264</v>
      </c>
      <c r="H12" s="16">
        <f>68+69+186+78</f>
        <v>401</v>
      </c>
      <c r="I12" s="15" t="s">
        <v>182</v>
      </c>
      <c r="J12" s="15" t="s">
        <v>121</v>
      </c>
      <c r="K12" s="15"/>
    </row>
    <row r="13" spans="1:14" s="6" customFormat="1" x14ac:dyDescent="0.25">
      <c r="A13" s="10" t="s">
        <v>73</v>
      </c>
      <c r="B13" s="14">
        <f ca="1">IF(L13&gt;1,1,L13)</f>
        <v>0.89</v>
      </c>
      <c r="C13" s="10" t="s">
        <v>68</v>
      </c>
      <c r="D13" s="15">
        <v>0.89</v>
      </c>
      <c r="E13" s="91">
        <f>SQRT(D13*(1-D13))</f>
        <v>0.31288975694324028</v>
      </c>
      <c r="F13" s="16"/>
      <c r="G13" s="16"/>
      <c r="H13" s="16"/>
      <c r="I13" s="15" t="s">
        <v>206</v>
      </c>
      <c r="J13" s="15" t="s">
        <v>122</v>
      </c>
      <c r="K13" s="15"/>
      <c r="L13">
        <f ca="1">IF(prob=1,_xlfn.NORM.INV(RAND(),D13,E13),IF(prob=0,D13,"error"))</f>
        <v>0.89</v>
      </c>
    </row>
    <row r="14" spans="1:14" s="6" customFormat="1" x14ac:dyDescent="0.25">
      <c r="A14" s="10" t="s">
        <v>72</v>
      </c>
      <c r="B14" s="14">
        <f ca="1">IF(L14&gt;1,1,L14)</f>
        <v>1</v>
      </c>
      <c r="C14" s="10" t="s">
        <v>69</v>
      </c>
      <c r="D14" s="15">
        <v>1</v>
      </c>
      <c r="E14" s="91">
        <f>E13</f>
        <v>0.31288975694324028</v>
      </c>
      <c r="F14" s="16"/>
      <c r="G14" s="16"/>
      <c r="H14" s="16"/>
      <c r="I14" s="15" t="s">
        <v>355</v>
      </c>
      <c r="J14" s="15" t="s">
        <v>122</v>
      </c>
      <c r="K14" s="15"/>
      <c r="L14">
        <f ca="1">IF(prob=1,_xlfn.NORM.INV(RAND(),D14,E14),IF(prob=0,D14,"error"))</f>
        <v>1</v>
      </c>
    </row>
    <row r="15" spans="1:14" s="6" customFormat="1" x14ac:dyDescent="0.25">
      <c r="A15" s="10" t="s">
        <v>74</v>
      </c>
      <c r="B15" s="14">
        <f ca="1">IF(L15&gt;1,1,L15)</f>
        <v>0.98499999999999999</v>
      </c>
      <c r="C15" s="10" t="s">
        <v>83</v>
      </c>
      <c r="D15" s="15">
        <v>0.98499999999999999</v>
      </c>
      <c r="E15" s="91">
        <f>(0.997-0.943)/3.92</f>
        <v>1.3775510204081645E-2</v>
      </c>
      <c r="F15" s="16"/>
      <c r="G15" s="16"/>
      <c r="H15" s="16"/>
      <c r="I15" s="15" t="s">
        <v>206</v>
      </c>
      <c r="J15" s="15" t="s">
        <v>123</v>
      </c>
      <c r="K15" s="15" t="s">
        <v>128</v>
      </c>
      <c r="L15">
        <f ca="1">IF(prob=1,_xlfn.NORM.INV(RAND(),D15,E15),IF(prob=0,D15,"error"))</f>
        <v>0.98499999999999999</v>
      </c>
      <c r="N15"/>
    </row>
    <row r="16" spans="1:14" s="6" customFormat="1" x14ac:dyDescent="0.25">
      <c r="A16" s="10" t="s">
        <v>75</v>
      </c>
      <c r="B16" s="14">
        <f ca="1">IF(L16&gt;1,1,L16)</f>
        <v>0.61</v>
      </c>
      <c r="C16" s="10" t="s">
        <v>84</v>
      </c>
      <c r="D16" s="15">
        <v>0.61</v>
      </c>
      <c r="E16" s="91">
        <f>(0.671-0.547)/3.92</f>
        <v>3.1632653061224487E-2</v>
      </c>
      <c r="F16" s="16"/>
      <c r="G16" s="16"/>
      <c r="H16" s="16"/>
      <c r="I16" s="15" t="s">
        <v>206</v>
      </c>
      <c r="J16" s="15" t="s">
        <v>123</v>
      </c>
      <c r="K16" s="6" t="s">
        <v>129</v>
      </c>
      <c r="L16">
        <f ca="1">IF(prob=1,_xlfn.NORM.INV(RAND(),D16,E16),IF(prob=0,D16,"error"))</f>
        <v>0.61</v>
      </c>
      <c r="N16"/>
    </row>
    <row r="17" spans="1:14" s="6" customFormat="1" x14ac:dyDescent="0.25">
      <c r="C17" s="6">
        <f ca="1">IF(hPPI&gt;1,1,hPPI)</f>
        <v>0.98499999999999999</v>
      </c>
      <c r="F17" s="17"/>
      <c r="G17" s="17"/>
      <c r="N17"/>
    </row>
    <row r="18" spans="1:14" s="6" customFormat="1" x14ac:dyDescent="0.25">
      <c r="A18" s="12" t="s">
        <v>82</v>
      </c>
      <c r="N18"/>
    </row>
    <row r="19" spans="1:14" x14ac:dyDescent="0.25">
      <c r="A19" s="11" t="s">
        <v>39</v>
      </c>
      <c r="B19" s="18">
        <f ca="1">1-hPA</f>
        <v>0.65835411471321703</v>
      </c>
      <c r="C19" s="11" t="s">
        <v>67</v>
      </c>
      <c r="D19" s="23">
        <f>1-D12</f>
        <v>0.65835411471321703</v>
      </c>
      <c r="E19" s="55"/>
      <c r="F19" s="16"/>
      <c r="G19" s="16"/>
      <c r="H19" s="16"/>
      <c r="L19" s="6"/>
      <c r="M19" s="6"/>
    </row>
    <row r="20" spans="1:14" x14ac:dyDescent="0.25">
      <c r="A20" s="11" t="s">
        <v>76</v>
      </c>
      <c r="B20" s="18">
        <f ca="1">1-hH2_</f>
        <v>0.10999999999999999</v>
      </c>
      <c r="C20" s="11" t="s">
        <v>70</v>
      </c>
      <c r="D20" s="23">
        <f>1-D13</f>
        <v>0.10999999999999999</v>
      </c>
      <c r="E20" s="55"/>
      <c r="F20" s="16"/>
      <c r="G20" s="16"/>
      <c r="H20" s="16"/>
      <c r="M20" s="6"/>
    </row>
    <row r="21" spans="1:14" x14ac:dyDescent="0.25">
      <c r="A21" s="11" t="s">
        <v>77</v>
      </c>
      <c r="B21" s="18">
        <f ca="1">1-hDDH2</f>
        <v>0</v>
      </c>
      <c r="C21" s="11" t="s">
        <v>71</v>
      </c>
      <c r="D21" s="23">
        <f>1-D14</f>
        <v>0</v>
      </c>
      <c r="E21" s="55"/>
      <c r="F21" s="16"/>
      <c r="G21" s="16"/>
      <c r="H21" s="16"/>
    </row>
    <row r="22" spans="1:14" x14ac:dyDescent="0.25">
      <c r="A22" s="11" t="s">
        <v>78</v>
      </c>
      <c r="B22" s="18">
        <f ca="1">1-hPPI</f>
        <v>1.5000000000000013E-2</v>
      </c>
      <c r="C22" s="11" t="s">
        <v>80</v>
      </c>
      <c r="D22" s="23">
        <f>1-D15</f>
        <v>1.5000000000000013E-2</v>
      </c>
      <c r="E22" s="55"/>
      <c r="F22" s="16"/>
      <c r="G22" s="16"/>
      <c r="H22" s="16"/>
    </row>
    <row r="23" spans="1:14" x14ac:dyDescent="0.25">
      <c r="A23" s="11" t="s">
        <v>79</v>
      </c>
      <c r="B23" s="18">
        <f ca="1">1-hDDPPI</f>
        <v>0.39</v>
      </c>
      <c r="C23" s="11" t="s">
        <v>81</v>
      </c>
      <c r="D23" s="23">
        <f>1-D16</f>
        <v>0.39</v>
      </c>
      <c r="E23" s="55"/>
      <c r="F23" s="16"/>
      <c r="G23" s="16"/>
      <c r="H23" s="16"/>
    </row>
    <row r="24" spans="1:14" x14ac:dyDescent="0.25">
      <c r="F24" s="19"/>
    </row>
    <row r="25" spans="1:14" x14ac:dyDescent="0.25">
      <c r="A25" s="12" t="s">
        <v>203</v>
      </c>
      <c r="F25" s="19"/>
      <c r="K25" t="s">
        <v>125</v>
      </c>
      <c r="L25" t="s">
        <v>126</v>
      </c>
      <c r="M25" t="s">
        <v>127</v>
      </c>
    </row>
    <row r="26" spans="1:14" x14ac:dyDescent="0.25">
      <c r="A26" s="6" t="s">
        <v>115</v>
      </c>
      <c r="B26" s="14">
        <f ca="1">IF(prob=1,BETAINV(RAND(),F26,G26),IF(prob=0,D26,"error"))</f>
        <v>1.6999001832688432E-2</v>
      </c>
      <c r="C26" s="6" t="s">
        <v>209</v>
      </c>
      <c r="D26" s="23">
        <f>M26</f>
        <v>1.6999001832688432E-2</v>
      </c>
      <c r="E26" s="16" t="s">
        <v>122</v>
      </c>
      <c r="F26" s="16">
        <f>H26*D26</f>
        <v>0.86694909346711002</v>
      </c>
      <c r="G26" s="16">
        <f>H26-F26</f>
        <v>50.133050906532887</v>
      </c>
      <c r="H26" s="16">
        <v>51</v>
      </c>
      <c r="I26" t="s">
        <v>182</v>
      </c>
      <c r="J26" t="s">
        <v>124</v>
      </c>
      <c r="K26">
        <f>2/51</f>
        <v>3.9215686274509803E-2</v>
      </c>
      <c r="L26">
        <f>-LN(1-K26)/7</f>
        <v>5.7150478019570182E-3</v>
      </c>
      <c r="M26">
        <f>1-EXP(-L26*3)</f>
        <v>1.6999001832688432E-2</v>
      </c>
    </row>
    <row r="27" spans="1:14" x14ac:dyDescent="0.25">
      <c r="A27" s="6" t="s">
        <v>116</v>
      </c>
      <c r="B27" s="14">
        <f ca="1">1-pDeath</f>
        <v>0.98300099816731157</v>
      </c>
      <c r="C27" s="6" t="s">
        <v>210</v>
      </c>
      <c r="D27" s="23">
        <f>1-D26</f>
        <v>0.98300099816731157</v>
      </c>
      <c r="E27" s="16" t="s">
        <v>122</v>
      </c>
      <c r="F27" s="16"/>
      <c r="G27" s="16"/>
      <c r="H27" s="16"/>
      <c r="I27" s="107" t="s">
        <v>122</v>
      </c>
    </row>
    <row r="28" spans="1:14" x14ac:dyDescent="0.25">
      <c r="A28" s="6" t="s">
        <v>205</v>
      </c>
      <c r="B28" s="14">
        <f ca="1">IF(L28&gt;1,1,L28)</f>
        <v>0.95</v>
      </c>
      <c r="C28" s="6" t="s">
        <v>204</v>
      </c>
      <c r="D28" s="23">
        <v>0.95</v>
      </c>
      <c r="E28" s="91">
        <f>(0.95-0.85)/3.92</f>
        <v>2.5510204081632647E-2</v>
      </c>
      <c r="F28" s="16"/>
      <c r="G28" s="16"/>
      <c r="H28" s="16"/>
      <c r="I28" t="s">
        <v>206</v>
      </c>
      <c r="J28" t="s">
        <v>124</v>
      </c>
      <c r="L28" s="107">
        <f ca="1">IF(prob=1,_xlfn.NORM.INV(RAND(),D28,E28),IF(prob=0,D28,"error"))</f>
        <v>0.95</v>
      </c>
    </row>
    <row r="29" spans="1:14" x14ac:dyDescent="0.25">
      <c r="A29" s="6" t="s">
        <v>207</v>
      </c>
      <c r="B29" s="14">
        <f ca="1">1-B28</f>
        <v>5.0000000000000044E-2</v>
      </c>
      <c r="C29" s="6" t="s">
        <v>208</v>
      </c>
      <c r="D29" s="23">
        <f>1-D28</f>
        <v>5.0000000000000044E-2</v>
      </c>
      <c r="E29" s="16" t="s">
        <v>122</v>
      </c>
      <c r="F29" s="16"/>
      <c r="G29" s="16"/>
      <c r="H29" s="16"/>
      <c r="I29" s="107" t="s">
        <v>122</v>
      </c>
      <c r="K29" t="s">
        <v>353</v>
      </c>
      <c r="L29" t="s">
        <v>126</v>
      </c>
      <c r="M29" t="s">
        <v>127</v>
      </c>
    </row>
    <row r="30" spans="1:14" x14ac:dyDescent="0.25">
      <c r="A30" s="6" t="s">
        <v>328</v>
      </c>
      <c r="B30" s="14">
        <f ca="1">IF(prob=1,BETAINV(RAND(),F30,G30),IF(prob=0,D30,"error"))</f>
        <v>7.0000000000000007E-2</v>
      </c>
      <c r="C30" s="6" t="s">
        <v>349</v>
      </c>
      <c r="D30" s="23">
        <v>7.0000000000000007E-2</v>
      </c>
      <c r="E30" s="16" t="s">
        <v>122</v>
      </c>
      <c r="F30" s="16">
        <f>H30*D30</f>
        <v>4.1300000000000008</v>
      </c>
      <c r="G30" s="16">
        <f>H30-F30</f>
        <v>54.87</v>
      </c>
      <c r="H30" s="16">
        <v>59</v>
      </c>
      <c r="I30" t="s">
        <v>354</v>
      </c>
      <c r="J30" t="s">
        <v>351</v>
      </c>
      <c r="K30">
        <f>25/59</f>
        <v>0.42372881355932202</v>
      </c>
      <c r="L30">
        <f>-LN(1-K30)/90</f>
        <v>6.1241879921062007E-3</v>
      </c>
      <c r="M30">
        <f>1-EXP(-L30*3)</f>
        <v>1.8204817305865317E-2</v>
      </c>
    </row>
    <row r="31" spans="1:14" x14ac:dyDescent="0.25">
      <c r="A31" s="6" t="s">
        <v>329</v>
      </c>
      <c r="B31" s="14">
        <f ca="1">1-pDeathNoTTP</f>
        <v>0.92999999999999994</v>
      </c>
      <c r="C31" s="6" t="s">
        <v>350</v>
      </c>
      <c r="D31" s="23">
        <f>1-D30</f>
        <v>0.92999999999999994</v>
      </c>
      <c r="E31" s="16" t="s">
        <v>122</v>
      </c>
      <c r="F31" s="16"/>
      <c r="G31" s="16"/>
      <c r="H31" s="16"/>
      <c r="I31" s="107" t="s">
        <v>122</v>
      </c>
    </row>
    <row r="32" spans="1:14" s="107" customFormat="1" x14ac:dyDescent="0.25">
      <c r="A32" s="6" t="s">
        <v>328</v>
      </c>
      <c r="B32" s="14">
        <f ca="1">IF(prob=1,BETAINV(RAND(),F32,G32),IF(prob=0,D32,"error"))</f>
        <v>3.5000000000000003E-2</v>
      </c>
      <c r="C32" s="6" t="s">
        <v>397</v>
      </c>
      <c r="D32" s="23">
        <v>3.5000000000000003E-2</v>
      </c>
      <c r="E32" s="16"/>
      <c r="F32" s="16">
        <f>D32*H32</f>
        <v>2.0650000000000004</v>
      </c>
      <c r="G32" s="16">
        <f>H32-F32</f>
        <v>56.935000000000002</v>
      </c>
      <c r="H32" s="16">
        <v>59</v>
      </c>
      <c r="I32" s="107" t="s">
        <v>354</v>
      </c>
      <c r="J32" s="107" t="s">
        <v>351</v>
      </c>
    </row>
    <row r="33" spans="1:15" s="107" customFormat="1" x14ac:dyDescent="0.25">
      <c r="A33" s="6" t="s">
        <v>329</v>
      </c>
      <c r="B33" s="14">
        <f ca="1">1-B32</f>
        <v>0.96499999999999997</v>
      </c>
      <c r="C33" s="6" t="s">
        <v>398</v>
      </c>
      <c r="D33" s="23">
        <f>1-D32</f>
        <v>0.96499999999999997</v>
      </c>
      <c r="E33" s="16"/>
      <c r="F33" s="16"/>
      <c r="G33" s="16"/>
      <c r="H33" s="16"/>
    </row>
    <row r="34" spans="1:15" x14ac:dyDescent="0.25">
      <c r="A34" s="6" t="s">
        <v>347</v>
      </c>
      <c r="B34" s="14">
        <f>VLOOKUP(age,lifetable,10,1)</f>
        <v>1.3448851403419226E-5</v>
      </c>
      <c r="C34" s="6" t="s">
        <v>345</v>
      </c>
      <c r="D34" s="23">
        <f>VLOOKUP(age,lifetable,10,1)</f>
        <v>1.3448851403419226E-5</v>
      </c>
      <c r="E34" s="16" t="s">
        <v>122</v>
      </c>
      <c r="F34" s="16"/>
      <c r="G34" s="16"/>
      <c r="H34" s="16"/>
      <c r="I34" t="s">
        <v>122</v>
      </c>
    </row>
    <row r="35" spans="1:15" x14ac:dyDescent="0.25">
      <c r="A35" s="6" t="s">
        <v>348</v>
      </c>
      <c r="B35" s="14">
        <f>1-B34</f>
        <v>0.99998655114859658</v>
      </c>
      <c r="C35" s="6" t="s">
        <v>346</v>
      </c>
      <c r="D35" s="23">
        <f>1-D34</f>
        <v>0.99998655114859658</v>
      </c>
      <c r="E35" s="16" t="s">
        <v>122</v>
      </c>
      <c r="F35" s="16"/>
      <c r="G35" s="16"/>
      <c r="H35" s="16"/>
      <c r="I35" t="s">
        <v>122</v>
      </c>
    </row>
    <row r="36" spans="1:15" x14ac:dyDescent="0.25">
      <c r="B36" s="14"/>
      <c r="D36" s="23"/>
      <c r="E36" s="55"/>
      <c r="F36" s="16"/>
      <c r="G36" s="16"/>
      <c r="H36" s="16"/>
    </row>
    <row r="37" spans="1:15" x14ac:dyDescent="0.25">
      <c r="A37" s="12" t="s">
        <v>133</v>
      </c>
      <c r="B37" s="14"/>
      <c r="D37" s="23"/>
      <c r="E37" s="55"/>
      <c r="F37" s="16"/>
      <c r="G37" s="16"/>
      <c r="H37" s="16"/>
      <c r="K37" t="s">
        <v>164</v>
      </c>
      <c r="L37" t="s">
        <v>126</v>
      </c>
      <c r="M37" t="s">
        <v>127</v>
      </c>
      <c r="O37">
        <f>15*365</f>
        <v>5475</v>
      </c>
    </row>
    <row r="38" spans="1:15" x14ac:dyDescent="0.25">
      <c r="A38" s="6" t="s">
        <v>176</v>
      </c>
      <c r="B38" s="14">
        <f ca="1">IF(prob=1,IFERROR(BETAINV(RAND(),F38,G38),D38),IF(prob=0,D38,"error"))</f>
        <v>1.2850142660947306E-5</v>
      </c>
      <c r="C38" t="s">
        <v>132</v>
      </c>
      <c r="D38">
        <f>M38</f>
        <v>1.2850142660947306E-5</v>
      </c>
      <c r="E38" s="16" t="s">
        <v>122</v>
      </c>
      <c r="F38" s="16">
        <f>H38*D38</f>
        <v>3.8807430836060863E-3</v>
      </c>
      <c r="G38" s="16">
        <f>H38-F38</f>
        <v>301.99611925691642</v>
      </c>
      <c r="H38" s="16">
        <v>302</v>
      </c>
      <c r="I38" t="s">
        <v>182</v>
      </c>
      <c r="J38" t="s">
        <v>357</v>
      </c>
      <c r="K38">
        <f>7/302</f>
        <v>2.3178807947019868E-2</v>
      </c>
      <c r="L38">
        <f>-LN(1-K38)/$O$37</f>
        <v>4.2834084082282774E-6</v>
      </c>
      <c r="M38">
        <f>1-EXP(-L38*3)</f>
        <v>1.2850142660947306E-5</v>
      </c>
    </row>
    <row r="39" spans="1:15" x14ac:dyDescent="0.25">
      <c r="A39" s="6" t="s">
        <v>177</v>
      </c>
      <c r="B39" s="14">
        <f ca="1">IF(prob=1,IFERROR(BETAINV(RAND(),F39,G39),D39),IF(prob=0,D39,"error"))</f>
        <v>3.640838697416271E-6</v>
      </c>
      <c r="C39" t="s">
        <v>134</v>
      </c>
      <c r="D39">
        <f>M39</f>
        <v>3.640838697416271E-6</v>
      </c>
      <c r="E39" s="16" t="s">
        <v>122</v>
      </c>
      <c r="F39" s="16">
        <f>H39*D39</f>
        <v>1.0995332866197138E-3</v>
      </c>
      <c r="G39" s="16">
        <f>H39-F39</f>
        <v>301.99890046671339</v>
      </c>
      <c r="H39" s="16">
        <v>302</v>
      </c>
      <c r="I39" t="s">
        <v>182</v>
      </c>
      <c r="J39" t="s">
        <v>357</v>
      </c>
      <c r="K39">
        <f>2/302</f>
        <v>6.6225165562913907E-3</v>
      </c>
      <c r="L39">
        <f>-LN(1-K39)/$O$37</f>
        <v>1.2136151084326234E-6</v>
      </c>
      <c r="M39">
        <f>1-EXP(-L39*3)</f>
        <v>3.640838697416271E-6</v>
      </c>
    </row>
    <row r="40" spans="1:15" x14ac:dyDescent="0.25">
      <c r="A40" s="6" t="s">
        <v>178</v>
      </c>
      <c r="B40" s="14">
        <f ca="1">IF(prob=1,IFERROR(BETAINV(RAND(),F40,G40),D40),IF(prob=0,D40,"error"))</f>
        <v>3.1746256135112283E-5</v>
      </c>
      <c r="C40" t="s">
        <v>135</v>
      </c>
      <c r="D40">
        <f>M40</f>
        <v>3.1746256135112283E-5</v>
      </c>
      <c r="E40" s="16" t="s">
        <v>122</v>
      </c>
      <c r="F40" s="16">
        <f>H40*D40</f>
        <v>9.5873693528039095E-3</v>
      </c>
      <c r="G40" s="16">
        <f>H40-F40</f>
        <v>301.9904126306472</v>
      </c>
      <c r="H40" s="16">
        <v>302</v>
      </c>
      <c r="I40" t="s">
        <v>182</v>
      </c>
      <c r="J40" t="s">
        <v>357</v>
      </c>
      <c r="K40">
        <f>17/302</f>
        <v>5.6291390728476824E-2</v>
      </c>
      <c r="L40">
        <f>-LN(1-K40)/$O$37</f>
        <v>1.0582253352734076E-5</v>
      </c>
      <c r="M40">
        <f>1-EXP(-L40*3)</f>
        <v>3.1746256135112283E-5</v>
      </c>
    </row>
    <row r="41" spans="1:15" x14ac:dyDescent="0.25">
      <c r="A41" s="6" t="s">
        <v>179</v>
      </c>
      <c r="B41" s="14">
        <f ca="1">IF(prob=1,IFERROR(BETAINV(RAND(),F41,G41),D41),IF(prob=0,D41,"error"))</f>
        <v>9.1478368279274136E-6</v>
      </c>
      <c r="C41" t="s">
        <v>136</v>
      </c>
      <c r="D41">
        <f>M41</f>
        <v>9.1478368279274136E-6</v>
      </c>
      <c r="E41" s="55">
        <f>(0.997-0.943)/3.92</f>
        <v>1.3775510204081645E-2</v>
      </c>
      <c r="F41" s="16">
        <f>H41*D41</f>
        <v>2.7626467220340789E-3</v>
      </c>
      <c r="G41" s="16">
        <f>H41-F41</f>
        <v>301.99723735327797</v>
      </c>
      <c r="H41" s="16">
        <v>302</v>
      </c>
      <c r="I41" t="s">
        <v>182</v>
      </c>
      <c r="J41" t="s">
        <v>357</v>
      </c>
      <c r="K41">
        <f>5/302</f>
        <v>1.6556291390728478E-2</v>
      </c>
      <c r="L41">
        <f>-LN(1-K41)/$O$37</f>
        <v>3.0492928898940624E-6</v>
      </c>
      <c r="M41">
        <f>1-EXP(-L41*3)</f>
        <v>9.1478368279274136E-6</v>
      </c>
    </row>
    <row r="42" spans="1:15" x14ac:dyDescent="0.25">
      <c r="A42" s="6" t="s">
        <v>180</v>
      </c>
      <c r="B42" s="14">
        <f ca="1">IF(prob=1,BETAINV(RAND(),F42,G42),IF(prob=0,D42,"error"))</f>
        <v>1.0573365413746316E-4</v>
      </c>
      <c r="C42" t="s">
        <v>137</v>
      </c>
      <c r="D42">
        <f>M42</f>
        <v>1.0573365413746316E-4</v>
      </c>
      <c r="E42" s="55">
        <f>(0.671-0.547)/3.92</f>
        <v>3.1632653061224487E-2</v>
      </c>
      <c r="F42" s="16">
        <f>H42*D42</f>
        <v>3.1931563549513875E-2</v>
      </c>
      <c r="G42" s="16">
        <f>H42-F42</f>
        <v>301.96806843645049</v>
      </c>
      <c r="H42" s="16">
        <v>302</v>
      </c>
      <c r="I42" t="s">
        <v>182</v>
      </c>
      <c r="J42" t="s">
        <v>357</v>
      </c>
      <c r="K42">
        <f>53/302</f>
        <v>0.17549668874172186</v>
      </c>
      <c r="L42">
        <f>-LN(1-K42)/$O$37</f>
        <v>3.5246414778111787E-5</v>
      </c>
      <c r="M42">
        <f>1-EXP(-L42*3)</f>
        <v>1.0573365413746316E-4</v>
      </c>
    </row>
    <row r="43" spans="1:15" x14ac:dyDescent="0.25">
      <c r="B43" s="14"/>
      <c r="C43"/>
      <c r="E43" s="55"/>
      <c r="F43" s="16"/>
      <c r="G43" s="16"/>
      <c r="H43" s="16"/>
    </row>
    <row r="44" spans="1:15" ht="18" x14ac:dyDescent="0.25">
      <c r="A44" s="56" t="s">
        <v>165</v>
      </c>
    </row>
    <row r="45" spans="1:15" x14ac:dyDescent="0.25">
      <c r="A45" s="12" t="s">
        <v>27</v>
      </c>
    </row>
    <row r="46" spans="1:15" x14ac:dyDescent="0.25">
      <c r="A46" s="12"/>
    </row>
    <row r="47" spans="1:15" x14ac:dyDescent="0.25">
      <c r="A47" s="10"/>
      <c r="B47" s="20"/>
      <c r="C47" s="10"/>
      <c r="D47" s="21" t="s">
        <v>21</v>
      </c>
      <c r="E47" s="13" t="s">
        <v>98</v>
      </c>
      <c r="F47" s="13" t="s">
        <v>23</v>
      </c>
      <c r="G47" s="13" t="s">
        <v>26</v>
      </c>
      <c r="H47" s="13"/>
    </row>
    <row r="48" spans="1:15" x14ac:dyDescent="0.25">
      <c r="A48" s="87" t="s">
        <v>32</v>
      </c>
      <c r="B48" s="86">
        <f t="shared" ref="B48:B55" ca="1" si="0">IF(prob=1,_xlfn.GAMMA.INV(RAND(),F48,G48),IF(prob=0,D48,"error"))</f>
        <v>350</v>
      </c>
      <c r="C48" s="87" t="s">
        <v>35</v>
      </c>
      <c r="D48" s="88">
        <v>350</v>
      </c>
      <c r="E48" s="49">
        <f>D48*0.15</f>
        <v>52.5</v>
      </c>
      <c r="F48" s="58">
        <f>(D48/E48)^2</f>
        <v>44.44444444444445</v>
      </c>
      <c r="G48" s="59">
        <f>(E48^2)/D48</f>
        <v>7.875</v>
      </c>
      <c r="I48" t="s">
        <v>356</v>
      </c>
    </row>
    <row r="49" spans="1:9" x14ac:dyDescent="0.25">
      <c r="A49" s="87" t="s">
        <v>33</v>
      </c>
      <c r="B49" s="86">
        <f t="shared" ca="1" si="0"/>
        <v>461</v>
      </c>
      <c r="C49" s="87" t="s">
        <v>36</v>
      </c>
      <c r="D49" s="86">
        <v>461</v>
      </c>
      <c r="E49" s="49">
        <f t="shared" ref="E49:E56" si="1">D49*0.15</f>
        <v>69.149999999999991</v>
      </c>
      <c r="F49" s="58">
        <f t="shared" ref="F49:F56" si="2">(D49/E49)^2</f>
        <v>44.444444444444457</v>
      </c>
      <c r="G49" s="59">
        <f t="shared" ref="G49:G56" si="3">(E49^2)/D49</f>
        <v>10.372499999999997</v>
      </c>
      <c r="I49" t="s">
        <v>356</v>
      </c>
    </row>
    <row r="50" spans="1:9" x14ac:dyDescent="0.25">
      <c r="A50" s="87" t="s">
        <v>34</v>
      </c>
      <c r="B50" s="86">
        <f t="shared" ca="1" si="0"/>
        <v>4503.0087469091213</v>
      </c>
      <c r="C50" s="87" t="s">
        <v>87</v>
      </c>
      <c r="D50" s="89">
        <f>SUM(D51:D52,D55)</f>
        <v>4503.0087469091213</v>
      </c>
      <c r="E50" s="49">
        <f t="shared" si="1"/>
        <v>675.45131203636822</v>
      </c>
      <c r="F50" s="58">
        <f t="shared" si="2"/>
        <v>44.444444444444436</v>
      </c>
      <c r="G50" s="59">
        <f t="shared" si="3"/>
        <v>101.31769680545523</v>
      </c>
      <c r="H50" s="17"/>
      <c r="I50" t="s">
        <v>356</v>
      </c>
    </row>
    <row r="51" spans="1:9" x14ac:dyDescent="0.25">
      <c r="A51" s="87"/>
      <c r="B51" s="86">
        <f t="shared" ca="1" si="0"/>
        <v>3448.0087469091213</v>
      </c>
      <c r="C51" s="87" t="s">
        <v>163</v>
      </c>
      <c r="D51" s="88">
        <f>Costs!G2</f>
        <v>3448.0087469091213</v>
      </c>
      <c r="E51" s="49">
        <f t="shared" si="1"/>
        <v>517.20131203636822</v>
      </c>
      <c r="F51" s="58">
        <f t="shared" si="2"/>
        <v>44.444444444444436</v>
      </c>
      <c r="G51" s="59">
        <f t="shared" si="3"/>
        <v>77.58019680545523</v>
      </c>
      <c r="H51" s="17"/>
      <c r="I51" t="s">
        <v>356</v>
      </c>
    </row>
    <row r="52" spans="1:9" x14ac:dyDescent="0.25">
      <c r="A52" s="87"/>
      <c r="B52" s="86">
        <f t="shared" ca="1" si="0"/>
        <v>730</v>
      </c>
      <c r="C52" s="87" t="s">
        <v>146</v>
      </c>
      <c r="D52" s="88">
        <f>Costs!G3</f>
        <v>730</v>
      </c>
      <c r="E52" s="49">
        <f t="shared" si="1"/>
        <v>109.5</v>
      </c>
      <c r="F52" s="58">
        <f t="shared" si="2"/>
        <v>44.44444444444445</v>
      </c>
      <c r="G52" s="59">
        <f t="shared" si="3"/>
        <v>16.425000000000001</v>
      </c>
      <c r="H52" s="17"/>
      <c r="I52" t="s">
        <v>356</v>
      </c>
    </row>
    <row r="53" spans="1:9" x14ac:dyDescent="0.25">
      <c r="A53" s="87"/>
      <c r="B53" s="86">
        <f t="shared" ca="1" si="0"/>
        <v>601.66595583649098</v>
      </c>
      <c r="C53" s="87" t="s">
        <v>147</v>
      </c>
      <c r="D53" s="88">
        <f>Costs!G4</f>
        <v>601.66595583649098</v>
      </c>
      <c r="E53" s="49">
        <f t="shared" si="1"/>
        <v>90.249893375473647</v>
      </c>
      <c r="F53" s="58">
        <f t="shared" si="2"/>
        <v>44.44444444444445</v>
      </c>
      <c r="G53" s="59">
        <f t="shared" si="3"/>
        <v>13.537484006321046</v>
      </c>
      <c r="H53" s="17"/>
      <c r="I53" t="s">
        <v>356</v>
      </c>
    </row>
    <row r="54" spans="1:9" x14ac:dyDescent="0.25">
      <c r="A54" s="87"/>
      <c r="B54" s="86">
        <f t="shared" ca="1" si="0"/>
        <v>993.90587704528025</v>
      </c>
      <c r="C54" s="87" t="s">
        <v>148</v>
      </c>
      <c r="D54" s="88">
        <f>Costs!G5</f>
        <v>993.90587704528025</v>
      </c>
      <c r="E54" s="49">
        <f t="shared" si="1"/>
        <v>149.08588155679203</v>
      </c>
      <c r="F54" s="58">
        <f t="shared" si="2"/>
        <v>44.44444444444445</v>
      </c>
      <c r="G54" s="59">
        <f t="shared" si="3"/>
        <v>22.362882233518803</v>
      </c>
      <c r="H54" s="17"/>
      <c r="I54" t="s">
        <v>356</v>
      </c>
    </row>
    <row r="55" spans="1:9" x14ac:dyDescent="0.25">
      <c r="A55" s="87"/>
      <c r="B55" s="86">
        <f t="shared" ca="1" si="0"/>
        <v>325</v>
      </c>
      <c r="C55" s="87" t="s">
        <v>149</v>
      </c>
      <c r="D55" s="88">
        <f>Costs!G6</f>
        <v>325</v>
      </c>
      <c r="E55" s="49">
        <f t="shared" si="1"/>
        <v>48.75</v>
      </c>
      <c r="F55" s="58">
        <f t="shared" si="2"/>
        <v>44.44444444444445</v>
      </c>
      <c r="G55" s="59">
        <f t="shared" si="3"/>
        <v>7.3125</v>
      </c>
      <c r="H55" s="17"/>
      <c r="I55" t="s">
        <v>356</v>
      </c>
    </row>
    <row r="56" spans="1:9" x14ac:dyDescent="0.25">
      <c r="A56" s="87" t="s">
        <v>339</v>
      </c>
      <c r="B56" s="86">
        <f>D56</f>
        <v>0</v>
      </c>
      <c r="C56" s="87" t="s">
        <v>340</v>
      </c>
      <c r="D56" s="88">
        <v>0</v>
      </c>
      <c r="E56" s="49">
        <f t="shared" si="1"/>
        <v>0</v>
      </c>
      <c r="F56" s="58" t="e">
        <f t="shared" si="2"/>
        <v>#DIV/0!</v>
      </c>
      <c r="G56" s="59" t="e">
        <f t="shared" si="3"/>
        <v>#DIV/0!</v>
      </c>
      <c r="H56" s="17"/>
      <c r="I56" t="s">
        <v>356</v>
      </c>
    </row>
    <row r="57" spans="1:9" x14ac:dyDescent="0.25">
      <c r="A57" s="10"/>
      <c r="B57" s="20"/>
      <c r="C57" s="10"/>
      <c r="D57" s="6"/>
    </row>
    <row r="58" spans="1:9" x14ac:dyDescent="0.25">
      <c r="A58" s="10" t="s">
        <v>175</v>
      </c>
      <c r="B58" s="20"/>
      <c r="C58" s="10"/>
      <c r="D58" s="6"/>
    </row>
    <row r="59" spans="1:9" x14ac:dyDescent="0.25">
      <c r="A59" s="10" t="s">
        <v>171</v>
      </c>
      <c r="B59" s="86">
        <f ca="1">IF(prob=1,_xlfn.GAMMA.INV(RAND(),F59,G59),IF(prob=0,D59,"error"))</f>
        <v>1800.3696678491922</v>
      </c>
      <c r="C59" s="57" t="s">
        <v>167</v>
      </c>
      <c r="D59">
        <f>Costs!G9</f>
        <v>1800.3696678491922</v>
      </c>
      <c r="E59" s="49">
        <f>D59*0.15</f>
        <v>270.05545017737882</v>
      </c>
      <c r="F59" s="58">
        <f>(D59/E59)^2</f>
        <v>44.44444444444445</v>
      </c>
      <c r="G59" s="59">
        <f>(E59^2)/D59</f>
        <v>40.508317526606824</v>
      </c>
      <c r="H59" s="17"/>
      <c r="I59" t="s">
        <v>356</v>
      </c>
    </row>
    <row r="60" spans="1:9" x14ac:dyDescent="0.25">
      <c r="A60" s="10" t="s">
        <v>172</v>
      </c>
      <c r="B60" s="86">
        <f ca="1">IF(prob=1,_xlfn.GAMMA.INV(RAND(),F60,G60),IF(prob=0,D60,"error"))</f>
        <v>2005.1675028166133</v>
      </c>
      <c r="C60" s="57" t="s">
        <v>168</v>
      </c>
      <c r="D60">
        <f>Costs!G10</f>
        <v>2005.1675028166133</v>
      </c>
      <c r="E60" s="49">
        <f t="shared" ref="E60:E62" si="4">D60*0.15</f>
        <v>300.77512542249195</v>
      </c>
      <c r="F60" s="58">
        <f>(D60/E60)^2</f>
        <v>44.444444444444457</v>
      </c>
      <c r="G60" s="59">
        <f>(E60^2)/D60</f>
        <v>45.116268813373793</v>
      </c>
      <c r="H60" s="17"/>
      <c r="I60" t="s">
        <v>356</v>
      </c>
    </row>
    <row r="61" spans="1:9" x14ac:dyDescent="0.25">
      <c r="A61" s="10" t="s">
        <v>173</v>
      </c>
      <c r="B61" s="86">
        <f ca="1">IF(prob=1,_xlfn.GAMMA.INV(RAND(),F61,G61),IF(prob=0,D61,"error"))</f>
        <v>4743.9046517877177</v>
      </c>
      <c r="C61" s="57" t="s">
        <v>169</v>
      </c>
      <c r="D61">
        <f>Costs!G11</f>
        <v>4743.9046517877177</v>
      </c>
      <c r="E61" s="49">
        <f t="shared" si="4"/>
        <v>711.58569776815762</v>
      </c>
      <c r="F61" s="58">
        <f>(D61/E61)^2</f>
        <v>44.44444444444445</v>
      </c>
      <c r="G61" s="59">
        <f>(E61^2)/D61</f>
        <v>106.73785466522364</v>
      </c>
      <c r="H61" s="17"/>
      <c r="I61" t="s">
        <v>356</v>
      </c>
    </row>
    <row r="62" spans="1:9" x14ac:dyDescent="0.25">
      <c r="A62" s="10" t="s">
        <v>174</v>
      </c>
      <c r="B62" s="86">
        <f ca="1">IF(prob=1,_xlfn.GAMMA.INV(RAND(),F62,G62),IF(prob=0,D62,"error"))</f>
        <v>13509.026240727364</v>
      </c>
      <c r="C62" s="57" t="s">
        <v>170</v>
      </c>
      <c r="D62">
        <f>Costs!G12</f>
        <v>13509.026240727364</v>
      </c>
      <c r="E62" s="49">
        <f t="shared" si="4"/>
        <v>2026.3539361091046</v>
      </c>
      <c r="F62" s="58">
        <f>(D62/E62)^2</f>
        <v>44.44444444444445</v>
      </c>
      <c r="G62" s="59">
        <f>(E62^2)/D62</f>
        <v>303.95309041636568</v>
      </c>
      <c r="H62" s="17"/>
      <c r="I62" t="s">
        <v>356</v>
      </c>
    </row>
    <row r="63" spans="1:9" hidden="1" x14ac:dyDescent="0.25">
      <c r="A63" s="10"/>
      <c r="B63" s="20"/>
      <c r="C63" s="10"/>
      <c r="D63">
        <f>Costs!G13</f>
        <v>0</v>
      </c>
    </row>
    <row r="64" spans="1:9" hidden="1" x14ac:dyDescent="0.25">
      <c r="A64" s="10"/>
      <c r="B64" s="20"/>
      <c r="C64" s="10"/>
      <c r="D64">
        <f>Costs!G14</f>
        <v>0</v>
      </c>
    </row>
    <row r="65" spans="1:8" hidden="1" x14ac:dyDescent="0.25">
      <c r="A65" s="12" t="s">
        <v>28</v>
      </c>
      <c r="B65" s="20"/>
      <c r="C65" s="10"/>
      <c r="D65">
        <f>Costs!G15</f>
        <v>0</v>
      </c>
      <c r="F65" t="s">
        <v>97</v>
      </c>
    </row>
    <row r="66" spans="1:8" hidden="1" x14ac:dyDescent="0.25">
      <c r="A66" s="10"/>
      <c r="B66" s="20"/>
      <c r="C66" s="10"/>
      <c r="D66">
        <f>Costs!G16</f>
        <v>0</v>
      </c>
      <c r="E66" s="13" t="s">
        <v>98</v>
      </c>
      <c r="F66" s="13" t="s">
        <v>23</v>
      </c>
      <c r="G66" s="13" t="s">
        <v>26</v>
      </c>
      <c r="H66" s="13" t="s">
        <v>25</v>
      </c>
    </row>
    <row r="67" spans="1:8" hidden="1" x14ac:dyDescent="0.25">
      <c r="A67" s="10" t="s">
        <v>88</v>
      </c>
      <c r="B67" s="22">
        <f ca="1">IF(prob=1,GAMMAINV(RAND(),F67,G67),IF(prob=0,D67,"error"))</f>
        <v>0</v>
      </c>
      <c r="C67" s="10" t="s">
        <v>89</v>
      </c>
      <c r="D67">
        <f>Costs!G17</f>
        <v>0</v>
      </c>
      <c r="E67" s="49">
        <f>F67*G67^2</f>
        <v>1.5625</v>
      </c>
      <c r="F67">
        <v>4</v>
      </c>
      <c r="G67" s="23">
        <v>0.625</v>
      </c>
    </row>
    <row r="68" spans="1:8" hidden="1" x14ac:dyDescent="0.25">
      <c r="A68" s="10" t="s">
        <v>86</v>
      </c>
      <c r="B68" s="22">
        <f ca="1">IF(prob=1,GAMMAINV(RAND(),F68,G68),IF(prob=0,D68,"error"))</f>
        <v>0</v>
      </c>
      <c r="C68" s="10" t="s">
        <v>90</v>
      </c>
      <c r="D68">
        <f>Costs!G18</f>
        <v>0</v>
      </c>
      <c r="E68" s="49">
        <f>F68*G68^2</f>
        <v>0.5625</v>
      </c>
      <c r="F68">
        <v>4</v>
      </c>
      <c r="G68" s="23">
        <v>0.375</v>
      </c>
    </row>
    <row r="69" spans="1:8" hidden="1" x14ac:dyDescent="0.25">
      <c r="A69" s="10" t="s">
        <v>85</v>
      </c>
      <c r="B69" s="24">
        <f ca="1">IF(prob=1,BETAINV(RAND(),F69,G69),IF(prob=0,D69,"error"))</f>
        <v>0</v>
      </c>
      <c r="C69" s="10" t="s">
        <v>91</v>
      </c>
      <c r="D69">
        <f>Costs!G19</f>
        <v>0</v>
      </c>
      <c r="E69" s="49">
        <f t="shared" ref="E69:E75" si="5">SQRT(F69*G69/(((F69+G69)^2)*(F69+G69+1)))</f>
        <v>0</v>
      </c>
      <c r="F69" s="25">
        <f t="shared" ref="F69:F75" si="6">D69*100</f>
        <v>0</v>
      </c>
      <c r="G69" s="25">
        <f t="shared" ref="G69:G75" si="7">(1-D69)*100</f>
        <v>100</v>
      </c>
      <c r="H69" s="17">
        <f t="shared" ref="H69:H75" si="8">F69+G69</f>
        <v>100</v>
      </c>
    </row>
    <row r="70" spans="1:8" hidden="1" x14ac:dyDescent="0.25">
      <c r="A70" s="10" t="s">
        <v>93</v>
      </c>
      <c r="B70" s="24">
        <f ca="1">IF(prob=1,BETAINV(RAND(),F70,G70),IF(prob=0,D70,"error"))</f>
        <v>0</v>
      </c>
      <c r="C70" s="10" t="s">
        <v>92</v>
      </c>
      <c r="D70">
        <f>Costs!G20</f>
        <v>0</v>
      </c>
      <c r="E70" s="49">
        <f t="shared" si="5"/>
        <v>0</v>
      </c>
      <c r="F70" s="26">
        <f t="shared" si="6"/>
        <v>0</v>
      </c>
      <c r="G70" s="26">
        <f t="shared" si="7"/>
        <v>100</v>
      </c>
      <c r="H70" s="17">
        <f t="shared" si="8"/>
        <v>100</v>
      </c>
    </row>
    <row r="71" spans="1:8" hidden="1" x14ac:dyDescent="0.25">
      <c r="A71" s="10" t="s">
        <v>94</v>
      </c>
      <c r="B71" s="24">
        <f ca="1">IF(prob=1,BETAINV(RAND(),F71,G71),IF(prob=0,D71,"error"))</f>
        <v>0</v>
      </c>
      <c r="C71" s="10" t="s">
        <v>95</v>
      </c>
      <c r="D71">
        <f>Costs!G21</f>
        <v>0</v>
      </c>
      <c r="E71" s="49">
        <f t="shared" si="5"/>
        <v>0</v>
      </c>
      <c r="F71" s="26">
        <f t="shared" si="6"/>
        <v>0</v>
      </c>
      <c r="G71" s="26">
        <f t="shared" si="7"/>
        <v>100</v>
      </c>
      <c r="H71" s="17">
        <f t="shared" si="8"/>
        <v>100</v>
      </c>
    </row>
    <row r="72" spans="1:8" hidden="1" x14ac:dyDescent="0.25">
      <c r="A72" s="10" t="s">
        <v>29</v>
      </c>
      <c r="B72" s="24">
        <f ca="1">IF(prob=1,BETAINV(RAND(),F72,G72),IF(prob=0,D72,"error"))</f>
        <v>0</v>
      </c>
      <c r="C72" s="10" t="s">
        <v>96</v>
      </c>
      <c r="D72">
        <f>Costs!G22</f>
        <v>0</v>
      </c>
      <c r="E72" s="49">
        <f t="shared" si="5"/>
        <v>0</v>
      </c>
      <c r="F72" s="25">
        <f t="shared" si="6"/>
        <v>0</v>
      </c>
      <c r="G72" s="25">
        <f t="shared" si="7"/>
        <v>100</v>
      </c>
      <c r="H72" s="17">
        <f t="shared" si="8"/>
        <v>100</v>
      </c>
    </row>
    <row r="73" spans="1:8" hidden="1" x14ac:dyDescent="0.25">
      <c r="A73" s="50" t="s">
        <v>111</v>
      </c>
      <c r="B73" s="51"/>
      <c r="C73" s="50" t="s">
        <v>114</v>
      </c>
      <c r="D73">
        <f>Costs!G23</f>
        <v>0</v>
      </c>
      <c r="E73" s="49">
        <f t="shared" si="5"/>
        <v>0</v>
      </c>
      <c r="F73" s="26">
        <f t="shared" si="6"/>
        <v>0</v>
      </c>
      <c r="G73" s="26">
        <f t="shared" si="7"/>
        <v>100</v>
      </c>
      <c r="H73" s="17">
        <f t="shared" si="8"/>
        <v>100</v>
      </c>
    </row>
    <row r="74" spans="1:8" hidden="1" x14ac:dyDescent="0.25">
      <c r="A74" s="50" t="s">
        <v>112</v>
      </c>
      <c r="B74" s="51"/>
      <c r="C74" s="50"/>
      <c r="D74">
        <f>Costs!G24</f>
        <v>0</v>
      </c>
      <c r="E74" s="49">
        <f t="shared" si="5"/>
        <v>0</v>
      </c>
      <c r="F74" s="26">
        <f t="shared" si="6"/>
        <v>0</v>
      </c>
      <c r="G74" s="26">
        <f t="shared" si="7"/>
        <v>100</v>
      </c>
      <c r="H74" s="17">
        <f t="shared" si="8"/>
        <v>100</v>
      </c>
    </row>
    <row r="75" spans="1:8" hidden="1" x14ac:dyDescent="0.25">
      <c r="A75" s="50" t="s">
        <v>113</v>
      </c>
      <c r="B75" s="51"/>
      <c r="C75" s="50"/>
      <c r="D75">
        <f>Costs!G25</f>
        <v>0</v>
      </c>
      <c r="E75" s="49">
        <f t="shared" si="5"/>
        <v>0</v>
      </c>
      <c r="F75">
        <f t="shared" si="6"/>
        <v>0</v>
      </c>
      <c r="G75" s="25">
        <f t="shared" si="7"/>
        <v>100</v>
      </c>
      <c r="H75" s="17">
        <f t="shared" si="8"/>
        <v>100</v>
      </c>
    </row>
    <row r="76" spans="1:8" hidden="1" x14ac:dyDescent="0.25">
      <c r="A76" s="10"/>
      <c r="B76" s="24"/>
      <c r="C76" s="10"/>
      <c r="D76">
        <f>Costs!G26</f>
        <v>0</v>
      </c>
      <c r="E76" s="52"/>
      <c r="G76" s="25"/>
      <c r="H76" s="17"/>
    </row>
    <row r="77" spans="1:8" hidden="1" x14ac:dyDescent="0.25">
      <c r="D77">
        <f>Costs!G27</f>
        <v>0</v>
      </c>
    </row>
    <row r="78" spans="1:8" x14ac:dyDescent="0.25">
      <c r="A78" s="9" t="s">
        <v>30</v>
      </c>
    </row>
    <row r="80" spans="1:8" x14ac:dyDescent="0.25">
      <c r="A80" s="11" t="s">
        <v>37</v>
      </c>
      <c r="B80" s="27">
        <f ca="1">B50*3 + (GERA+B54)</f>
        <v>15104.598073609135</v>
      </c>
      <c r="C80" s="11" t="s">
        <v>38</v>
      </c>
    </row>
    <row r="81" spans="1:5" hidden="1" x14ac:dyDescent="0.25">
      <c r="A81" s="11" t="s">
        <v>99</v>
      </c>
      <c r="B81" s="11"/>
      <c r="C81" s="11" t="s">
        <v>104</v>
      </c>
    </row>
    <row r="82" spans="1:5" hidden="1" x14ac:dyDescent="0.25">
      <c r="A82" s="11" t="s">
        <v>100</v>
      </c>
      <c r="B82" s="11"/>
      <c r="C82" s="11" t="s">
        <v>105</v>
      </c>
    </row>
    <row r="83" spans="1:5" hidden="1" x14ac:dyDescent="0.25">
      <c r="A83" s="11" t="s">
        <v>101</v>
      </c>
      <c r="B83" s="11"/>
      <c r="C83" s="11" t="s">
        <v>106</v>
      </c>
    </row>
    <row r="84" spans="1:5" hidden="1" x14ac:dyDescent="0.25">
      <c r="A84" s="11" t="s">
        <v>109</v>
      </c>
      <c r="B84" s="11"/>
      <c r="C84" s="11" t="s">
        <v>110</v>
      </c>
    </row>
    <row r="85" spans="1:5" hidden="1" x14ac:dyDescent="0.25">
      <c r="A85" s="11" t="s">
        <v>102</v>
      </c>
      <c r="B85" s="11"/>
      <c r="C85" s="11" t="s">
        <v>107</v>
      </c>
    </row>
    <row r="86" spans="1:5" hidden="1" x14ac:dyDescent="0.25">
      <c r="A86" s="11" t="s">
        <v>103</v>
      </c>
      <c r="B86" s="11"/>
      <c r="C86" s="11" t="s">
        <v>108</v>
      </c>
    </row>
    <row r="87" spans="1:5" x14ac:dyDescent="0.25">
      <c r="A87" s="11"/>
      <c r="B87" s="11"/>
    </row>
    <row r="88" spans="1:5" x14ac:dyDescent="0.25">
      <c r="A88" s="11"/>
      <c r="B88" s="11"/>
      <c r="C88" s="11"/>
    </row>
    <row r="89" spans="1:5" x14ac:dyDescent="0.25">
      <c r="A89" s="109" t="s">
        <v>390</v>
      </c>
      <c r="B89" s="11"/>
      <c r="C89" s="11"/>
    </row>
    <row r="90" spans="1:5" x14ac:dyDescent="0.25">
      <c r="A90" s="108" t="s">
        <v>385</v>
      </c>
      <c r="B90" s="6" t="s">
        <v>352</v>
      </c>
      <c r="C90" s="108" t="s">
        <v>381</v>
      </c>
      <c r="D90" s="108" t="s">
        <v>382</v>
      </c>
      <c r="E90" s="108" t="s">
        <v>384</v>
      </c>
    </row>
    <row r="91" spans="1:5" x14ac:dyDescent="0.25">
      <c r="A91" s="10" t="s">
        <v>40</v>
      </c>
      <c r="C91" s="110">
        <v>0.18</v>
      </c>
      <c r="D91" s="110">
        <v>1</v>
      </c>
      <c r="E91" s="107" t="s">
        <v>388</v>
      </c>
    </row>
    <row r="92" spans="1:5" x14ac:dyDescent="0.25">
      <c r="A92" s="6" t="s">
        <v>45</v>
      </c>
      <c r="B92" s="16">
        <f ca="1">Results!$E$6</f>
        <v>146241.56486176341</v>
      </c>
      <c r="C92" s="110">
        <f t="dataTable" ref="C92:D94" dt2D="0" dtr="1" r1="B12" ca="1"/>
        <v>203103.81019474301</v>
      </c>
      <c r="D92" s="110">
        <v>17218.079976539728</v>
      </c>
    </row>
    <row r="93" spans="1:5" x14ac:dyDescent="0.25">
      <c r="A93" s="6" t="s">
        <v>46</v>
      </c>
      <c r="B93" s="16">
        <f ca="1">Results!$E$7</f>
        <v>49643.792365182795</v>
      </c>
      <c r="C93" s="110">
        <v>94700.176894205753</v>
      </c>
      <c r="D93" s="110">
        <v>16612.638511136542</v>
      </c>
    </row>
    <row r="94" spans="1:5" x14ac:dyDescent="0.25">
      <c r="A94" s="6" t="s">
        <v>47</v>
      </c>
      <c r="B94" s="16">
        <f ca="1">Results!$E$8</f>
        <v>107793.09448268388</v>
      </c>
      <c r="C94" s="118">
        <v>184194.45374839436</v>
      </c>
      <c r="D94" s="118">
        <v>17341.107865286158</v>
      </c>
    </row>
    <row r="95" spans="1:5" x14ac:dyDescent="0.25">
      <c r="D95" s="6"/>
    </row>
    <row r="96" spans="1:5" x14ac:dyDescent="0.25">
      <c r="A96" s="10" t="s">
        <v>72</v>
      </c>
      <c r="C96" s="110">
        <v>0.9</v>
      </c>
      <c r="D96" s="110">
        <v>1</v>
      </c>
      <c r="E96" s="107" t="s">
        <v>387</v>
      </c>
    </row>
    <row r="97" spans="1:5" s="107" customFormat="1" x14ac:dyDescent="0.25">
      <c r="A97" s="6" t="s">
        <v>45</v>
      </c>
      <c r="B97" s="16">
        <f ca="1">Results!$E$6</f>
        <v>146241.56486176341</v>
      </c>
      <c r="C97" s="110">
        <f t="dataTable" ref="C97:D99" dt2D="0" dtr="1" r1="B14" ca="1"/>
        <v>142737.26007526545</v>
      </c>
      <c r="D97" s="110">
        <v>146241.56486176341</v>
      </c>
    </row>
    <row r="98" spans="1:5" s="107" customFormat="1" x14ac:dyDescent="0.25">
      <c r="A98" s="6" t="s">
        <v>46</v>
      </c>
      <c r="B98" s="16">
        <f ca="1">Results!$E$7</f>
        <v>49643.792365182795</v>
      </c>
      <c r="C98" s="110">
        <v>144495.84068170786</v>
      </c>
      <c r="D98" s="110">
        <v>49643.792365182795</v>
      </c>
    </row>
    <row r="99" spans="1:5" x14ac:dyDescent="0.25">
      <c r="A99" s="6" t="s">
        <v>47</v>
      </c>
      <c r="B99" s="16">
        <f ca="1">Results!$E$8</f>
        <v>107793.09448268388</v>
      </c>
      <c r="C99" s="110">
        <v>100964.93631752882</v>
      </c>
      <c r="D99" s="110">
        <v>107793.09448268388</v>
      </c>
    </row>
    <row r="100" spans="1:5" x14ac:dyDescent="0.25">
      <c r="C100" s="110"/>
      <c r="D100" s="110"/>
    </row>
    <row r="101" spans="1:5" x14ac:dyDescent="0.25">
      <c r="A101" s="10" t="s">
        <v>73</v>
      </c>
      <c r="C101" s="110">
        <v>0.77</v>
      </c>
      <c r="D101" s="110">
        <v>1</v>
      </c>
      <c r="E101" s="107" t="s">
        <v>386</v>
      </c>
    </row>
    <row r="102" spans="1:5" s="107" customFormat="1" x14ac:dyDescent="0.25">
      <c r="A102" s="6" t="s">
        <v>45</v>
      </c>
      <c r="B102" s="16">
        <f ca="1">Results!$E$6</f>
        <v>146241.56486176341</v>
      </c>
      <c r="C102" s="110">
        <f t="dataTable" ref="C102:D104" dt2D="0" dtr="1" r1="B13" ca="1"/>
        <v>102401.88153695517</v>
      </c>
      <c r="D102" s="110">
        <v>259795.65504546367</v>
      </c>
    </row>
    <row r="103" spans="1:5" s="107" customFormat="1" x14ac:dyDescent="0.25">
      <c r="A103" s="6" t="s">
        <v>46</v>
      </c>
      <c r="B103" s="16">
        <f ca="1">Results!$E$7</f>
        <v>49643.792365182795</v>
      </c>
      <c r="C103" s="110">
        <v>54857.19360565205</v>
      </c>
      <c r="D103" s="110">
        <v>45963.999989618394</v>
      </c>
    </row>
    <row r="104" spans="1:5" x14ac:dyDescent="0.25">
      <c r="A104" s="6" t="s">
        <v>47</v>
      </c>
      <c r="B104" s="16">
        <f ca="1">Results!$E$8</f>
        <v>107793.09448268388</v>
      </c>
      <c r="C104" s="111">
        <v>65288.372432616721</v>
      </c>
      <c r="D104" s="110">
        <v>459959.39585371077</v>
      </c>
    </row>
    <row r="105" spans="1:5" x14ac:dyDescent="0.25">
      <c r="A105" s="11"/>
      <c r="C105" s="111"/>
      <c r="D105" s="110"/>
    </row>
    <row r="106" spans="1:5" x14ac:dyDescent="0.25">
      <c r="A106" s="10" t="s">
        <v>74</v>
      </c>
      <c r="C106" s="110">
        <v>0.94299999999999995</v>
      </c>
      <c r="D106" s="110">
        <v>0.997</v>
      </c>
      <c r="E106" s="15" t="s">
        <v>128</v>
      </c>
    </row>
    <row r="107" spans="1:5" s="107" customFormat="1" x14ac:dyDescent="0.25">
      <c r="A107" s="6" t="s">
        <v>45</v>
      </c>
      <c r="B107" s="16">
        <f ca="1">Results!$E$6</f>
        <v>146241.56486176341</v>
      </c>
      <c r="C107" s="110">
        <f t="dataTable" ref="C107:D109" dt2D="0" dtr="1" r1="B15" ca="1"/>
        <v>128283.20965670788</v>
      </c>
      <c r="D107" s="110">
        <v>152484.50720643657</v>
      </c>
      <c r="E107" s="15"/>
    </row>
    <row r="108" spans="1:5" s="107" customFormat="1" x14ac:dyDescent="0.25">
      <c r="A108" s="6" t="s">
        <v>46</v>
      </c>
      <c r="B108" s="16">
        <f ca="1">Results!$E$7</f>
        <v>49643.792365182795</v>
      </c>
      <c r="C108" s="110">
        <v>25305.047420095663</v>
      </c>
      <c r="D108" s="110">
        <v>181768.40778136565</v>
      </c>
      <c r="E108" s="15"/>
    </row>
    <row r="109" spans="1:5" x14ac:dyDescent="0.25">
      <c r="A109" s="6" t="s">
        <v>47</v>
      </c>
      <c r="B109" s="16">
        <f ca="1">Results!$E$8</f>
        <v>107793.09448268388</v>
      </c>
      <c r="C109" s="110">
        <v>111120.72077571964</v>
      </c>
      <c r="D109" s="110">
        <v>106883.31138085749</v>
      </c>
    </row>
    <row r="110" spans="1:5" x14ac:dyDescent="0.25">
      <c r="C110" s="110"/>
      <c r="D110" s="110"/>
    </row>
    <row r="111" spans="1:5" x14ac:dyDescent="0.25">
      <c r="A111" s="10" t="s">
        <v>75</v>
      </c>
      <c r="C111" s="110">
        <v>0.54700000000000004</v>
      </c>
      <c r="D111" s="110">
        <v>0.67100000000000004</v>
      </c>
      <c r="E111" s="6" t="s">
        <v>129</v>
      </c>
    </row>
    <row r="112" spans="1:5" s="107" customFormat="1" x14ac:dyDescent="0.25">
      <c r="A112" s="6" t="s">
        <v>45</v>
      </c>
      <c r="B112" s="16">
        <f ca="1">Results!$E$6</f>
        <v>146241.56486176341</v>
      </c>
      <c r="C112" s="110">
        <f t="dataTable" ref="C112:D114" dt2D="0" dtr="1" r1="B16" ca="1"/>
        <v>146045.63336869414</v>
      </c>
      <c r="D112" s="110">
        <v>146431.27630743349</v>
      </c>
      <c r="E112" s="6"/>
    </row>
    <row r="113" spans="1:5" s="107" customFormat="1" x14ac:dyDescent="0.25">
      <c r="A113" s="6" t="s">
        <v>46</v>
      </c>
      <c r="B113" s="16">
        <f ca="1">Results!$E$7</f>
        <v>49643.792365182795</v>
      </c>
      <c r="C113" s="110">
        <v>46232.378114682899</v>
      </c>
      <c r="D113" s="110">
        <v>52946.907750586281</v>
      </c>
      <c r="E113" s="6"/>
    </row>
    <row r="114" spans="1:5" x14ac:dyDescent="0.25">
      <c r="A114" s="6" t="s">
        <v>47</v>
      </c>
      <c r="B114" s="16">
        <f ca="1">Results!$E$8</f>
        <v>107793.09448268388</v>
      </c>
      <c r="C114" s="110">
        <v>117924.13636628358</v>
      </c>
      <c r="D114" s="110">
        <v>97318.396813265819</v>
      </c>
    </row>
    <row r="115" spans="1:5" x14ac:dyDescent="0.25">
      <c r="C115" s="110"/>
      <c r="D115" s="110"/>
    </row>
    <row r="116" spans="1:5" hidden="1" x14ac:dyDescent="0.25">
      <c r="A116" s="6" t="s">
        <v>115</v>
      </c>
      <c r="C116" s="110">
        <f>_xlfn.BETA.INV(0.025,F26,G26)</f>
        <v>2.6937722480951265E-4</v>
      </c>
      <c r="D116" s="110">
        <f>_xlfn.BETA.INV(0.975,F26,G26)</f>
        <v>6.5700377948016753E-2</v>
      </c>
      <c r="E116" s="107" t="s">
        <v>124</v>
      </c>
    </row>
    <row r="117" spans="1:5" hidden="1" x14ac:dyDescent="0.25">
      <c r="C117" s="110"/>
      <c r="D117" s="110"/>
    </row>
    <row r="118" spans="1:5" hidden="1" x14ac:dyDescent="0.25">
      <c r="C118" s="110"/>
      <c r="D118" s="110"/>
    </row>
    <row r="119" spans="1:5" hidden="1" x14ac:dyDescent="0.25">
      <c r="A119" s="6" t="s">
        <v>205</v>
      </c>
      <c r="C119" s="110">
        <v>0.85</v>
      </c>
      <c r="D119" s="110">
        <v>0.95</v>
      </c>
      <c r="E119" s="107" t="s">
        <v>124</v>
      </c>
    </row>
    <row r="120" spans="1:5" hidden="1" x14ac:dyDescent="0.25">
      <c r="C120" s="110"/>
      <c r="D120" s="110"/>
    </row>
    <row r="121" spans="1:5" hidden="1" x14ac:dyDescent="0.25">
      <c r="C121" s="110"/>
      <c r="D121" s="110"/>
    </row>
    <row r="122" spans="1:5" hidden="1" x14ac:dyDescent="0.25">
      <c r="A122" s="6" t="s">
        <v>328</v>
      </c>
      <c r="C122" s="110">
        <f>_xlfn.BETA.INV(0.025,F30,G30)</f>
        <v>2.0283673355761041E-2</v>
      </c>
      <c r="D122" s="110">
        <f>_xlfn.BETA.INV(0.975,F30,G30)</f>
        <v>0.14691649783766136</v>
      </c>
      <c r="E122" s="107" t="s">
        <v>351</v>
      </c>
    </row>
    <row r="123" spans="1:5" hidden="1" x14ac:dyDescent="0.25">
      <c r="C123" s="110"/>
      <c r="D123" s="110"/>
    </row>
    <row r="124" spans="1:5" hidden="1" x14ac:dyDescent="0.25">
      <c r="C124" s="110"/>
      <c r="D124" s="110"/>
    </row>
    <row r="125" spans="1:5" hidden="1" x14ac:dyDescent="0.25">
      <c r="A125" s="6" t="s">
        <v>180</v>
      </c>
      <c r="C125" s="110">
        <f>_xlfn.BETA.INV(0.025,F42,G42)</f>
        <v>1.2870994521642885E-53</v>
      </c>
      <c r="D125" s="110">
        <f>_xlfn.BETA.INV(0.975,F42,G42)</f>
        <v>1.1907286921741811E-3</v>
      </c>
      <c r="E125" s="107" t="s">
        <v>357</v>
      </c>
    </row>
    <row r="126" spans="1:5" hidden="1" x14ac:dyDescent="0.25">
      <c r="C126" s="110"/>
      <c r="D126" s="110"/>
    </row>
    <row r="127" spans="1:5" hidden="1" x14ac:dyDescent="0.25">
      <c r="C127" s="110"/>
      <c r="D127" s="110"/>
      <c r="E127" s="107"/>
    </row>
    <row r="128" spans="1:5" hidden="1" x14ac:dyDescent="0.25">
      <c r="A128" s="87" t="s">
        <v>32</v>
      </c>
      <c r="C128" s="110">
        <f>_xlfn.GAMMA.INV(0.025,F48,G48)</f>
        <v>254.75076186909669</v>
      </c>
      <c r="D128" s="110">
        <f>_xlfn.GAMMA.INV(0.975,F48,G48)</f>
        <v>460.1425690657079</v>
      </c>
      <c r="E128" s="107" t="s">
        <v>356</v>
      </c>
    </row>
    <row r="129" spans="1:5" hidden="1" x14ac:dyDescent="0.25">
      <c r="D129" s="6"/>
      <c r="E129" s="107"/>
    </row>
    <row r="130" spans="1:5" hidden="1" x14ac:dyDescent="0.25">
      <c r="D130" s="6"/>
    </row>
    <row r="131" spans="1:5" hidden="1" x14ac:dyDescent="0.25">
      <c r="A131" s="87" t="s">
        <v>33</v>
      </c>
      <c r="C131" s="110">
        <f>_xlfn.GAMMA.INV(0.025,F49,G49)</f>
        <v>335.54314634758163</v>
      </c>
      <c r="D131" s="110">
        <f>_xlfn.GAMMA.INV(0.975,F49,G49)</f>
        <v>606.07349811226106</v>
      </c>
      <c r="E131" s="107" t="s">
        <v>356</v>
      </c>
    </row>
    <row r="132" spans="1:5" hidden="1" x14ac:dyDescent="0.25">
      <c r="C132" s="110"/>
      <c r="D132" s="110"/>
    </row>
    <row r="133" spans="1:5" hidden="1" x14ac:dyDescent="0.25">
      <c r="C133" s="110"/>
      <c r="D133" s="110"/>
    </row>
    <row r="134" spans="1:5" hidden="1" x14ac:dyDescent="0.25">
      <c r="A134" s="87" t="s">
        <v>34</v>
      </c>
      <c r="C134" s="110">
        <f>_xlfn.GAMMA.INV(0.025,F50,G50)</f>
        <v>3277.5568827951561</v>
      </c>
      <c r="D134" s="110">
        <f>_xlfn.GAMMA.INV(0.975,F50,G50)</f>
        <v>5920.0743237946181</v>
      </c>
      <c r="E134" s="107" t="s">
        <v>356</v>
      </c>
    </row>
    <row r="135" spans="1:5" hidden="1" x14ac:dyDescent="0.25">
      <c r="C135" s="110"/>
      <c r="D135" s="110"/>
    </row>
    <row r="136" spans="1:5" hidden="1" x14ac:dyDescent="0.25">
      <c r="C136" s="110"/>
      <c r="D136" s="110"/>
    </row>
    <row r="137" spans="1:5" hidden="1" x14ac:dyDescent="0.25">
      <c r="A137" s="10" t="s">
        <v>171</v>
      </c>
      <c r="C137" s="110">
        <f>_xlfn.GAMMA.INV(0.025,F59,G59)</f>
        <v>1310.4158415159836</v>
      </c>
      <c r="D137" s="110">
        <f>_xlfn.GAMMA.INV(0.975,F59,G59)</f>
        <v>2366.9334978060069</v>
      </c>
      <c r="E137" s="107" t="s">
        <v>356</v>
      </c>
    </row>
    <row r="138" spans="1:5" hidden="1" x14ac:dyDescent="0.25">
      <c r="D138" s="6"/>
    </row>
    <row r="139" spans="1:5" hidden="1" x14ac:dyDescent="0.25">
      <c r="D139" s="6"/>
    </row>
    <row r="140" spans="1:5" hidden="1" x14ac:dyDescent="0.25">
      <c r="A140" s="10" t="s">
        <v>172</v>
      </c>
      <c r="C140" s="110">
        <f>_xlfn.GAMMA.INV(0.025,F60,G60)</f>
        <v>1459.4798543362467</v>
      </c>
      <c r="D140" s="110">
        <f>_xlfn.GAMMA.INV(0.975,F60,G60)</f>
        <v>2636.1797890088765</v>
      </c>
      <c r="E140" s="107" t="s">
        <v>356</v>
      </c>
    </row>
    <row r="141" spans="1:5" hidden="1" x14ac:dyDescent="0.25">
      <c r="C141" s="110"/>
      <c r="D141" s="110"/>
    </row>
    <row r="142" spans="1:5" hidden="1" x14ac:dyDescent="0.25">
      <c r="C142" s="110"/>
      <c r="D142" s="110"/>
    </row>
    <row r="143" spans="1:5" hidden="1" x14ac:dyDescent="0.25">
      <c r="A143" s="10" t="s">
        <v>173</v>
      </c>
      <c r="C143" s="110">
        <f>_xlfn.GAMMA.INV(0.025,F61,G61)</f>
        <v>3452.8952122207793</v>
      </c>
      <c r="D143" s="110">
        <f>_xlfn.GAMMA.INV(0.975,F61,G61)</f>
        <v>6236.7784967896077</v>
      </c>
      <c r="E143" s="107" t="s">
        <v>356</v>
      </c>
    </row>
    <row r="144" spans="1:5" hidden="1" x14ac:dyDescent="0.25">
      <c r="C144" s="110"/>
      <c r="D144" s="110"/>
    </row>
    <row r="145" spans="1:5" hidden="1" x14ac:dyDescent="0.25">
      <c r="C145" s="110"/>
      <c r="D145" s="110"/>
    </row>
    <row r="146" spans="1:5" hidden="1" x14ac:dyDescent="0.25">
      <c r="A146" s="10" t="s">
        <v>174</v>
      </c>
      <c r="C146" s="110">
        <f>_xlfn.GAMMA.INV(0.025,F62,G62)</f>
        <v>9832.6706483854723</v>
      </c>
      <c r="D146" s="110">
        <f>_xlfn.GAMMA.INV(0.975,F62,G62)</f>
        <v>17760.222971383861</v>
      </c>
      <c r="E146" s="107" t="s">
        <v>356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9"/>
  <sheetViews>
    <sheetView workbookViewId="0">
      <selection activeCell="C36" sqref="C36"/>
    </sheetView>
  </sheetViews>
  <sheetFormatPr defaultColWidth="8.85546875" defaultRowHeight="15" x14ac:dyDescent="0.25"/>
  <cols>
    <col min="1" max="1" width="24.140625" customWidth="1"/>
    <col min="2" max="2" width="28" customWidth="1"/>
    <col min="3" max="4" width="14.42578125" customWidth="1"/>
    <col min="5" max="5" width="13.42578125" customWidth="1"/>
    <col min="6" max="6" width="22.7109375" customWidth="1"/>
    <col min="7" max="7" width="19.85546875" bestFit="1" customWidth="1"/>
    <col min="8" max="8" width="18.85546875" customWidth="1"/>
    <col min="11" max="11" width="17.42578125" customWidth="1"/>
  </cols>
  <sheetData>
    <row r="1" spans="1:12" s="53" customFormat="1" x14ac:dyDescent="0.25">
      <c r="A1" s="53" t="s">
        <v>138</v>
      </c>
      <c r="B1" s="53" t="s">
        <v>139</v>
      </c>
      <c r="C1" s="53" t="s">
        <v>140</v>
      </c>
      <c r="D1" s="53" t="s">
        <v>141</v>
      </c>
      <c r="E1" s="53" t="s">
        <v>142</v>
      </c>
      <c r="F1" s="53" t="s">
        <v>359</v>
      </c>
      <c r="G1" s="53" t="s">
        <v>143</v>
      </c>
    </row>
    <row r="2" spans="1:12" x14ac:dyDescent="0.25">
      <c r="A2" t="s">
        <v>144</v>
      </c>
      <c r="B2" t="s">
        <v>145</v>
      </c>
      <c r="E2">
        <v>2980</v>
      </c>
      <c r="F2">
        <v>3327.86</v>
      </c>
      <c r="G2">
        <f>E2*(CPI!$L$12/CPI!$M$7)</f>
        <v>3448.0087469091213</v>
      </c>
    </row>
    <row r="3" spans="1:12" x14ac:dyDescent="0.25">
      <c r="B3" t="s">
        <v>146</v>
      </c>
      <c r="G3">
        <v>730</v>
      </c>
    </row>
    <row r="4" spans="1:12" x14ac:dyDescent="0.25">
      <c r="B4" t="s">
        <v>147</v>
      </c>
      <c r="E4">
        <v>520</v>
      </c>
      <c r="F4">
        <v>580.70000000000005</v>
      </c>
      <c r="G4">
        <f>E4*(CPI!$L$12/CPI!$M$7)</f>
        <v>601.66595583649098</v>
      </c>
    </row>
    <row r="5" spans="1:12" x14ac:dyDescent="0.25">
      <c r="B5" t="s">
        <v>148</v>
      </c>
      <c r="E5">
        <v>859</v>
      </c>
      <c r="F5">
        <v>957.27</v>
      </c>
      <c r="G5">
        <f>E5*(CPI!$L$12/CPI!$M$7)</f>
        <v>993.90587704528025</v>
      </c>
    </row>
    <row r="6" spans="1:12" x14ac:dyDescent="0.25">
      <c r="B6" t="s">
        <v>149</v>
      </c>
      <c r="G6">
        <v>325</v>
      </c>
      <c r="H6" s="53" t="s">
        <v>150</v>
      </c>
      <c r="I6" s="53">
        <f>SUM(G2,G3,G6)</f>
        <v>4503.0087469091213</v>
      </c>
      <c r="K6" s="53" t="s">
        <v>162</v>
      </c>
      <c r="L6" s="53">
        <f>I6*3+G4+G5</f>
        <v>15104.598073609137</v>
      </c>
    </row>
    <row r="8" spans="1:12" x14ac:dyDescent="0.25">
      <c r="A8" t="s">
        <v>151</v>
      </c>
      <c r="B8" t="s">
        <v>132</v>
      </c>
      <c r="C8">
        <f>7/302</f>
        <v>2.3178807947019868E-2</v>
      </c>
      <c r="D8" t="s">
        <v>152</v>
      </c>
    </row>
    <row r="9" spans="1:12" x14ac:dyDescent="0.25">
      <c r="B9" t="s">
        <v>134</v>
      </c>
      <c r="C9">
        <f>2/302</f>
        <v>6.6225165562913907E-3</v>
      </c>
      <c r="D9" t="s">
        <v>153</v>
      </c>
      <c r="E9">
        <v>1556</v>
      </c>
      <c r="F9">
        <v>1737.63</v>
      </c>
      <c r="G9">
        <f>E9*(CPI!$L$12/CPI!$M$7)</f>
        <v>1800.3696678491922</v>
      </c>
    </row>
    <row r="10" spans="1:12" x14ac:dyDescent="0.25">
      <c r="B10" t="s">
        <v>135</v>
      </c>
      <c r="C10">
        <f>17/302</f>
        <v>5.6291390728476824E-2</v>
      </c>
      <c r="D10" t="s">
        <v>154</v>
      </c>
      <c r="E10">
        <v>1733</v>
      </c>
      <c r="F10">
        <v>1935.3</v>
      </c>
      <c r="G10">
        <f>E10*(CPI!$L$12/CPI!$M$7)</f>
        <v>2005.1675028166133</v>
      </c>
    </row>
    <row r="11" spans="1:12" x14ac:dyDescent="0.25">
      <c r="B11" t="s">
        <v>136</v>
      </c>
      <c r="C11">
        <f>5/302</f>
        <v>1.6556291390728478E-2</v>
      </c>
      <c r="D11" t="s">
        <v>155</v>
      </c>
      <c r="E11">
        <v>4100</v>
      </c>
      <c r="F11">
        <v>4578.6099999999997</v>
      </c>
      <c r="G11">
        <f>E11*(CPI!$L$12/CPI!$M$7)</f>
        <v>4743.9046517877177</v>
      </c>
    </row>
    <row r="12" spans="1:12" x14ac:dyDescent="0.25">
      <c r="B12" t="s">
        <v>137</v>
      </c>
      <c r="C12">
        <f>53/302</f>
        <v>0.17549668874172186</v>
      </c>
      <c r="D12" t="s">
        <v>156</v>
      </c>
      <c r="G12">
        <f>3*I6</f>
        <v>13509.026240727364</v>
      </c>
      <c r="H12" t="s">
        <v>157</v>
      </c>
    </row>
    <row r="15" spans="1:12" x14ac:dyDescent="0.25">
      <c r="H15" t="s">
        <v>158</v>
      </c>
    </row>
    <row r="16" spans="1:12" x14ac:dyDescent="0.25">
      <c r="H16" t="s">
        <v>159</v>
      </c>
    </row>
    <row r="17" spans="8:8" x14ac:dyDescent="0.25">
      <c r="H17" t="s">
        <v>160</v>
      </c>
    </row>
    <row r="18" spans="8:8" x14ac:dyDescent="0.25">
      <c r="H18" t="s">
        <v>360</v>
      </c>
    </row>
    <row r="19" spans="8:8" x14ac:dyDescent="0.25">
      <c r="H19" t="s">
        <v>161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8"/>
  <sheetViews>
    <sheetView workbookViewId="0">
      <selection activeCell="D5" sqref="D5"/>
    </sheetView>
  </sheetViews>
  <sheetFormatPr defaultColWidth="8.85546875" defaultRowHeight="15" x14ac:dyDescent="0.25"/>
  <sheetData>
    <row r="1" spans="1:16" ht="15.75" thickBot="1" x14ac:dyDescent="0.3">
      <c r="A1" s="93" t="s">
        <v>361</v>
      </c>
      <c r="B1" s="94" t="s">
        <v>362</v>
      </c>
      <c r="C1" s="94" t="s">
        <v>363</v>
      </c>
      <c r="D1" s="94" t="s">
        <v>364</v>
      </c>
      <c r="E1" s="94" t="s">
        <v>365</v>
      </c>
      <c r="F1" s="94" t="s">
        <v>366</v>
      </c>
      <c r="G1" s="94" t="s">
        <v>367</v>
      </c>
      <c r="H1" s="94" t="s">
        <v>368</v>
      </c>
      <c r="I1" s="94" t="s">
        <v>369</v>
      </c>
      <c r="J1" s="94" t="s">
        <v>370</v>
      </c>
      <c r="K1" s="94" t="s">
        <v>371</v>
      </c>
      <c r="L1" s="94" t="s">
        <v>372</v>
      </c>
      <c r="M1" s="94" t="s">
        <v>373</v>
      </c>
      <c r="N1" s="94" t="s">
        <v>374</v>
      </c>
      <c r="O1" s="94" t="s">
        <v>375</v>
      </c>
      <c r="P1" s="95"/>
    </row>
    <row r="2" spans="1:16" ht="15.75" thickBot="1" x14ac:dyDescent="0.3">
      <c r="A2" s="96">
        <v>2006</v>
      </c>
      <c r="B2" s="97">
        <v>329.5</v>
      </c>
      <c r="C2" s="97">
        <v>332.1</v>
      </c>
      <c r="D2" s="97">
        <v>333.8</v>
      </c>
      <c r="E2" s="97">
        <v>334.7</v>
      </c>
      <c r="F2" s="97">
        <v>335.6</v>
      </c>
      <c r="G2" s="97">
        <v>336</v>
      </c>
      <c r="H2" s="97">
        <v>337</v>
      </c>
      <c r="I2" s="97">
        <v>337.7</v>
      </c>
      <c r="J2" s="97">
        <v>338.3</v>
      </c>
      <c r="K2" s="97">
        <v>339.3</v>
      </c>
      <c r="L2" s="97">
        <v>340.1</v>
      </c>
      <c r="M2" s="97">
        <v>340.1</v>
      </c>
      <c r="N2" s="97">
        <v>333.6</v>
      </c>
      <c r="O2" s="97">
        <v>338.8</v>
      </c>
      <c r="P2" s="98"/>
    </row>
    <row r="3" spans="1:16" ht="15.75" thickBot="1" x14ac:dyDescent="0.3">
      <c r="A3" s="99">
        <v>2007</v>
      </c>
      <c r="B3" s="100">
        <v>343.51</v>
      </c>
      <c r="C3" s="100">
        <v>346.45699999999999</v>
      </c>
      <c r="D3" s="100">
        <v>347.17200000000003</v>
      </c>
      <c r="E3" s="100">
        <v>348.22500000000002</v>
      </c>
      <c r="F3" s="100">
        <v>349.08699999999999</v>
      </c>
      <c r="G3" s="100">
        <v>349.51</v>
      </c>
      <c r="H3" s="100">
        <v>351.64299999999997</v>
      </c>
      <c r="I3" s="100">
        <v>352.96100000000001</v>
      </c>
      <c r="J3" s="100">
        <v>353.72300000000001</v>
      </c>
      <c r="K3" s="100">
        <v>355.65300000000002</v>
      </c>
      <c r="L3" s="100">
        <v>357.041</v>
      </c>
      <c r="M3" s="100">
        <v>357.661</v>
      </c>
      <c r="N3" s="100">
        <v>347.327</v>
      </c>
      <c r="O3" s="100">
        <v>354.78</v>
      </c>
      <c r="P3" s="98"/>
    </row>
    <row r="4" spans="1:16" ht="15.75" thickBot="1" x14ac:dyDescent="0.3">
      <c r="A4" s="96">
        <v>2008</v>
      </c>
      <c r="B4" s="97">
        <v>360.459</v>
      </c>
      <c r="C4" s="97">
        <v>362.15499999999997</v>
      </c>
      <c r="D4" s="97">
        <v>363</v>
      </c>
      <c r="E4" s="97">
        <v>363.18400000000003</v>
      </c>
      <c r="F4" s="97">
        <v>363.39600000000002</v>
      </c>
      <c r="G4" s="97">
        <v>363.61599999999999</v>
      </c>
      <c r="H4" s="97">
        <v>363.96300000000002</v>
      </c>
      <c r="I4" s="97">
        <v>364.47699999999998</v>
      </c>
      <c r="J4" s="97">
        <v>365.036</v>
      </c>
      <c r="K4" s="97">
        <v>365.74599999999998</v>
      </c>
      <c r="L4" s="97">
        <v>366.613</v>
      </c>
      <c r="M4" s="97">
        <v>367.13299999999998</v>
      </c>
      <c r="N4" s="97">
        <v>362.63499999999999</v>
      </c>
      <c r="O4" s="97">
        <v>365.495</v>
      </c>
      <c r="P4" s="98"/>
    </row>
    <row r="5" spans="1:16" ht="15.75" thickBot="1" x14ac:dyDescent="0.3">
      <c r="A5" s="99">
        <v>2009</v>
      </c>
      <c r="B5" s="100">
        <v>369.83</v>
      </c>
      <c r="C5" s="100">
        <v>372.40499999999997</v>
      </c>
      <c r="D5" s="100">
        <v>373.18900000000002</v>
      </c>
      <c r="E5" s="100">
        <v>374.17</v>
      </c>
      <c r="F5" s="100">
        <v>375.02600000000001</v>
      </c>
      <c r="G5" s="100">
        <v>375.09300000000002</v>
      </c>
      <c r="H5" s="100">
        <v>375.73899999999998</v>
      </c>
      <c r="I5" s="100">
        <v>376.53699999999998</v>
      </c>
      <c r="J5" s="100">
        <v>377.72699999999998</v>
      </c>
      <c r="K5" s="100">
        <v>378.55200000000002</v>
      </c>
      <c r="L5" s="100">
        <v>379.57499999999999</v>
      </c>
      <c r="M5" s="100">
        <v>379.51600000000002</v>
      </c>
      <c r="N5" s="100">
        <v>373.286</v>
      </c>
      <c r="O5" s="100">
        <v>377.94099999999997</v>
      </c>
      <c r="P5" s="98"/>
    </row>
    <row r="6" spans="1:16" ht="15.75" thickBot="1" x14ac:dyDescent="0.3">
      <c r="A6" s="96">
        <v>2010</v>
      </c>
      <c r="B6" s="97">
        <v>382.68799999999999</v>
      </c>
      <c r="C6" s="97">
        <v>385.90699999999998</v>
      </c>
      <c r="D6" s="97">
        <v>387.142</v>
      </c>
      <c r="E6" s="97">
        <v>387.70299999999997</v>
      </c>
      <c r="F6" s="97">
        <v>387.762</v>
      </c>
      <c r="G6" s="97">
        <v>388.19900000000001</v>
      </c>
      <c r="H6" s="97">
        <v>387.89800000000002</v>
      </c>
      <c r="I6" s="97">
        <v>388.46699999999998</v>
      </c>
      <c r="J6" s="97">
        <v>390.61599999999999</v>
      </c>
      <c r="K6" s="97">
        <v>391.24</v>
      </c>
      <c r="L6" s="97">
        <v>391.66</v>
      </c>
      <c r="M6" s="97">
        <v>391.94600000000003</v>
      </c>
      <c r="N6" s="97">
        <v>386.56700000000001</v>
      </c>
      <c r="O6" s="97">
        <v>390.30500000000001</v>
      </c>
      <c r="P6" s="98"/>
    </row>
    <row r="7" spans="1:16" ht="15.75" thickBot="1" x14ac:dyDescent="0.3">
      <c r="A7" s="99">
        <v>2011</v>
      </c>
      <c r="B7" s="100">
        <v>393.858</v>
      </c>
      <c r="C7" s="100">
        <v>397.065</v>
      </c>
      <c r="D7" s="100">
        <v>397.726</v>
      </c>
      <c r="E7" s="100">
        <v>398.81299999999999</v>
      </c>
      <c r="F7" s="100">
        <v>399.375</v>
      </c>
      <c r="G7" s="100">
        <v>399.55200000000002</v>
      </c>
      <c r="H7" s="100">
        <v>400.30500000000001</v>
      </c>
      <c r="I7" s="100">
        <v>400.87400000000002</v>
      </c>
      <c r="J7" s="100">
        <v>401.60500000000002</v>
      </c>
      <c r="K7" s="100">
        <v>403.43</v>
      </c>
      <c r="L7" s="100">
        <v>404.858</v>
      </c>
      <c r="M7" s="101">
        <v>405.62900000000002</v>
      </c>
      <c r="N7" s="100">
        <v>397.73200000000003</v>
      </c>
      <c r="O7" s="100">
        <v>402.78399999999999</v>
      </c>
      <c r="P7" s="98"/>
    </row>
    <row r="8" spans="1:16" ht="15.75" thickBot="1" x14ac:dyDescent="0.3">
      <c r="A8" s="96">
        <v>2012</v>
      </c>
      <c r="B8" s="97">
        <v>408.05599999999998</v>
      </c>
      <c r="C8" s="97">
        <v>410.46600000000001</v>
      </c>
      <c r="D8" s="97">
        <v>411.49799999999999</v>
      </c>
      <c r="E8" s="97">
        <v>412.48</v>
      </c>
      <c r="F8" s="97">
        <v>413.65499999999997</v>
      </c>
      <c r="G8" s="97">
        <v>415.34500000000003</v>
      </c>
      <c r="H8" s="97">
        <v>416.75900000000001</v>
      </c>
      <c r="I8" s="97">
        <v>417.12299999999999</v>
      </c>
      <c r="J8" s="97">
        <v>418.03899999999999</v>
      </c>
      <c r="K8" s="97">
        <v>418.35899999999998</v>
      </c>
      <c r="L8" s="97">
        <v>418.65300000000002</v>
      </c>
      <c r="M8" s="97">
        <v>418.654</v>
      </c>
      <c r="N8" s="97">
        <v>411.91699999999997</v>
      </c>
      <c r="O8" s="97">
        <v>417.93099999999998</v>
      </c>
      <c r="P8" s="98"/>
    </row>
    <row r="9" spans="1:16" ht="15.75" thickBot="1" x14ac:dyDescent="0.3">
      <c r="A9" s="99">
        <v>2013</v>
      </c>
      <c r="B9" s="100">
        <v>420.68700000000001</v>
      </c>
      <c r="C9" s="100">
        <v>423.221</v>
      </c>
      <c r="D9" s="100">
        <v>424.154</v>
      </c>
      <c r="E9" s="100">
        <v>423.815</v>
      </c>
      <c r="F9" s="100">
        <v>422.834</v>
      </c>
      <c r="G9" s="100">
        <v>424.26400000000001</v>
      </c>
      <c r="H9" s="100">
        <v>424.83600000000001</v>
      </c>
      <c r="I9" s="100">
        <v>426.86599999999999</v>
      </c>
      <c r="J9" s="100">
        <v>428.02600000000001</v>
      </c>
      <c r="K9" s="100">
        <v>428.08199999999999</v>
      </c>
      <c r="L9" s="100">
        <v>427.74</v>
      </c>
      <c r="M9" s="100">
        <v>427.089</v>
      </c>
      <c r="N9" s="100">
        <v>423.16199999999998</v>
      </c>
      <c r="O9" s="100">
        <v>427.10700000000003</v>
      </c>
      <c r="P9" s="98"/>
    </row>
    <row r="10" spans="1:16" ht="15.75" thickBot="1" x14ac:dyDescent="0.3">
      <c r="A10" s="96">
        <v>2014</v>
      </c>
      <c r="B10" s="97">
        <v>429.62099999999998</v>
      </c>
      <c r="C10" s="97">
        <v>432.76900000000001</v>
      </c>
      <c r="D10" s="97">
        <v>433.36900000000003</v>
      </c>
      <c r="E10" s="97">
        <v>434.05399999999997</v>
      </c>
      <c r="F10" s="97">
        <v>434.87400000000002</v>
      </c>
      <c r="G10" s="97">
        <v>435.35199999999998</v>
      </c>
      <c r="H10" s="97">
        <v>435.92399999999998</v>
      </c>
      <c r="I10" s="97">
        <v>435.77699999999999</v>
      </c>
      <c r="J10" s="97">
        <v>436.57499999999999</v>
      </c>
      <c r="K10" s="97">
        <v>437.02699999999999</v>
      </c>
      <c r="L10" s="97">
        <v>438.44499999999999</v>
      </c>
      <c r="M10" s="97">
        <v>439.72</v>
      </c>
      <c r="N10" s="97">
        <v>433.34</v>
      </c>
      <c r="O10" s="97">
        <v>437.245</v>
      </c>
      <c r="P10" s="98"/>
    </row>
    <row r="11" spans="1:16" ht="15.75" thickBot="1" x14ac:dyDescent="0.3">
      <c r="A11" s="99">
        <v>2015</v>
      </c>
      <c r="B11" s="100">
        <v>440.96899999999999</v>
      </c>
      <c r="C11" s="100">
        <v>442.78300000000002</v>
      </c>
      <c r="D11" s="100">
        <v>444.02</v>
      </c>
      <c r="E11" s="100">
        <v>446.66300000000001</v>
      </c>
      <c r="F11" s="100">
        <v>447.21300000000002</v>
      </c>
      <c r="G11" s="100">
        <v>446.27100000000002</v>
      </c>
      <c r="H11" s="100">
        <v>446.77300000000002</v>
      </c>
      <c r="I11" s="100">
        <v>446.536</v>
      </c>
      <c r="J11" s="100">
        <v>447.28899999999999</v>
      </c>
      <c r="K11" s="100">
        <v>450.065</v>
      </c>
      <c r="L11" s="100">
        <v>451.37099999999998</v>
      </c>
      <c r="M11" s="101">
        <v>451.072</v>
      </c>
      <c r="N11" s="100">
        <v>444.65300000000002</v>
      </c>
      <c r="O11" s="100">
        <v>448.851</v>
      </c>
      <c r="P11" s="98"/>
    </row>
    <row r="12" spans="1:16" ht="15.75" thickBot="1" x14ac:dyDescent="0.3">
      <c r="A12" s="96">
        <v>2016</v>
      </c>
      <c r="B12" s="97">
        <v>454.17500000000001</v>
      </c>
      <c r="C12" s="97">
        <v>458.29500000000002</v>
      </c>
      <c r="D12" s="97">
        <v>458.62</v>
      </c>
      <c r="E12" s="97">
        <v>459.99400000000003</v>
      </c>
      <c r="F12" s="97">
        <v>461.23</v>
      </c>
      <c r="G12" s="97">
        <v>462.07499999999999</v>
      </c>
      <c r="H12" s="97">
        <v>464.16399999999999</v>
      </c>
      <c r="I12" s="97">
        <v>468.37900000000002</v>
      </c>
      <c r="J12" s="97">
        <v>469.154</v>
      </c>
      <c r="K12" s="97">
        <v>469.23</v>
      </c>
      <c r="L12" s="102">
        <v>469.33300000000003</v>
      </c>
      <c r="M12" s="97"/>
      <c r="N12" s="97" t="s">
        <v>376</v>
      </c>
      <c r="O12" s="97"/>
      <c r="P12" s="98"/>
    </row>
    <row r="13" spans="1:16" ht="15.75" thickBot="1" x14ac:dyDescent="0.3">
      <c r="A13" s="119" t="s">
        <v>377</v>
      </c>
      <c r="B13" s="120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1"/>
    </row>
    <row r="15" spans="1:16" x14ac:dyDescent="0.25">
      <c r="A15" t="s">
        <v>378</v>
      </c>
      <c r="J15">
        <f>2980*(M11/M7)</f>
        <v>3313.8522147085146</v>
      </c>
    </row>
    <row r="16" spans="1:16" x14ac:dyDescent="0.25">
      <c r="A16">
        <f>L12-M7</f>
        <v>63.704000000000008</v>
      </c>
      <c r="J16">
        <f>2980*(1+0.11673)</f>
        <v>3327.8553999999999</v>
      </c>
    </row>
    <row r="17" spans="1:1" x14ac:dyDescent="0.25">
      <c r="A17" t="s">
        <v>379</v>
      </c>
    </row>
    <row r="18" spans="1:1" x14ac:dyDescent="0.25">
      <c r="A18">
        <f>A16/M7</f>
        <v>0.15704991507017496</v>
      </c>
    </row>
  </sheetData>
  <mergeCells count="1">
    <mergeCell ref="A13:P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04"/>
  <sheetViews>
    <sheetView topLeftCell="A26" workbookViewId="0">
      <selection activeCell="G53" sqref="G53"/>
    </sheetView>
  </sheetViews>
  <sheetFormatPr defaultColWidth="8.85546875" defaultRowHeight="15" x14ac:dyDescent="0.25"/>
  <cols>
    <col min="3" max="3" width="10.140625" bestFit="1" customWidth="1"/>
    <col min="9" max="10" width="12" bestFit="1" customWidth="1"/>
  </cols>
  <sheetData>
    <row r="1" spans="1:13" x14ac:dyDescent="0.25">
      <c r="B1" s="122" t="s">
        <v>211</v>
      </c>
      <c r="C1" s="123"/>
      <c r="D1" s="123"/>
      <c r="E1" s="123"/>
      <c r="F1" s="123"/>
      <c r="G1" s="123"/>
      <c r="H1" s="123"/>
      <c r="L1" t="s">
        <v>331</v>
      </c>
      <c r="M1" t="s">
        <v>332</v>
      </c>
    </row>
    <row r="2" spans="1:13" ht="108" x14ac:dyDescent="0.25">
      <c r="B2" s="67"/>
      <c r="C2" s="68" t="s">
        <v>212</v>
      </c>
      <c r="D2" s="68" t="s">
        <v>213</v>
      </c>
      <c r="E2" s="68" t="s">
        <v>214</v>
      </c>
      <c r="F2" s="68" t="s">
        <v>215</v>
      </c>
      <c r="G2" s="68" t="s">
        <v>216</v>
      </c>
      <c r="H2" s="68" t="s">
        <v>217</v>
      </c>
    </row>
    <row r="3" spans="1:13" ht="15.75" x14ac:dyDescent="0.3">
      <c r="A3" t="s">
        <v>330</v>
      </c>
      <c r="B3" s="69" t="s">
        <v>218</v>
      </c>
      <c r="C3" s="70" t="s">
        <v>219</v>
      </c>
      <c r="D3" s="70" t="s">
        <v>220</v>
      </c>
      <c r="E3" s="70" t="s">
        <v>221</v>
      </c>
      <c r="F3" s="70" t="s">
        <v>222</v>
      </c>
      <c r="G3" s="70" t="s">
        <v>223</v>
      </c>
      <c r="H3" s="70" t="s">
        <v>224</v>
      </c>
      <c r="I3" s="80" t="s">
        <v>326</v>
      </c>
      <c r="J3" s="80" t="s">
        <v>127</v>
      </c>
    </row>
    <row r="4" spans="1:13" x14ac:dyDescent="0.25">
      <c r="A4">
        <v>0</v>
      </c>
      <c r="B4" s="71" t="s">
        <v>225</v>
      </c>
      <c r="C4" s="72">
        <v>6.5926676616072698E-3</v>
      </c>
      <c r="D4" s="73">
        <v>100000</v>
      </c>
      <c r="E4" s="73">
        <v>659.26678466796898</v>
      </c>
      <c r="F4" s="73">
        <v>99425.1171875</v>
      </c>
      <c r="G4" s="73">
        <v>7812388.5</v>
      </c>
      <c r="H4" s="74">
        <v>78.123886108398395</v>
      </c>
      <c r="I4">
        <f>-LN(1-C4)/365</f>
        <v>1.8121904884334108E-5</v>
      </c>
      <c r="J4">
        <f>1-EXP(-I4*3)</f>
        <v>5.4364236864334892E-5</v>
      </c>
    </row>
    <row r="5" spans="1:13" x14ac:dyDescent="0.25">
      <c r="A5">
        <v>1</v>
      </c>
      <c r="B5" s="75" t="s">
        <v>226</v>
      </c>
      <c r="C5" s="72">
        <v>4.6089894021861299E-4</v>
      </c>
      <c r="D5" s="73">
        <v>99340.734375</v>
      </c>
      <c r="E5" s="73">
        <v>45.786037445068402</v>
      </c>
      <c r="F5" s="73">
        <v>99317.84375</v>
      </c>
      <c r="G5" s="73">
        <v>7712963.5</v>
      </c>
      <c r="H5" s="74">
        <v>77.641502380371094</v>
      </c>
      <c r="I5">
        <f t="shared" ref="I5:I68" si="0">-LN(1-C5)/365</f>
        <v>1.2630279089927849E-6</v>
      </c>
      <c r="J5">
        <f t="shared" ref="J5:J68" si="1">1-EXP(-I5*3)</f>
        <v>3.7890765484105415E-6</v>
      </c>
    </row>
    <row r="6" spans="1:13" x14ac:dyDescent="0.25">
      <c r="A6">
        <v>2</v>
      </c>
      <c r="B6" s="75" t="s">
        <v>227</v>
      </c>
      <c r="C6" s="72">
        <v>2.80644453596324E-4</v>
      </c>
      <c r="D6" s="73">
        <v>99294.9453125</v>
      </c>
      <c r="E6" s="73">
        <v>27.866575241088899</v>
      </c>
      <c r="F6" s="73">
        <v>99281.015625</v>
      </c>
      <c r="G6" s="73">
        <v>7613646</v>
      </c>
      <c r="H6" s="74">
        <v>76.677078247070298</v>
      </c>
      <c r="I6">
        <f t="shared" si="0"/>
        <v>7.6899682635758077E-7</v>
      </c>
      <c r="J6">
        <f t="shared" si="1"/>
        <v>2.306987818001538E-6</v>
      </c>
    </row>
    <row r="7" spans="1:13" x14ac:dyDescent="0.25">
      <c r="A7">
        <v>3</v>
      </c>
      <c r="B7" s="75" t="s">
        <v>228</v>
      </c>
      <c r="C7" s="72">
        <v>2.1856676903553299E-4</v>
      </c>
      <c r="D7" s="73">
        <v>99267.078125</v>
      </c>
      <c r="E7" s="73">
        <v>21.696483612060501</v>
      </c>
      <c r="F7" s="73">
        <v>99256.234375</v>
      </c>
      <c r="G7" s="73">
        <v>7514365</v>
      </c>
      <c r="H7" s="74">
        <v>75.698463439941406</v>
      </c>
      <c r="I7">
        <f t="shared" si="0"/>
        <v>5.9887851570625458E-7</v>
      </c>
      <c r="J7">
        <f t="shared" si="1"/>
        <v>1.7966339331820791E-6</v>
      </c>
    </row>
    <row r="8" spans="1:13" x14ac:dyDescent="0.25">
      <c r="A8">
        <v>4</v>
      </c>
      <c r="B8" s="75" t="s">
        <v>229</v>
      </c>
      <c r="C8" s="72">
        <v>1.7189435311593099E-4</v>
      </c>
      <c r="D8" s="73">
        <v>99245.3828125</v>
      </c>
      <c r="E8" s="73">
        <v>17.059720993041999</v>
      </c>
      <c r="F8" s="73">
        <v>99236.8515625</v>
      </c>
      <c r="G8" s="73">
        <v>7415108.5</v>
      </c>
      <c r="H8" s="74">
        <v>74.714897155761705</v>
      </c>
      <c r="I8">
        <f t="shared" si="0"/>
        <v>4.709839140917584E-7</v>
      </c>
      <c r="J8">
        <f t="shared" si="1"/>
        <v>1.4129507440729938E-6</v>
      </c>
    </row>
    <row r="9" spans="1:13" x14ac:dyDescent="0.25">
      <c r="A9">
        <v>5</v>
      </c>
      <c r="B9" s="75" t="s">
        <v>230</v>
      </c>
      <c r="C9" s="72">
        <v>1.5481082664337001E-4</v>
      </c>
      <c r="D9" s="73">
        <v>99228.3203125</v>
      </c>
      <c r="E9" s="73">
        <v>15.3616180419922</v>
      </c>
      <c r="F9" s="73">
        <v>99220.640625</v>
      </c>
      <c r="G9" s="73">
        <v>7315871.5</v>
      </c>
      <c r="H9" s="74">
        <v>73.727653503417997</v>
      </c>
      <c r="I9">
        <f t="shared" si="0"/>
        <v>4.2417208514051785E-7</v>
      </c>
      <c r="J9">
        <f t="shared" si="1"/>
        <v>1.2725154457937649E-6</v>
      </c>
    </row>
    <row r="10" spans="1:13" x14ac:dyDescent="0.25">
      <c r="A10">
        <v>6</v>
      </c>
      <c r="B10" s="75" t="s">
        <v>231</v>
      </c>
      <c r="C10" s="72">
        <v>1.3919359480496499E-4</v>
      </c>
      <c r="D10" s="73">
        <v>99212.9609375</v>
      </c>
      <c r="E10" s="73">
        <v>13.8098087310791</v>
      </c>
      <c r="F10" s="73">
        <v>99206.0546875</v>
      </c>
      <c r="G10" s="73">
        <v>7216651</v>
      </c>
      <c r="H10" s="74">
        <v>72.738990783691406</v>
      </c>
      <c r="I10">
        <f t="shared" si="0"/>
        <v>3.8137885789706345E-7</v>
      </c>
      <c r="J10">
        <f t="shared" si="1"/>
        <v>1.1441359191177725E-6</v>
      </c>
    </row>
    <row r="11" spans="1:13" x14ac:dyDescent="0.25">
      <c r="A11">
        <v>7</v>
      </c>
      <c r="B11" s="75" t="s">
        <v>232</v>
      </c>
      <c r="C11" s="72">
        <v>1.2574120773933801E-4</v>
      </c>
      <c r="D11" s="73">
        <v>99199.1484375</v>
      </c>
      <c r="E11" s="73">
        <v>12.4734210968018</v>
      </c>
      <c r="F11" s="73">
        <v>99192.90625</v>
      </c>
      <c r="G11" s="73">
        <v>7117445</v>
      </c>
      <c r="H11" s="74">
        <v>71.749053955078097</v>
      </c>
      <c r="I11">
        <f t="shared" si="0"/>
        <v>3.4451812007603971E-7</v>
      </c>
      <c r="J11">
        <f t="shared" si="1"/>
        <v>1.033553826079725E-6</v>
      </c>
    </row>
    <row r="12" spans="1:13" x14ac:dyDescent="0.25">
      <c r="A12">
        <v>8</v>
      </c>
      <c r="B12" s="75" t="s">
        <v>233</v>
      </c>
      <c r="C12" s="72">
        <v>1.1009148875018599E-4</v>
      </c>
      <c r="D12" s="73">
        <v>99186.671875</v>
      </c>
      <c r="E12" s="73">
        <v>10.919608116149901</v>
      </c>
      <c r="F12" s="73">
        <v>99181.2109375</v>
      </c>
      <c r="G12" s="73">
        <v>7018252</v>
      </c>
      <c r="H12" s="74">
        <v>70.758018493652301</v>
      </c>
      <c r="I12">
        <f t="shared" si="0"/>
        <v>3.0163712126834182E-7</v>
      </c>
      <c r="J12">
        <f t="shared" si="1"/>
        <v>9.0491095439126923E-7</v>
      </c>
    </row>
    <row r="13" spans="1:13" x14ac:dyDescent="0.25">
      <c r="A13">
        <v>9</v>
      </c>
      <c r="B13" s="75" t="s">
        <v>234</v>
      </c>
      <c r="C13" s="72">
        <v>9.3072776508051902E-5</v>
      </c>
      <c r="D13" s="73">
        <v>99175.75</v>
      </c>
      <c r="E13" s="73">
        <v>9.2305622100830096</v>
      </c>
      <c r="F13" s="73">
        <v>99171.1328125</v>
      </c>
      <c r="G13" s="73">
        <v>6919071</v>
      </c>
      <c r="H13" s="74">
        <v>69.765754699707003</v>
      </c>
      <c r="I13">
        <f t="shared" si="0"/>
        <v>2.5500577547310425E-7</v>
      </c>
      <c r="J13">
        <f t="shared" si="1"/>
        <v>7.6501703383247133E-7</v>
      </c>
    </row>
    <row r="14" spans="1:13" x14ac:dyDescent="0.25">
      <c r="A14">
        <v>10</v>
      </c>
      <c r="B14" s="75" t="s">
        <v>235</v>
      </c>
      <c r="C14" s="72">
        <v>8.1286802014801705E-5</v>
      </c>
      <c r="D14" s="73">
        <v>99166.515625</v>
      </c>
      <c r="E14" s="73">
        <v>8.0609292984008807</v>
      </c>
      <c r="F14" s="73">
        <v>99162.484375</v>
      </c>
      <c r="G14" s="73">
        <v>6819899.5</v>
      </c>
      <c r="H14" s="74">
        <v>68.772201538085895</v>
      </c>
      <c r="I14">
        <f t="shared" si="0"/>
        <v>2.2271261908476395E-7</v>
      </c>
      <c r="J14">
        <f t="shared" si="1"/>
        <v>6.6813763399675707E-7</v>
      </c>
    </row>
    <row r="15" spans="1:13" x14ac:dyDescent="0.25">
      <c r="A15">
        <v>11</v>
      </c>
      <c r="B15" s="75" t="s">
        <v>236</v>
      </c>
      <c r="C15" s="72">
        <v>8.6567728430964093E-5</v>
      </c>
      <c r="D15" s="73">
        <v>99158.453125</v>
      </c>
      <c r="E15" s="73">
        <v>8.58392238616943</v>
      </c>
      <c r="F15" s="73">
        <v>99154.15625</v>
      </c>
      <c r="G15" s="73">
        <v>6720737.5</v>
      </c>
      <c r="H15" s="74">
        <v>67.777755737304702</v>
      </c>
      <c r="I15">
        <f t="shared" si="0"/>
        <v>2.3718212502198989E-7</v>
      </c>
      <c r="J15">
        <f t="shared" si="1"/>
        <v>7.1154612191204336E-7</v>
      </c>
    </row>
    <row r="16" spans="1:13" x14ac:dyDescent="0.25">
      <c r="A16">
        <v>12</v>
      </c>
      <c r="B16" s="75" t="s">
        <v>237</v>
      </c>
      <c r="C16" s="72">
        <v>1.2263510143384299E-4</v>
      </c>
      <c r="D16" s="73">
        <v>99149.8671875</v>
      </c>
      <c r="E16" s="73">
        <v>12.159254074096699</v>
      </c>
      <c r="F16" s="73">
        <v>99143.7890625</v>
      </c>
      <c r="G16" s="73">
        <v>6621583</v>
      </c>
      <c r="H16" s="74">
        <v>66.783576965332003</v>
      </c>
      <c r="I16">
        <f t="shared" si="0"/>
        <v>3.3600718282941535E-7</v>
      </c>
      <c r="J16">
        <f t="shared" si="1"/>
        <v>1.008021040416196E-6</v>
      </c>
    </row>
    <row r="17" spans="1:10" x14ac:dyDescent="0.25">
      <c r="A17">
        <v>13</v>
      </c>
      <c r="B17" s="75" t="s">
        <v>238</v>
      </c>
      <c r="C17" s="72">
        <v>1.9562558736652101E-4</v>
      </c>
      <c r="D17" s="73">
        <v>99137.7109375</v>
      </c>
      <c r="E17" s="73">
        <v>19.393873214721701</v>
      </c>
      <c r="F17" s="73">
        <v>99128.015625</v>
      </c>
      <c r="G17" s="73">
        <v>6522439.5</v>
      </c>
      <c r="H17" s="74">
        <v>65.791709899902301</v>
      </c>
      <c r="I17">
        <f t="shared" si="0"/>
        <v>5.3601294396600865E-7</v>
      </c>
      <c r="J17">
        <f t="shared" si="1"/>
        <v>1.6080375390137291E-6</v>
      </c>
    </row>
    <row r="18" spans="1:10" x14ac:dyDescent="0.25">
      <c r="A18">
        <v>14</v>
      </c>
      <c r="B18" s="75" t="s">
        <v>239</v>
      </c>
      <c r="C18" s="72">
        <v>2.9290339443832598E-4</v>
      </c>
      <c r="D18" s="73">
        <v>99118.3203125</v>
      </c>
      <c r="E18" s="73">
        <v>29.0320930480957</v>
      </c>
      <c r="F18" s="73">
        <v>99103.8046875</v>
      </c>
      <c r="G18" s="73">
        <v>6423311.5</v>
      </c>
      <c r="H18" s="74">
        <v>64.804481506347699</v>
      </c>
      <c r="I18">
        <f t="shared" si="0"/>
        <v>8.0259260004300968E-7</v>
      </c>
      <c r="J18">
        <f t="shared" si="1"/>
        <v>2.4077749014583816E-6</v>
      </c>
    </row>
    <row r="19" spans="1:10" x14ac:dyDescent="0.25">
      <c r="A19">
        <v>15</v>
      </c>
      <c r="B19" s="75" t="s">
        <v>240</v>
      </c>
      <c r="C19" s="72">
        <v>3.95176524762064E-4</v>
      </c>
      <c r="D19" s="73">
        <v>99089.2890625</v>
      </c>
      <c r="E19" s="73">
        <v>39.157760620117202</v>
      </c>
      <c r="F19" s="73">
        <v>99069.7109375</v>
      </c>
      <c r="G19" s="73">
        <v>6324207.5</v>
      </c>
      <c r="H19" s="74">
        <v>63.823322296142599</v>
      </c>
      <c r="I19">
        <f t="shared" si="0"/>
        <v>1.0828893906352623E-6</v>
      </c>
      <c r="J19">
        <f t="shared" si="1"/>
        <v>3.2486628950278984E-6</v>
      </c>
    </row>
    <row r="20" spans="1:10" x14ac:dyDescent="0.25">
      <c r="A20">
        <v>16</v>
      </c>
      <c r="B20" s="75" t="s">
        <v>241</v>
      </c>
      <c r="C20" s="72">
        <v>4.9019238213077198E-4</v>
      </c>
      <c r="D20" s="73">
        <v>99050.1328125</v>
      </c>
      <c r="E20" s="73">
        <v>48.553619384765597</v>
      </c>
      <c r="F20" s="73">
        <v>99025.859375</v>
      </c>
      <c r="G20" s="73">
        <v>6225138</v>
      </c>
      <c r="H20" s="74">
        <v>62.848354339599602</v>
      </c>
      <c r="I20">
        <f t="shared" si="0"/>
        <v>1.3433220977904223E-6</v>
      </c>
      <c r="J20">
        <f t="shared" si="1"/>
        <v>4.0299581730574019E-6</v>
      </c>
    </row>
    <row r="21" spans="1:10" x14ac:dyDescent="0.25">
      <c r="A21">
        <v>17</v>
      </c>
      <c r="B21" s="75" t="s">
        <v>242</v>
      </c>
      <c r="C21" s="72">
        <v>5.8083201292902199E-4</v>
      </c>
      <c r="D21" s="73">
        <v>99001.578125</v>
      </c>
      <c r="E21" s="73">
        <v>57.503284454345703</v>
      </c>
      <c r="F21" s="73">
        <v>98972.828125</v>
      </c>
      <c r="G21" s="73">
        <v>6126112</v>
      </c>
      <c r="H21" s="74">
        <v>61.878932952880902</v>
      </c>
      <c r="I21">
        <f t="shared" si="0"/>
        <v>1.591782907366398E-6</v>
      </c>
      <c r="J21">
        <f t="shared" si="1"/>
        <v>4.7753373201286919E-6</v>
      </c>
    </row>
    <row r="22" spans="1:10" x14ac:dyDescent="0.25">
      <c r="A22">
        <v>18</v>
      </c>
      <c r="B22" s="75" t="s">
        <v>243</v>
      </c>
      <c r="C22" s="72">
        <v>6.6569802584126603E-4</v>
      </c>
      <c r="D22" s="73">
        <v>98944.078125</v>
      </c>
      <c r="E22" s="73">
        <v>65.866874694824205</v>
      </c>
      <c r="F22" s="73">
        <v>98911.140625</v>
      </c>
      <c r="G22" s="73">
        <v>6027139</v>
      </c>
      <c r="H22" s="74">
        <v>60.914600372314503</v>
      </c>
      <c r="I22">
        <f t="shared" si="0"/>
        <v>1.8244375374157347E-6</v>
      </c>
      <c r="J22">
        <f t="shared" si="1"/>
        <v>5.4732976336735462E-6</v>
      </c>
    </row>
    <row r="23" spans="1:10" x14ac:dyDescent="0.25">
      <c r="A23">
        <v>19</v>
      </c>
      <c r="B23" s="75" t="s">
        <v>244</v>
      </c>
      <c r="C23" s="72">
        <v>7.4600049993023298E-4</v>
      </c>
      <c r="D23" s="73">
        <v>98878.2109375</v>
      </c>
      <c r="E23" s="73">
        <v>73.763191223144503</v>
      </c>
      <c r="F23" s="73">
        <v>98841.328125</v>
      </c>
      <c r="G23" s="73">
        <v>5928228</v>
      </c>
      <c r="H23" s="74">
        <v>59.954845428466797</v>
      </c>
      <c r="I23">
        <f t="shared" si="0"/>
        <v>2.0445997171723611E-6</v>
      </c>
      <c r="J23">
        <f t="shared" si="1"/>
        <v>6.1337803397565338E-6</v>
      </c>
    </row>
    <row r="24" spans="1:10" x14ac:dyDescent="0.25">
      <c r="A24">
        <v>20</v>
      </c>
      <c r="B24" s="75" t="s">
        <v>245</v>
      </c>
      <c r="C24" s="72">
        <v>8.3191203884780396E-4</v>
      </c>
      <c r="D24" s="73">
        <v>98804.4453125</v>
      </c>
      <c r="E24" s="73">
        <v>82.196609497070298</v>
      </c>
      <c r="F24" s="73">
        <v>98763.34375</v>
      </c>
      <c r="G24" s="73">
        <v>5829386.5</v>
      </c>
      <c r="H24" s="74">
        <v>58.999233245849602</v>
      </c>
      <c r="I24">
        <f t="shared" si="0"/>
        <v>2.2801596430239003E-6</v>
      </c>
      <c r="J24">
        <f t="shared" si="1"/>
        <v>6.8404555330081607E-6</v>
      </c>
    </row>
    <row r="25" spans="1:10" x14ac:dyDescent="0.25">
      <c r="A25">
        <v>21</v>
      </c>
      <c r="B25" s="75" t="s">
        <v>246</v>
      </c>
      <c r="C25" s="72">
        <v>9.1451895423233498E-4</v>
      </c>
      <c r="D25" s="73">
        <v>98722.25</v>
      </c>
      <c r="E25" s="73">
        <v>90.283370971679702</v>
      </c>
      <c r="F25" s="73">
        <v>98677.109375</v>
      </c>
      <c r="G25" s="73">
        <v>5730623.5</v>
      </c>
      <c r="H25" s="74">
        <v>58.047943115234403</v>
      </c>
      <c r="I25">
        <f t="shared" si="0"/>
        <v>2.5066777584034237E-6</v>
      </c>
      <c r="J25">
        <f t="shared" si="1"/>
        <v>7.520004999816976E-6</v>
      </c>
    </row>
    <row r="26" spans="1:10" x14ac:dyDescent="0.25">
      <c r="A26">
        <v>22</v>
      </c>
      <c r="B26" s="75" t="s">
        <v>247</v>
      </c>
      <c r="C26" s="72">
        <v>9.7167165949940703E-4</v>
      </c>
      <c r="D26" s="73">
        <v>98631.96875</v>
      </c>
      <c r="E26" s="73">
        <v>95.837890625</v>
      </c>
      <c r="F26" s="73">
        <v>98584.046875</v>
      </c>
      <c r="G26" s="73">
        <v>5631946</v>
      </c>
      <c r="H26" s="74">
        <v>57.100612640380902</v>
      </c>
      <c r="I26">
        <f t="shared" si="0"/>
        <v>2.6634083244637814E-6</v>
      </c>
      <c r="J26">
        <f t="shared" si="1"/>
        <v>7.9901930516435016E-6</v>
      </c>
    </row>
    <row r="27" spans="1:10" x14ac:dyDescent="0.25">
      <c r="A27">
        <v>23</v>
      </c>
      <c r="B27" s="75" t="s">
        <v>248</v>
      </c>
      <c r="C27" s="72">
        <v>9.9273840896785303E-4</v>
      </c>
      <c r="D27" s="73">
        <v>98536.1328125</v>
      </c>
      <c r="E27" s="73">
        <v>97.820602416992202</v>
      </c>
      <c r="F27" s="73">
        <v>98487.21875</v>
      </c>
      <c r="G27" s="73">
        <v>5533362</v>
      </c>
      <c r="H27" s="74">
        <v>56.155662536621101</v>
      </c>
      <c r="I27">
        <f t="shared" si="0"/>
        <v>2.7211821920808985E-6</v>
      </c>
      <c r="J27">
        <f t="shared" si="1"/>
        <v>8.1635132546109546E-6</v>
      </c>
    </row>
    <row r="28" spans="1:10" x14ac:dyDescent="0.25">
      <c r="A28">
        <v>24</v>
      </c>
      <c r="B28" s="75" t="s">
        <v>249</v>
      </c>
      <c r="C28" s="72">
        <v>9.8723825067281701E-4</v>
      </c>
      <c r="D28" s="73">
        <v>98438.3125</v>
      </c>
      <c r="E28" s="73">
        <v>97.182067871093807</v>
      </c>
      <c r="F28" s="73">
        <v>98389.71875</v>
      </c>
      <c r="G28" s="73">
        <v>5434875</v>
      </c>
      <c r="H28" s="74">
        <v>55.210971832275398</v>
      </c>
      <c r="I28">
        <f t="shared" si="0"/>
        <v>2.7060983324000944E-6</v>
      </c>
      <c r="J28">
        <f t="shared" si="1"/>
        <v>8.1182620439435027E-6</v>
      </c>
    </row>
    <row r="29" spans="1:10" x14ac:dyDescent="0.25">
      <c r="A29">
        <v>25</v>
      </c>
      <c r="B29" s="75" t="s">
        <v>250</v>
      </c>
      <c r="C29" s="72">
        <v>9.7368127899244395E-4</v>
      </c>
      <c r="D29" s="73">
        <v>98341.1328125</v>
      </c>
      <c r="E29" s="73">
        <v>95.752922058105497</v>
      </c>
      <c r="F29" s="73">
        <v>98293.2578125</v>
      </c>
      <c r="G29" s="73">
        <v>5336485</v>
      </c>
      <c r="H29" s="74">
        <v>54.2650337219238</v>
      </c>
      <c r="I29">
        <f t="shared" si="0"/>
        <v>2.6689194918768833E-6</v>
      </c>
      <c r="J29">
        <f t="shared" si="1"/>
        <v>8.0067264216499012E-6</v>
      </c>
    </row>
    <row r="30" spans="1:10" x14ac:dyDescent="0.25">
      <c r="A30">
        <v>26</v>
      </c>
      <c r="B30" s="75" t="s">
        <v>251</v>
      </c>
      <c r="C30" s="72">
        <v>9.6609810134396E-4</v>
      </c>
      <c r="D30" s="73">
        <v>98245.3828125</v>
      </c>
      <c r="E30" s="73">
        <v>94.914680480957003</v>
      </c>
      <c r="F30" s="73">
        <v>98197.921875</v>
      </c>
      <c r="G30" s="73">
        <v>5238192</v>
      </c>
      <c r="H30" s="74">
        <v>53.317436218261697</v>
      </c>
      <c r="I30">
        <f t="shared" si="0"/>
        <v>2.648123492877827E-6</v>
      </c>
      <c r="J30">
        <f t="shared" si="1"/>
        <v>7.9443389222610961E-6</v>
      </c>
    </row>
    <row r="31" spans="1:10" x14ac:dyDescent="0.25">
      <c r="A31">
        <v>27</v>
      </c>
      <c r="B31" s="75" t="s">
        <v>252</v>
      </c>
      <c r="C31" s="72">
        <v>9.6410629339516195E-4</v>
      </c>
      <c r="D31" s="73">
        <v>98150.46875</v>
      </c>
      <c r="E31" s="73">
        <v>94.627487182617202</v>
      </c>
      <c r="F31" s="73">
        <v>98103.15625</v>
      </c>
      <c r="G31" s="73">
        <v>5139994</v>
      </c>
      <c r="H31" s="74">
        <v>52.3685111999512</v>
      </c>
      <c r="I31">
        <f t="shared" si="0"/>
        <v>2.6426612131407497E-6</v>
      </c>
      <c r="J31">
        <f t="shared" si="1"/>
        <v>7.9279522130493163E-6</v>
      </c>
    </row>
    <row r="32" spans="1:10" x14ac:dyDescent="0.25">
      <c r="A32">
        <v>28</v>
      </c>
      <c r="B32" s="75" t="s">
        <v>253</v>
      </c>
      <c r="C32" s="72">
        <v>9.7326294053345897E-4</v>
      </c>
      <c r="D32" s="73">
        <v>98055.84375</v>
      </c>
      <c r="E32" s="73">
        <v>95.434120178222699</v>
      </c>
      <c r="F32" s="73">
        <v>98008.125</v>
      </c>
      <c r="G32" s="73">
        <v>5041891</v>
      </c>
      <c r="H32" s="74">
        <v>51.418567657470703</v>
      </c>
      <c r="I32">
        <f t="shared" si="0"/>
        <v>2.6677722422970718E-6</v>
      </c>
      <c r="J32">
        <f t="shared" si="1"/>
        <v>8.0032847004085639E-6</v>
      </c>
    </row>
    <row r="33" spans="1:10" x14ac:dyDescent="0.25">
      <c r="A33">
        <v>29</v>
      </c>
      <c r="B33" s="75" t="s">
        <v>254</v>
      </c>
      <c r="C33" s="72">
        <v>9.9321070592850403E-4</v>
      </c>
      <c r="D33" s="73">
        <v>97960.40625</v>
      </c>
      <c r="E33" s="73">
        <v>97.295326232910199</v>
      </c>
      <c r="F33" s="73">
        <v>97911.7578125</v>
      </c>
      <c r="G33" s="73">
        <v>4943882.5</v>
      </c>
      <c r="H33" s="74">
        <v>50.468170166015597</v>
      </c>
      <c r="I33">
        <f t="shared" si="0"/>
        <v>2.7224774425073769E-6</v>
      </c>
      <c r="J33">
        <f t="shared" si="1"/>
        <v>8.1673989741348763E-6</v>
      </c>
    </row>
    <row r="34" spans="1:10" x14ac:dyDescent="0.25">
      <c r="A34">
        <v>30</v>
      </c>
      <c r="B34" s="75" t="s">
        <v>255</v>
      </c>
      <c r="C34" s="72">
        <v>1.0203240672126399E-3</v>
      </c>
      <c r="D34" s="73">
        <v>97863.109375</v>
      </c>
      <c r="E34" s="73">
        <v>99.852088928222699</v>
      </c>
      <c r="F34" s="73">
        <v>97813.1875</v>
      </c>
      <c r="G34" s="73">
        <v>4845971</v>
      </c>
      <c r="H34" s="74">
        <v>49.517852783203097</v>
      </c>
      <c r="I34">
        <f t="shared" si="0"/>
        <v>2.7968354853647891E-6</v>
      </c>
      <c r="J34">
        <f t="shared" si="1"/>
        <v>8.3904712558924288E-6</v>
      </c>
    </row>
    <row r="35" spans="1:10" x14ac:dyDescent="0.25">
      <c r="A35">
        <v>31</v>
      </c>
      <c r="B35" s="75" t="s">
        <v>256</v>
      </c>
      <c r="C35" s="72">
        <v>1.05207622982562E-3</v>
      </c>
      <c r="D35" s="73">
        <v>97763.2578125</v>
      </c>
      <c r="E35" s="73">
        <v>102.85440063476599</v>
      </c>
      <c r="F35" s="73">
        <v>97711.828125</v>
      </c>
      <c r="G35" s="73">
        <v>4748158</v>
      </c>
      <c r="H35" s="74">
        <v>48.567920684814503</v>
      </c>
      <c r="I35">
        <f t="shared" si="0"/>
        <v>2.8839179465682627E-6</v>
      </c>
      <c r="J35">
        <f t="shared" si="1"/>
        <v>8.6517164133992353E-6</v>
      </c>
    </row>
    <row r="36" spans="1:10" x14ac:dyDescent="0.25">
      <c r="A36">
        <v>32</v>
      </c>
      <c r="B36" s="75" t="s">
        <v>257</v>
      </c>
      <c r="C36" s="72">
        <v>1.0884562507271799E-3</v>
      </c>
      <c r="D36" s="73">
        <v>97660.40625</v>
      </c>
      <c r="E36" s="73">
        <v>106.29907989502</v>
      </c>
      <c r="F36" s="73">
        <v>97607.2578125</v>
      </c>
      <c r="G36" s="73">
        <v>4650446</v>
      </c>
      <c r="H36" s="74">
        <v>47.618541717529297</v>
      </c>
      <c r="I36">
        <f t="shared" si="0"/>
        <v>2.9836960258302949E-6</v>
      </c>
      <c r="J36">
        <f t="shared" si="1"/>
        <v>8.9510480165699846E-6</v>
      </c>
    </row>
    <row r="37" spans="1:10" x14ac:dyDescent="0.25">
      <c r="A37">
        <v>33</v>
      </c>
      <c r="B37" s="75" t="s">
        <v>258</v>
      </c>
      <c r="C37" s="72">
        <v>1.13412400241941E-3</v>
      </c>
      <c r="D37" s="73">
        <v>97554.109375</v>
      </c>
      <c r="E37" s="73">
        <v>110.638458251953</v>
      </c>
      <c r="F37" s="73">
        <v>97498.7890625</v>
      </c>
      <c r="G37" s="73">
        <v>4552838.5</v>
      </c>
      <c r="H37" s="74">
        <v>46.669879913330099</v>
      </c>
      <c r="I37">
        <f t="shared" si="0"/>
        <v>3.1089523498922421E-6</v>
      </c>
      <c r="J37">
        <f t="shared" si="1"/>
        <v>9.3268135546997755E-6</v>
      </c>
    </row>
    <row r="38" spans="1:10" x14ac:dyDescent="0.25">
      <c r="A38">
        <v>34</v>
      </c>
      <c r="B38" s="75" t="s">
        <v>259</v>
      </c>
      <c r="C38" s="72">
        <v>1.18345394730568E-3</v>
      </c>
      <c r="D38" s="73">
        <v>97443.46875</v>
      </c>
      <c r="E38" s="73">
        <v>115.319854736328</v>
      </c>
      <c r="F38" s="73">
        <v>97385.8125</v>
      </c>
      <c r="G38" s="73">
        <v>4455340</v>
      </c>
      <c r="H38" s="74">
        <v>45.722305297851598</v>
      </c>
      <c r="I38">
        <f t="shared" si="0"/>
        <v>3.2442596764929739E-6</v>
      </c>
      <c r="J38">
        <f t="shared" si="1"/>
        <v>9.7327316661566243E-6</v>
      </c>
    </row>
    <row r="39" spans="1:10" x14ac:dyDescent="0.25">
      <c r="A39">
        <v>35</v>
      </c>
      <c r="B39" s="75" t="s">
        <v>260</v>
      </c>
      <c r="C39" s="72">
        <v>1.2419635895639699E-3</v>
      </c>
      <c r="D39" s="73">
        <v>97328.1484375</v>
      </c>
      <c r="E39" s="73">
        <v>120.87801361084</v>
      </c>
      <c r="F39" s="73">
        <v>97267.7109375</v>
      </c>
      <c r="G39" s="73">
        <v>4357954</v>
      </c>
      <c r="H39" s="74">
        <v>44.775886535644503</v>
      </c>
      <c r="I39">
        <f t="shared" si="0"/>
        <v>3.4047547000098548E-6</v>
      </c>
      <c r="J39">
        <f t="shared" si="1"/>
        <v>1.0214211934589379E-5</v>
      </c>
    </row>
    <row r="40" spans="1:10" x14ac:dyDescent="0.25">
      <c r="A40">
        <v>36</v>
      </c>
      <c r="B40" s="75" t="s">
        <v>261</v>
      </c>
      <c r="C40" s="72">
        <v>1.3136452762409999E-3</v>
      </c>
      <c r="D40" s="73">
        <v>97207.2734375</v>
      </c>
      <c r="E40" s="73">
        <v>127.695877075195</v>
      </c>
      <c r="F40" s="73">
        <v>97143.421875</v>
      </c>
      <c r="G40" s="73">
        <v>4260686.5</v>
      </c>
      <c r="H40" s="74">
        <v>43.830944061279297</v>
      </c>
      <c r="I40">
        <f t="shared" si="0"/>
        <v>3.6013941495312614E-6</v>
      </c>
      <c r="J40">
        <f t="shared" si="1"/>
        <v>1.0804124083607647E-5</v>
      </c>
    </row>
    <row r="41" spans="1:10" x14ac:dyDescent="0.25">
      <c r="A41">
        <v>37</v>
      </c>
      <c r="B41" s="75" t="s">
        <v>262</v>
      </c>
      <c r="C41" s="72">
        <v>1.4003462856635499E-3</v>
      </c>
      <c r="D41" s="73">
        <v>97079.578125</v>
      </c>
      <c r="E41" s="73">
        <v>135.94502258300801</v>
      </c>
      <c r="F41" s="73">
        <v>97011.609375</v>
      </c>
      <c r="G41" s="73">
        <v>4163543</v>
      </c>
      <c r="H41" s="74">
        <v>42.887939453125</v>
      </c>
      <c r="I41">
        <f t="shared" si="0"/>
        <v>3.8392539365244222E-6</v>
      </c>
      <c r="J41">
        <f t="shared" si="1"/>
        <v>1.1517695480356416E-5</v>
      </c>
    </row>
    <row r="42" spans="1:10" x14ac:dyDescent="0.25">
      <c r="A42">
        <v>38</v>
      </c>
      <c r="B42" s="75" t="s">
        <v>263</v>
      </c>
      <c r="C42" s="72">
        <v>1.5066701453179099E-3</v>
      </c>
      <c r="D42" s="73">
        <v>96943.6328125</v>
      </c>
      <c r="E42" s="73">
        <v>146.06207275390599</v>
      </c>
      <c r="F42" s="73">
        <v>96870.6015625</v>
      </c>
      <c r="G42" s="73">
        <v>4066531.25</v>
      </c>
      <c r="H42" s="74">
        <v>41.947380065917997</v>
      </c>
      <c r="I42">
        <f t="shared" si="0"/>
        <v>4.1309762031392125E-6</v>
      </c>
      <c r="J42">
        <f t="shared" si="1"/>
        <v>1.2392851817422113E-5</v>
      </c>
    </row>
    <row r="43" spans="1:10" x14ac:dyDescent="0.25">
      <c r="A43">
        <v>39</v>
      </c>
      <c r="B43" s="75" t="s">
        <v>264</v>
      </c>
      <c r="C43" s="72">
        <v>1.6349499346688401E-3</v>
      </c>
      <c r="D43" s="73">
        <v>96797.5703125</v>
      </c>
      <c r="E43" s="73">
        <v>158.25918579101599</v>
      </c>
      <c r="F43" s="73">
        <v>96718.4375</v>
      </c>
      <c r="G43" s="73">
        <v>3969660.75</v>
      </c>
      <c r="H43" s="74">
        <v>41.009922027587898</v>
      </c>
      <c r="I43">
        <f t="shared" si="0"/>
        <v>4.482980613358145E-6</v>
      </c>
      <c r="J43">
        <f t="shared" si="1"/>
        <v>1.3448851403419226E-5</v>
      </c>
    </row>
    <row r="44" spans="1:10" x14ac:dyDescent="0.25">
      <c r="A44">
        <v>40</v>
      </c>
      <c r="B44" s="75" t="s">
        <v>265</v>
      </c>
      <c r="C44" s="72">
        <v>1.77702924702317E-3</v>
      </c>
      <c r="D44" s="73">
        <v>96639.3125</v>
      </c>
      <c r="E44" s="73">
        <v>171.730880737305</v>
      </c>
      <c r="F44" s="73">
        <v>96553.4453125</v>
      </c>
      <c r="G44" s="73">
        <v>3872942.25</v>
      </c>
      <c r="H44" s="74">
        <v>40.076259613037102</v>
      </c>
      <c r="I44">
        <f t="shared" si="0"/>
        <v>4.8729042096235059E-6</v>
      </c>
      <c r="J44">
        <f t="shared" si="1"/>
        <v>1.461860577600671E-5</v>
      </c>
    </row>
    <row r="45" spans="1:10" x14ac:dyDescent="0.25">
      <c r="A45">
        <v>41</v>
      </c>
      <c r="B45" s="75" t="s">
        <v>266</v>
      </c>
      <c r="C45" s="72">
        <v>1.9369648071005899E-3</v>
      </c>
      <c r="D45" s="73">
        <v>96467.578125</v>
      </c>
      <c r="E45" s="73">
        <v>186.85430908203099</v>
      </c>
      <c r="F45" s="73">
        <v>96374.15625</v>
      </c>
      <c r="G45" s="73">
        <v>3776388.75</v>
      </c>
      <c r="H45" s="74">
        <v>39.146713256835902</v>
      </c>
      <c r="I45">
        <f t="shared" si="0"/>
        <v>5.3118990393051194E-6</v>
      </c>
      <c r="J45">
        <f t="shared" si="1"/>
        <v>1.5935570145342304E-5</v>
      </c>
    </row>
    <row r="46" spans="1:10" x14ac:dyDescent="0.25">
      <c r="A46">
        <v>42</v>
      </c>
      <c r="B46" s="75" t="s">
        <v>267</v>
      </c>
      <c r="C46" s="72">
        <v>2.1276904735714201E-3</v>
      </c>
      <c r="D46" s="73">
        <v>96280.7265625</v>
      </c>
      <c r="E46" s="73">
        <v>204.85559082031199</v>
      </c>
      <c r="F46" s="73">
        <v>96178.296875</v>
      </c>
      <c r="G46" s="73">
        <v>3680014.75</v>
      </c>
      <c r="H46" s="74">
        <v>38.221717834472699</v>
      </c>
      <c r="I46">
        <f t="shared" si="0"/>
        <v>5.8354992405799169E-6</v>
      </c>
      <c r="J46">
        <f t="shared" si="1"/>
        <v>1.7506344483941838E-5</v>
      </c>
    </row>
    <row r="47" spans="1:10" x14ac:dyDescent="0.25">
      <c r="A47">
        <v>43</v>
      </c>
      <c r="B47" s="75" t="s">
        <v>268</v>
      </c>
      <c r="C47" s="72">
        <v>2.34844814985991E-3</v>
      </c>
      <c r="D47" s="73">
        <v>96075.8671875</v>
      </c>
      <c r="E47" s="73">
        <v>225.62919616699199</v>
      </c>
      <c r="F47" s="73">
        <v>95963.046875</v>
      </c>
      <c r="G47" s="73">
        <v>3583836.5</v>
      </c>
      <c r="H47" s="74">
        <v>37.302150726318402</v>
      </c>
      <c r="I47">
        <f t="shared" si="0"/>
        <v>6.4416714499418928E-6</v>
      </c>
      <c r="J47">
        <f t="shared" si="1"/>
        <v>1.9324827622901886E-5</v>
      </c>
    </row>
    <row r="48" spans="1:10" x14ac:dyDescent="0.25">
      <c r="A48">
        <v>44</v>
      </c>
      <c r="B48" s="75" t="s">
        <v>269</v>
      </c>
      <c r="C48" s="72">
        <v>2.58847116492689E-3</v>
      </c>
      <c r="D48" s="73">
        <v>95850.234375</v>
      </c>
      <c r="E48" s="73">
        <v>248.10556030273401</v>
      </c>
      <c r="F48" s="73">
        <v>95726.1796875</v>
      </c>
      <c r="G48" s="73">
        <v>3487873.25</v>
      </c>
      <c r="H48" s="74">
        <v>36.388782501220703</v>
      </c>
      <c r="I48">
        <f t="shared" si="0"/>
        <v>7.100896023934045E-6</v>
      </c>
      <c r="J48">
        <f t="shared" si="1"/>
        <v>2.1302461171157638E-5</v>
      </c>
    </row>
    <row r="49" spans="1:10" x14ac:dyDescent="0.25">
      <c r="A49">
        <v>45</v>
      </c>
      <c r="B49" s="75" t="s">
        <v>270</v>
      </c>
      <c r="C49" s="72">
        <v>2.8327582404017401E-3</v>
      </c>
      <c r="D49" s="73">
        <v>95602.125</v>
      </c>
      <c r="E49" s="73">
        <v>270.81771850585898</v>
      </c>
      <c r="F49" s="73">
        <v>95466.71875</v>
      </c>
      <c r="G49" s="73">
        <v>3392147.25</v>
      </c>
      <c r="H49" s="74">
        <v>35.481922149658203</v>
      </c>
      <c r="I49">
        <f t="shared" si="0"/>
        <v>7.7719947762607252E-6</v>
      </c>
      <c r="J49">
        <f t="shared" si="1"/>
        <v>2.3315712513349851E-5</v>
      </c>
    </row>
    <row r="50" spans="1:10" x14ac:dyDescent="0.25">
      <c r="A50">
        <v>46</v>
      </c>
      <c r="B50" s="75" t="s">
        <v>271</v>
      </c>
      <c r="C50" s="72">
        <v>3.0819245148450101E-3</v>
      </c>
      <c r="D50" s="73">
        <v>95331.3046875</v>
      </c>
      <c r="E50" s="73">
        <v>293.80389404296898</v>
      </c>
      <c r="F50" s="73">
        <v>95184.40625</v>
      </c>
      <c r="G50" s="73">
        <v>3296680.5</v>
      </c>
      <c r="H50" s="74">
        <v>34.581298828125</v>
      </c>
      <c r="I50">
        <f t="shared" si="0"/>
        <v>8.4566669163051789E-6</v>
      </c>
      <c r="J50">
        <f t="shared" si="1"/>
        <v>2.5369678933184758E-5</v>
      </c>
    </row>
    <row r="51" spans="1:10" x14ac:dyDescent="0.25">
      <c r="A51">
        <v>47</v>
      </c>
      <c r="B51" s="75" t="s">
        <v>272</v>
      </c>
      <c r="C51" s="72">
        <v>3.3499675337225199E-3</v>
      </c>
      <c r="D51" s="73">
        <v>95037.5</v>
      </c>
      <c r="E51" s="73">
        <v>318.37252807617199</v>
      </c>
      <c r="F51" s="73">
        <v>94878.3125</v>
      </c>
      <c r="G51" s="73">
        <v>3201496</v>
      </c>
      <c r="H51" s="74">
        <v>33.686660766601598</v>
      </c>
      <c r="I51">
        <f t="shared" si="0"/>
        <v>9.1934006519393306E-6</v>
      </c>
      <c r="J51">
        <f t="shared" si="1"/>
        <v>2.7579821625489664E-5</v>
      </c>
    </row>
    <row r="52" spans="1:10" x14ac:dyDescent="0.25">
      <c r="A52">
        <v>48</v>
      </c>
      <c r="B52" s="75" t="s">
        <v>273</v>
      </c>
      <c r="C52" s="72">
        <v>3.64693184383214E-3</v>
      </c>
      <c r="D52" s="73">
        <v>94719.125</v>
      </c>
      <c r="E52" s="73">
        <v>345.43420410156199</v>
      </c>
      <c r="F52" s="73">
        <v>94546.40625</v>
      </c>
      <c r="G52" s="73">
        <v>3106617.75</v>
      </c>
      <c r="H52" s="74">
        <v>32.798210144042997</v>
      </c>
      <c r="I52">
        <f t="shared" si="0"/>
        <v>1.0009857841978303E-5</v>
      </c>
      <c r="J52">
        <f t="shared" si="1"/>
        <v>3.0029122642827311E-5</v>
      </c>
    </row>
    <row r="53" spans="1:10" x14ac:dyDescent="0.25">
      <c r="A53">
        <v>49</v>
      </c>
      <c r="B53" s="75" t="s">
        <v>274</v>
      </c>
      <c r="C53" s="72">
        <v>3.9742202498018698E-3</v>
      </c>
      <c r="D53" s="73">
        <v>94373.6875</v>
      </c>
      <c r="E53" s="73">
        <v>375.06182861328102</v>
      </c>
      <c r="F53" s="73">
        <v>94186.15625</v>
      </c>
      <c r="G53" s="73">
        <v>3012071.25</v>
      </c>
      <c r="H53" s="74">
        <v>31.916431427001999</v>
      </c>
      <c r="I53">
        <f t="shared" si="0"/>
        <v>1.0909968353900726E-5</v>
      </c>
      <c r="J53">
        <f t="shared" si="1"/>
        <v>3.2729369444206569E-5</v>
      </c>
    </row>
    <row r="54" spans="1:10" x14ac:dyDescent="0.25">
      <c r="A54">
        <v>50</v>
      </c>
      <c r="B54" s="75" t="s">
        <v>275</v>
      </c>
      <c r="C54" s="72">
        <v>4.3310355395078702E-3</v>
      </c>
      <c r="D54" s="73">
        <v>93998.625</v>
      </c>
      <c r="E54" s="73">
        <v>407.11138916015602</v>
      </c>
      <c r="F54" s="73">
        <v>93795.0703125</v>
      </c>
      <c r="G54" s="73">
        <v>2917885.25</v>
      </c>
      <c r="H54" s="74">
        <v>31.041786193847699</v>
      </c>
      <c r="I54">
        <f t="shared" si="0"/>
        <v>1.1891620938445498E-5</v>
      </c>
      <c r="J54">
        <f t="shared" si="1"/>
        <v>3.5674226474990967E-5</v>
      </c>
    </row>
    <row r="55" spans="1:10" x14ac:dyDescent="0.25">
      <c r="A55">
        <v>51</v>
      </c>
      <c r="B55" s="75" t="s">
        <v>276</v>
      </c>
      <c r="C55" s="72">
        <v>4.7028707340359696E-3</v>
      </c>
      <c r="D55" s="73">
        <v>93591.515625</v>
      </c>
      <c r="E55" s="73">
        <v>440.14880371093801</v>
      </c>
      <c r="F55" s="73">
        <v>93371.4375</v>
      </c>
      <c r="G55" s="73">
        <v>2824090</v>
      </c>
      <c r="H55" s="74">
        <v>30.174636840820298</v>
      </c>
      <c r="I55">
        <f t="shared" si="0"/>
        <v>1.2914969930078539E-5</v>
      </c>
      <c r="J55">
        <f t="shared" si="1"/>
        <v>3.8744159215897689E-5</v>
      </c>
    </row>
    <row r="56" spans="1:10" x14ac:dyDescent="0.25">
      <c r="A56">
        <v>52</v>
      </c>
      <c r="B56" s="75" t="s">
        <v>277</v>
      </c>
      <c r="C56" s="72">
        <v>5.0800456665456304E-3</v>
      </c>
      <c r="D56" s="73">
        <v>93151.3671875</v>
      </c>
      <c r="E56" s="73">
        <v>473.21319580078102</v>
      </c>
      <c r="F56" s="73">
        <v>92914.765625</v>
      </c>
      <c r="G56" s="73">
        <v>2730718.75</v>
      </c>
      <c r="H56" s="74">
        <v>29.314853668212901</v>
      </c>
      <c r="I56">
        <f t="shared" si="0"/>
        <v>1.3953405385552458E-5</v>
      </c>
      <c r="J56">
        <f t="shared" si="1"/>
        <v>4.1859340029981595E-5</v>
      </c>
    </row>
    <row r="57" spans="1:10" x14ac:dyDescent="0.25">
      <c r="A57">
        <v>53</v>
      </c>
      <c r="B57" s="75" t="s">
        <v>278</v>
      </c>
      <c r="C57" s="72">
        <v>5.4548317566513998E-3</v>
      </c>
      <c r="D57" s="73">
        <v>92678.15625</v>
      </c>
      <c r="E57" s="73">
        <v>505.54376220703102</v>
      </c>
      <c r="F57" s="73">
        <v>92425.3828125</v>
      </c>
      <c r="G57" s="73">
        <v>2637804</v>
      </c>
      <c r="H57" s="74">
        <v>28.461982727050799</v>
      </c>
      <c r="I57">
        <f t="shared" si="0"/>
        <v>1.4985653909302536E-5</v>
      </c>
      <c r="J57">
        <f t="shared" si="1"/>
        <v>4.4955951178815567E-5</v>
      </c>
    </row>
    <row r="58" spans="1:10" x14ac:dyDescent="0.25">
      <c r="A58">
        <v>54</v>
      </c>
      <c r="B58" s="75" t="s">
        <v>279</v>
      </c>
      <c r="C58" s="72">
        <v>5.8371759951114698E-3</v>
      </c>
      <c r="D58" s="73">
        <v>92172.609375</v>
      </c>
      <c r="E58" s="73">
        <v>538.02777099609398</v>
      </c>
      <c r="F58" s="73">
        <v>91903.59375</v>
      </c>
      <c r="G58" s="73">
        <v>2545378.5</v>
      </c>
      <c r="H58" s="74">
        <v>27.6153469085693</v>
      </c>
      <c r="I58">
        <f t="shared" si="0"/>
        <v>1.6039120258836008E-5</v>
      </c>
      <c r="J58">
        <f t="shared" si="1"/>
        <v>4.8116203154924264E-5</v>
      </c>
    </row>
    <row r="59" spans="1:10" x14ac:dyDescent="0.25">
      <c r="A59">
        <v>55</v>
      </c>
      <c r="B59" s="75" t="s">
        <v>280</v>
      </c>
      <c r="C59" s="72">
        <v>6.2443758361041502E-3</v>
      </c>
      <c r="D59" s="73">
        <v>91634.578125</v>
      </c>
      <c r="E59" s="73">
        <v>572.20074462890602</v>
      </c>
      <c r="F59" s="73">
        <v>91348.4765625</v>
      </c>
      <c r="G59" s="73">
        <v>2453475</v>
      </c>
      <c r="H59" s="74">
        <v>26.7745552062988</v>
      </c>
      <c r="I59">
        <f t="shared" si="0"/>
        <v>1.7161516420862166E-5</v>
      </c>
      <c r="J59">
        <f t="shared" si="1"/>
        <v>5.1483223955872681E-5</v>
      </c>
    </row>
    <row r="60" spans="1:10" x14ac:dyDescent="0.25">
      <c r="A60">
        <v>56</v>
      </c>
      <c r="B60" s="75" t="s">
        <v>281</v>
      </c>
      <c r="C60" s="72">
        <v>6.6962433047592597E-3</v>
      </c>
      <c r="D60" s="73">
        <v>91062.375</v>
      </c>
      <c r="E60" s="73">
        <v>609.77581787109398</v>
      </c>
      <c r="F60" s="73">
        <v>90757.484375</v>
      </c>
      <c r="G60" s="73">
        <v>2362126.5</v>
      </c>
      <c r="H60" s="74">
        <v>25.939653396606399</v>
      </c>
      <c r="I60">
        <f t="shared" si="0"/>
        <v>1.8407571871518502E-5</v>
      </c>
      <c r="J60">
        <f t="shared" si="1"/>
        <v>5.5221190868426362E-5</v>
      </c>
    </row>
    <row r="61" spans="1:10" x14ac:dyDescent="0.25">
      <c r="A61">
        <v>57</v>
      </c>
      <c r="B61" s="75" t="s">
        <v>282</v>
      </c>
      <c r="C61" s="72">
        <v>7.2002462111413496E-3</v>
      </c>
      <c r="D61" s="73">
        <v>90452.6015625</v>
      </c>
      <c r="E61" s="73">
        <v>651.281005859375</v>
      </c>
      <c r="F61" s="73">
        <v>90126.9609375</v>
      </c>
      <c r="G61" s="73">
        <v>2271369</v>
      </c>
      <c r="H61" s="74">
        <v>25.111152648925799</v>
      </c>
      <c r="I61">
        <f t="shared" si="0"/>
        <v>1.9798063256131686E-5</v>
      </c>
      <c r="J61">
        <f t="shared" si="1"/>
        <v>5.939242596841865E-5</v>
      </c>
    </row>
    <row r="62" spans="1:10" x14ac:dyDescent="0.25">
      <c r="A62">
        <v>58</v>
      </c>
      <c r="B62" s="75" t="s">
        <v>283</v>
      </c>
      <c r="C62" s="72">
        <v>7.7673234045505498E-3</v>
      </c>
      <c r="D62" s="73">
        <v>89801.3203125</v>
      </c>
      <c r="E62" s="73">
        <v>697.515869140625</v>
      </c>
      <c r="F62" s="73">
        <v>89452.5625</v>
      </c>
      <c r="G62" s="73">
        <v>2181242</v>
      </c>
      <c r="H62" s="74">
        <v>24.2896423339844</v>
      </c>
      <c r="I62">
        <f t="shared" si="0"/>
        <v>2.1363414194292876E-5</v>
      </c>
      <c r="J62">
        <f t="shared" si="1"/>
        <v>6.4088188847177818E-5</v>
      </c>
    </row>
    <row r="63" spans="1:10" x14ac:dyDescent="0.25">
      <c r="A63">
        <v>59</v>
      </c>
      <c r="B63" s="75" t="s">
        <v>284</v>
      </c>
      <c r="C63" s="72">
        <v>8.3973100408911705E-3</v>
      </c>
      <c r="D63" s="73">
        <v>89103.8046875</v>
      </c>
      <c r="E63" s="73">
        <v>748.23229980468795</v>
      </c>
      <c r="F63" s="73">
        <v>88729.6875</v>
      </c>
      <c r="G63" s="73">
        <v>2091789.5</v>
      </c>
      <c r="H63" s="74">
        <v>23.475872039794901</v>
      </c>
      <c r="I63">
        <f t="shared" si="0"/>
        <v>2.3103468708505173E-5</v>
      </c>
      <c r="J63">
        <f t="shared" si="1"/>
        <v>6.9308004214785335E-5</v>
      </c>
    </row>
    <row r="64" spans="1:10" x14ac:dyDescent="0.25">
      <c r="A64">
        <v>60</v>
      </c>
      <c r="B64" s="75" t="s">
        <v>285</v>
      </c>
      <c r="C64" s="72">
        <v>9.0940305963158607E-3</v>
      </c>
      <c r="D64" s="73">
        <v>88355.5703125</v>
      </c>
      <c r="E64" s="73">
        <v>803.50823974609398</v>
      </c>
      <c r="F64" s="73">
        <v>87953.8125</v>
      </c>
      <c r="G64" s="73">
        <v>2003059.75</v>
      </c>
      <c r="H64" s="74">
        <v>22.6704406738281</v>
      </c>
      <c r="I64">
        <f t="shared" si="0"/>
        <v>2.5029133455630936E-5</v>
      </c>
      <c r="J64">
        <f t="shared" si="1"/>
        <v>7.5084581378614956E-5</v>
      </c>
    </row>
    <row r="65" spans="1:10" x14ac:dyDescent="0.25">
      <c r="A65">
        <v>61</v>
      </c>
      <c r="B65" s="75" t="s">
        <v>286</v>
      </c>
      <c r="C65" s="72">
        <v>9.8496954888105392E-3</v>
      </c>
      <c r="D65" s="73">
        <v>87552.0625</v>
      </c>
      <c r="E65" s="73">
        <v>862.36114501953102</v>
      </c>
      <c r="F65" s="73">
        <v>87120.8828125</v>
      </c>
      <c r="G65" s="73">
        <v>1915106</v>
      </c>
      <c r="H65" s="74">
        <v>21.8739109039307</v>
      </c>
      <c r="I65">
        <f t="shared" si="0"/>
        <v>2.711924558584061E-5</v>
      </c>
      <c r="J65">
        <f t="shared" si="1"/>
        <v>8.1354427306612465E-5</v>
      </c>
    </row>
    <row r="66" spans="1:10" x14ac:dyDescent="0.25">
      <c r="A66">
        <v>62</v>
      </c>
      <c r="B66" s="75" t="s">
        <v>287</v>
      </c>
      <c r="C66" s="72">
        <v>1.0658534243702901E-2</v>
      </c>
      <c r="D66" s="73">
        <v>86689.703125</v>
      </c>
      <c r="E66" s="73">
        <v>923.98516845703102</v>
      </c>
      <c r="F66" s="73">
        <v>86227.7109375</v>
      </c>
      <c r="G66" s="73">
        <v>1827985.125</v>
      </c>
      <c r="H66" s="74">
        <v>21.086530685424801</v>
      </c>
      <c r="I66">
        <f t="shared" si="0"/>
        <v>2.9358200801881225E-5</v>
      </c>
      <c r="J66">
        <f t="shared" si="1"/>
        <v>8.8070723951672036E-5</v>
      </c>
    </row>
    <row r="67" spans="1:10" x14ac:dyDescent="0.25">
      <c r="A67">
        <v>63</v>
      </c>
      <c r="B67" s="75" t="s">
        <v>288</v>
      </c>
      <c r="C67" s="72">
        <v>1.1524008587002799E-2</v>
      </c>
      <c r="D67" s="73">
        <v>85765.71875</v>
      </c>
      <c r="E67" s="73">
        <v>988.36486816406205</v>
      </c>
      <c r="F67" s="73">
        <v>85271.53125</v>
      </c>
      <c r="G67" s="73">
        <v>1741757.375</v>
      </c>
      <c r="H67" s="74">
        <v>20.3083171844482</v>
      </c>
      <c r="I67">
        <f t="shared" si="0"/>
        <v>3.1755957710271205E-5</v>
      </c>
      <c r="J67">
        <f t="shared" si="1"/>
        <v>9.5263335291084772E-5</v>
      </c>
    </row>
    <row r="68" spans="1:10" x14ac:dyDescent="0.25">
      <c r="A68">
        <v>64</v>
      </c>
      <c r="B68" s="75" t="s">
        <v>289</v>
      </c>
      <c r="C68" s="72">
        <v>1.2469750829041001E-2</v>
      </c>
      <c r="D68" s="73">
        <v>84777.3515625</v>
      </c>
      <c r="E68" s="73">
        <v>1057.15246582031</v>
      </c>
      <c r="F68" s="73">
        <v>84248.7734375</v>
      </c>
      <c r="G68" s="73">
        <v>1656485.875</v>
      </c>
      <c r="H68" s="74">
        <v>19.539249420166001</v>
      </c>
      <c r="I68">
        <f t="shared" si="0"/>
        <v>3.4378494805904761E-5</v>
      </c>
      <c r="J68">
        <f t="shared" si="1"/>
        <v>1.0313016613650028E-4</v>
      </c>
    </row>
    <row r="69" spans="1:10" x14ac:dyDescent="0.25">
      <c r="A69">
        <v>65</v>
      </c>
      <c r="B69" s="75" t="s">
        <v>290</v>
      </c>
      <c r="C69" s="72">
        <v>1.3556274585425901E-2</v>
      </c>
      <c r="D69" s="73">
        <v>83720.1953125</v>
      </c>
      <c r="E69" s="73">
        <v>1134.93395996094</v>
      </c>
      <c r="F69" s="73">
        <v>83152.7265625</v>
      </c>
      <c r="G69" s="73">
        <v>1572237</v>
      </c>
      <c r="H69" s="74">
        <v>18.7796630859375</v>
      </c>
      <c r="I69">
        <f t="shared" ref="I69:I104" si="2">-LN(1-C69)/365</f>
        <v>3.7394520096714449E-5</v>
      </c>
      <c r="J69">
        <f t="shared" ref="J69:J104" si="3">1-EXP(-I69*3)</f>
        <v>1.1217726794987559E-4</v>
      </c>
    </row>
    <row r="70" spans="1:10" x14ac:dyDescent="0.25">
      <c r="A70">
        <v>66</v>
      </c>
      <c r="B70" s="75" t="s">
        <v>291</v>
      </c>
      <c r="C70" s="72">
        <v>1.4791352674365E-2</v>
      </c>
      <c r="D70" s="73">
        <v>82585.2578125</v>
      </c>
      <c r="E70" s="73">
        <v>1221.54772949219</v>
      </c>
      <c r="F70" s="73">
        <v>81974.484375</v>
      </c>
      <c r="G70" s="73">
        <v>1489084.375</v>
      </c>
      <c r="H70" s="74">
        <v>18.0308742523193</v>
      </c>
      <c r="I70">
        <f t="shared" si="2"/>
        <v>4.0826946700425584E-5</v>
      </c>
      <c r="J70">
        <f t="shared" si="3"/>
        <v>1.2247333962944751E-4</v>
      </c>
    </row>
    <row r="71" spans="1:10" x14ac:dyDescent="0.25">
      <c r="A71">
        <v>67</v>
      </c>
      <c r="B71" s="75" t="s">
        <v>292</v>
      </c>
      <c r="C71" s="72">
        <v>1.6127653419971501E-2</v>
      </c>
      <c r="D71" s="73">
        <v>81363.7109375</v>
      </c>
      <c r="E71" s="73">
        <v>1312.20568847656</v>
      </c>
      <c r="F71" s="73">
        <v>80707.609375</v>
      </c>
      <c r="G71" s="73">
        <v>1407109.875</v>
      </c>
      <c r="H71" s="74">
        <v>17.294071197509801</v>
      </c>
      <c r="I71">
        <f t="shared" si="2"/>
        <v>4.4545532687030439E-5</v>
      </c>
      <c r="J71">
        <f t="shared" si="3"/>
        <v>1.3362766908864288E-4</v>
      </c>
    </row>
    <row r="72" spans="1:10" x14ac:dyDescent="0.25">
      <c r="A72">
        <v>68</v>
      </c>
      <c r="B72" s="75" t="s">
        <v>293</v>
      </c>
      <c r="C72" s="72">
        <v>1.7525587230920799E-2</v>
      </c>
      <c r="D72" s="73">
        <v>80051.5078125</v>
      </c>
      <c r="E72" s="73">
        <v>1402.94970703125</v>
      </c>
      <c r="F72" s="73">
        <v>79350.03125</v>
      </c>
      <c r="G72" s="73">
        <v>1326402.25</v>
      </c>
      <c r="H72" s="74">
        <v>16.569360733032202</v>
      </c>
      <c r="I72">
        <f t="shared" si="2"/>
        <v>4.8441037153344135E-5</v>
      </c>
      <c r="J72">
        <f t="shared" si="3"/>
        <v>1.4531255256811093E-4</v>
      </c>
    </row>
    <row r="73" spans="1:10" x14ac:dyDescent="0.25">
      <c r="A73">
        <v>69</v>
      </c>
      <c r="B73" s="75" t="s">
        <v>294</v>
      </c>
      <c r="C73" s="72">
        <v>1.9016424193978299E-2</v>
      </c>
      <c r="D73" s="73">
        <v>78648.5546875</v>
      </c>
      <c r="E73" s="73">
        <v>1495.6142578125</v>
      </c>
      <c r="F73" s="73">
        <v>77900.75</v>
      </c>
      <c r="G73" s="73">
        <v>1247052.25</v>
      </c>
      <c r="H73" s="74">
        <v>15.856009483337401</v>
      </c>
      <c r="I73">
        <f t="shared" si="2"/>
        <v>5.2601539327564772E-5</v>
      </c>
      <c r="J73">
        <f t="shared" si="3"/>
        <v>1.5779216748890157E-4</v>
      </c>
    </row>
    <row r="74" spans="1:10" x14ac:dyDescent="0.25">
      <c r="A74">
        <v>70</v>
      </c>
      <c r="B74" s="75" t="s">
        <v>295</v>
      </c>
      <c r="C74" s="72">
        <v>2.06135008484125E-2</v>
      </c>
      <c r="D74" s="73">
        <v>77152.9375</v>
      </c>
      <c r="E74" s="73">
        <v>1590.39208984375</v>
      </c>
      <c r="F74" s="73">
        <v>76357.7421875</v>
      </c>
      <c r="G74" s="73">
        <v>1169151.5</v>
      </c>
      <c r="H74" s="74">
        <v>15.1536874771118</v>
      </c>
      <c r="I74">
        <f t="shared" si="2"/>
        <v>5.7065546916563453E-5</v>
      </c>
      <c r="J74">
        <f t="shared" si="3"/>
        <v>1.7118198744103807E-4</v>
      </c>
    </row>
    <row r="75" spans="1:10" x14ac:dyDescent="0.25">
      <c r="A75">
        <v>71</v>
      </c>
      <c r="B75" s="75" t="s">
        <v>296</v>
      </c>
      <c r="C75" s="72">
        <v>2.24697403609753E-2</v>
      </c>
      <c r="D75" s="73">
        <v>75562.546875</v>
      </c>
      <c r="E75" s="73">
        <v>1697.87084960938</v>
      </c>
      <c r="F75" s="73">
        <v>74713.609375</v>
      </c>
      <c r="G75" s="73">
        <v>1092793.75</v>
      </c>
      <c r="H75" s="74">
        <v>14.462108612060501</v>
      </c>
      <c r="I75">
        <f t="shared" si="2"/>
        <v>6.2263099861076829E-5</v>
      </c>
      <c r="J75">
        <f t="shared" si="3"/>
        <v>1.8677185554816234E-4</v>
      </c>
    </row>
    <row r="76" spans="1:10" x14ac:dyDescent="0.25">
      <c r="A76">
        <v>72</v>
      </c>
      <c r="B76" s="75" t="s">
        <v>297</v>
      </c>
      <c r="C76" s="72">
        <v>2.46576648205519E-2</v>
      </c>
      <c r="D76" s="73">
        <v>73864.6796875</v>
      </c>
      <c r="E76" s="73">
        <v>1821.33056640625</v>
      </c>
      <c r="F76" s="73">
        <v>72954.015625</v>
      </c>
      <c r="G76" s="73">
        <v>1018080.125</v>
      </c>
      <c r="H76" s="74">
        <v>13.783043861389199</v>
      </c>
      <c r="I76">
        <f t="shared" si="2"/>
        <v>6.840207289170969E-5</v>
      </c>
      <c r="J76">
        <f t="shared" si="3"/>
        <v>2.0518516531919939E-4</v>
      </c>
    </row>
    <row r="77" spans="1:10" x14ac:dyDescent="0.25">
      <c r="A77">
        <v>73</v>
      </c>
      <c r="B77" s="75" t="s">
        <v>298</v>
      </c>
      <c r="C77" s="72">
        <v>2.7107676491141298E-2</v>
      </c>
      <c r="D77" s="73">
        <v>72043.3515625</v>
      </c>
      <c r="E77" s="73">
        <v>1952.92785644531</v>
      </c>
      <c r="F77" s="73">
        <v>71066.890625</v>
      </c>
      <c r="G77" s="73">
        <v>945126.0625</v>
      </c>
      <c r="H77" s="74">
        <v>13.1188516616821</v>
      </c>
      <c r="I77">
        <f t="shared" si="2"/>
        <v>7.5292787262093349E-5</v>
      </c>
      <c r="J77">
        <f t="shared" si="3"/>
        <v>2.2585285318976744E-4</v>
      </c>
    </row>
    <row r="78" spans="1:10" x14ac:dyDescent="0.25">
      <c r="A78">
        <v>74</v>
      </c>
      <c r="B78" s="75" t="s">
        <v>299</v>
      </c>
      <c r="C78" s="72">
        <v>2.97419689595699E-2</v>
      </c>
      <c r="D78" s="73">
        <v>70090.421875</v>
      </c>
      <c r="E78" s="73">
        <v>2084.62719726562</v>
      </c>
      <c r="F78" s="73">
        <v>69048.109375</v>
      </c>
      <c r="G78" s="73">
        <v>874059.1875</v>
      </c>
      <c r="H78" s="74">
        <v>12.470451354980501</v>
      </c>
      <c r="I78">
        <f t="shared" si="2"/>
        <v>8.2721182130345944E-5</v>
      </c>
      <c r="J78">
        <f t="shared" si="3"/>
        <v>2.481327563651492E-4</v>
      </c>
    </row>
    <row r="79" spans="1:10" x14ac:dyDescent="0.25">
      <c r="A79">
        <v>75</v>
      </c>
      <c r="B79" s="75" t="s">
        <v>300</v>
      </c>
      <c r="C79" s="72">
        <v>3.2550495117902797E-2</v>
      </c>
      <c r="D79" s="73">
        <v>68005.796875</v>
      </c>
      <c r="E79" s="73">
        <v>2213.62231445312</v>
      </c>
      <c r="F79" s="73">
        <v>66898.984375</v>
      </c>
      <c r="G79" s="73">
        <v>805011.0625</v>
      </c>
      <c r="H79" s="74">
        <v>11.837388992309601</v>
      </c>
      <c r="I79">
        <f t="shared" si="2"/>
        <v>9.0663141853558802E-5</v>
      </c>
      <c r="J79">
        <f t="shared" si="3"/>
        <v>2.7195243979016848E-4</v>
      </c>
    </row>
    <row r="80" spans="1:10" x14ac:dyDescent="0.25">
      <c r="A80">
        <v>76</v>
      </c>
      <c r="B80" s="75" t="s">
        <v>301</v>
      </c>
      <c r="C80" s="72">
        <v>3.5608243197202703E-2</v>
      </c>
      <c r="D80" s="73">
        <v>65792.171875</v>
      </c>
      <c r="E80" s="73">
        <v>2342.74365234375</v>
      </c>
      <c r="F80" s="73">
        <v>64620.80078125</v>
      </c>
      <c r="G80" s="73">
        <v>738112.125</v>
      </c>
      <c r="H80" s="74">
        <v>11.218844413757299</v>
      </c>
      <c r="I80">
        <f t="shared" si="2"/>
        <v>9.933611013539245E-5</v>
      </c>
      <c r="J80">
        <f t="shared" si="3"/>
        <v>2.9796393033432178E-4</v>
      </c>
    </row>
    <row r="81" spans="1:10" x14ac:dyDescent="0.25">
      <c r="A81">
        <v>77</v>
      </c>
      <c r="B81" s="75" t="s">
        <v>302</v>
      </c>
      <c r="C81" s="72">
        <v>3.9071109145879697E-2</v>
      </c>
      <c r="D81" s="73">
        <v>63449.4296875</v>
      </c>
      <c r="E81" s="73">
        <v>2479.03955078125</v>
      </c>
      <c r="F81" s="73">
        <v>62209.91015625</v>
      </c>
      <c r="G81" s="73">
        <v>673491.3125</v>
      </c>
      <c r="H81" s="74">
        <v>10.6146154403687</v>
      </c>
      <c r="I81">
        <f t="shared" si="2"/>
        <v>1.0919141835203331E-4</v>
      </c>
      <c r="J81">
        <f t="shared" si="3"/>
        <v>3.2752060846774622E-4</v>
      </c>
    </row>
    <row r="82" spans="1:10" x14ac:dyDescent="0.25">
      <c r="A82">
        <v>78</v>
      </c>
      <c r="B82" s="75" t="s">
        <v>303</v>
      </c>
      <c r="C82" s="72">
        <v>4.3100927025079699E-2</v>
      </c>
      <c r="D82" s="73">
        <v>60970.390625</v>
      </c>
      <c r="E82" s="73">
        <v>2627.88037109375</v>
      </c>
      <c r="F82" s="73">
        <v>59656.453125</v>
      </c>
      <c r="G82" s="73">
        <v>611281.375</v>
      </c>
      <c r="H82" s="74">
        <v>10.025872230529799</v>
      </c>
      <c r="I82">
        <f t="shared" si="2"/>
        <v>1.2070508212839518E-4</v>
      </c>
      <c r="J82">
        <f t="shared" si="3"/>
        <v>3.6204969057251901E-4</v>
      </c>
    </row>
    <row r="83" spans="1:10" x14ac:dyDescent="0.25">
      <c r="A83">
        <v>79</v>
      </c>
      <c r="B83" s="75" t="s">
        <v>304</v>
      </c>
      <c r="C83" s="72">
        <v>4.7658722847700098E-2</v>
      </c>
      <c r="D83" s="73">
        <v>58342.51171875</v>
      </c>
      <c r="E83" s="73">
        <v>2780.52954101562</v>
      </c>
      <c r="F83" s="73">
        <v>56952.24609375</v>
      </c>
      <c r="G83" s="73">
        <v>551624.9375</v>
      </c>
      <c r="H83" s="74">
        <v>9.4549398422241193</v>
      </c>
      <c r="I83">
        <f t="shared" si="2"/>
        <v>1.3378581925281357E-4</v>
      </c>
      <c r="J83">
        <f t="shared" si="3"/>
        <v>4.0127692462854636E-4</v>
      </c>
    </row>
    <row r="84" spans="1:10" x14ac:dyDescent="0.25">
      <c r="A84">
        <v>80</v>
      </c>
      <c r="B84" s="75" t="s">
        <v>305</v>
      </c>
      <c r="C84" s="72">
        <v>5.2514709532260902E-2</v>
      </c>
      <c r="D84" s="73">
        <v>55561.98046875</v>
      </c>
      <c r="E84" s="73">
        <v>2917.8212890625</v>
      </c>
      <c r="F84" s="73">
        <v>54103.0703125</v>
      </c>
      <c r="G84" s="73">
        <v>494672.6875</v>
      </c>
      <c r="H84" s="74">
        <v>8.9030790328979492</v>
      </c>
      <c r="I84">
        <f t="shared" si="2"/>
        <v>1.4779141566676732E-4</v>
      </c>
      <c r="J84">
        <f t="shared" si="3"/>
        <v>4.4327597116367023E-4</v>
      </c>
    </row>
    <row r="85" spans="1:10" x14ac:dyDescent="0.25">
      <c r="A85">
        <v>81</v>
      </c>
      <c r="B85" s="75" t="s">
        <v>306</v>
      </c>
      <c r="C85" s="72">
        <v>5.76859898865223E-2</v>
      </c>
      <c r="D85" s="73">
        <v>52644.16015625</v>
      </c>
      <c r="E85" s="73">
        <v>3036.83056640625</v>
      </c>
      <c r="F85" s="73">
        <v>51125.7421875</v>
      </c>
      <c r="G85" s="73">
        <v>440569.625</v>
      </c>
      <c r="H85" s="74">
        <v>8.3688220977783203</v>
      </c>
      <c r="I85">
        <f t="shared" si="2"/>
        <v>1.627855229672748E-4</v>
      </c>
      <c r="J85">
        <f t="shared" si="3"/>
        <v>4.8823734224179294E-4</v>
      </c>
    </row>
    <row r="86" spans="1:10" x14ac:dyDescent="0.25">
      <c r="A86">
        <v>82</v>
      </c>
      <c r="B86" s="75" t="s">
        <v>307</v>
      </c>
      <c r="C86" s="72">
        <v>6.3566863536834703E-2</v>
      </c>
      <c r="D86" s="73">
        <v>49607.328125</v>
      </c>
      <c r="E86" s="73">
        <v>3153.38232421875</v>
      </c>
      <c r="F86" s="73">
        <v>48030.63671875</v>
      </c>
      <c r="G86" s="73">
        <v>389443.875</v>
      </c>
      <c r="H86" s="74">
        <v>7.8505311012268102</v>
      </c>
      <c r="I86">
        <f t="shared" si="2"/>
        <v>1.7993741619160922E-4</v>
      </c>
      <c r="J86">
        <f t="shared" si="3"/>
        <v>5.3966657615611702E-4</v>
      </c>
    </row>
    <row r="87" spans="1:10" x14ac:dyDescent="0.25">
      <c r="A87">
        <v>83</v>
      </c>
      <c r="B87" s="75" t="s">
        <v>308</v>
      </c>
      <c r="C87" s="72">
        <v>7.0563562214374501E-2</v>
      </c>
      <c r="D87" s="73">
        <v>46453.9453125</v>
      </c>
      <c r="E87" s="73">
        <v>3277.95581054688</v>
      </c>
      <c r="F87" s="73">
        <v>44814.96875</v>
      </c>
      <c r="G87" s="73">
        <v>341413.25</v>
      </c>
      <c r="H87" s="74">
        <v>7.3494997024536097</v>
      </c>
      <c r="I87">
        <f t="shared" si="2"/>
        <v>2.0048454079760601E-4</v>
      </c>
      <c r="J87">
        <f t="shared" si="3"/>
        <v>6.0127278541965978E-4</v>
      </c>
    </row>
    <row r="88" spans="1:10" x14ac:dyDescent="0.25">
      <c r="A88">
        <v>84</v>
      </c>
      <c r="B88" s="75" t="s">
        <v>309</v>
      </c>
      <c r="C88" s="72">
        <v>7.8249417245388003E-2</v>
      </c>
      <c r="D88" s="73">
        <v>43175.98828125</v>
      </c>
      <c r="E88" s="73">
        <v>3378.49584960938</v>
      </c>
      <c r="F88" s="73">
        <v>41486.7421875</v>
      </c>
      <c r="G88" s="73">
        <v>296598.28125</v>
      </c>
      <c r="H88" s="74">
        <v>6.8695192337036097</v>
      </c>
      <c r="I88">
        <f t="shared" si="2"/>
        <v>2.2323454696372979E-4</v>
      </c>
      <c r="J88">
        <f t="shared" si="3"/>
        <v>6.6947943946016331E-4</v>
      </c>
    </row>
    <row r="89" spans="1:10" x14ac:dyDescent="0.25">
      <c r="A89">
        <v>85</v>
      </c>
      <c r="B89" s="75" t="s">
        <v>310</v>
      </c>
      <c r="C89" s="72">
        <v>8.6853161454200703E-2</v>
      </c>
      <c r="D89" s="73">
        <v>39797.4921875</v>
      </c>
      <c r="E89" s="73">
        <v>3456.5380859375</v>
      </c>
      <c r="F89" s="73">
        <v>38069.22265625</v>
      </c>
      <c r="G89" s="73">
        <v>255111.53125</v>
      </c>
      <c r="H89" s="74">
        <v>6.4102416038513201</v>
      </c>
      <c r="I89">
        <f t="shared" si="2"/>
        <v>2.4892761778421937E-4</v>
      </c>
      <c r="J89">
        <f t="shared" si="3"/>
        <v>7.4650408043619443E-4</v>
      </c>
    </row>
    <row r="90" spans="1:10" x14ac:dyDescent="0.25">
      <c r="A90">
        <v>86</v>
      </c>
      <c r="B90" s="75" t="s">
        <v>311</v>
      </c>
      <c r="C90" s="72">
        <v>9.6795655786991106E-2</v>
      </c>
      <c r="D90" s="73">
        <v>36340.953125</v>
      </c>
      <c r="E90" s="73">
        <v>3517.646484375</v>
      </c>
      <c r="F90" s="73">
        <v>34582.12890625</v>
      </c>
      <c r="G90" s="73">
        <v>217042.3125</v>
      </c>
      <c r="H90" s="74">
        <v>5.9723892211914098</v>
      </c>
      <c r="I90">
        <f t="shared" si="2"/>
        <v>2.7892179823678424E-4</v>
      </c>
      <c r="J90">
        <f t="shared" si="3"/>
        <v>8.3641540417422888E-4</v>
      </c>
    </row>
    <row r="91" spans="1:10" x14ac:dyDescent="0.25">
      <c r="A91">
        <v>87</v>
      </c>
      <c r="B91" s="75" t="s">
        <v>312</v>
      </c>
      <c r="C91" s="72">
        <v>0.107835926115513</v>
      </c>
      <c r="D91" s="73">
        <v>32823.3046875</v>
      </c>
      <c r="E91" s="73">
        <v>3539.53149414062</v>
      </c>
      <c r="F91" s="73">
        <v>31053.5390625</v>
      </c>
      <c r="G91" s="73">
        <v>182460.171875</v>
      </c>
      <c r="H91" s="74">
        <v>5.55886030197144</v>
      </c>
      <c r="I91">
        <f t="shared" si="2"/>
        <v>3.1261705201235054E-4</v>
      </c>
      <c r="J91">
        <f t="shared" si="3"/>
        <v>9.3741151109283383E-4</v>
      </c>
    </row>
    <row r="92" spans="1:10" x14ac:dyDescent="0.25">
      <c r="A92">
        <v>88</v>
      </c>
      <c r="B92" s="75" t="s">
        <v>313</v>
      </c>
      <c r="C92" s="72">
        <v>0.119870565831661</v>
      </c>
      <c r="D92" s="73">
        <v>29283.7734375</v>
      </c>
      <c r="E92" s="73">
        <v>3510.26245117188</v>
      </c>
      <c r="F92" s="73">
        <v>27528.642578125</v>
      </c>
      <c r="G92" s="73">
        <v>151406.640625</v>
      </c>
      <c r="H92" s="74">
        <v>5.1703252792358398</v>
      </c>
      <c r="I92">
        <f t="shared" si="2"/>
        <v>3.4982547409181909E-4</v>
      </c>
      <c r="J92">
        <f t="shared" si="3"/>
        <v>1.0489259144934593E-3</v>
      </c>
    </row>
    <row r="93" spans="1:10" x14ac:dyDescent="0.25">
      <c r="A93">
        <v>89</v>
      </c>
      <c r="B93" s="75" t="s">
        <v>314</v>
      </c>
      <c r="C93" s="72">
        <v>0.13292878866195701</v>
      </c>
      <c r="D93" s="73">
        <v>25773.51171875</v>
      </c>
      <c r="E93" s="73">
        <v>3426.04174804688</v>
      </c>
      <c r="F93" s="73">
        <v>24060.4921875</v>
      </c>
      <c r="G93" s="73">
        <v>123878</v>
      </c>
      <c r="H93" s="74">
        <v>4.8064074516296396</v>
      </c>
      <c r="I93">
        <f t="shared" si="2"/>
        <v>3.9077854859320785E-4</v>
      </c>
      <c r="J93">
        <f t="shared" si="3"/>
        <v>1.1716487288050415E-3</v>
      </c>
    </row>
    <row r="94" spans="1:10" x14ac:dyDescent="0.25">
      <c r="A94">
        <v>90</v>
      </c>
      <c r="B94" s="75" t="s">
        <v>315</v>
      </c>
      <c r="C94" s="72">
        <v>0.14702703058719599</v>
      </c>
      <c r="D94" s="73">
        <v>22347.470703125</v>
      </c>
      <c r="E94" s="73">
        <v>3285.68237304688</v>
      </c>
      <c r="F94" s="73">
        <v>20704.62890625</v>
      </c>
      <c r="G94" s="73">
        <v>99817.5078125</v>
      </c>
      <c r="H94" s="74">
        <v>4.46661329269409</v>
      </c>
      <c r="I94">
        <f t="shared" si="2"/>
        <v>4.3569156394626467E-4</v>
      </c>
      <c r="J94">
        <f t="shared" si="3"/>
        <v>1.3062208417695675E-3</v>
      </c>
    </row>
    <row r="95" spans="1:10" x14ac:dyDescent="0.25">
      <c r="A95">
        <v>91</v>
      </c>
      <c r="B95" s="75" t="s">
        <v>316</v>
      </c>
      <c r="C95" s="72">
        <v>0.162166208028793</v>
      </c>
      <c r="D95" s="73">
        <v>19061.7890625</v>
      </c>
      <c r="E95" s="73">
        <v>3091.17797851562</v>
      </c>
      <c r="F95" s="73">
        <v>17516.19921875</v>
      </c>
      <c r="G95" s="73">
        <v>79112.875</v>
      </c>
      <c r="H95" s="74">
        <v>4.1503381729126003</v>
      </c>
      <c r="I95">
        <f t="shared" si="2"/>
        <v>4.8475489618720333E-4</v>
      </c>
      <c r="J95">
        <f t="shared" si="3"/>
        <v>1.4532077580837743E-3</v>
      </c>
    </row>
    <row r="96" spans="1:10" x14ac:dyDescent="0.25">
      <c r="A96">
        <v>92</v>
      </c>
      <c r="B96" s="75" t="s">
        <v>317</v>
      </c>
      <c r="C96" s="72">
        <v>0.17832928895950301</v>
      </c>
      <c r="D96" s="73">
        <v>15970.611328125</v>
      </c>
      <c r="E96" s="73">
        <v>2848.02783203125</v>
      </c>
      <c r="F96" s="73">
        <v>14546.59765625</v>
      </c>
      <c r="G96" s="73">
        <v>61596.67578125</v>
      </c>
      <c r="H96" s="74">
        <v>3.8568766117095898</v>
      </c>
      <c r="I96">
        <f t="shared" si="2"/>
        <v>5.3812481925137015E-4</v>
      </c>
      <c r="J96">
        <f t="shared" si="3"/>
        <v>1.6130720562580469E-3</v>
      </c>
    </row>
    <row r="97" spans="1:10" x14ac:dyDescent="0.25">
      <c r="A97">
        <v>93</v>
      </c>
      <c r="B97" s="75" t="s">
        <v>318</v>
      </c>
      <c r="C97" s="72">
        <v>0.19547912478446999</v>
      </c>
      <c r="D97" s="73">
        <v>13122.583984375</v>
      </c>
      <c r="E97" s="73">
        <v>2565.19116210938</v>
      </c>
      <c r="F97" s="73">
        <v>11839.98828125</v>
      </c>
      <c r="G97" s="73">
        <v>47050.078125</v>
      </c>
      <c r="H97" s="74">
        <v>3.58542776107788</v>
      </c>
      <c r="I97">
        <f t="shared" si="2"/>
        <v>5.9591332828706344E-4</v>
      </c>
      <c r="J97">
        <f t="shared" si="3"/>
        <v>1.7861429295827902E-3</v>
      </c>
    </row>
    <row r="98" spans="1:10" x14ac:dyDescent="0.25">
      <c r="A98">
        <v>94</v>
      </c>
      <c r="B98" s="75" t="s">
        <v>319</v>
      </c>
      <c r="C98" s="72">
        <v>0.21355700492858901</v>
      </c>
      <c r="D98" s="73">
        <v>10557.392578125</v>
      </c>
      <c r="E98" s="73">
        <v>2254.60522460938</v>
      </c>
      <c r="F98" s="73">
        <v>9430.08984375</v>
      </c>
      <c r="G98" s="73">
        <v>35210.08984375</v>
      </c>
      <c r="H98" s="74">
        <v>3.3351123332977299</v>
      </c>
      <c r="I98">
        <f t="shared" si="2"/>
        <v>6.5817818728383334E-4</v>
      </c>
      <c r="J98">
        <f t="shared" si="3"/>
        <v>1.9725864508985946E-3</v>
      </c>
    </row>
    <row r="99" spans="1:10" x14ac:dyDescent="0.25">
      <c r="A99">
        <v>95</v>
      </c>
      <c r="B99" s="75" t="s">
        <v>320</v>
      </c>
      <c r="C99" s="72">
        <v>0.23248185217380499</v>
      </c>
      <c r="D99" s="73">
        <v>8302.787109375</v>
      </c>
      <c r="E99" s="73">
        <v>1930.24731445312</v>
      </c>
      <c r="F99" s="73">
        <v>7337.66357421875</v>
      </c>
      <c r="G99" s="73">
        <v>25780.001953125</v>
      </c>
      <c r="H99" s="74">
        <v>3.1049816608428999</v>
      </c>
      <c r="I99">
        <f t="shared" si="2"/>
        <v>7.2491275184707535E-4</v>
      </c>
      <c r="J99">
        <f t="shared" si="3"/>
        <v>2.1723752256020967E-3</v>
      </c>
    </row>
    <row r="100" spans="1:10" x14ac:dyDescent="0.25">
      <c r="A100">
        <v>96</v>
      </c>
      <c r="B100" s="75" t="s">
        <v>321</v>
      </c>
      <c r="C100" s="72">
        <v>0.25215047597885099</v>
      </c>
      <c r="D100" s="73">
        <v>6372.5400390625</v>
      </c>
      <c r="E100" s="73">
        <v>1606.83898925781</v>
      </c>
      <c r="F100" s="73">
        <v>5569.12060546875</v>
      </c>
      <c r="G100" s="73">
        <v>18442.337890625</v>
      </c>
      <c r="H100" s="74">
        <v>2.89403247833252</v>
      </c>
      <c r="I100">
        <f t="shared" si="2"/>
        <v>7.9603696531506645E-4</v>
      </c>
      <c r="J100">
        <f t="shared" si="3"/>
        <v>2.3852616276937022E-3</v>
      </c>
    </row>
    <row r="101" spans="1:10" x14ac:dyDescent="0.25">
      <c r="A101">
        <v>97</v>
      </c>
      <c r="B101" s="75" t="s">
        <v>322</v>
      </c>
      <c r="C101" s="72">
        <v>0.27243900299072299</v>
      </c>
      <c r="D101" s="73">
        <v>4765.701171875</v>
      </c>
      <c r="E101" s="73">
        <v>1298.36291503906</v>
      </c>
      <c r="F101" s="73">
        <v>4116.51953125</v>
      </c>
      <c r="G101" s="73">
        <v>12873.216796875</v>
      </c>
      <c r="H101" s="74">
        <v>2.70122194290161</v>
      </c>
      <c r="I101">
        <f t="shared" si="2"/>
        <v>8.7139024319169117E-4</v>
      </c>
      <c r="J101">
        <f t="shared" si="3"/>
        <v>2.610756760820454E-3</v>
      </c>
    </row>
    <row r="102" spans="1:10" x14ac:dyDescent="0.25">
      <c r="A102">
        <v>98</v>
      </c>
      <c r="B102" s="75" t="s">
        <v>323</v>
      </c>
      <c r="C102" s="72">
        <v>0.29320529103279103</v>
      </c>
      <c r="D102" s="73">
        <v>3467.33837890625</v>
      </c>
      <c r="E102" s="73">
        <v>1016.64196777344</v>
      </c>
      <c r="F102" s="73">
        <v>2959.01733398438</v>
      </c>
      <c r="G102" s="73">
        <v>8756.697265625</v>
      </c>
      <c r="H102" s="74">
        <v>2.5254809856414799</v>
      </c>
      <c r="I102">
        <f t="shared" si="2"/>
        <v>9.5072609441845183E-4</v>
      </c>
      <c r="J102">
        <f t="shared" si="3"/>
        <v>2.8481146870605878E-3</v>
      </c>
    </row>
    <row r="103" spans="1:10" x14ac:dyDescent="0.25">
      <c r="A103">
        <v>99</v>
      </c>
      <c r="B103" s="75" t="s">
        <v>324</v>
      </c>
      <c r="C103" s="72">
        <v>0.31429252028465299</v>
      </c>
      <c r="D103" s="73">
        <v>2450.6962890625</v>
      </c>
      <c r="E103" s="73">
        <v>770.23553466796898</v>
      </c>
      <c r="F103" s="73">
        <v>2065.57861328125</v>
      </c>
      <c r="G103" s="73">
        <v>5797.68017578125</v>
      </c>
      <c r="H103" s="74">
        <v>2.3657276630401598</v>
      </c>
      <c r="I103">
        <f t="shared" si="2"/>
        <v>1.0337100180982032E-3</v>
      </c>
      <c r="J103">
        <f t="shared" si="3"/>
        <v>3.0963265172351262E-3</v>
      </c>
    </row>
    <row r="104" spans="1:10" x14ac:dyDescent="0.25">
      <c r="A104">
        <v>100</v>
      </c>
      <c r="B104" s="76" t="s">
        <v>325</v>
      </c>
      <c r="C104" s="77">
        <v>1</v>
      </c>
      <c r="D104" s="78">
        <v>1680.46069335938</v>
      </c>
      <c r="E104" s="78">
        <v>1680.46069335938</v>
      </c>
      <c r="F104" s="78">
        <v>3732.10131835938</v>
      </c>
      <c r="G104" s="78">
        <v>3732.10131835938</v>
      </c>
      <c r="H104" s="79">
        <v>2.2208797931671098</v>
      </c>
      <c r="I104" t="e">
        <f t="shared" si="2"/>
        <v>#NUM!</v>
      </c>
      <c r="J104" t="e">
        <f t="shared" si="3"/>
        <v>#NUM!</v>
      </c>
    </row>
  </sheetData>
  <mergeCells count="1">
    <mergeCell ref="B1:H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45"/>
  <sheetViews>
    <sheetView tabSelected="1" workbookViewId="0">
      <selection activeCell="P23" sqref="P23"/>
    </sheetView>
  </sheetViews>
  <sheetFormatPr defaultColWidth="8.85546875" defaultRowHeight="15" x14ac:dyDescent="0.25"/>
  <cols>
    <col min="1" max="1" width="22.28515625" customWidth="1"/>
    <col min="2" max="2" width="10.42578125" customWidth="1"/>
    <col min="4" max="4" width="13.140625" customWidth="1"/>
    <col min="5" max="5" width="7.42578125" style="112" customWidth="1"/>
    <col min="6" max="6" width="12.42578125" customWidth="1"/>
    <col min="8" max="8" width="3.28515625" style="34" customWidth="1"/>
    <col min="9" max="9" width="12.140625" bestFit="1" customWidth="1"/>
    <col min="10" max="10" width="9.85546875" style="107" customWidth="1"/>
    <col min="13" max="13" width="3.28515625" style="34" customWidth="1"/>
    <col min="14" max="14" width="68.42578125" customWidth="1"/>
    <col min="16" max="16" width="11.7109375" bestFit="1" customWidth="1"/>
  </cols>
  <sheetData>
    <row r="1" spans="1:18" ht="15.75" x14ac:dyDescent="0.25">
      <c r="A1" s="29" t="s">
        <v>380</v>
      </c>
    </row>
    <row r="2" spans="1:18" s="103" customFormat="1" x14ac:dyDescent="0.25">
      <c r="E2" s="113"/>
      <c r="H2" s="104"/>
      <c r="M2" s="104"/>
    </row>
    <row r="3" spans="1:18" x14ac:dyDescent="0.25">
      <c r="A3" s="109" t="s">
        <v>390</v>
      </c>
      <c r="B3" s="11"/>
      <c r="C3" s="11"/>
      <c r="D3" s="107"/>
      <c r="H3" s="105"/>
      <c r="I3" s="53" t="s">
        <v>391</v>
      </c>
      <c r="J3" s="108" t="s">
        <v>139</v>
      </c>
      <c r="K3" s="53" t="s">
        <v>352</v>
      </c>
      <c r="M3" s="105"/>
      <c r="N3" t="s">
        <v>139</v>
      </c>
    </row>
    <row r="4" spans="1:18" x14ac:dyDescent="0.25">
      <c r="A4" s="108" t="s">
        <v>385</v>
      </c>
      <c r="B4" s="6" t="s">
        <v>352</v>
      </c>
      <c r="C4" s="108" t="s">
        <v>381</v>
      </c>
      <c r="D4" s="108" t="s">
        <v>382</v>
      </c>
      <c r="E4" s="114" t="s">
        <v>384</v>
      </c>
      <c r="I4" t="s">
        <v>45</v>
      </c>
      <c r="K4" s="53" t="s">
        <v>381</v>
      </c>
      <c r="L4" s="53" t="s">
        <v>382</v>
      </c>
      <c r="N4" s="107"/>
      <c r="O4" s="108" t="s">
        <v>381</v>
      </c>
      <c r="P4" s="108" t="s">
        <v>382</v>
      </c>
      <c r="Q4" s="108" t="s">
        <v>383</v>
      </c>
      <c r="R4" s="53"/>
    </row>
    <row r="5" spans="1:18" x14ac:dyDescent="0.25">
      <c r="A5" s="10" t="s">
        <v>40</v>
      </c>
      <c r="B5" s="6"/>
      <c r="C5" s="110">
        <f>Parameters!C91</f>
        <v>0.18</v>
      </c>
      <c r="D5" s="110">
        <f>Parameters!D91</f>
        <v>1</v>
      </c>
      <c r="E5" s="112" t="s">
        <v>388</v>
      </c>
      <c r="F5" s="53"/>
      <c r="J5" s="10" t="s">
        <v>40</v>
      </c>
      <c r="K5">
        <f>C6</f>
        <v>203103.81019474301</v>
      </c>
      <c r="L5" s="107">
        <f>D6</f>
        <v>17218.079976539728</v>
      </c>
      <c r="N5" s="10" t="s">
        <v>84</v>
      </c>
      <c r="O5" s="107">
        <f>K9</f>
        <v>146045.63336869414</v>
      </c>
      <c r="P5" s="107">
        <f>L9</f>
        <v>146431.27630743349</v>
      </c>
      <c r="Q5">
        <f>ABS(P5-O5)</f>
        <v>385.64293873935821</v>
      </c>
      <c r="R5" s="44"/>
    </row>
    <row r="6" spans="1:18" x14ac:dyDescent="0.25">
      <c r="A6" s="6" t="s">
        <v>45</v>
      </c>
      <c r="B6" s="16">
        <f ca="1">Results!$E$6</f>
        <v>146241.56486176341</v>
      </c>
      <c r="C6" s="110">
        <f>Parameters!C92</f>
        <v>203103.81019474301</v>
      </c>
      <c r="D6" s="110">
        <f>Parameters!D92</f>
        <v>17218.079976539728</v>
      </c>
      <c r="F6" s="30"/>
      <c r="J6" s="10" t="s">
        <v>72</v>
      </c>
      <c r="K6">
        <f>C11</f>
        <v>142737.26007526545</v>
      </c>
      <c r="L6" s="107">
        <f>D11</f>
        <v>146241.56486176341</v>
      </c>
      <c r="N6" s="10" t="s">
        <v>69</v>
      </c>
      <c r="O6" s="107">
        <f>K6</f>
        <v>142737.26007526545</v>
      </c>
      <c r="P6" s="107">
        <f>L6</f>
        <v>146241.56486176341</v>
      </c>
      <c r="Q6" s="107">
        <f>ABS(P6-O6)</f>
        <v>3504.3047864979599</v>
      </c>
      <c r="R6" s="44"/>
    </row>
    <row r="7" spans="1:18" x14ac:dyDescent="0.25">
      <c r="A7" s="6" t="s">
        <v>46</v>
      </c>
      <c r="B7" s="16">
        <f ca="1">Results!$E$7</f>
        <v>49643.792365182795</v>
      </c>
      <c r="C7" s="110">
        <f>Parameters!C93</f>
        <v>94700.176894205753</v>
      </c>
      <c r="D7" s="110">
        <f>Parameters!D93</f>
        <v>16612.638511136542</v>
      </c>
      <c r="I7" s="30"/>
      <c r="J7" s="10" t="s">
        <v>73</v>
      </c>
      <c r="K7">
        <f>C16</f>
        <v>102401.88153695517</v>
      </c>
      <c r="L7" s="107">
        <f>D16</f>
        <v>259795.65504546367</v>
      </c>
      <c r="N7" s="10" t="s">
        <v>83</v>
      </c>
      <c r="O7" s="107">
        <f>K8</f>
        <v>128283.20965670788</v>
      </c>
      <c r="P7" s="107">
        <f>L8</f>
        <v>152484.50720643657</v>
      </c>
      <c r="Q7" s="107">
        <f>ABS(P7-O7)</f>
        <v>24201.297549728682</v>
      </c>
      <c r="R7" s="44"/>
    </row>
    <row r="8" spans="1:18" x14ac:dyDescent="0.25">
      <c r="A8" s="6" t="s">
        <v>47</v>
      </c>
      <c r="B8" s="16">
        <f ca="1">Results!$E$8</f>
        <v>107793.09448268388</v>
      </c>
      <c r="C8" s="110">
        <f>Parameters!C94</f>
        <v>184194.45374839436</v>
      </c>
      <c r="D8" s="110">
        <f>Parameters!D94</f>
        <v>17341.107865286158</v>
      </c>
      <c r="F8" s="107"/>
      <c r="I8" s="30"/>
      <c r="J8" s="10" t="s">
        <v>74</v>
      </c>
      <c r="K8">
        <f>C21</f>
        <v>128283.20965670788</v>
      </c>
      <c r="L8" s="107">
        <f>D21</f>
        <v>152484.50720643657</v>
      </c>
      <c r="N8" s="10" t="s">
        <v>68</v>
      </c>
      <c r="O8" s="107">
        <f>K7</f>
        <v>102401.88153695517</v>
      </c>
      <c r="P8" s="107">
        <f>L7</f>
        <v>259795.65504546367</v>
      </c>
      <c r="Q8" s="107">
        <f>ABS(P8-O8)</f>
        <v>157393.77350850852</v>
      </c>
      <c r="R8" s="44"/>
    </row>
    <row r="9" spans="1:18" x14ac:dyDescent="0.25">
      <c r="A9" s="6"/>
      <c r="B9" s="6"/>
      <c r="C9" s="110">
        <f>Parameters!C95</f>
        <v>0</v>
      </c>
      <c r="D9" s="110">
        <f>Parameters!D95</f>
        <v>0</v>
      </c>
      <c r="F9" s="107"/>
      <c r="I9" s="30"/>
      <c r="J9" s="10" t="s">
        <v>75</v>
      </c>
      <c r="K9">
        <f>C26</f>
        <v>146045.63336869414</v>
      </c>
      <c r="L9" s="107">
        <f>D26</f>
        <v>146431.27630743349</v>
      </c>
      <c r="N9" s="10" t="s">
        <v>399</v>
      </c>
      <c r="O9" s="107">
        <f>K5</f>
        <v>203103.81019474301</v>
      </c>
      <c r="P9" s="107">
        <f>L5</f>
        <v>17218.079976539728</v>
      </c>
      <c r="Q9" s="107">
        <f>ABS(P9-O9)</f>
        <v>185885.73021820327</v>
      </c>
      <c r="R9" s="44"/>
    </row>
    <row r="10" spans="1:18" x14ac:dyDescent="0.25">
      <c r="A10" s="10" t="s">
        <v>72</v>
      </c>
      <c r="B10" s="6"/>
      <c r="C10" s="110">
        <f>Parameters!C96</f>
        <v>0.9</v>
      </c>
      <c r="D10" s="110">
        <f>Parameters!D96</f>
        <v>1</v>
      </c>
      <c r="E10" s="112" t="s">
        <v>387</v>
      </c>
      <c r="I10" s="44"/>
      <c r="J10" s="44"/>
      <c r="N10" s="44"/>
      <c r="O10" s="107"/>
      <c r="P10" s="107"/>
      <c r="Q10" s="107"/>
      <c r="R10" s="44"/>
    </row>
    <row r="11" spans="1:18" x14ac:dyDescent="0.25">
      <c r="A11" s="6" t="s">
        <v>45</v>
      </c>
      <c r="B11" s="16">
        <f ca="1">Results!$E$6</f>
        <v>146241.56486176341</v>
      </c>
      <c r="C11" s="110">
        <f>Parameters!C97</f>
        <v>142737.26007526545</v>
      </c>
      <c r="D11" s="110">
        <f>Parameters!D97</f>
        <v>146241.56486176341</v>
      </c>
      <c r="I11" s="107" t="s">
        <v>46</v>
      </c>
      <c r="N11" s="44"/>
      <c r="O11" s="107"/>
      <c r="P11" s="107"/>
      <c r="Q11" s="107"/>
      <c r="R11" s="44"/>
    </row>
    <row r="12" spans="1:18" x14ac:dyDescent="0.25">
      <c r="A12" s="6" t="s">
        <v>46</v>
      </c>
      <c r="B12" s="16">
        <f ca="1">Results!$E$7</f>
        <v>49643.792365182795</v>
      </c>
      <c r="C12" s="110">
        <f>Parameters!C98</f>
        <v>144495.84068170786</v>
      </c>
      <c r="D12" s="110">
        <f>Parameters!D98</f>
        <v>49643.792365182795</v>
      </c>
      <c r="F12" s="30"/>
      <c r="I12" s="107"/>
      <c r="J12" s="10" t="s">
        <v>40</v>
      </c>
      <c r="K12">
        <f>C7</f>
        <v>94700.176894205753</v>
      </c>
      <c r="L12" s="107">
        <f>D7</f>
        <v>16612.638511136542</v>
      </c>
      <c r="N12" s="10" t="s">
        <v>84</v>
      </c>
      <c r="O12" s="107">
        <f>K16</f>
        <v>46232.378114682899</v>
      </c>
      <c r="P12" s="107">
        <f>L16</f>
        <v>52946.907750586281</v>
      </c>
      <c r="Q12" s="107">
        <f>ABS(P12-O12)</f>
        <v>6714.5296359033819</v>
      </c>
      <c r="R12" s="106"/>
    </row>
    <row r="13" spans="1:18" x14ac:dyDescent="0.25">
      <c r="A13" s="6" t="s">
        <v>47</v>
      </c>
      <c r="B13" s="16">
        <f ca="1">Results!$E$8</f>
        <v>107793.09448268388</v>
      </c>
      <c r="C13" s="110">
        <f>Parameters!C99</f>
        <v>100964.93631752882</v>
      </c>
      <c r="D13" s="110">
        <f>Parameters!D99</f>
        <v>107793.09448268388</v>
      </c>
      <c r="I13" s="107"/>
      <c r="J13" s="10" t="s">
        <v>72</v>
      </c>
      <c r="K13">
        <f>C12</f>
        <v>144495.84068170786</v>
      </c>
      <c r="L13" s="107">
        <f>D12</f>
        <v>49643.792365182795</v>
      </c>
      <c r="N13" s="10" t="s">
        <v>68</v>
      </c>
      <c r="O13" s="107">
        <f>K14</f>
        <v>54857.19360565205</v>
      </c>
      <c r="P13" s="107">
        <f>L14</f>
        <v>45963.999989618394</v>
      </c>
      <c r="Q13" s="107">
        <f>ABS(P13-O13)</f>
        <v>8893.1936160336554</v>
      </c>
      <c r="R13" s="44"/>
    </row>
    <row r="14" spans="1:18" x14ac:dyDescent="0.25">
      <c r="A14" s="6"/>
      <c r="B14" s="6"/>
      <c r="C14" s="110">
        <f>Parameters!C100</f>
        <v>0</v>
      </c>
      <c r="D14" s="110">
        <f>Parameters!D100</f>
        <v>0</v>
      </c>
      <c r="I14" s="30"/>
      <c r="J14" s="10" t="s">
        <v>73</v>
      </c>
      <c r="K14">
        <f>C17</f>
        <v>54857.19360565205</v>
      </c>
      <c r="L14" s="107">
        <f>D17</f>
        <v>45963.999989618394</v>
      </c>
      <c r="N14" s="10" t="s">
        <v>399</v>
      </c>
      <c r="O14" s="107">
        <f>K12</f>
        <v>94700.176894205753</v>
      </c>
      <c r="P14" s="107">
        <f>L12</f>
        <v>16612.638511136542</v>
      </c>
      <c r="Q14" s="107">
        <f>ABS(P14-O14)</f>
        <v>78087.538383069215</v>
      </c>
      <c r="R14" s="44"/>
    </row>
    <row r="15" spans="1:18" x14ac:dyDescent="0.25">
      <c r="A15" s="10" t="s">
        <v>73</v>
      </c>
      <c r="B15" s="6"/>
      <c r="C15" s="110">
        <f>Parameters!C101</f>
        <v>0.77</v>
      </c>
      <c r="D15" s="110">
        <f>Parameters!D101</f>
        <v>1</v>
      </c>
      <c r="E15" s="112" t="s">
        <v>386</v>
      </c>
      <c r="F15" s="30"/>
      <c r="I15" s="30"/>
      <c r="J15" s="10" t="s">
        <v>74</v>
      </c>
      <c r="K15">
        <f>C22</f>
        <v>25305.047420095663</v>
      </c>
      <c r="L15" s="107">
        <f>D22</f>
        <v>181768.40778136565</v>
      </c>
      <c r="N15" s="10" t="s">
        <v>69</v>
      </c>
      <c r="O15" s="107">
        <f>K13</f>
        <v>144495.84068170786</v>
      </c>
      <c r="P15" s="107">
        <f>L13</f>
        <v>49643.792365182795</v>
      </c>
      <c r="Q15" s="107">
        <f>ABS(P15-O15)</f>
        <v>94852.048316525063</v>
      </c>
      <c r="R15" s="44"/>
    </row>
    <row r="16" spans="1:18" x14ac:dyDescent="0.25">
      <c r="A16" s="6" t="s">
        <v>45</v>
      </c>
      <c r="B16" s="16">
        <f ca="1">Results!$E$6</f>
        <v>146241.56486176341</v>
      </c>
      <c r="C16" s="110">
        <f>Parameters!C102</f>
        <v>102401.88153695517</v>
      </c>
      <c r="D16" s="110">
        <f>Parameters!D102</f>
        <v>259795.65504546367</v>
      </c>
      <c r="I16" s="30"/>
      <c r="J16" s="10" t="s">
        <v>75</v>
      </c>
      <c r="K16">
        <f>C27</f>
        <v>46232.378114682899</v>
      </c>
      <c r="L16" s="107">
        <f>D27</f>
        <v>52946.907750586281</v>
      </c>
      <c r="N16" s="10" t="s">
        <v>83</v>
      </c>
      <c r="O16" s="107">
        <f>K15</f>
        <v>25305.047420095663</v>
      </c>
      <c r="P16" s="107">
        <f>L15</f>
        <v>181768.40778136565</v>
      </c>
      <c r="Q16" s="107">
        <f>ABS(P16-O16)</f>
        <v>156463.36036127</v>
      </c>
      <c r="R16" s="44"/>
    </row>
    <row r="17" spans="1:19" x14ac:dyDescent="0.25">
      <c r="A17" s="6" t="s">
        <v>46</v>
      </c>
      <c r="B17" s="16">
        <f ca="1">Results!$E$7</f>
        <v>49643.792365182795</v>
      </c>
      <c r="C17" s="110">
        <f>Parameters!C103</f>
        <v>54857.19360565205</v>
      </c>
      <c r="D17" s="110">
        <f>Parameters!D103</f>
        <v>45963.999989618394</v>
      </c>
      <c r="I17" s="30"/>
      <c r="J17" s="30"/>
      <c r="N17" s="44"/>
      <c r="O17" s="107"/>
      <c r="P17" s="107"/>
      <c r="Q17" s="107"/>
      <c r="R17" s="44"/>
    </row>
    <row r="18" spans="1:19" x14ac:dyDescent="0.25">
      <c r="A18" s="6" t="s">
        <v>47</v>
      </c>
      <c r="B18" s="16">
        <f ca="1">Results!$E$8</f>
        <v>107793.09448268388</v>
      </c>
      <c r="C18" s="110">
        <f>Parameters!C104</f>
        <v>65288.372432616721</v>
      </c>
      <c r="D18" s="110">
        <f>Parameters!D104</f>
        <v>459959.39585371077</v>
      </c>
      <c r="F18" s="30"/>
      <c r="I18" s="107" t="s">
        <v>47</v>
      </c>
      <c r="N18" s="44"/>
      <c r="O18" s="107"/>
      <c r="P18" s="107"/>
      <c r="Q18" s="107"/>
      <c r="R18" s="44"/>
    </row>
    <row r="19" spans="1:19" x14ac:dyDescent="0.25">
      <c r="A19" s="11"/>
      <c r="B19" s="6"/>
      <c r="C19" s="110">
        <f>Parameters!C105</f>
        <v>0</v>
      </c>
      <c r="D19" s="110">
        <f>Parameters!D105</f>
        <v>0</v>
      </c>
      <c r="I19" s="107"/>
      <c r="J19" s="10" t="s">
        <v>40</v>
      </c>
      <c r="K19">
        <f>C8</f>
        <v>184194.45374839436</v>
      </c>
      <c r="L19" s="107">
        <f>D8</f>
        <v>17341.107865286158</v>
      </c>
      <c r="N19" s="10" t="s">
        <v>83</v>
      </c>
      <c r="O19" s="107">
        <f>K22</f>
        <v>111120.72077571964</v>
      </c>
      <c r="P19" s="107">
        <f>L22</f>
        <v>106883.31138085749</v>
      </c>
      <c r="Q19" s="107">
        <f>ABS(P19-O19)</f>
        <v>4237.4093948621594</v>
      </c>
      <c r="R19" s="44"/>
    </row>
    <row r="20" spans="1:19" x14ac:dyDescent="0.25">
      <c r="A20" s="10" t="s">
        <v>74</v>
      </c>
      <c r="B20" s="6"/>
      <c r="C20" s="110">
        <f>Parameters!C106</f>
        <v>0.94299999999999995</v>
      </c>
      <c r="D20" s="110">
        <f>Parameters!D106</f>
        <v>0.997</v>
      </c>
      <c r="E20" s="115" t="s">
        <v>128</v>
      </c>
      <c r="I20" s="107"/>
      <c r="J20" s="10" t="s">
        <v>72</v>
      </c>
      <c r="K20">
        <f>C13</f>
        <v>100964.93631752882</v>
      </c>
      <c r="L20" s="107">
        <f>D13</f>
        <v>107793.09448268388</v>
      </c>
      <c r="N20" s="10" t="s">
        <v>69</v>
      </c>
      <c r="O20" s="107">
        <f>K20</f>
        <v>100964.93631752882</v>
      </c>
      <c r="P20" s="107">
        <f>L20</f>
        <v>107793.09448268388</v>
      </c>
      <c r="Q20" s="107">
        <f>ABS(P20-O20)</f>
        <v>6828.1581651550659</v>
      </c>
      <c r="R20" s="44"/>
    </row>
    <row r="21" spans="1:19" x14ac:dyDescent="0.25">
      <c r="A21" s="6" t="s">
        <v>45</v>
      </c>
      <c r="B21" s="16">
        <f ca="1">Results!$E$6</f>
        <v>146241.56486176341</v>
      </c>
      <c r="C21" s="110">
        <f>Parameters!C107</f>
        <v>128283.20965670788</v>
      </c>
      <c r="D21" s="110">
        <f>Parameters!D107</f>
        <v>152484.50720643657</v>
      </c>
      <c r="E21" s="115"/>
      <c r="F21" s="30"/>
      <c r="I21" s="30"/>
      <c r="J21" s="10" t="s">
        <v>73</v>
      </c>
      <c r="K21">
        <f>C18</f>
        <v>65288.372432616721</v>
      </c>
      <c r="L21" s="107">
        <f>D18</f>
        <v>459959.39585371077</v>
      </c>
      <c r="N21" s="10" t="s">
        <v>84</v>
      </c>
      <c r="O21" s="107">
        <f>K23</f>
        <v>117924.13636628358</v>
      </c>
      <c r="P21" s="107">
        <f>L23</f>
        <v>97318.396813265819</v>
      </c>
      <c r="Q21" s="107">
        <f>ABS(P21-O21)</f>
        <v>20605.73955301776</v>
      </c>
      <c r="R21" s="44"/>
    </row>
    <row r="22" spans="1:19" x14ac:dyDescent="0.25">
      <c r="A22" s="6" t="s">
        <v>46</v>
      </c>
      <c r="B22" s="16">
        <f ca="1">Results!$E$7</f>
        <v>49643.792365182795</v>
      </c>
      <c r="C22" s="110">
        <f>Parameters!C108</f>
        <v>25305.047420095663</v>
      </c>
      <c r="D22" s="110">
        <f>Parameters!D108</f>
        <v>181768.40778136565</v>
      </c>
      <c r="E22" s="115"/>
      <c r="I22" s="30"/>
      <c r="J22" s="10" t="s">
        <v>74</v>
      </c>
      <c r="K22">
        <f>C23</f>
        <v>111120.72077571964</v>
      </c>
      <c r="L22" s="107">
        <f>D23</f>
        <v>106883.31138085749</v>
      </c>
      <c r="N22" s="10" t="s">
        <v>399</v>
      </c>
      <c r="O22" s="107">
        <f>K19</f>
        <v>184194.45374839436</v>
      </c>
      <c r="P22" s="107">
        <f>L19</f>
        <v>17341.107865286158</v>
      </c>
      <c r="Q22" s="107">
        <f>ABS(P22-O22)</f>
        <v>166853.34588310821</v>
      </c>
      <c r="R22" s="44"/>
    </row>
    <row r="23" spans="1:19" x14ac:dyDescent="0.25">
      <c r="A23" s="6" t="s">
        <v>47</v>
      </c>
      <c r="B23" s="16">
        <f ca="1">Results!$E$8</f>
        <v>107793.09448268388</v>
      </c>
      <c r="C23" s="110">
        <f>Parameters!C109</f>
        <v>111120.72077571964</v>
      </c>
      <c r="D23" s="110">
        <f>Parameters!D109</f>
        <v>106883.31138085749</v>
      </c>
      <c r="I23" s="30"/>
      <c r="J23" s="10" t="s">
        <v>75</v>
      </c>
      <c r="K23">
        <f>C28</f>
        <v>117924.13636628358</v>
      </c>
      <c r="L23" s="107">
        <f>D28</f>
        <v>97318.396813265819</v>
      </c>
      <c r="N23" s="10" t="s">
        <v>68</v>
      </c>
      <c r="O23" s="107">
        <f>K21</f>
        <v>65288.372432616721</v>
      </c>
      <c r="P23" s="107">
        <f>L21</f>
        <v>459959.39585371077</v>
      </c>
      <c r="Q23" s="107">
        <f>ABS(P23-O23)</f>
        <v>394671.02342109405</v>
      </c>
      <c r="R23" s="44"/>
    </row>
    <row r="24" spans="1:19" x14ac:dyDescent="0.25">
      <c r="A24" s="6"/>
      <c r="B24" s="6"/>
      <c r="C24" s="110">
        <f>Parameters!C110</f>
        <v>0</v>
      </c>
      <c r="D24" s="110">
        <f>Parameters!D110</f>
        <v>0</v>
      </c>
      <c r="F24" s="30"/>
      <c r="I24" s="30"/>
      <c r="J24" s="30"/>
      <c r="N24" s="44"/>
      <c r="R24" s="44"/>
    </row>
    <row r="25" spans="1:19" x14ac:dyDescent="0.25">
      <c r="A25" s="10" t="s">
        <v>75</v>
      </c>
      <c r="B25" s="6"/>
      <c r="C25" s="110">
        <f>Parameters!C111</f>
        <v>0.54700000000000004</v>
      </c>
      <c r="D25" s="110">
        <f>Parameters!D111</f>
        <v>0.67100000000000004</v>
      </c>
      <c r="E25" s="116" t="s">
        <v>129</v>
      </c>
      <c r="I25" s="106"/>
      <c r="J25" s="106"/>
      <c r="N25" s="44"/>
      <c r="R25" s="44"/>
    </row>
    <row r="26" spans="1:19" x14ac:dyDescent="0.25">
      <c r="A26" s="6" t="s">
        <v>45</v>
      </c>
      <c r="B26" s="16">
        <f ca="1">Results!$E$6</f>
        <v>146241.56486176341</v>
      </c>
      <c r="C26" s="110">
        <f>Parameters!C112</f>
        <v>146045.63336869414</v>
      </c>
      <c r="D26" s="110">
        <f>Parameters!D112</f>
        <v>146431.27630743349</v>
      </c>
      <c r="E26" s="116"/>
      <c r="I26" s="30"/>
      <c r="J26" s="30"/>
      <c r="N26" s="107"/>
      <c r="O26" s="108" t="s">
        <v>381</v>
      </c>
      <c r="P26" s="108" t="s">
        <v>382</v>
      </c>
      <c r="Q26" s="44" t="s">
        <v>392</v>
      </c>
      <c r="S26" s="108" t="s">
        <v>383</v>
      </c>
    </row>
    <row r="27" spans="1:19" x14ac:dyDescent="0.25">
      <c r="A27" s="6" t="s">
        <v>46</v>
      </c>
      <c r="B27" s="16">
        <f ca="1">Results!$E$7</f>
        <v>49643.792365182795</v>
      </c>
      <c r="C27" s="110">
        <f>Parameters!C113</f>
        <v>46232.378114682899</v>
      </c>
      <c r="D27" s="110">
        <f>Parameters!D113</f>
        <v>52946.907750586281</v>
      </c>
      <c r="E27" s="116"/>
      <c r="F27" s="30"/>
      <c r="I27" s="30"/>
      <c r="J27" s="30"/>
      <c r="N27" s="10" t="s">
        <v>84</v>
      </c>
      <c r="O27" s="107">
        <v>146045.63336869414</v>
      </c>
      <c r="P27" s="107">
        <v>146431.27630743349</v>
      </c>
      <c r="Q27" s="44" t="s">
        <v>45</v>
      </c>
      <c r="S27" s="107">
        <f>ABS(P27-O27)</f>
        <v>385.64293873935821</v>
      </c>
    </row>
    <row r="28" spans="1:19" x14ac:dyDescent="0.25">
      <c r="A28" s="6" t="s">
        <v>47</v>
      </c>
      <c r="B28" s="16">
        <f ca="1">Results!$E$8</f>
        <v>107793.09448268388</v>
      </c>
      <c r="C28" s="110">
        <f>Parameters!C114</f>
        <v>117924.13636628358</v>
      </c>
      <c r="D28" s="110">
        <f>Parameters!D114</f>
        <v>97318.396813265819</v>
      </c>
      <c r="I28" s="106"/>
      <c r="J28" s="106"/>
      <c r="N28" s="10" t="s">
        <v>84</v>
      </c>
      <c r="O28" s="107">
        <v>46232.378114682899</v>
      </c>
      <c r="P28" s="107">
        <v>52946.907750586281</v>
      </c>
      <c r="Q28" s="117" t="s">
        <v>46</v>
      </c>
      <c r="S28" s="107">
        <f>ABS(P28-O28)</f>
        <v>6714.5296359033819</v>
      </c>
    </row>
    <row r="29" spans="1:19" x14ac:dyDescent="0.25">
      <c r="A29" s="6"/>
      <c r="B29" s="30"/>
      <c r="C29" s="30"/>
      <c r="D29" s="30"/>
      <c r="I29" s="30"/>
      <c r="J29" s="30"/>
      <c r="N29" s="10" t="s">
        <v>84</v>
      </c>
      <c r="O29" s="107">
        <v>105348.18369502325</v>
      </c>
      <c r="P29" s="107">
        <v>89072.23264693188</v>
      </c>
      <c r="Q29" s="117" t="s">
        <v>47</v>
      </c>
      <c r="S29" s="107">
        <f>ABS(P29-O29)</f>
        <v>16275.951048091374</v>
      </c>
    </row>
    <row r="31" spans="1:19" x14ac:dyDescent="0.25">
      <c r="N31" s="10" t="s">
        <v>69</v>
      </c>
      <c r="O31" s="107">
        <v>143644.32349171309</v>
      </c>
      <c r="P31" s="107">
        <v>146241.56486176341</v>
      </c>
      <c r="Q31" t="s">
        <v>45</v>
      </c>
      <c r="S31" s="107">
        <f>ABS(P31-O31)</f>
        <v>2597.2413700503239</v>
      </c>
    </row>
    <row r="32" spans="1:19" x14ac:dyDescent="0.25">
      <c r="N32" s="10" t="s">
        <v>69</v>
      </c>
      <c r="O32" s="107">
        <v>128131.86906533093</v>
      </c>
      <c r="P32" s="107">
        <v>49643.792365182795</v>
      </c>
      <c r="Q32" s="117" t="s">
        <v>46</v>
      </c>
      <c r="S32" s="107">
        <f>ABS(P32-O32)</f>
        <v>78488.076700148144</v>
      </c>
    </row>
    <row r="33" spans="14:19" x14ac:dyDescent="0.25">
      <c r="N33" s="10" t="s">
        <v>69</v>
      </c>
      <c r="O33" s="107">
        <v>91987.446583709883</v>
      </c>
      <c r="P33" s="107">
        <v>97444.47091903312</v>
      </c>
      <c r="Q33" s="117" t="s">
        <v>47</v>
      </c>
      <c r="S33" s="107">
        <f>ABS(P33-O33)</f>
        <v>5457.0243353232363</v>
      </c>
    </row>
    <row r="35" spans="14:19" x14ac:dyDescent="0.25">
      <c r="N35" s="10" t="s">
        <v>66</v>
      </c>
      <c r="O35" s="107">
        <v>203103.81019474301</v>
      </c>
      <c r="P35" s="107">
        <v>17218.079976539728</v>
      </c>
      <c r="Q35" s="117" t="s">
        <v>45</v>
      </c>
      <c r="S35" s="107">
        <f>ABS(P35-O35)</f>
        <v>185885.73021820327</v>
      </c>
    </row>
    <row r="36" spans="14:19" x14ac:dyDescent="0.25">
      <c r="N36" s="10" t="s">
        <v>66</v>
      </c>
      <c r="O36" s="107">
        <v>94700.176894205753</v>
      </c>
      <c r="P36" s="107">
        <v>16612.638511136542</v>
      </c>
      <c r="Q36" s="117" t="s">
        <v>46</v>
      </c>
      <c r="S36" s="107">
        <f>ABS(P36-O36)</f>
        <v>78087.538383069215</v>
      </c>
    </row>
    <row r="37" spans="14:19" x14ac:dyDescent="0.25">
      <c r="N37" s="10" t="s">
        <v>66</v>
      </c>
      <c r="O37" s="107">
        <v>154021.16773453832</v>
      </c>
      <c r="P37" s="107">
        <v>17341.107865286158</v>
      </c>
      <c r="Q37" s="117" t="s">
        <v>47</v>
      </c>
      <c r="S37" s="107">
        <f>ABS(P37-O37)</f>
        <v>136680.05986925217</v>
      </c>
    </row>
    <row r="39" spans="14:19" x14ac:dyDescent="0.25">
      <c r="N39" s="10" t="s">
        <v>68</v>
      </c>
      <c r="O39" s="107">
        <v>102401.88153695517</v>
      </c>
      <c r="P39" s="107">
        <v>259795.65504546367</v>
      </c>
      <c r="Q39" s="117" t="s">
        <v>45</v>
      </c>
      <c r="S39" s="107">
        <f>ABS(P39-O39)</f>
        <v>157393.77350850852</v>
      </c>
    </row>
    <row r="40" spans="14:19" x14ac:dyDescent="0.25">
      <c r="N40" s="10" t="s">
        <v>68</v>
      </c>
      <c r="O40" s="107">
        <v>54857.19360565205</v>
      </c>
      <c r="P40" s="107">
        <v>45963.999989618394</v>
      </c>
      <c r="Q40" s="117" t="s">
        <v>46</v>
      </c>
      <c r="S40" s="107">
        <f>ABS(P40-O40)</f>
        <v>8893.1936160336554</v>
      </c>
    </row>
    <row r="41" spans="14:19" x14ac:dyDescent="0.25">
      <c r="N41" s="10" t="s">
        <v>68</v>
      </c>
      <c r="O41" s="107">
        <v>61772.195505970383</v>
      </c>
      <c r="P41" s="107">
        <v>303705.81797266204</v>
      </c>
      <c r="Q41" s="117" t="s">
        <v>47</v>
      </c>
      <c r="S41" s="107">
        <f>ABS(P41-O41)</f>
        <v>241933.62246669165</v>
      </c>
    </row>
    <row r="43" spans="14:19" x14ac:dyDescent="0.25">
      <c r="N43" s="10" t="s">
        <v>83</v>
      </c>
      <c r="O43" s="107">
        <v>128283.20965670788</v>
      </c>
      <c r="P43" s="107">
        <v>152484.50720643657</v>
      </c>
      <c r="Q43" s="117" t="s">
        <v>45</v>
      </c>
      <c r="S43" s="107">
        <f>ABS(P43-O43)</f>
        <v>24201.297549728682</v>
      </c>
    </row>
    <row r="44" spans="14:19" x14ac:dyDescent="0.25">
      <c r="N44" s="10" t="s">
        <v>83</v>
      </c>
      <c r="O44" s="107">
        <v>25305.047420095663</v>
      </c>
      <c r="P44" s="107">
        <v>181768.40778136565</v>
      </c>
      <c r="Q44" s="117" t="s">
        <v>46</v>
      </c>
      <c r="S44" s="107">
        <f>ABS(P44-O44)</f>
        <v>156463.36036127</v>
      </c>
    </row>
    <row r="45" spans="14:19" x14ac:dyDescent="0.25">
      <c r="N45" s="10" t="s">
        <v>83</v>
      </c>
      <c r="O45" s="107">
        <v>100116.00239793393</v>
      </c>
      <c r="P45" s="107">
        <v>96710.935902856567</v>
      </c>
      <c r="Q45" s="117" t="s">
        <v>47</v>
      </c>
      <c r="S45" s="107">
        <f>ABS(P45-O45)</f>
        <v>3405.0664950773644</v>
      </c>
    </row>
  </sheetData>
  <sortState ref="N19:U23">
    <sortCondition ref="Q19:Q23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0007"/>
  <sheetViews>
    <sheetView topLeftCell="A964" zoomScale="90" workbookViewId="0">
      <selection activeCell="W208" sqref="W208:Z208"/>
    </sheetView>
  </sheetViews>
  <sheetFormatPr defaultColWidth="8.85546875" defaultRowHeight="12.75" x14ac:dyDescent="0.2"/>
  <cols>
    <col min="1" max="1" width="7" style="30" customWidth="1"/>
    <col min="2" max="2" width="2.7109375" style="34" customWidth="1"/>
    <col min="3" max="3" width="12.140625" style="31" customWidth="1"/>
    <col min="4" max="4" width="9.42578125" style="32" customWidth="1"/>
    <col min="5" max="5" width="7.7109375" style="31" customWidth="1"/>
    <col min="6" max="6" width="10.28515625" style="32" customWidth="1"/>
    <col min="7" max="7" width="7.7109375" style="31" customWidth="1"/>
    <col min="8" max="8" width="8.28515625" style="32" bestFit="1" customWidth="1"/>
    <col min="9" max="9" width="7.7109375" style="31" customWidth="1"/>
    <col min="10" max="10" width="8.85546875" style="32" customWidth="1"/>
    <col min="11" max="11" width="2.7109375" style="34" customWidth="1"/>
    <col min="12" max="12" width="11.140625" style="30" customWidth="1"/>
    <col min="13" max="15" width="10.7109375" style="30" customWidth="1"/>
    <col min="16" max="16" width="2.7109375" style="34" customWidth="1"/>
    <col min="17" max="17" width="9.140625" style="30" customWidth="1"/>
    <col min="18" max="18" width="9.28515625" style="30" customWidth="1"/>
    <col min="19" max="19" width="9.42578125" style="30" customWidth="1"/>
    <col min="20" max="20" width="9" style="30" customWidth="1"/>
    <col min="21" max="21" width="2.7109375" style="34" customWidth="1"/>
    <col min="22" max="26" width="8.85546875" style="30"/>
    <col min="27" max="27" width="2.7109375" style="34" customWidth="1"/>
    <col min="28" max="246" width="8.85546875" style="30"/>
    <col min="247" max="247" width="7" style="30" customWidth="1"/>
    <col min="248" max="248" width="2.7109375" style="30" customWidth="1"/>
    <col min="249" max="260" width="7.7109375" style="30" customWidth="1"/>
    <col min="261" max="261" width="2.7109375" style="30" customWidth="1"/>
    <col min="262" max="267" width="10.7109375" style="30" customWidth="1"/>
    <col min="268" max="268" width="2.7109375" style="30" customWidth="1"/>
    <col min="269" max="274" width="5.7109375" style="30" customWidth="1"/>
    <col min="275" max="275" width="2.7109375" style="30" customWidth="1"/>
    <col min="276" max="282" width="8.85546875" style="30"/>
    <col min="283" max="283" width="2.7109375" style="30" customWidth="1"/>
    <col min="284" max="502" width="8.85546875" style="30"/>
    <col min="503" max="503" width="7" style="30" customWidth="1"/>
    <col min="504" max="504" width="2.7109375" style="30" customWidth="1"/>
    <col min="505" max="516" width="7.7109375" style="30" customWidth="1"/>
    <col min="517" max="517" width="2.7109375" style="30" customWidth="1"/>
    <col min="518" max="523" width="10.7109375" style="30" customWidth="1"/>
    <col min="524" max="524" width="2.7109375" style="30" customWidth="1"/>
    <col min="525" max="530" width="5.7109375" style="30" customWidth="1"/>
    <col min="531" max="531" width="2.7109375" style="30" customWidth="1"/>
    <col min="532" max="538" width="8.85546875" style="30"/>
    <col min="539" max="539" width="2.7109375" style="30" customWidth="1"/>
    <col min="540" max="758" width="8.85546875" style="30"/>
    <col min="759" max="759" width="7" style="30" customWidth="1"/>
    <col min="760" max="760" width="2.7109375" style="30" customWidth="1"/>
    <col min="761" max="772" width="7.7109375" style="30" customWidth="1"/>
    <col min="773" max="773" width="2.7109375" style="30" customWidth="1"/>
    <col min="774" max="779" width="10.7109375" style="30" customWidth="1"/>
    <col min="780" max="780" width="2.7109375" style="30" customWidth="1"/>
    <col min="781" max="786" width="5.7109375" style="30" customWidth="1"/>
    <col min="787" max="787" width="2.7109375" style="30" customWidth="1"/>
    <col min="788" max="794" width="8.85546875" style="30"/>
    <col min="795" max="795" width="2.7109375" style="30" customWidth="1"/>
    <col min="796" max="1014" width="8.85546875" style="30"/>
    <col min="1015" max="1015" width="7" style="30" customWidth="1"/>
    <col min="1016" max="1016" width="2.7109375" style="30" customWidth="1"/>
    <col min="1017" max="1028" width="7.7109375" style="30" customWidth="1"/>
    <col min="1029" max="1029" width="2.7109375" style="30" customWidth="1"/>
    <col min="1030" max="1035" width="10.7109375" style="30" customWidth="1"/>
    <col min="1036" max="1036" width="2.7109375" style="30" customWidth="1"/>
    <col min="1037" max="1042" width="5.7109375" style="30" customWidth="1"/>
    <col min="1043" max="1043" width="2.7109375" style="30" customWidth="1"/>
    <col min="1044" max="1050" width="8.85546875" style="30"/>
    <col min="1051" max="1051" width="2.7109375" style="30" customWidth="1"/>
    <col min="1052" max="1270" width="8.85546875" style="30"/>
    <col min="1271" max="1271" width="7" style="30" customWidth="1"/>
    <col min="1272" max="1272" width="2.7109375" style="30" customWidth="1"/>
    <col min="1273" max="1284" width="7.7109375" style="30" customWidth="1"/>
    <col min="1285" max="1285" width="2.7109375" style="30" customWidth="1"/>
    <col min="1286" max="1291" width="10.7109375" style="30" customWidth="1"/>
    <col min="1292" max="1292" width="2.7109375" style="30" customWidth="1"/>
    <col min="1293" max="1298" width="5.7109375" style="30" customWidth="1"/>
    <col min="1299" max="1299" width="2.7109375" style="30" customWidth="1"/>
    <col min="1300" max="1306" width="8.85546875" style="30"/>
    <col min="1307" max="1307" width="2.7109375" style="30" customWidth="1"/>
    <col min="1308" max="1526" width="8.85546875" style="30"/>
    <col min="1527" max="1527" width="7" style="30" customWidth="1"/>
    <col min="1528" max="1528" width="2.7109375" style="30" customWidth="1"/>
    <col min="1529" max="1540" width="7.7109375" style="30" customWidth="1"/>
    <col min="1541" max="1541" width="2.7109375" style="30" customWidth="1"/>
    <col min="1542" max="1547" width="10.7109375" style="30" customWidth="1"/>
    <col min="1548" max="1548" width="2.7109375" style="30" customWidth="1"/>
    <col min="1549" max="1554" width="5.7109375" style="30" customWidth="1"/>
    <col min="1555" max="1555" width="2.7109375" style="30" customWidth="1"/>
    <col min="1556" max="1562" width="8.85546875" style="30"/>
    <col min="1563" max="1563" width="2.7109375" style="30" customWidth="1"/>
    <col min="1564" max="1782" width="8.85546875" style="30"/>
    <col min="1783" max="1783" width="7" style="30" customWidth="1"/>
    <col min="1784" max="1784" width="2.7109375" style="30" customWidth="1"/>
    <col min="1785" max="1796" width="7.7109375" style="30" customWidth="1"/>
    <col min="1797" max="1797" width="2.7109375" style="30" customWidth="1"/>
    <col min="1798" max="1803" width="10.7109375" style="30" customWidth="1"/>
    <col min="1804" max="1804" width="2.7109375" style="30" customWidth="1"/>
    <col min="1805" max="1810" width="5.7109375" style="30" customWidth="1"/>
    <col min="1811" max="1811" width="2.7109375" style="30" customWidth="1"/>
    <col min="1812" max="1818" width="8.85546875" style="30"/>
    <col min="1819" max="1819" width="2.7109375" style="30" customWidth="1"/>
    <col min="1820" max="2038" width="8.85546875" style="30"/>
    <col min="2039" max="2039" width="7" style="30" customWidth="1"/>
    <col min="2040" max="2040" width="2.7109375" style="30" customWidth="1"/>
    <col min="2041" max="2052" width="7.7109375" style="30" customWidth="1"/>
    <col min="2053" max="2053" width="2.7109375" style="30" customWidth="1"/>
    <col min="2054" max="2059" width="10.7109375" style="30" customWidth="1"/>
    <col min="2060" max="2060" width="2.7109375" style="30" customWidth="1"/>
    <col min="2061" max="2066" width="5.7109375" style="30" customWidth="1"/>
    <col min="2067" max="2067" width="2.7109375" style="30" customWidth="1"/>
    <col min="2068" max="2074" width="8.85546875" style="30"/>
    <col min="2075" max="2075" width="2.7109375" style="30" customWidth="1"/>
    <col min="2076" max="2294" width="8.85546875" style="30"/>
    <col min="2295" max="2295" width="7" style="30" customWidth="1"/>
    <col min="2296" max="2296" width="2.7109375" style="30" customWidth="1"/>
    <col min="2297" max="2308" width="7.7109375" style="30" customWidth="1"/>
    <col min="2309" max="2309" width="2.7109375" style="30" customWidth="1"/>
    <col min="2310" max="2315" width="10.7109375" style="30" customWidth="1"/>
    <col min="2316" max="2316" width="2.7109375" style="30" customWidth="1"/>
    <col min="2317" max="2322" width="5.7109375" style="30" customWidth="1"/>
    <col min="2323" max="2323" width="2.7109375" style="30" customWidth="1"/>
    <col min="2324" max="2330" width="8.85546875" style="30"/>
    <col min="2331" max="2331" width="2.7109375" style="30" customWidth="1"/>
    <col min="2332" max="2550" width="8.85546875" style="30"/>
    <col min="2551" max="2551" width="7" style="30" customWidth="1"/>
    <col min="2552" max="2552" width="2.7109375" style="30" customWidth="1"/>
    <col min="2553" max="2564" width="7.7109375" style="30" customWidth="1"/>
    <col min="2565" max="2565" width="2.7109375" style="30" customWidth="1"/>
    <col min="2566" max="2571" width="10.7109375" style="30" customWidth="1"/>
    <col min="2572" max="2572" width="2.7109375" style="30" customWidth="1"/>
    <col min="2573" max="2578" width="5.7109375" style="30" customWidth="1"/>
    <col min="2579" max="2579" width="2.7109375" style="30" customWidth="1"/>
    <col min="2580" max="2586" width="8.85546875" style="30"/>
    <col min="2587" max="2587" width="2.7109375" style="30" customWidth="1"/>
    <col min="2588" max="2806" width="8.85546875" style="30"/>
    <col min="2807" max="2807" width="7" style="30" customWidth="1"/>
    <col min="2808" max="2808" width="2.7109375" style="30" customWidth="1"/>
    <col min="2809" max="2820" width="7.7109375" style="30" customWidth="1"/>
    <col min="2821" max="2821" width="2.7109375" style="30" customWidth="1"/>
    <col min="2822" max="2827" width="10.7109375" style="30" customWidth="1"/>
    <col min="2828" max="2828" width="2.7109375" style="30" customWidth="1"/>
    <col min="2829" max="2834" width="5.7109375" style="30" customWidth="1"/>
    <col min="2835" max="2835" width="2.7109375" style="30" customWidth="1"/>
    <col min="2836" max="2842" width="8.85546875" style="30"/>
    <col min="2843" max="2843" width="2.7109375" style="30" customWidth="1"/>
    <col min="2844" max="3062" width="8.85546875" style="30"/>
    <col min="3063" max="3063" width="7" style="30" customWidth="1"/>
    <col min="3064" max="3064" width="2.7109375" style="30" customWidth="1"/>
    <col min="3065" max="3076" width="7.7109375" style="30" customWidth="1"/>
    <col min="3077" max="3077" width="2.7109375" style="30" customWidth="1"/>
    <col min="3078" max="3083" width="10.7109375" style="30" customWidth="1"/>
    <col min="3084" max="3084" width="2.7109375" style="30" customWidth="1"/>
    <col min="3085" max="3090" width="5.7109375" style="30" customWidth="1"/>
    <col min="3091" max="3091" width="2.7109375" style="30" customWidth="1"/>
    <col min="3092" max="3098" width="8.85546875" style="30"/>
    <col min="3099" max="3099" width="2.7109375" style="30" customWidth="1"/>
    <col min="3100" max="3318" width="8.85546875" style="30"/>
    <col min="3319" max="3319" width="7" style="30" customWidth="1"/>
    <col min="3320" max="3320" width="2.7109375" style="30" customWidth="1"/>
    <col min="3321" max="3332" width="7.7109375" style="30" customWidth="1"/>
    <col min="3333" max="3333" width="2.7109375" style="30" customWidth="1"/>
    <col min="3334" max="3339" width="10.7109375" style="30" customWidth="1"/>
    <col min="3340" max="3340" width="2.7109375" style="30" customWidth="1"/>
    <col min="3341" max="3346" width="5.7109375" style="30" customWidth="1"/>
    <col min="3347" max="3347" width="2.7109375" style="30" customWidth="1"/>
    <col min="3348" max="3354" width="8.85546875" style="30"/>
    <col min="3355" max="3355" width="2.7109375" style="30" customWidth="1"/>
    <col min="3356" max="3574" width="8.85546875" style="30"/>
    <col min="3575" max="3575" width="7" style="30" customWidth="1"/>
    <col min="3576" max="3576" width="2.7109375" style="30" customWidth="1"/>
    <col min="3577" max="3588" width="7.7109375" style="30" customWidth="1"/>
    <col min="3589" max="3589" width="2.7109375" style="30" customWidth="1"/>
    <col min="3590" max="3595" width="10.7109375" style="30" customWidth="1"/>
    <col min="3596" max="3596" width="2.7109375" style="30" customWidth="1"/>
    <col min="3597" max="3602" width="5.7109375" style="30" customWidth="1"/>
    <col min="3603" max="3603" width="2.7109375" style="30" customWidth="1"/>
    <col min="3604" max="3610" width="8.85546875" style="30"/>
    <col min="3611" max="3611" width="2.7109375" style="30" customWidth="1"/>
    <col min="3612" max="3830" width="8.85546875" style="30"/>
    <col min="3831" max="3831" width="7" style="30" customWidth="1"/>
    <col min="3832" max="3832" width="2.7109375" style="30" customWidth="1"/>
    <col min="3833" max="3844" width="7.7109375" style="30" customWidth="1"/>
    <col min="3845" max="3845" width="2.7109375" style="30" customWidth="1"/>
    <col min="3846" max="3851" width="10.7109375" style="30" customWidth="1"/>
    <col min="3852" max="3852" width="2.7109375" style="30" customWidth="1"/>
    <col min="3853" max="3858" width="5.7109375" style="30" customWidth="1"/>
    <col min="3859" max="3859" width="2.7109375" style="30" customWidth="1"/>
    <col min="3860" max="3866" width="8.85546875" style="30"/>
    <col min="3867" max="3867" width="2.7109375" style="30" customWidth="1"/>
    <col min="3868" max="4086" width="8.85546875" style="30"/>
    <col min="4087" max="4087" width="7" style="30" customWidth="1"/>
    <col min="4088" max="4088" width="2.7109375" style="30" customWidth="1"/>
    <col min="4089" max="4100" width="7.7109375" style="30" customWidth="1"/>
    <col min="4101" max="4101" width="2.7109375" style="30" customWidth="1"/>
    <col min="4102" max="4107" width="10.7109375" style="30" customWidth="1"/>
    <col min="4108" max="4108" width="2.7109375" style="30" customWidth="1"/>
    <col min="4109" max="4114" width="5.7109375" style="30" customWidth="1"/>
    <col min="4115" max="4115" width="2.7109375" style="30" customWidth="1"/>
    <col min="4116" max="4122" width="8.85546875" style="30"/>
    <col min="4123" max="4123" width="2.7109375" style="30" customWidth="1"/>
    <col min="4124" max="4342" width="8.85546875" style="30"/>
    <col min="4343" max="4343" width="7" style="30" customWidth="1"/>
    <col min="4344" max="4344" width="2.7109375" style="30" customWidth="1"/>
    <col min="4345" max="4356" width="7.7109375" style="30" customWidth="1"/>
    <col min="4357" max="4357" width="2.7109375" style="30" customWidth="1"/>
    <col min="4358" max="4363" width="10.7109375" style="30" customWidth="1"/>
    <col min="4364" max="4364" width="2.7109375" style="30" customWidth="1"/>
    <col min="4365" max="4370" width="5.7109375" style="30" customWidth="1"/>
    <col min="4371" max="4371" width="2.7109375" style="30" customWidth="1"/>
    <col min="4372" max="4378" width="8.85546875" style="30"/>
    <col min="4379" max="4379" width="2.7109375" style="30" customWidth="1"/>
    <col min="4380" max="4598" width="8.85546875" style="30"/>
    <col min="4599" max="4599" width="7" style="30" customWidth="1"/>
    <col min="4600" max="4600" width="2.7109375" style="30" customWidth="1"/>
    <col min="4601" max="4612" width="7.7109375" style="30" customWidth="1"/>
    <col min="4613" max="4613" width="2.7109375" style="30" customWidth="1"/>
    <col min="4614" max="4619" width="10.7109375" style="30" customWidth="1"/>
    <col min="4620" max="4620" width="2.7109375" style="30" customWidth="1"/>
    <col min="4621" max="4626" width="5.7109375" style="30" customWidth="1"/>
    <col min="4627" max="4627" width="2.7109375" style="30" customWidth="1"/>
    <col min="4628" max="4634" width="8.85546875" style="30"/>
    <col min="4635" max="4635" width="2.7109375" style="30" customWidth="1"/>
    <col min="4636" max="4854" width="8.85546875" style="30"/>
    <col min="4855" max="4855" width="7" style="30" customWidth="1"/>
    <col min="4856" max="4856" width="2.7109375" style="30" customWidth="1"/>
    <col min="4857" max="4868" width="7.7109375" style="30" customWidth="1"/>
    <col min="4869" max="4869" width="2.7109375" style="30" customWidth="1"/>
    <col min="4870" max="4875" width="10.7109375" style="30" customWidth="1"/>
    <col min="4876" max="4876" width="2.7109375" style="30" customWidth="1"/>
    <col min="4877" max="4882" width="5.7109375" style="30" customWidth="1"/>
    <col min="4883" max="4883" width="2.7109375" style="30" customWidth="1"/>
    <col min="4884" max="4890" width="8.85546875" style="30"/>
    <col min="4891" max="4891" width="2.7109375" style="30" customWidth="1"/>
    <col min="4892" max="5110" width="8.85546875" style="30"/>
    <col min="5111" max="5111" width="7" style="30" customWidth="1"/>
    <col min="5112" max="5112" width="2.7109375" style="30" customWidth="1"/>
    <col min="5113" max="5124" width="7.7109375" style="30" customWidth="1"/>
    <col min="5125" max="5125" width="2.7109375" style="30" customWidth="1"/>
    <col min="5126" max="5131" width="10.7109375" style="30" customWidth="1"/>
    <col min="5132" max="5132" width="2.7109375" style="30" customWidth="1"/>
    <col min="5133" max="5138" width="5.7109375" style="30" customWidth="1"/>
    <col min="5139" max="5139" width="2.7109375" style="30" customWidth="1"/>
    <col min="5140" max="5146" width="8.85546875" style="30"/>
    <col min="5147" max="5147" width="2.7109375" style="30" customWidth="1"/>
    <col min="5148" max="5366" width="8.85546875" style="30"/>
    <col min="5367" max="5367" width="7" style="30" customWidth="1"/>
    <col min="5368" max="5368" width="2.7109375" style="30" customWidth="1"/>
    <col min="5369" max="5380" width="7.7109375" style="30" customWidth="1"/>
    <col min="5381" max="5381" width="2.7109375" style="30" customWidth="1"/>
    <col min="5382" max="5387" width="10.7109375" style="30" customWidth="1"/>
    <col min="5388" max="5388" width="2.7109375" style="30" customWidth="1"/>
    <col min="5389" max="5394" width="5.7109375" style="30" customWidth="1"/>
    <col min="5395" max="5395" width="2.7109375" style="30" customWidth="1"/>
    <col min="5396" max="5402" width="8.85546875" style="30"/>
    <col min="5403" max="5403" width="2.7109375" style="30" customWidth="1"/>
    <col min="5404" max="5622" width="8.85546875" style="30"/>
    <col min="5623" max="5623" width="7" style="30" customWidth="1"/>
    <col min="5624" max="5624" width="2.7109375" style="30" customWidth="1"/>
    <col min="5625" max="5636" width="7.7109375" style="30" customWidth="1"/>
    <col min="5637" max="5637" width="2.7109375" style="30" customWidth="1"/>
    <col min="5638" max="5643" width="10.7109375" style="30" customWidth="1"/>
    <col min="5644" max="5644" width="2.7109375" style="30" customWidth="1"/>
    <col min="5645" max="5650" width="5.7109375" style="30" customWidth="1"/>
    <col min="5651" max="5651" width="2.7109375" style="30" customWidth="1"/>
    <col min="5652" max="5658" width="8.85546875" style="30"/>
    <col min="5659" max="5659" width="2.7109375" style="30" customWidth="1"/>
    <col min="5660" max="5878" width="8.85546875" style="30"/>
    <col min="5879" max="5879" width="7" style="30" customWidth="1"/>
    <col min="5880" max="5880" width="2.7109375" style="30" customWidth="1"/>
    <col min="5881" max="5892" width="7.7109375" style="30" customWidth="1"/>
    <col min="5893" max="5893" width="2.7109375" style="30" customWidth="1"/>
    <col min="5894" max="5899" width="10.7109375" style="30" customWidth="1"/>
    <col min="5900" max="5900" width="2.7109375" style="30" customWidth="1"/>
    <col min="5901" max="5906" width="5.7109375" style="30" customWidth="1"/>
    <col min="5907" max="5907" width="2.7109375" style="30" customWidth="1"/>
    <col min="5908" max="5914" width="8.85546875" style="30"/>
    <col min="5915" max="5915" width="2.7109375" style="30" customWidth="1"/>
    <col min="5916" max="6134" width="8.85546875" style="30"/>
    <col min="6135" max="6135" width="7" style="30" customWidth="1"/>
    <col min="6136" max="6136" width="2.7109375" style="30" customWidth="1"/>
    <col min="6137" max="6148" width="7.7109375" style="30" customWidth="1"/>
    <col min="6149" max="6149" width="2.7109375" style="30" customWidth="1"/>
    <col min="6150" max="6155" width="10.7109375" style="30" customWidth="1"/>
    <col min="6156" max="6156" width="2.7109375" style="30" customWidth="1"/>
    <col min="6157" max="6162" width="5.7109375" style="30" customWidth="1"/>
    <col min="6163" max="6163" width="2.7109375" style="30" customWidth="1"/>
    <col min="6164" max="6170" width="8.85546875" style="30"/>
    <col min="6171" max="6171" width="2.7109375" style="30" customWidth="1"/>
    <col min="6172" max="6390" width="8.85546875" style="30"/>
    <col min="6391" max="6391" width="7" style="30" customWidth="1"/>
    <col min="6392" max="6392" width="2.7109375" style="30" customWidth="1"/>
    <col min="6393" max="6404" width="7.7109375" style="30" customWidth="1"/>
    <col min="6405" max="6405" width="2.7109375" style="30" customWidth="1"/>
    <col min="6406" max="6411" width="10.7109375" style="30" customWidth="1"/>
    <col min="6412" max="6412" width="2.7109375" style="30" customWidth="1"/>
    <col min="6413" max="6418" width="5.7109375" style="30" customWidth="1"/>
    <col min="6419" max="6419" width="2.7109375" style="30" customWidth="1"/>
    <col min="6420" max="6426" width="8.85546875" style="30"/>
    <col min="6427" max="6427" width="2.7109375" style="30" customWidth="1"/>
    <col min="6428" max="6646" width="8.85546875" style="30"/>
    <col min="6647" max="6647" width="7" style="30" customWidth="1"/>
    <col min="6648" max="6648" width="2.7109375" style="30" customWidth="1"/>
    <col min="6649" max="6660" width="7.7109375" style="30" customWidth="1"/>
    <col min="6661" max="6661" width="2.7109375" style="30" customWidth="1"/>
    <col min="6662" max="6667" width="10.7109375" style="30" customWidth="1"/>
    <col min="6668" max="6668" width="2.7109375" style="30" customWidth="1"/>
    <col min="6669" max="6674" width="5.7109375" style="30" customWidth="1"/>
    <col min="6675" max="6675" width="2.7109375" style="30" customWidth="1"/>
    <col min="6676" max="6682" width="8.85546875" style="30"/>
    <col min="6683" max="6683" width="2.7109375" style="30" customWidth="1"/>
    <col min="6684" max="6902" width="8.85546875" style="30"/>
    <col min="6903" max="6903" width="7" style="30" customWidth="1"/>
    <col min="6904" max="6904" width="2.7109375" style="30" customWidth="1"/>
    <col min="6905" max="6916" width="7.7109375" style="30" customWidth="1"/>
    <col min="6917" max="6917" width="2.7109375" style="30" customWidth="1"/>
    <col min="6918" max="6923" width="10.7109375" style="30" customWidth="1"/>
    <col min="6924" max="6924" width="2.7109375" style="30" customWidth="1"/>
    <col min="6925" max="6930" width="5.7109375" style="30" customWidth="1"/>
    <col min="6931" max="6931" width="2.7109375" style="30" customWidth="1"/>
    <col min="6932" max="6938" width="8.85546875" style="30"/>
    <col min="6939" max="6939" width="2.7109375" style="30" customWidth="1"/>
    <col min="6940" max="7158" width="8.85546875" style="30"/>
    <col min="7159" max="7159" width="7" style="30" customWidth="1"/>
    <col min="7160" max="7160" width="2.7109375" style="30" customWidth="1"/>
    <col min="7161" max="7172" width="7.7109375" style="30" customWidth="1"/>
    <col min="7173" max="7173" width="2.7109375" style="30" customWidth="1"/>
    <col min="7174" max="7179" width="10.7109375" style="30" customWidth="1"/>
    <col min="7180" max="7180" width="2.7109375" style="30" customWidth="1"/>
    <col min="7181" max="7186" width="5.7109375" style="30" customWidth="1"/>
    <col min="7187" max="7187" width="2.7109375" style="30" customWidth="1"/>
    <col min="7188" max="7194" width="8.85546875" style="30"/>
    <col min="7195" max="7195" width="2.7109375" style="30" customWidth="1"/>
    <col min="7196" max="7414" width="8.85546875" style="30"/>
    <col min="7415" max="7415" width="7" style="30" customWidth="1"/>
    <col min="7416" max="7416" width="2.7109375" style="30" customWidth="1"/>
    <col min="7417" max="7428" width="7.7109375" style="30" customWidth="1"/>
    <col min="7429" max="7429" width="2.7109375" style="30" customWidth="1"/>
    <col min="7430" max="7435" width="10.7109375" style="30" customWidth="1"/>
    <col min="7436" max="7436" width="2.7109375" style="30" customWidth="1"/>
    <col min="7437" max="7442" width="5.7109375" style="30" customWidth="1"/>
    <col min="7443" max="7443" width="2.7109375" style="30" customWidth="1"/>
    <col min="7444" max="7450" width="8.85546875" style="30"/>
    <col min="7451" max="7451" width="2.7109375" style="30" customWidth="1"/>
    <col min="7452" max="7670" width="8.85546875" style="30"/>
    <col min="7671" max="7671" width="7" style="30" customWidth="1"/>
    <col min="7672" max="7672" width="2.7109375" style="30" customWidth="1"/>
    <col min="7673" max="7684" width="7.7109375" style="30" customWidth="1"/>
    <col min="7685" max="7685" width="2.7109375" style="30" customWidth="1"/>
    <col min="7686" max="7691" width="10.7109375" style="30" customWidth="1"/>
    <col min="7692" max="7692" width="2.7109375" style="30" customWidth="1"/>
    <col min="7693" max="7698" width="5.7109375" style="30" customWidth="1"/>
    <col min="7699" max="7699" width="2.7109375" style="30" customWidth="1"/>
    <col min="7700" max="7706" width="8.85546875" style="30"/>
    <col min="7707" max="7707" width="2.7109375" style="30" customWidth="1"/>
    <col min="7708" max="7926" width="8.85546875" style="30"/>
    <col min="7927" max="7927" width="7" style="30" customWidth="1"/>
    <col min="7928" max="7928" width="2.7109375" style="30" customWidth="1"/>
    <col min="7929" max="7940" width="7.7109375" style="30" customWidth="1"/>
    <col min="7941" max="7941" width="2.7109375" style="30" customWidth="1"/>
    <col min="7942" max="7947" width="10.7109375" style="30" customWidth="1"/>
    <col min="7948" max="7948" width="2.7109375" style="30" customWidth="1"/>
    <col min="7949" max="7954" width="5.7109375" style="30" customWidth="1"/>
    <col min="7955" max="7955" width="2.7109375" style="30" customWidth="1"/>
    <col min="7956" max="7962" width="8.85546875" style="30"/>
    <col min="7963" max="7963" width="2.7109375" style="30" customWidth="1"/>
    <col min="7964" max="8182" width="8.85546875" style="30"/>
    <col min="8183" max="8183" width="7" style="30" customWidth="1"/>
    <col min="8184" max="8184" width="2.7109375" style="30" customWidth="1"/>
    <col min="8185" max="8196" width="7.7109375" style="30" customWidth="1"/>
    <col min="8197" max="8197" width="2.7109375" style="30" customWidth="1"/>
    <col min="8198" max="8203" width="10.7109375" style="30" customWidth="1"/>
    <col min="8204" max="8204" width="2.7109375" style="30" customWidth="1"/>
    <col min="8205" max="8210" width="5.7109375" style="30" customWidth="1"/>
    <col min="8211" max="8211" width="2.7109375" style="30" customWidth="1"/>
    <col min="8212" max="8218" width="8.85546875" style="30"/>
    <col min="8219" max="8219" width="2.7109375" style="30" customWidth="1"/>
    <col min="8220" max="8438" width="8.85546875" style="30"/>
    <col min="8439" max="8439" width="7" style="30" customWidth="1"/>
    <col min="8440" max="8440" width="2.7109375" style="30" customWidth="1"/>
    <col min="8441" max="8452" width="7.7109375" style="30" customWidth="1"/>
    <col min="8453" max="8453" width="2.7109375" style="30" customWidth="1"/>
    <col min="8454" max="8459" width="10.7109375" style="30" customWidth="1"/>
    <col min="8460" max="8460" width="2.7109375" style="30" customWidth="1"/>
    <col min="8461" max="8466" width="5.7109375" style="30" customWidth="1"/>
    <col min="8467" max="8467" width="2.7109375" style="30" customWidth="1"/>
    <col min="8468" max="8474" width="8.85546875" style="30"/>
    <col min="8475" max="8475" width="2.7109375" style="30" customWidth="1"/>
    <col min="8476" max="8694" width="8.85546875" style="30"/>
    <col min="8695" max="8695" width="7" style="30" customWidth="1"/>
    <col min="8696" max="8696" width="2.7109375" style="30" customWidth="1"/>
    <col min="8697" max="8708" width="7.7109375" style="30" customWidth="1"/>
    <col min="8709" max="8709" width="2.7109375" style="30" customWidth="1"/>
    <col min="8710" max="8715" width="10.7109375" style="30" customWidth="1"/>
    <col min="8716" max="8716" width="2.7109375" style="30" customWidth="1"/>
    <col min="8717" max="8722" width="5.7109375" style="30" customWidth="1"/>
    <col min="8723" max="8723" width="2.7109375" style="30" customWidth="1"/>
    <col min="8724" max="8730" width="8.85546875" style="30"/>
    <col min="8731" max="8731" width="2.7109375" style="30" customWidth="1"/>
    <col min="8732" max="8950" width="8.85546875" style="30"/>
    <col min="8951" max="8951" width="7" style="30" customWidth="1"/>
    <col min="8952" max="8952" width="2.7109375" style="30" customWidth="1"/>
    <col min="8953" max="8964" width="7.7109375" style="30" customWidth="1"/>
    <col min="8965" max="8965" width="2.7109375" style="30" customWidth="1"/>
    <col min="8966" max="8971" width="10.7109375" style="30" customWidth="1"/>
    <col min="8972" max="8972" width="2.7109375" style="30" customWidth="1"/>
    <col min="8973" max="8978" width="5.7109375" style="30" customWidth="1"/>
    <col min="8979" max="8979" width="2.7109375" style="30" customWidth="1"/>
    <col min="8980" max="8986" width="8.85546875" style="30"/>
    <col min="8987" max="8987" width="2.7109375" style="30" customWidth="1"/>
    <col min="8988" max="9206" width="8.85546875" style="30"/>
    <col min="9207" max="9207" width="7" style="30" customWidth="1"/>
    <col min="9208" max="9208" width="2.7109375" style="30" customWidth="1"/>
    <col min="9209" max="9220" width="7.7109375" style="30" customWidth="1"/>
    <col min="9221" max="9221" width="2.7109375" style="30" customWidth="1"/>
    <col min="9222" max="9227" width="10.7109375" style="30" customWidth="1"/>
    <col min="9228" max="9228" width="2.7109375" style="30" customWidth="1"/>
    <col min="9229" max="9234" width="5.7109375" style="30" customWidth="1"/>
    <col min="9235" max="9235" width="2.7109375" style="30" customWidth="1"/>
    <col min="9236" max="9242" width="8.85546875" style="30"/>
    <col min="9243" max="9243" width="2.7109375" style="30" customWidth="1"/>
    <col min="9244" max="9462" width="8.85546875" style="30"/>
    <col min="9463" max="9463" width="7" style="30" customWidth="1"/>
    <col min="9464" max="9464" width="2.7109375" style="30" customWidth="1"/>
    <col min="9465" max="9476" width="7.7109375" style="30" customWidth="1"/>
    <col min="9477" max="9477" width="2.7109375" style="30" customWidth="1"/>
    <col min="9478" max="9483" width="10.7109375" style="30" customWidth="1"/>
    <col min="9484" max="9484" width="2.7109375" style="30" customWidth="1"/>
    <col min="9485" max="9490" width="5.7109375" style="30" customWidth="1"/>
    <col min="9491" max="9491" width="2.7109375" style="30" customWidth="1"/>
    <col min="9492" max="9498" width="8.85546875" style="30"/>
    <col min="9499" max="9499" width="2.7109375" style="30" customWidth="1"/>
    <col min="9500" max="9718" width="8.85546875" style="30"/>
    <col min="9719" max="9719" width="7" style="30" customWidth="1"/>
    <col min="9720" max="9720" width="2.7109375" style="30" customWidth="1"/>
    <col min="9721" max="9732" width="7.7109375" style="30" customWidth="1"/>
    <col min="9733" max="9733" width="2.7109375" style="30" customWidth="1"/>
    <col min="9734" max="9739" width="10.7109375" style="30" customWidth="1"/>
    <col min="9740" max="9740" width="2.7109375" style="30" customWidth="1"/>
    <col min="9741" max="9746" width="5.7109375" style="30" customWidth="1"/>
    <col min="9747" max="9747" width="2.7109375" style="30" customWidth="1"/>
    <col min="9748" max="9754" width="8.85546875" style="30"/>
    <col min="9755" max="9755" width="2.7109375" style="30" customWidth="1"/>
    <col min="9756" max="9974" width="8.85546875" style="30"/>
    <col min="9975" max="9975" width="7" style="30" customWidth="1"/>
    <col min="9976" max="9976" width="2.7109375" style="30" customWidth="1"/>
    <col min="9977" max="9988" width="7.7109375" style="30" customWidth="1"/>
    <col min="9989" max="9989" width="2.7109375" style="30" customWidth="1"/>
    <col min="9990" max="9995" width="10.7109375" style="30" customWidth="1"/>
    <col min="9996" max="9996" width="2.7109375" style="30" customWidth="1"/>
    <col min="9997" max="10002" width="5.7109375" style="30" customWidth="1"/>
    <col min="10003" max="10003" width="2.7109375" style="30" customWidth="1"/>
    <col min="10004" max="10010" width="8.85546875" style="30"/>
    <col min="10011" max="10011" width="2.7109375" style="30" customWidth="1"/>
    <col min="10012" max="10230" width="8.85546875" style="30"/>
    <col min="10231" max="10231" width="7" style="30" customWidth="1"/>
    <col min="10232" max="10232" width="2.7109375" style="30" customWidth="1"/>
    <col min="10233" max="10244" width="7.7109375" style="30" customWidth="1"/>
    <col min="10245" max="10245" width="2.7109375" style="30" customWidth="1"/>
    <col min="10246" max="10251" width="10.7109375" style="30" customWidth="1"/>
    <col min="10252" max="10252" width="2.7109375" style="30" customWidth="1"/>
    <col min="10253" max="10258" width="5.7109375" style="30" customWidth="1"/>
    <col min="10259" max="10259" width="2.7109375" style="30" customWidth="1"/>
    <col min="10260" max="10266" width="8.85546875" style="30"/>
    <col min="10267" max="10267" width="2.7109375" style="30" customWidth="1"/>
    <col min="10268" max="10486" width="8.85546875" style="30"/>
    <col min="10487" max="10487" width="7" style="30" customWidth="1"/>
    <col min="10488" max="10488" width="2.7109375" style="30" customWidth="1"/>
    <col min="10489" max="10500" width="7.7109375" style="30" customWidth="1"/>
    <col min="10501" max="10501" width="2.7109375" style="30" customWidth="1"/>
    <col min="10502" max="10507" width="10.7109375" style="30" customWidth="1"/>
    <col min="10508" max="10508" width="2.7109375" style="30" customWidth="1"/>
    <col min="10509" max="10514" width="5.7109375" style="30" customWidth="1"/>
    <col min="10515" max="10515" width="2.7109375" style="30" customWidth="1"/>
    <col min="10516" max="10522" width="8.85546875" style="30"/>
    <col min="10523" max="10523" width="2.7109375" style="30" customWidth="1"/>
    <col min="10524" max="10742" width="8.85546875" style="30"/>
    <col min="10743" max="10743" width="7" style="30" customWidth="1"/>
    <col min="10744" max="10744" width="2.7109375" style="30" customWidth="1"/>
    <col min="10745" max="10756" width="7.7109375" style="30" customWidth="1"/>
    <col min="10757" max="10757" width="2.7109375" style="30" customWidth="1"/>
    <col min="10758" max="10763" width="10.7109375" style="30" customWidth="1"/>
    <col min="10764" max="10764" width="2.7109375" style="30" customWidth="1"/>
    <col min="10765" max="10770" width="5.7109375" style="30" customWidth="1"/>
    <col min="10771" max="10771" width="2.7109375" style="30" customWidth="1"/>
    <col min="10772" max="10778" width="8.85546875" style="30"/>
    <col min="10779" max="10779" width="2.7109375" style="30" customWidth="1"/>
    <col min="10780" max="10998" width="8.85546875" style="30"/>
    <col min="10999" max="10999" width="7" style="30" customWidth="1"/>
    <col min="11000" max="11000" width="2.7109375" style="30" customWidth="1"/>
    <col min="11001" max="11012" width="7.7109375" style="30" customWidth="1"/>
    <col min="11013" max="11013" width="2.7109375" style="30" customWidth="1"/>
    <col min="11014" max="11019" width="10.7109375" style="30" customWidth="1"/>
    <col min="11020" max="11020" width="2.7109375" style="30" customWidth="1"/>
    <col min="11021" max="11026" width="5.7109375" style="30" customWidth="1"/>
    <col min="11027" max="11027" width="2.7109375" style="30" customWidth="1"/>
    <col min="11028" max="11034" width="8.85546875" style="30"/>
    <col min="11035" max="11035" width="2.7109375" style="30" customWidth="1"/>
    <col min="11036" max="11254" width="8.85546875" style="30"/>
    <col min="11255" max="11255" width="7" style="30" customWidth="1"/>
    <col min="11256" max="11256" width="2.7109375" style="30" customWidth="1"/>
    <col min="11257" max="11268" width="7.7109375" style="30" customWidth="1"/>
    <col min="11269" max="11269" width="2.7109375" style="30" customWidth="1"/>
    <col min="11270" max="11275" width="10.7109375" style="30" customWidth="1"/>
    <col min="11276" max="11276" width="2.7109375" style="30" customWidth="1"/>
    <col min="11277" max="11282" width="5.7109375" style="30" customWidth="1"/>
    <col min="11283" max="11283" width="2.7109375" style="30" customWidth="1"/>
    <col min="11284" max="11290" width="8.85546875" style="30"/>
    <col min="11291" max="11291" width="2.7109375" style="30" customWidth="1"/>
    <col min="11292" max="11510" width="8.85546875" style="30"/>
    <col min="11511" max="11511" width="7" style="30" customWidth="1"/>
    <col min="11512" max="11512" width="2.7109375" style="30" customWidth="1"/>
    <col min="11513" max="11524" width="7.7109375" style="30" customWidth="1"/>
    <col min="11525" max="11525" width="2.7109375" style="30" customWidth="1"/>
    <col min="11526" max="11531" width="10.7109375" style="30" customWidth="1"/>
    <col min="11532" max="11532" width="2.7109375" style="30" customWidth="1"/>
    <col min="11533" max="11538" width="5.7109375" style="30" customWidth="1"/>
    <col min="11539" max="11539" width="2.7109375" style="30" customWidth="1"/>
    <col min="11540" max="11546" width="8.85546875" style="30"/>
    <col min="11547" max="11547" width="2.7109375" style="30" customWidth="1"/>
    <col min="11548" max="11766" width="8.85546875" style="30"/>
    <col min="11767" max="11767" width="7" style="30" customWidth="1"/>
    <col min="11768" max="11768" width="2.7109375" style="30" customWidth="1"/>
    <col min="11769" max="11780" width="7.7109375" style="30" customWidth="1"/>
    <col min="11781" max="11781" width="2.7109375" style="30" customWidth="1"/>
    <col min="11782" max="11787" width="10.7109375" style="30" customWidth="1"/>
    <col min="11788" max="11788" width="2.7109375" style="30" customWidth="1"/>
    <col min="11789" max="11794" width="5.7109375" style="30" customWidth="1"/>
    <col min="11795" max="11795" width="2.7109375" style="30" customWidth="1"/>
    <col min="11796" max="11802" width="8.85546875" style="30"/>
    <col min="11803" max="11803" width="2.7109375" style="30" customWidth="1"/>
    <col min="11804" max="12022" width="8.85546875" style="30"/>
    <col min="12023" max="12023" width="7" style="30" customWidth="1"/>
    <col min="12024" max="12024" width="2.7109375" style="30" customWidth="1"/>
    <col min="12025" max="12036" width="7.7109375" style="30" customWidth="1"/>
    <col min="12037" max="12037" width="2.7109375" style="30" customWidth="1"/>
    <col min="12038" max="12043" width="10.7109375" style="30" customWidth="1"/>
    <col min="12044" max="12044" width="2.7109375" style="30" customWidth="1"/>
    <col min="12045" max="12050" width="5.7109375" style="30" customWidth="1"/>
    <col min="12051" max="12051" width="2.7109375" style="30" customWidth="1"/>
    <col min="12052" max="12058" width="8.85546875" style="30"/>
    <col min="12059" max="12059" width="2.7109375" style="30" customWidth="1"/>
    <col min="12060" max="12278" width="8.85546875" style="30"/>
    <col min="12279" max="12279" width="7" style="30" customWidth="1"/>
    <col min="12280" max="12280" width="2.7109375" style="30" customWidth="1"/>
    <col min="12281" max="12292" width="7.7109375" style="30" customWidth="1"/>
    <col min="12293" max="12293" width="2.7109375" style="30" customWidth="1"/>
    <col min="12294" max="12299" width="10.7109375" style="30" customWidth="1"/>
    <col min="12300" max="12300" width="2.7109375" style="30" customWidth="1"/>
    <col min="12301" max="12306" width="5.7109375" style="30" customWidth="1"/>
    <col min="12307" max="12307" width="2.7109375" style="30" customWidth="1"/>
    <col min="12308" max="12314" width="8.85546875" style="30"/>
    <col min="12315" max="12315" width="2.7109375" style="30" customWidth="1"/>
    <col min="12316" max="12534" width="8.85546875" style="30"/>
    <col min="12535" max="12535" width="7" style="30" customWidth="1"/>
    <col min="12536" max="12536" width="2.7109375" style="30" customWidth="1"/>
    <col min="12537" max="12548" width="7.7109375" style="30" customWidth="1"/>
    <col min="12549" max="12549" width="2.7109375" style="30" customWidth="1"/>
    <col min="12550" max="12555" width="10.7109375" style="30" customWidth="1"/>
    <col min="12556" max="12556" width="2.7109375" style="30" customWidth="1"/>
    <col min="12557" max="12562" width="5.7109375" style="30" customWidth="1"/>
    <col min="12563" max="12563" width="2.7109375" style="30" customWidth="1"/>
    <col min="12564" max="12570" width="8.85546875" style="30"/>
    <col min="12571" max="12571" width="2.7109375" style="30" customWidth="1"/>
    <col min="12572" max="12790" width="8.85546875" style="30"/>
    <col min="12791" max="12791" width="7" style="30" customWidth="1"/>
    <col min="12792" max="12792" width="2.7109375" style="30" customWidth="1"/>
    <col min="12793" max="12804" width="7.7109375" style="30" customWidth="1"/>
    <col min="12805" max="12805" width="2.7109375" style="30" customWidth="1"/>
    <col min="12806" max="12811" width="10.7109375" style="30" customWidth="1"/>
    <col min="12812" max="12812" width="2.7109375" style="30" customWidth="1"/>
    <col min="12813" max="12818" width="5.7109375" style="30" customWidth="1"/>
    <col min="12819" max="12819" width="2.7109375" style="30" customWidth="1"/>
    <col min="12820" max="12826" width="8.85546875" style="30"/>
    <col min="12827" max="12827" width="2.7109375" style="30" customWidth="1"/>
    <col min="12828" max="13046" width="8.85546875" style="30"/>
    <col min="13047" max="13047" width="7" style="30" customWidth="1"/>
    <col min="13048" max="13048" width="2.7109375" style="30" customWidth="1"/>
    <col min="13049" max="13060" width="7.7109375" style="30" customWidth="1"/>
    <col min="13061" max="13061" width="2.7109375" style="30" customWidth="1"/>
    <col min="13062" max="13067" width="10.7109375" style="30" customWidth="1"/>
    <col min="13068" max="13068" width="2.7109375" style="30" customWidth="1"/>
    <col min="13069" max="13074" width="5.7109375" style="30" customWidth="1"/>
    <col min="13075" max="13075" width="2.7109375" style="30" customWidth="1"/>
    <col min="13076" max="13082" width="8.85546875" style="30"/>
    <col min="13083" max="13083" width="2.7109375" style="30" customWidth="1"/>
    <col min="13084" max="13302" width="8.85546875" style="30"/>
    <col min="13303" max="13303" width="7" style="30" customWidth="1"/>
    <col min="13304" max="13304" width="2.7109375" style="30" customWidth="1"/>
    <col min="13305" max="13316" width="7.7109375" style="30" customWidth="1"/>
    <col min="13317" max="13317" width="2.7109375" style="30" customWidth="1"/>
    <col min="13318" max="13323" width="10.7109375" style="30" customWidth="1"/>
    <col min="13324" max="13324" width="2.7109375" style="30" customWidth="1"/>
    <col min="13325" max="13330" width="5.7109375" style="30" customWidth="1"/>
    <col min="13331" max="13331" width="2.7109375" style="30" customWidth="1"/>
    <col min="13332" max="13338" width="8.85546875" style="30"/>
    <col min="13339" max="13339" width="2.7109375" style="30" customWidth="1"/>
    <col min="13340" max="13558" width="8.85546875" style="30"/>
    <col min="13559" max="13559" width="7" style="30" customWidth="1"/>
    <col min="13560" max="13560" width="2.7109375" style="30" customWidth="1"/>
    <col min="13561" max="13572" width="7.7109375" style="30" customWidth="1"/>
    <col min="13573" max="13573" width="2.7109375" style="30" customWidth="1"/>
    <col min="13574" max="13579" width="10.7109375" style="30" customWidth="1"/>
    <col min="13580" max="13580" width="2.7109375" style="30" customWidth="1"/>
    <col min="13581" max="13586" width="5.7109375" style="30" customWidth="1"/>
    <col min="13587" max="13587" width="2.7109375" style="30" customWidth="1"/>
    <col min="13588" max="13594" width="8.85546875" style="30"/>
    <col min="13595" max="13595" width="2.7109375" style="30" customWidth="1"/>
    <col min="13596" max="13814" width="8.85546875" style="30"/>
    <col min="13815" max="13815" width="7" style="30" customWidth="1"/>
    <col min="13816" max="13816" width="2.7109375" style="30" customWidth="1"/>
    <col min="13817" max="13828" width="7.7109375" style="30" customWidth="1"/>
    <col min="13829" max="13829" width="2.7109375" style="30" customWidth="1"/>
    <col min="13830" max="13835" width="10.7109375" style="30" customWidth="1"/>
    <col min="13836" max="13836" width="2.7109375" style="30" customWidth="1"/>
    <col min="13837" max="13842" width="5.7109375" style="30" customWidth="1"/>
    <col min="13843" max="13843" width="2.7109375" style="30" customWidth="1"/>
    <col min="13844" max="13850" width="8.85546875" style="30"/>
    <col min="13851" max="13851" width="2.7109375" style="30" customWidth="1"/>
    <col min="13852" max="14070" width="8.85546875" style="30"/>
    <col min="14071" max="14071" width="7" style="30" customWidth="1"/>
    <col min="14072" max="14072" width="2.7109375" style="30" customWidth="1"/>
    <col min="14073" max="14084" width="7.7109375" style="30" customWidth="1"/>
    <col min="14085" max="14085" width="2.7109375" style="30" customWidth="1"/>
    <col min="14086" max="14091" width="10.7109375" style="30" customWidth="1"/>
    <col min="14092" max="14092" width="2.7109375" style="30" customWidth="1"/>
    <col min="14093" max="14098" width="5.7109375" style="30" customWidth="1"/>
    <col min="14099" max="14099" width="2.7109375" style="30" customWidth="1"/>
    <col min="14100" max="14106" width="8.85546875" style="30"/>
    <col min="14107" max="14107" width="2.7109375" style="30" customWidth="1"/>
    <col min="14108" max="14326" width="8.85546875" style="30"/>
    <col min="14327" max="14327" width="7" style="30" customWidth="1"/>
    <col min="14328" max="14328" width="2.7109375" style="30" customWidth="1"/>
    <col min="14329" max="14340" width="7.7109375" style="30" customWidth="1"/>
    <col min="14341" max="14341" width="2.7109375" style="30" customWidth="1"/>
    <col min="14342" max="14347" width="10.7109375" style="30" customWidth="1"/>
    <col min="14348" max="14348" width="2.7109375" style="30" customWidth="1"/>
    <col min="14349" max="14354" width="5.7109375" style="30" customWidth="1"/>
    <col min="14355" max="14355" width="2.7109375" style="30" customWidth="1"/>
    <col min="14356" max="14362" width="8.85546875" style="30"/>
    <col min="14363" max="14363" width="2.7109375" style="30" customWidth="1"/>
    <col min="14364" max="14582" width="8.85546875" style="30"/>
    <col min="14583" max="14583" width="7" style="30" customWidth="1"/>
    <col min="14584" max="14584" width="2.7109375" style="30" customWidth="1"/>
    <col min="14585" max="14596" width="7.7109375" style="30" customWidth="1"/>
    <col min="14597" max="14597" width="2.7109375" style="30" customWidth="1"/>
    <col min="14598" max="14603" width="10.7109375" style="30" customWidth="1"/>
    <col min="14604" max="14604" width="2.7109375" style="30" customWidth="1"/>
    <col min="14605" max="14610" width="5.7109375" style="30" customWidth="1"/>
    <col min="14611" max="14611" width="2.7109375" style="30" customWidth="1"/>
    <col min="14612" max="14618" width="8.85546875" style="30"/>
    <col min="14619" max="14619" width="2.7109375" style="30" customWidth="1"/>
    <col min="14620" max="14838" width="8.85546875" style="30"/>
    <col min="14839" max="14839" width="7" style="30" customWidth="1"/>
    <col min="14840" max="14840" width="2.7109375" style="30" customWidth="1"/>
    <col min="14841" max="14852" width="7.7109375" style="30" customWidth="1"/>
    <col min="14853" max="14853" width="2.7109375" style="30" customWidth="1"/>
    <col min="14854" max="14859" width="10.7109375" style="30" customWidth="1"/>
    <col min="14860" max="14860" width="2.7109375" style="30" customWidth="1"/>
    <col min="14861" max="14866" width="5.7109375" style="30" customWidth="1"/>
    <col min="14867" max="14867" width="2.7109375" style="30" customWidth="1"/>
    <col min="14868" max="14874" width="8.85546875" style="30"/>
    <col min="14875" max="14875" width="2.7109375" style="30" customWidth="1"/>
    <col min="14876" max="15094" width="8.85546875" style="30"/>
    <col min="15095" max="15095" width="7" style="30" customWidth="1"/>
    <col min="15096" max="15096" width="2.7109375" style="30" customWidth="1"/>
    <col min="15097" max="15108" width="7.7109375" style="30" customWidth="1"/>
    <col min="15109" max="15109" width="2.7109375" style="30" customWidth="1"/>
    <col min="15110" max="15115" width="10.7109375" style="30" customWidth="1"/>
    <col min="15116" max="15116" width="2.7109375" style="30" customWidth="1"/>
    <col min="15117" max="15122" width="5.7109375" style="30" customWidth="1"/>
    <col min="15123" max="15123" width="2.7109375" style="30" customWidth="1"/>
    <col min="15124" max="15130" width="8.85546875" style="30"/>
    <col min="15131" max="15131" width="2.7109375" style="30" customWidth="1"/>
    <col min="15132" max="15350" width="8.85546875" style="30"/>
    <col min="15351" max="15351" width="7" style="30" customWidth="1"/>
    <col min="15352" max="15352" width="2.7109375" style="30" customWidth="1"/>
    <col min="15353" max="15364" width="7.7109375" style="30" customWidth="1"/>
    <col min="15365" max="15365" width="2.7109375" style="30" customWidth="1"/>
    <col min="15366" max="15371" width="10.7109375" style="30" customWidth="1"/>
    <col min="15372" max="15372" width="2.7109375" style="30" customWidth="1"/>
    <col min="15373" max="15378" width="5.7109375" style="30" customWidth="1"/>
    <col min="15379" max="15379" width="2.7109375" style="30" customWidth="1"/>
    <col min="15380" max="15386" width="8.85546875" style="30"/>
    <col min="15387" max="15387" width="2.7109375" style="30" customWidth="1"/>
    <col min="15388" max="15606" width="8.85546875" style="30"/>
    <col min="15607" max="15607" width="7" style="30" customWidth="1"/>
    <col min="15608" max="15608" width="2.7109375" style="30" customWidth="1"/>
    <col min="15609" max="15620" width="7.7109375" style="30" customWidth="1"/>
    <col min="15621" max="15621" width="2.7109375" style="30" customWidth="1"/>
    <col min="15622" max="15627" width="10.7109375" style="30" customWidth="1"/>
    <col min="15628" max="15628" width="2.7109375" style="30" customWidth="1"/>
    <col min="15629" max="15634" width="5.7109375" style="30" customWidth="1"/>
    <col min="15635" max="15635" width="2.7109375" style="30" customWidth="1"/>
    <col min="15636" max="15642" width="8.85546875" style="30"/>
    <col min="15643" max="15643" width="2.7109375" style="30" customWidth="1"/>
    <col min="15644" max="15862" width="8.85546875" style="30"/>
    <col min="15863" max="15863" width="7" style="30" customWidth="1"/>
    <col min="15864" max="15864" width="2.7109375" style="30" customWidth="1"/>
    <col min="15865" max="15876" width="7.7109375" style="30" customWidth="1"/>
    <col min="15877" max="15877" width="2.7109375" style="30" customWidth="1"/>
    <col min="15878" max="15883" width="10.7109375" style="30" customWidth="1"/>
    <col min="15884" max="15884" width="2.7109375" style="30" customWidth="1"/>
    <col min="15885" max="15890" width="5.7109375" style="30" customWidth="1"/>
    <col min="15891" max="15891" width="2.7109375" style="30" customWidth="1"/>
    <col min="15892" max="15898" width="8.85546875" style="30"/>
    <col min="15899" max="15899" width="2.7109375" style="30" customWidth="1"/>
    <col min="15900" max="16118" width="8.85546875" style="30"/>
    <col min="16119" max="16119" width="7" style="30" customWidth="1"/>
    <col min="16120" max="16120" width="2.7109375" style="30" customWidth="1"/>
    <col min="16121" max="16132" width="7.7109375" style="30" customWidth="1"/>
    <col min="16133" max="16133" width="2.7109375" style="30" customWidth="1"/>
    <col min="16134" max="16139" width="10.7109375" style="30" customWidth="1"/>
    <col min="16140" max="16140" width="2.7109375" style="30" customWidth="1"/>
    <col min="16141" max="16146" width="5.7109375" style="30" customWidth="1"/>
    <col min="16147" max="16147" width="2.7109375" style="30" customWidth="1"/>
    <col min="16148" max="16154" width="8.85546875" style="30"/>
    <col min="16155" max="16155" width="2.7109375" style="30" customWidth="1"/>
    <col min="16156" max="16384" width="8.85546875" style="30"/>
  </cols>
  <sheetData>
    <row r="1" spans="1:27" ht="15.75" x14ac:dyDescent="0.25">
      <c r="A1" s="29" t="s">
        <v>54</v>
      </c>
      <c r="B1" s="30"/>
      <c r="K1" s="30"/>
      <c r="P1" s="30"/>
      <c r="Q1" s="31"/>
      <c r="R1" s="31"/>
      <c r="S1" s="31"/>
      <c r="T1" s="31"/>
      <c r="U1" s="30"/>
      <c r="AA1" s="33"/>
    </row>
    <row r="2" spans="1:27" ht="15.75" x14ac:dyDescent="0.25">
      <c r="A2" s="29"/>
      <c r="C2" s="31" t="s">
        <v>55</v>
      </c>
      <c r="L2" s="33" t="s">
        <v>56</v>
      </c>
      <c r="N2" s="30" t="s">
        <v>57</v>
      </c>
      <c r="O2" s="30">
        <v>5000</v>
      </c>
      <c r="Q2" s="33" t="s">
        <v>58</v>
      </c>
      <c r="U2" s="30"/>
      <c r="V2" s="33" t="s">
        <v>59</v>
      </c>
    </row>
    <row r="4" spans="1:27" s="33" customFormat="1" x14ac:dyDescent="0.2">
      <c r="B4" s="35"/>
      <c r="C4" s="124" t="s">
        <v>45</v>
      </c>
      <c r="D4" s="124"/>
      <c r="E4" s="124" t="s">
        <v>46</v>
      </c>
      <c r="F4" s="124"/>
      <c r="G4" s="124" t="s">
        <v>47</v>
      </c>
      <c r="H4" s="124"/>
      <c r="I4" s="124" t="s">
        <v>48</v>
      </c>
      <c r="J4" s="124"/>
      <c r="K4" s="35"/>
      <c r="L4" s="33" t="s">
        <v>45</v>
      </c>
      <c r="M4" s="33" t="s">
        <v>46</v>
      </c>
      <c r="N4" s="33" t="s">
        <v>47</v>
      </c>
      <c r="O4" s="33" t="s">
        <v>48</v>
      </c>
      <c r="P4" s="35"/>
      <c r="Q4" s="33" t="s">
        <v>45</v>
      </c>
      <c r="R4" s="33" t="s">
        <v>46</v>
      </c>
      <c r="S4" s="33" t="s">
        <v>47</v>
      </c>
      <c r="T4" s="33" t="s">
        <v>48</v>
      </c>
      <c r="U4" s="35"/>
      <c r="V4" s="33" t="s">
        <v>57</v>
      </c>
      <c r="W4" s="33" t="s">
        <v>45</v>
      </c>
      <c r="X4" s="33" t="s">
        <v>46</v>
      </c>
      <c r="Y4" s="33" t="s">
        <v>47</v>
      </c>
      <c r="Z4" s="33" t="s">
        <v>48</v>
      </c>
      <c r="AA4" s="35"/>
    </row>
    <row r="5" spans="1:27" s="33" customFormat="1" x14ac:dyDescent="0.2">
      <c r="B5" s="35"/>
      <c r="C5" s="36" t="s">
        <v>336</v>
      </c>
      <c r="D5" s="37" t="s">
        <v>60</v>
      </c>
      <c r="E5" s="36" t="s">
        <v>336</v>
      </c>
      <c r="F5" s="37" t="s">
        <v>60</v>
      </c>
      <c r="G5" s="36" t="s">
        <v>336</v>
      </c>
      <c r="H5" s="37" t="s">
        <v>60</v>
      </c>
      <c r="I5" s="36" t="s">
        <v>336</v>
      </c>
      <c r="J5" s="37" t="s">
        <v>60</v>
      </c>
      <c r="K5" s="35"/>
      <c r="P5" s="35"/>
      <c r="U5" s="35"/>
      <c r="AA5" s="35"/>
    </row>
    <row r="6" spans="1:27" s="42" customFormat="1" x14ac:dyDescent="0.2">
      <c r="A6" s="30" t="s">
        <v>61</v>
      </c>
      <c r="B6" s="38"/>
      <c r="C6" s="39">
        <f ca="1">Results!D6</f>
        <v>0.98287597749862554</v>
      </c>
      <c r="D6" s="40">
        <f ca="1">Results!C6</f>
        <v>15567.140040199785</v>
      </c>
      <c r="E6" s="39">
        <f ca="1">Results!D7</f>
        <v>0.91304057736405475</v>
      </c>
      <c r="F6" s="40">
        <f ca="1">Results!C7</f>
        <v>4943.2460226971571</v>
      </c>
      <c r="G6" s="39">
        <f ca="1">Results!D8</f>
        <v>0.95230533259003458</v>
      </c>
      <c r="H6" s="40">
        <f ca="1">Results!C8</f>
        <v>9423.1602151215156</v>
      </c>
      <c r="I6" s="39">
        <f ca="1">Results!D9</f>
        <v>0.90878524301780839</v>
      </c>
      <c r="J6" s="40">
        <f ca="1">Results!C9</f>
        <v>4731.9950879676717</v>
      </c>
      <c r="K6" s="38"/>
      <c r="L6" s="41">
        <f ca="1">C6*Rc_-D6</f>
        <v>-10652.760152706658</v>
      </c>
      <c r="M6" s="41">
        <f ca="1">E6*Rc_-F6</f>
        <v>-378.04313587688375</v>
      </c>
      <c r="N6" s="41">
        <f ca="1">G6*Rc_-H6</f>
        <v>-4661.6335521713427</v>
      </c>
      <c r="O6" s="41">
        <f ca="1">I6*Rc_-J6</f>
        <v>-188.06887287862992</v>
      </c>
      <c r="P6" s="38"/>
      <c r="Q6" s="42">
        <f ca="1">IF(L6&gt;$M6,IF(L6&gt;$N6,IF(L6&gt;$O6,1,0),0),0)</f>
        <v>0</v>
      </c>
      <c r="R6" s="42">
        <f ca="1">IF(M6&gt;$L6,IF(M6&gt;$N6,IF(M6&gt;$O6,1,0),0),0)</f>
        <v>0</v>
      </c>
      <c r="S6" s="42">
        <f ca="1">IF(N6&gt;$M6,IF(N6&gt;$L6,IF(N6&gt;$O6,1,0),0),0)</f>
        <v>0</v>
      </c>
      <c r="T6" s="42">
        <f ca="1">IF(O6&gt;$M6,IF(O6&gt;$N6,IF(O6&gt;$L6,1,0),0),0)</f>
        <v>1</v>
      </c>
      <c r="U6" s="38"/>
      <c r="W6" s="42">
        <f t="array" ref="W6">AVERAGE(IF(ISNUMBER(Q8:Q1007),Q8:Q1007))</f>
        <v>0</v>
      </c>
      <c r="X6" s="42">
        <f t="array" ref="X6">AVERAGE(IF(ISNUMBER(R8:R1007),R8:R1007))</f>
        <v>0</v>
      </c>
      <c r="Y6" s="42">
        <f t="array" ref="Y6">AVERAGE(IF(ISNUMBER(S8:S1007),S8:S1007))</f>
        <v>0</v>
      </c>
      <c r="Z6" s="42">
        <f t="array" ref="Z6">AVERAGE(IF(ISNUMBER(T8:T1007),T8:T1007))</f>
        <v>1</v>
      </c>
      <c r="AA6" s="38"/>
    </row>
    <row r="7" spans="1:27" x14ac:dyDescent="0.2">
      <c r="Q7" s="42"/>
      <c r="R7" s="42"/>
      <c r="S7" s="42"/>
      <c r="T7" s="42"/>
    </row>
    <row r="8" spans="1:27" x14ac:dyDescent="0.2">
      <c r="A8" s="30">
        <v>1</v>
      </c>
      <c r="C8" s="31">
        <v>0.97625163653191049</v>
      </c>
      <c r="D8" s="32">
        <v>19083.444189238158</v>
      </c>
      <c r="E8" s="31">
        <v>0.96903293258035761</v>
      </c>
      <c r="F8" s="32">
        <v>6243.3431463953812</v>
      </c>
      <c r="G8" s="31">
        <v>0.95955438487938238</v>
      </c>
      <c r="H8" s="32">
        <v>11490.582677844788</v>
      </c>
      <c r="I8" s="31">
        <v>0.95955438487938238</v>
      </c>
      <c r="J8" s="32">
        <v>5932.4450877799754</v>
      </c>
      <c r="L8" s="43">
        <f t="shared" ref="L8:L71" si="0">C8*Rc_-D8</f>
        <v>-14202.186006578606</v>
      </c>
      <c r="M8" s="43">
        <f t="shared" ref="M8:M71" si="1">E8*Rc_-F8</f>
        <v>-1398.1784834935934</v>
      </c>
      <c r="N8" s="43">
        <f t="shared" ref="N8:N71" si="2">G8*Rc_-H8</f>
        <v>-6692.8107534478759</v>
      </c>
      <c r="O8" s="43">
        <f t="shared" ref="O8:O71" si="3">I8*Rc_-J8</f>
        <v>-1134.6731633830632</v>
      </c>
      <c r="Q8" s="42">
        <f>IF(L8&gt;$M8,IF(L8&gt;$N8,IF(L8&gt;$O8,1,0),0),0)</f>
        <v>0</v>
      </c>
      <c r="R8" s="42">
        <f>IF(M8&gt;$L8,IF(M8&gt;$N8,IF(M8&gt;$O8,1,0),0),0)</f>
        <v>0</v>
      </c>
      <c r="S8" s="42">
        <f>IF(N8&gt;$M8,IF(N8&gt;$L8,IF(N8&gt;$O8,1,0),0),0)</f>
        <v>0</v>
      </c>
      <c r="T8" s="42">
        <f>IF(O8&gt;$M8,IF(O8&gt;$N8,IF(O8&gt;$L8,1,0),0),0)</f>
        <v>1</v>
      </c>
      <c r="V8" s="30">
        <v>0</v>
      </c>
      <c r="W8" s="30">
        <v>0</v>
      </c>
      <c r="X8" s="30">
        <v>0</v>
      </c>
      <c r="Y8" s="30">
        <v>0</v>
      </c>
      <c r="Z8" s="30">
        <v>1</v>
      </c>
    </row>
    <row r="9" spans="1:27" x14ac:dyDescent="0.2">
      <c r="A9" s="30">
        <v>2</v>
      </c>
      <c r="C9" s="31">
        <v>0.996789365808746</v>
      </c>
      <c r="D9" s="32">
        <v>15991.632456619873</v>
      </c>
      <c r="E9" s="31">
        <v>0.98827697473463516</v>
      </c>
      <c r="F9" s="32">
        <v>6133.2971729017436</v>
      </c>
      <c r="G9" s="31">
        <v>0.98118151470082915</v>
      </c>
      <c r="H9" s="32">
        <v>10083.087730507898</v>
      </c>
      <c r="I9" s="31">
        <v>0.98118151470082926</v>
      </c>
      <c r="J9" s="32">
        <v>5882.1109724656035</v>
      </c>
      <c r="L9" s="43">
        <f t="shared" si="0"/>
        <v>-11007.685627576142</v>
      </c>
      <c r="M9" s="43">
        <f t="shared" si="1"/>
        <v>-1191.9122992285675</v>
      </c>
      <c r="N9" s="43">
        <f t="shared" si="2"/>
        <v>-5177.1801570037514</v>
      </c>
      <c r="O9" s="43">
        <f t="shared" si="3"/>
        <v>-976.20339896145742</v>
      </c>
      <c r="Q9" s="42">
        <f t="shared" ref="Q9:Q72" si="4">IF(L9&gt;$M9,IF(L9&gt;$N9,IF(L9&gt;$O9,1,0),0),0)</f>
        <v>0</v>
      </c>
      <c r="R9" s="42">
        <f t="shared" ref="R9:R72" si="5">IF(M9&gt;$L9,IF(M9&gt;$N9,IF(M9&gt;$O9,1,0),0),0)</f>
        <v>0</v>
      </c>
      <c r="S9" s="42">
        <f t="shared" ref="S9:S72" si="6">IF(N9&gt;$M9,IF(N9&gt;$L9,IF(N9&gt;$O9,1,0),0),0)</f>
        <v>0</v>
      </c>
      <c r="T9" s="42">
        <f t="shared" ref="T9:T72" si="7">IF(O9&gt;$M9,IF(O9&gt;$N9,IF(O9&gt;$L9,1,0),0),0)</f>
        <v>1</v>
      </c>
      <c r="V9" s="30">
        <v>1</v>
      </c>
      <c r="W9" s="30">
        <v>0</v>
      </c>
      <c r="X9" s="30">
        <v>0</v>
      </c>
      <c r="Y9" s="30">
        <v>0</v>
      </c>
      <c r="Z9" s="30">
        <v>1</v>
      </c>
    </row>
    <row r="10" spans="1:27" x14ac:dyDescent="0.2">
      <c r="A10" s="30">
        <v>3</v>
      </c>
      <c r="C10" s="31">
        <v>0.97212648602993246</v>
      </c>
      <c r="D10" s="32">
        <v>18535.991159044876</v>
      </c>
      <c r="E10" s="31">
        <v>0.90197842837580433</v>
      </c>
      <c r="F10" s="32">
        <v>5752.5512022382363</v>
      </c>
      <c r="G10" s="31">
        <v>0.93919984867211581</v>
      </c>
      <c r="H10" s="32">
        <v>11320.168727339784</v>
      </c>
      <c r="I10" s="31">
        <v>0.8990799684148153</v>
      </c>
      <c r="J10" s="32">
        <v>5586.1433821794735</v>
      </c>
      <c r="L10" s="43">
        <f t="shared" si="0"/>
        <v>-13675.358728895213</v>
      </c>
      <c r="M10" s="43">
        <f t="shared" si="1"/>
        <v>-1242.6590603592149</v>
      </c>
      <c r="N10" s="43">
        <f t="shared" si="2"/>
        <v>-6624.1694839792044</v>
      </c>
      <c r="O10" s="43">
        <f t="shared" si="3"/>
        <v>-1090.7435401053972</v>
      </c>
      <c r="Q10" s="42">
        <f t="shared" si="4"/>
        <v>0</v>
      </c>
      <c r="R10" s="42">
        <f t="shared" si="5"/>
        <v>0</v>
      </c>
      <c r="S10" s="42">
        <f t="shared" si="6"/>
        <v>0</v>
      </c>
      <c r="T10" s="42">
        <f t="shared" si="7"/>
        <v>1</v>
      </c>
      <c r="V10" s="30">
        <v>2</v>
      </c>
      <c r="W10" s="30">
        <v>0</v>
      </c>
      <c r="X10" s="30">
        <v>0</v>
      </c>
      <c r="Y10" s="30">
        <v>0</v>
      </c>
      <c r="Z10" s="30">
        <v>1</v>
      </c>
    </row>
    <row r="11" spans="1:27" x14ac:dyDescent="0.2">
      <c r="A11" s="30">
        <v>4</v>
      </c>
      <c r="C11" s="31">
        <v>0.99033212152817707</v>
      </c>
      <c r="D11" s="32">
        <v>18744.684858473498</v>
      </c>
      <c r="E11" s="31">
        <v>0.97986157495079862</v>
      </c>
      <c r="F11" s="32">
        <v>7101.1114033614112</v>
      </c>
      <c r="G11" s="31">
        <v>0.96768985960173437</v>
      </c>
      <c r="H11" s="32">
        <v>11346.229708712704</v>
      </c>
      <c r="I11" s="31">
        <v>0.96768985960173437</v>
      </c>
      <c r="J11" s="32">
        <v>6721.1868564345496</v>
      </c>
      <c r="L11" s="43">
        <f t="shared" si="0"/>
        <v>-13793.024250832612</v>
      </c>
      <c r="M11" s="43">
        <f t="shared" si="1"/>
        <v>-2201.8035286074182</v>
      </c>
      <c r="N11" s="43">
        <f t="shared" si="2"/>
        <v>-6507.7804107040329</v>
      </c>
      <c r="O11" s="43">
        <f t="shared" si="3"/>
        <v>-1882.737558425878</v>
      </c>
      <c r="Q11" s="42">
        <f t="shared" si="4"/>
        <v>0</v>
      </c>
      <c r="R11" s="42">
        <f t="shared" si="5"/>
        <v>0</v>
      </c>
      <c r="S11" s="42">
        <f t="shared" si="6"/>
        <v>0</v>
      </c>
      <c r="T11" s="42">
        <f t="shared" si="7"/>
        <v>1</v>
      </c>
      <c r="V11" s="30">
        <v>3</v>
      </c>
      <c r="W11" s="30">
        <v>0</v>
      </c>
      <c r="X11" s="30">
        <v>0</v>
      </c>
      <c r="Y11" s="30">
        <v>0</v>
      </c>
      <c r="Z11" s="30">
        <v>1</v>
      </c>
    </row>
    <row r="12" spans="1:27" x14ac:dyDescent="0.2">
      <c r="A12" s="30">
        <v>5</v>
      </c>
      <c r="C12" s="31">
        <v>0.97400268000820656</v>
      </c>
      <c r="D12" s="32">
        <v>16516.075208360668</v>
      </c>
      <c r="E12" s="31">
        <v>0.94707614821833142</v>
      </c>
      <c r="F12" s="32">
        <v>5749.0297504709888</v>
      </c>
      <c r="G12" s="31">
        <v>0.93942054074185899</v>
      </c>
      <c r="H12" s="32">
        <v>9555.7119239135609</v>
      </c>
      <c r="I12" s="31">
        <v>0.93942054074185899</v>
      </c>
      <c r="J12" s="32">
        <v>5489.8796259920391</v>
      </c>
      <c r="L12" s="43">
        <f t="shared" si="0"/>
        <v>-11646.061808319635</v>
      </c>
      <c r="M12" s="43">
        <f t="shared" si="1"/>
        <v>-1013.6490093793318</v>
      </c>
      <c r="N12" s="43">
        <f t="shared" si="2"/>
        <v>-4858.6092202042655</v>
      </c>
      <c r="O12" s="43">
        <f t="shared" si="3"/>
        <v>-792.77692228274373</v>
      </c>
      <c r="Q12" s="42">
        <f t="shared" si="4"/>
        <v>0</v>
      </c>
      <c r="R12" s="42">
        <f t="shared" si="5"/>
        <v>0</v>
      </c>
      <c r="S12" s="42">
        <f t="shared" si="6"/>
        <v>0</v>
      </c>
      <c r="T12" s="42">
        <f t="shared" si="7"/>
        <v>1</v>
      </c>
      <c r="V12" s="30">
        <v>4</v>
      </c>
      <c r="W12" s="30">
        <v>0</v>
      </c>
      <c r="X12" s="30">
        <v>0</v>
      </c>
      <c r="Y12" s="30">
        <v>0</v>
      </c>
      <c r="Z12" s="30">
        <v>1</v>
      </c>
    </row>
    <row r="13" spans="1:27" x14ac:dyDescent="0.2">
      <c r="A13" s="30">
        <v>6</v>
      </c>
      <c r="C13" s="31">
        <v>0.99743434528406916</v>
      </c>
      <c r="D13" s="32">
        <v>13840.192969886559</v>
      </c>
      <c r="E13" s="31">
        <v>0.9383687463407212</v>
      </c>
      <c r="F13" s="32">
        <v>5981.6832086366321</v>
      </c>
      <c r="G13" s="31">
        <v>0.93910147450753634</v>
      </c>
      <c r="H13" s="32">
        <v>8949.7479296291003</v>
      </c>
      <c r="I13" s="31">
        <v>0.93197884247989649</v>
      </c>
      <c r="J13" s="32">
        <v>5175.2100509036491</v>
      </c>
      <c r="L13" s="43">
        <f t="shared" si="0"/>
        <v>-8853.0212434662135</v>
      </c>
      <c r="M13" s="43">
        <f t="shared" si="1"/>
        <v>-1289.8394769330262</v>
      </c>
      <c r="N13" s="43">
        <f t="shared" si="2"/>
        <v>-4254.2405570914189</v>
      </c>
      <c r="O13" s="43">
        <f t="shared" si="3"/>
        <v>-515.315838504167</v>
      </c>
      <c r="Q13" s="42">
        <f t="shared" si="4"/>
        <v>0</v>
      </c>
      <c r="R13" s="42">
        <f t="shared" si="5"/>
        <v>0</v>
      </c>
      <c r="S13" s="42">
        <f t="shared" si="6"/>
        <v>0</v>
      </c>
      <c r="T13" s="42">
        <f t="shared" si="7"/>
        <v>1</v>
      </c>
      <c r="V13" s="30">
        <v>5</v>
      </c>
      <c r="W13" s="30">
        <v>0</v>
      </c>
      <c r="X13" s="30">
        <v>0</v>
      </c>
      <c r="Y13" s="30">
        <v>0</v>
      </c>
      <c r="Z13" s="30">
        <v>1</v>
      </c>
    </row>
    <row r="14" spans="1:27" x14ac:dyDescent="0.2">
      <c r="A14" s="30">
        <v>7</v>
      </c>
      <c r="C14" s="31">
        <v>0.99769571980074712</v>
      </c>
      <c r="D14" s="32">
        <v>15429.571721364618</v>
      </c>
      <c r="E14" s="31">
        <v>0.90819578913813537</v>
      </c>
      <c r="F14" s="32">
        <v>4823.6263544657431</v>
      </c>
      <c r="G14" s="31">
        <v>0.90058891384757001</v>
      </c>
      <c r="H14" s="32">
        <v>8981.1008003198112</v>
      </c>
      <c r="I14" s="31">
        <v>0.90058891384757012</v>
      </c>
      <c r="J14" s="32">
        <v>4547.7630377800269</v>
      </c>
      <c r="L14" s="43">
        <f t="shared" si="0"/>
        <v>-10441.093122360882</v>
      </c>
      <c r="M14" s="43">
        <f t="shared" si="1"/>
        <v>-282.64740877506665</v>
      </c>
      <c r="N14" s="43">
        <f t="shared" si="2"/>
        <v>-4478.1562310819609</v>
      </c>
      <c r="O14" s="43">
        <f t="shared" si="3"/>
        <v>-44.818468542176561</v>
      </c>
      <c r="Q14" s="42">
        <f t="shared" si="4"/>
        <v>0</v>
      </c>
      <c r="R14" s="42">
        <f t="shared" si="5"/>
        <v>0</v>
      </c>
      <c r="S14" s="42">
        <f t="shared" si="6"/>
        <v>0</v>
      </c>
      <c r="T14" s="42">
        <f t="shared" si="7"/>
        <v>1</v>
      </c>
      <c r="V14" s="30">
        <v>6</v>
      </c>
      <c r="W14" s="30">
        <v>0</v>
      </c>
      <c r="X14" s="30">
        <v>0</v>
      </c>
      <c r="Y14" s="30">
        <v>0</v>
      </c>
      <c r="Z14" s="30">
        <v>1</v>
      </c>
    </row>
    <row r="15" spans="1:27" x14ac:dyDescent="0.2">
      <c r="A15" s="30">
        <v>8</v>
      </c>
      <c r="C15" s="31">
        <v>0.99860003874404479</v>
      </c>
      <c r="D15" s="32">
        <v>15624.496322389417</v>
      </c>
      <c r="E15" s="31">
        <v>0.8270367707494195</v>
      </c>
      <c r="F15" s="32">
        <v>3986.4463569412906</v>
      </c>
      <c r="G15" s="31">
        <v>0.93164579290875249</v>
      </c>
      <c r="H15" s="32">
        <v>9344.5145718592303</v>
      </c>
      <c r="I15" s="31">
        <v>0.82270392547931603</v>
      </c>
      <c r="J15" s="32">
        <v>3779.1949418230024</v>
      </c>
      <c r="L15" s="43">
        <f t="shared" si="0"/>
        <v>-10631.496128669194</v>
      </c>
      <c r="M15" s="43">
        <f t="shared" si="1"/>
        <v>148.73749680580704</v>
      </c>
      <c r="N15" s="43">
        <f t="shared" si="2"/>
        <v>-4686.285607315468</v>
      </c>
      <c r="O15" s="43">
        <f t="shared" si="3"/>
        <v>334.32468557357788</v>
      </c>
      <c r="Q15" s="42">
        <f t="shared" si="4"/>
        <v>0</v>
      </c>
      <c r="R15" s="42">
        <f t="shared" si="5"/>
        <v>0</v>
      </c>
      <c r="S15" s="42">
        <f t="shared" si="6"/>
        <v>0</v>
      </c>
      <c r="T15" s="42">
        <f t="shared" si="7"/>
        <v>1</v>
      </c>
      <c r="V15" s="30">
        <v>7</v>
      </c>
      <c r="W15" s="30">
        <v>0</v>
      </c>
      <c r="X15" s="30">
        <v>0</v>
      </c>
      <c r="Y15" s="30">
        <v>0</v>
      </c>
      <c r="Z15" s="30">
        <v>1</v>
      </c>
    </row>
    <row r="16" spans="1:27" x14ac:dyDescent="0.2">
      <c r="A16" s="30">
        <v>9</v>
      </c>
      <c r="C16" s="31">
        <v>0.99334507997523358</v>
      </c>
      <c r="D16" s="32">
        <v>16145.551145594327</v>
      </c>
      <c r="E16" s="31">
        <v>0.85403310669862065</v>
      </c>
      <c r="F16" s="32">
        <v>7132.0379184959083</v>
      </c>
      <c r="G16" s="31">
        <v>0.94561953566704049</v>
      </c>
      <c r="H16" s="32">
        <v>10012.127736824232</v>
      </c>
      <c r="I16" s="31">
        <v>0.85203653847776795</v>
      </c>
      <c r="J16" s="32">
        <v>5061.8489712993087</v>
      </c>
      <c r="L16" s="43">
        <f t="shared" si="0"/>
        <v>-11178.825745718159</v>
      </c>
      <c r="M16" s="43">
        <f t="shared" si="1"/>
        <v>-2861.8723850028055</v>
      </c>
      <c r="N16" s="43">
        <f t="shared" si="2"/>
        <v>-5284.0300584890292</v>
      </c>
      <c r="O16" s="43">
        <f t="shared" si="3"/>
        <v>-801.66627891046937</v>
      </c>
      <c r="Q16" s="42">
        <f t="shared" si="4"/>
        <v>0</v>
      </c>
      <c r="R16" s="42">
        <f t="shared" si="5"/>
        <v>0</v>
      </c>
      <c r="S16" s="42">
        <f t="shared" si="6"/>
        <v>0</v>
      </c>
      <c r="T16" s="42">
        <f t="shared" si="7"/>
        <v>1</v>
      </c>
      <c r="V16" s="30">
        <v>8</v>
      </c>
      <c r="W16" s="30">
        <v>0</v>
      </c>
      <c r="X16" s="30">
        <v>0</v>
      </c>
      <c r="Y16" s="30">
        <v>0</v>
      </c>
      <c r="Z16" s="30">
        <v>1</v>
      </c>
    </row>
    <row r="17" spans="1:26" x14ac:dyDescent="0.2">
      <c r="A17" s="30">
        <v>10</v>
      </c>
      <c r="C17" s="31">
        <v>0.99856697677088035</v>
      </c>
      <c r="D17" s="32">
        <v>19163.737071297815</v>
      </c>
      <c r="E17" s="31">
        <v>0.80964508121668233</v>
      </c>
      <c r="F17" s="32">
        <v>5494.3261000250068</v>
      </c>
      <c r="G17" s="31">
        <v>0.94139532707662554</v>
      </c>
      <c r="H17" s="32">
        <v>11572.520543759658</v>
      </c>
      <c r="I17" s="31">
        <v>0.80244470313242289</v>
      </c>
      <c r="J17" s="32">
        <v>4095.4802344099899</v>
      </c>
      <c r="L17" s="43">
        <f t="shared" si="0"/>
        <v>-14170.902187443415</v>
      </c>
      <c r="M17" s="43">
        <f t="shared" si="1"/>
        <v>-1446.1006939415952</v>
      </c>
      <c r="N17" s="43">
        <f t="shared" si="2"/>
        <v>-6865.5439083765305</v>
      </c>
      <c r="O17" s="43">
        <f t="shared" si="3"/>
        <v>-83.256718747875311</v>
      </c>
      <c r="Q17" s="42">
        <f t="shared" si="4"/>
        <v>0</v>
      </c>
      <c r="R17" s="42">
        <f t="shared" si="5"/>
        <v>0</v>
      </c>
      <c r="S17" s="42">
        <f t="shared" si="6"/>
        <v>0</v>
      </c>
      <c r="T17" s="42">
        <f t="shared" si="7"/>
        <v>1</v>
      </c>
      <c r="V17" s="30">
        <v>9</v>
      </c>
      <c r="W17" s="30">
        <v>0</v>
      </c>
      <c r="X17" s="30">
        <v>0</v>
      </c>
      <c r="Y17" s="30">
        <v>0</v>
      </c>
      <c r="Z17" s="30">
        <v>1</v>
      </c>
    </row>
    <row r="18" spans="1:26" x14ac:dyDescent="0.2">
      <c r="A18" s="30">
        <v>11</v>
      </c>
      <c r="C18" s="31">
        <v>0.98506401638935548</v>
      </c>
      <c r="D18" s="32">
        <v>15204.837961129224</v>
      </c>
      <c r="E18" s="31">
        <v>0.94445761322239585</v>
      </c>
      <c r="F18" s="32">
        <v>5450.1457292326777</v>
      </c>
      <c r="G18" s="31">
        <v>0.94996220434774103</v>
      </c>
      <c r="H18" s="32">
        <v>9282.1580100158099</v>
      </c>
      <c r="I18" s="31">
        <v>0.94445761322239574</v>
      </c>
      <c r="J18" s="32">
        <v>5045.8880967359182</v>
      </c>
      <c r="L18" s="43">
        <f t="shared" si="0"/>
        <v>-10279.517879182447</v>
      </c>
      <c r="M18" s="43">
        <f t="shared" si="1"/>
        <v>-727.85766312069882</v>
      </c>
      <c r="N18" s="43">
        <f t="shared" si="2"/>
        <v>-4532.3469882771051</v>
      </c>
      <c r="O18" s="43">
        <f t="shared" si="3"/>
        <v>-323.60003062393935</v>
      </c>
      <c r="Q18" s="42">
        <f t="shared" si="4"/>
        <v>0</v>
      </c>
      <c r="R18" s="42">
        <f t="shared" si="5"/>
        <v>0</v>
      </c>
      <c r="S18" s="42">
        <f t="shared" si="6"/>
        <v>0</v>
      </c>
      <c r="T18" s="42">
        <f t="shared" si="7"/>
        <v>1</v>
      </c>
      <c r="V18" s="30">
        <v>10</v>
      </c>
      <c r="W18" s="30">
        <v>0</v>
      </c>
      <c r="X18" s="30">
        <v>0</v>
      </c>
      <c r="Y18" s="30">
        <v>0</v>
      </c>
      <c r="Z18" s="30">
        <v>1</v>
      </c>
    </row>
    <row r="19" spans="1:26" x14ac:dyDescent="0.2">
      <c r="A19" s="30">
        <v>12</v>
      </c>
      <c r="C19" s="31">
        <v>0.98369028846007367</v>
      </c>
      <c r="D19" s="32">
        <v>13888.577296803331</v>
      </c>
      <c r="E19" s="31">
        <v>0.83486314100980008</v>
      </c>
      <c r="F19" s="32">
        <v>3335.2456250334467</v>
      </c>
      <c r="G19" s="31">
        <v>0.96732772463993522</v>
      </c>
      <c r="H19" s="32">
        <v>8712.3560836705128</v>
      </c>
      <c r="I19" s="31">
        <v>0.83191818714809118</v>
      </c>
      <c r="J19" s="32">
        <v>3149.2230608711502</v>
      </c>
      <c r="L19" s="43">
        <f t="shared" si="0"/>
        <v>-8970.1258545029632</v>
      </c>
      <c r="M19" s="43">
        <f t="shared" si="1"/>
        <v>839.07008001555414</v>
      </c>
      <c r="N19" s="43">
        <f t="shared" si="2"/>
        <v>-3875.7174604708371</v>
      </c>
      <c r="O19" s="43">
        <f t="shared" si="3"/>
        <v>1010.367874869306</v>
      </c>
      <c r="Q19" s="42">
        <f t="shared" si="4"/>
        <v>0</v>
      </c>
      <c r="R19" s="42">
        <f t="shared" si="5"/>
        <v>0</v>
      </c>
      <c r="S19" s="42">
        <f t="shared" si="6"/>
        <v>0</v>
      </c>
      <c r="T19" s="42">
        <f t="shared" si="7"/>
        <v>1</v>
      </c>
      <c r="V19" s="30">
        <v>11</v>
      </c>
      <c r="W19" s="30">
        <v>0</v>
      </c>
      <c r="X19" s="30">
        <v>0</v>
      </c>
      <c r="Y19" s="30">
        <v>0</v>
      </c>
      <c r="Z19" s="30">
        <v>1</v>
      </c>
    </row>
    <row r="20" spans="1:26" x14ac:dyDescent="0.2">
      <c r="A20" s="30">
        <v>13</v>
      </c>
      <c r="C20" s="31">
        <v>0.99166722470079394</v>
      </c>
      <c r="D20" s="32">
        <v>15023.309672246365</v>
      </c>
      <c r="E20" s="31">
        <v>0.95795960670795166</v>
      </c>
      <c r="F20" s="32">
        <v>7661.1536058629054</v>
      </c>
      <c r="G20" s="31">
        <v>0.94411749559089986</v>
      </c>
      <c r="H20" s="32">
        <v>8944.2052044036645</v>
      </c>
      <c r="I20" s="31">
        <v>0.94411749559089997</v>
      </c>
      <c r="J20" s="32">
        <v>5925.7057007319836</v>
      </c>
      <c r="L20" s="43">
        <f t="shared" si="0"/>
        <v>-10064.973548742397</v>
      </c>
      <c r="M20" s="43">
        <f t="shared" si="1"/>
        <v>-2871.3555723231475</v>
      </c>
      <c r="N20" s="43">
        <f t="shared" si="2"/>
        <v>-4223.6177264491653</v>
      </c>
      <c r="O20" s="43">
        <f t="shared" si="3"/>
        <v>-1205.1182227774834</v>
      </c>
      <c r="Q20" s="42">
        <f t="shared" si="4"/>
        <v>0</v>
      </c>
      <c r="R20" s="42">
        <f t="shared" si="5"/>
        <v>0</v>
      </c>
      <c r="S20" s="42">
        <f t="shared" si="6"/>
        <v>0</v>
      </c>
      <c r="T20" s="42">
        <f t="shared" si="7"/>
        <v>1</v>
      </c>
      <c r="V20" s="30">
        <v>12</v>
      </c>
      <c r="W20" s="30">
        <v>0</v>
      </c>
      <c r="X20" s="30">
        <v>0</v>
      </c>
      <c r="Y20" s="30">
        <v>0</v>
      </c>
      <c r="Z20" s="30">
        <v>1</v>
      </c>
    </row>
    <row r="21" spans="1:26" x14ac:dyDescent="0.2">
      <c r="A21" s="30">
        <v>14</v>
      </c>
      <c r="C21" s="31">
        <v>0.99950165714013606</v>
      </c>
      <c r="D21" s="32">
        <v>19747.148298832446</v>
      </c>
      <c r="E21" s="31">
        <v>0.9170532300125569</v>
      </c>
      <c r="F21" s="32">
        <v>6397.1165374930379</v>
      </c>
      <c r="G21" s="31">
        <v>0.93870352425163217</v>
      </c>
      <c r="H21" s="32">
        <v>11707.146013787022</v>
      </c>
      <c r="I21" s="31">
        <v>0.9081486149034006</v>
      </c>
      <c r="J21" s="32">
        <v>6062.0002087118219</v>
      </c>
      <c r="L21" s="43">
        <f t="shared" si="0"/>
        <v>-14749.640013131766</v>
      </c>
      <c r="M21" s="43">
        <f t="shared" si="1"/>
        <v>-1811.8503874302532</v>
      </c>
      <c r="N21" s="43">
        <f t="shared" si="2"/>
        <v>-7013.6283925288608</v>
      </c>
      <c r="O21" s="43">
        <f t="shared" si="3"/>
        <v>-1521.2571341948187</v>
      </c>
      <c r="Q21" s="42">
        <f t="shared" si="4"/>
        <v>0</v>
      </c>
      <c r="R21" s="42">
        <f t="shared" si="5"/>
        <v>0</v>
      </c>
      <c r="S21" s="42">
        <f t="shared" si="6"/>
        <v>0</v>
      </c>
      <c r="T21" s="42">
        <f t="shared" si="7"/>
        <v>1</v>
      </c>
      <c r="V21" s="30">
        <v>13</v>
      </c>
      <c r="W21" s="30">
        <v>0</v>
      </c>
      <c r="X21" s="30">
        <v>0</v>
      </c>
      <c r="Y21" s="30">
        <v>0</v>
      </c>
      <c r="Z21" s="30">
        <v>1</v>
      </c>
    </row>
    <row r="22" spans="1:26" x14ac:dyDescent="0.2">
      <c r="A22" s="30">
        <v>15</v>
      </c>
      <c r="C22" s="31">
        <v>0.99681907179370832</v>
      </c>
      <c r="D22" s="32">
        <v>15193.003930990297</v>
      </c>
      <c r="E22" s="31">
        <v>0.95518830432707047</v>
      </c>
      <c r="F22" s="32">
        <v>6359.0901351790408</v>
      </c>
      <c r="G22" s="31">
        <v>0.94071357622835317</v>
      </c>
      <c r="H22" s="32">
        <v>9073.817965974371</v>
      </c>
      <c r="I22" s="31">
        <v>0.94071357622835317</v>
      </c>
      <c r="J22" s="32">
        <v>5384.7089106335607</v>
      </c>
      <c r="L22" s="43">
        <f t="shared" si="0"/>
        <v>-10208.908572021755</v>
      </c>
      <c r="M22" s="43">
        <f t="shared" si="1"/>
        <v>-1583.148613543688</v>
      </c>
      <c r="N22" s="43">
        <f t="shared" si="2"/>
        <v>-4370.2500848326054</v>
      </c>
      <c r="O22" s="43">
        <f t="shared" si="3"/>
        <v>-681.14102949179505</v>
      </c>
      <c r="Q22" s="42">
        <f t="shared" si="4"/>
        <v>0</v>
      </c>
      <c r="R22" s="42">
        <f t="shared" si="5"/>
        <v>0</v>
      </c>
      <c r="S22" s="42">
        <f t="shared" si="6"/>
        <v>0</v>
      </c>
      <c r="T22" s="42">
        <f t="shared" si="7"/>
        <v>1</v>
      </c>
      <c r="V22" s="30">
        <v>14</v>
      </c>
      <c r="W22" s="30">
        <v>0</v>
      </c>
      <c r="X22" s="30">
        <v>0</v>
      </c>
      <c r="Y22" s="30">
        <v>0</v>
      </c>
      <c r="Z22" s="30">
        <v>1</v>
      </c>
    </row>
    <row r="23" spans="1:26" x14ac:dyDescent="0.2">
      <c r="A23" s="30">
        <v>16</v>
      </c>
      <c r="C23" s="31">
        <v>0.97958072858500567</v>
      </c>
      <c r="D23" s="32">
        <v>12249.198030882024</v>
      </c>
      <c r="E23" s="31">
        <v>0.95214397306974574</v>
      </c>
      <c r="F23" s="32">
        <v>7057.8956097224291</v>
      </c>
      <c r="G23" s="31">
        <v>0.96053262946223339</v>
      </c>
      <c r="H23" s="32">
        <v>7327.3205865707596</v>
      </c>
      <c r="I23" s="31">
        <v>0.95214397306974585</v>
      </c>
      <c r="J23" s="32">
        <v>5161.55958687165</v>
      </c>
      <c r="L23" s="43">
        <f t="shared" si="0"/>
        <v>-7351.2943879569957</v>
      </c>
      <c r="M23" s="43">
        <f t="shared" si="1"/>
        <v>-2297.1757443737006</v>
      </c>
      <c r="N23" s="43">
        <f t="shared" si="2"/>
        <v>-2524.657439259593</v>
      </c>
      <c r="O23" s="43">
        <f t="shared" si="3"/>
        <v>-400.83972152292063</v>
      </c>
      <c r="Q23" s="42">
        <f t="shared" si="4"/>
        <v>0</v>
      </c>
      <c r="R23" s="42">
        <f t="shared" si="5"/>
        <v>0</v>
      </c>
      <c r="S23" s="42">
        <f t="shared" si="6"/>
        <v>0</v>
      </c>
      <c r="T23" s="42">
        <f t="shared" si="7"/>
        <v>1</v>
      </c>
      <c r="V23" s="30">
        <v>15</v>
      </c>
      <c r="W23" s="30">
        <v>0</v>
      </c>
      <c r="X23" s="30">
        <v>0</v>
      </c>
      <c r="Y23" s="30">
        <v>0</v>
      </c>
      <c r="Z23" s="30">
        <v>1</v>
      </c>
    </row>
    <row r="24" spans="1:26" x14ac:dyDescent="0.2">
      <c r="A24" s="30">
        <v>17</v>
      </c>
      <c r="C24" s="31">
        <v>0.97476693348675136</v>
      </c>
      <c r="D24" s="32">
        <v>15292.276124525843</v>
      </c>
      <c r="E24" s="31">
        <v>0.9347300904472251</v>
      </c>
      <c r="F24" s="32">
        <v>4964.3368817146447</v>
      </c>
      <c r="G24" s="31">
        <v>0.96434142180082005</v>
      </c>
      <c r="H24" s="32">
        <v>9239.4301205374231</v>
      </c>
      <c r="I24" s="31">
        <v>0.93366618224292119</v>
      </c>
      <c r="J24" s="32">
        <v>4825.9301760672915</v>
      </c>
      <c r="L24" s="43">
        <f t="shared" si="0"/>
        <v>-10418.441457092085</v>
      </c>
      <c r="M24" s="43">
        <f t="shared" si="1"/>
        <v>-290.68642947851913</v>
      </c>
      <c r="N24" s="43">
        <f t="shared" si="2"/>
        <v>-4417.7230115333232</v>
      </c>
      <c r="O24" s="43">
        <f t="shared" si="3"/>
        <v>-157.59926485268534</v>
      </c>
      <c r="Q24" s="42">
        <f t="shared" si="4"/>
        <v>0</v>
      </c>
      <c r="R24" s="42">
        <f t="shared" si="5"/>
        <v>0</v>
      </c>
      <c r="S24" s="42">
        <f t="shared" si="6"/>
        <v>0</v>
      </c>
      <c r="T24" s="42">
        <f t="shared" si="7"/>
        <v>1</v>
      </c>
      <c r="V24" s="30">
        <v>16</v>
      </c>
      <c r="W24" s="30">
        <v>0</v>
      </c>
      <c r="X24" s="30">
        <v>0</v>
      </c>
      <c r="Y24" s="30">
        <v>0</v>
      </c>
      <c r="Z24" s="30">
        <v>1</v>
      </c>
    </row>
    <row r="25" spans="1:26" x14ac:dyDescent="0.2">
      <c r="A25" s="30">
        <v>18</v>
      </c>
      <c r="C25" s="31">
        <v>0.98486385033961665</v>
      </c>
      <c r="D25" s="32">
        <v>13906.710574969093</v>
      </c>
      <c r="E25" s="31">
        <v>0.79769203685144796</v>
      </c>
      <c r="F25" s="32">
        <v>2771.9795726372081</v>
      </c>
      <c r="G25" s="31">
        <v>0.93195845650741016</v>
      </c>
      <c r="H25" s="32">
        <v>7902.7351184366162</v>
      </c>
      <c r="I25" s="31">
        <v>0.79548388844060636</v>
      </c>
      <c r="J25" s="32">
        <v>2470.8598400870433</v>
      </c>
      <c r="L25" s="43">
        <f t="shared" si="0"/>
        <v>-8982.3913232710092</v>
      </c>
      <c r="M25" s="43">
        <f t="shared" si="1"/>
        <v>1216.4806116200316</v>
      </c>
      <c r="N25" s="43">
        <f t="shared" si="2"/>
        <v>-3242.9428358995656</v>
      </c>
      <c r="O25" s="43">
        <f t="shared" si="3"/>
        <v>1506.5596021159886</v>
      </c>
      <c r="Q25" s="42">
        <f t="shared" si="4"/>
        <v>0</v>
      </c>
      <c r="R25" s="42">
        <f t="shared" si="5"/>
        <v>0</v>
      </c>
      <c r="S25" s="42">
        <f t="shared" si="6"/>
        <v>0</v>
      </c>
      <c r="T25" s="42">
        <f t="shared" si="7"/>
        <v>1</v>
      </c>
      <c r="V25" s="30">
        <v>17</v>
      </c>
      <c r="W25" s="30">
        <v>0</v>
      </c>
      <c r="X25" s="30">
        <v>0</v>
      </c>
      <c r="Y25" s="30">
        <v>0</v>
      </c>
      <c r="Z25" s="30">
        <v>1</v>
      </c>
    </row>
    <row r="26" spans="1:26" x14ac:dyDescent="0.2">
      <c r="A26" s="30">
        <v>19</v>
      </c>
      <c r="C26" s="31">
        <v>0.98240063201386074</v>
      </c>
      <c r="D26" s="32">
        <v>17223.05991507251</v>
      </c>
      <c r="E26" s="31">
        <v>0.95143642902099224</v>
      </c>
      <c r="F26" s="32">
        <v>5716.7417204753665</v>
      </c>
      <c r="G26" s="31">
        <v>0.9427023937637975</v>
      </c>
      <c r="H26" s="32">
        <v>9595.9158826729872</v>
      </c>
      <c r="I26" s="31">
        <v>0.94270239376379772</v>
      </c>
      <c r="J26" s="32">
        <v>5361.0412064992634</v>
      </c>
      <c r="L26" s="43">
        <f t="shared" si="0"/>
        <v>-12311.056755003206</v>
      </c>
      <c r="M26" s="43">
        <f t="shared" si="1"/>
        <v>-959.55957537040558</v>
      </c>
      <c r="N26" s="43">
        <f t="shared" si="2"/>
        <v>-4882.4039138540002</v>
      </c>
      <c r="O26" s="43">
        <f t="shared" si="3"/>
        <v>-647.52923768027449</v>
      </c>
      <c r="Q26" s="42">
        <f t="shared" si="4"/>
        <v>0</v>
      </c>
      <c r="R26" s="42">
        <f t="shared" si="5"/>
        <v>0</v>
      </c>
      <c r="S26" s="42">
        <f t="shared" si="6"/>
        <v>0</v>
      </c>
      <c r="T26" s="42">
        <f t="shared" si="7"/>
        <v>1</v>
      </c>
      <c r="V26" s="30">
        <v>18</v>
      </c>
      <c r="W26" s="30">
        <v>0</v>
      </c>
      <c r="X26" s="30">
        <v>0</v>
      </c>
      <c r="Y26" s="30">
        <v>0</v>
      </c>
      <c r="Z26" s="30">
        <v>1</v>
      </c>
    </row>
    <row r="27" spans="1:26" x14ac:dyDescent="0.2">
      <c r="A27" s="30">
        <v>20</v>
      </c>
      <c r="C27" s="31">
        <v>0.99611176258093559</v>
      </c>
      <c r="D27" s="32">
        <v>14914.306732283163</v>
      </c>
      <c r="E27" s="31">
        <v>0.93579091963785122</v>
      </c>
      <c r="F27" s="32">
        <v>5160.1387810762171</v>
      </c>
      <c r="G27" s="31">
        <v>0.92575449118466502</v>
      </c>
      <c r="H27" s="32">
        <v>8934.5339105371731</v>
      </c>
      <c r="I27" s="31">
        <v>0.92575449118466502</v>
      </c>
      <c r="J27" s="32">
        <v>4864.3221020654455</v>
      </c>
      <c r="L27" s="43">
        <f t="shared" si="0"/>
        <v>-9933.7479193784857</v>
      </c>
      <c r="M27" s="43">
        <f t="shared" si="1"/>
        <v>-481.18418288696103</v>
      </c>
      <c r="N27" s="43">
        <f t="shared" si="2"/>
        <v>-4305.7614546138484</v>
      </c>
      <c r="O27" s="43">
        <f t="shared" si="3"/>
        <v>-235.54964614212076</v>
      </c>
      <c r="Q27" s="42">
        <f t="shared" si="4"/>
        <v>0</v>
      </c>
      <c r="R27" s="42">
        <f t="shared" si="5"/>
        <v>0</v>
      </c>
      <c r="S27" s="42">
        <f t="shared" si="6"/>
        <v>0</v>
      </c>
      <c r="T27" s="42">
        <f t="shared" si="7"/>
        <v>1</v>
      </c>
      <c r="V27" s="30">
        <v>19</v>
      </c>
      <c r="W27" s="30">
        <v>0</v>
      </c>
      <c r="X27" s="30">
        <v>0</v>
      </c>
      <c r="Y27" s="30">
        <v>0</v>
      </c>
      <c r="Z27" s="30">
        <v>1</v>
      </c>
    </row>
    <row r="28" spans="1:26" x14ac:dyDescent="0.2">
      <c r="A28" s="30">
        <v>21</v>
      </c>
      <c r="C28" s="31">
        <v>0.98813904074655678</v>
      </c>
      <c r="D28" s="32">
        <v>14660.644661393026</v>
      </c>
      <c r="E28" s="31">
        <v>0.81537749497126288</v>
      </c>
      <c r="F28" s="32">
        <v>9166.4128962046852</v>
      </c>
      <c r="G28" s="31">
        <v>0.90293552499924679</v>
      </c>
      <c r="H28" s="32">
        <v>8970.318105107639</v>
      </c>
      <c r="I28" s="31">
        <v>0.81185342659720838</v>
      </c>
      <c r="J28" s="32">
        <v>5746.1307051646108</v>
      </c>
      <c r="L28" s="43">
        <f t="shared" si="0"/>
        <v>-9719.949457660241</v>
      </c>
      <c r="M28" s="43">
        <f t="shared" si="1"/>
        <v>-5089.5254213483713</v>
      </c>
      <c r="N28" s="43">
        <f t="shared" si="2"/>
        <v>-4455.6404801114049</v>
      </c>
      <c r="O28" s="43">
        <f t="shared" si="3"/>
        <v>-1686.863572178569</v>
      </c>
      <c r="Q28" s="42">
        <f t="shared" si="4"/>
        <v>0</v>
      </c>
      <c r="R28" s="42">
        <f t="shared" si="5"/>
        <v>0</v>
      </c>
      <c r="S28" s="42">
        <f t="shared" si="6"/>
        <v>0</v>
      </c>
      <c r="T28" s="42">
        <f t="shared" si="7"/>
        <v>1</v>
      </c>
      <c r="V28" s="30">
        <v>20</v>
      </c>
      <c r="W28" s="30">
        <v>0</v>
      </c>
      <c r="X28" s="30">
        <v>0</v>
      </c>
      <c r="Y28" s="30">
        <v>0</v>
      </c>
      <c r="Z28" s="30">
        <v>1</v>
      </c>
    </row>
    <row r="29" spans="1:26" x14ac:dyDescent="0.2">
      <c r="A29" s="30">
        <v>22</v>
      </c>
      <c r="C29" s="31">
        <v>0.97960691016162582</v>
      </c>
      <c r="D29" s="32">
        <v>14516.285519842593</v>
      </c>
      <c r="E29" s="31">
        <v>0.80346236404016513</v>
      </c>
      <c r="F29" s="32">
        <v>5119.6970799257751</v>
      </c>
      <c r="G29" s="31">
        <v>0.93939359057247807</v>
      </c>
      <c r="H29" s="32">
        <v>8797.1970635249072</v>
      </c>
      <c r="I29" s="31">
        <v>0.79996119358939366</v>
      </c>
      <c r="J29" s="32">
        <v>3742.9929653805698</v>
      </c>
      <c r="L29" s="43">
        <f t="shared" si="0"/>
        <v>-9618.2509690344632</v>
      </c>
      <c r="M29" s="43">
        <f t="shared" si="1"/>
        <v>-1102.3852597249493</v>
      </c>
      <c r="N29" s="43">
        <f t="shared" si="2"/>
        <v>-4100.2291106625171</v>
      </c>
      <c r="O29" s="43">
        <f t="shared" si="3"/>
        <v>256.81300256639861</v>
      </c>
      <c r="Q29" s="42">
        <f t="shared" si="4"/>
        <v>0</v>
      </c>
      <c r="R29" s="42">
        <f t="shared" si="5"/>
        <v>0</v>
      </c>
      <c r="S29" s="42">
        <f t="shared" si="6"/>
        <v>0</v>
      </c>
      <c r="T29" s="42">
        <f t="shared" si="7"/>
        <v>1</v>
      </c>
      <c r="V29" s="30">
        <v>22</v>
      </c>
      <c r="W29" s="30">
        <v>0</v>
      </c>
      <c r="X29" s="30">
        <v>0</v>
      </c>
      <c r="Y29" s="30">
        <v>0</v>
      </c>
      <c r="Z29" s="30">
        <v>1</v>
      </c>
    </row>
    <row r="30" spans="1:26" x14ac:dyDescent="0.2">
      <c r="A30" s="30">
        <v>23</v>
      </c>
      <c r="C30" s="31">
        <v>0.99502040438452155</v>
      </c>
      <c r="D30" s="32">
        <v>15206.515364188717</v>
      </c>
      <c r="E30" s="31">
        <v>0.97534105906197133</v>
      </c>
      <c r="F30" s="32">
        <v>5015.2364042182071</v>
      </c>
      <c r="G30" s="31">
        <v>0.97406992954670302</v>
      </c>
      <c r="H30" s="32">
        <v>8636.7892307058537</v>
      </c>
      <c r="I30" s="31">
        <v>0.97406992954675831</v>
      </c>
      <c r="J30" s="32">
        <v>4808.6685645261578</v>
      </c>
      <c r="L30" s="43">
        <f t="shared" si="0"/>
        <v>-10231.413342266111</v>
      </c>
      <c r="M30" s="43">
        <f t="shared" si="1"/>
        <v>-138.53110890835069</v>
      </c>
      <c r="N30" s="43">
        <f t="shared" si="2"/>
        <v>-3766.4395829723389</v>
      </c>
      <c r="O30" s="43">
        <f t="shared" si="3"/>
        <v>61.681083207633492</v>
      </c>
      <c r="Q30" s="42">
        <f t="shared" si="4"/>
        <v>0</v>
      </c>
      <c r="R30" s="42">
        <f t="shared" si="5"/>
        <v>0</v>
      </c>
      <c r="S30" s="42">
        <f t="shared" si="6"/>
        <v>0</v>
      </c>
      <c r="T30" s="42">
        <f t="shared" si="7"/>
        <v>1</v>
      </c>
      <c r="V30" s="30">
        <v>24</v>
      </c>
      <c r="W30" s="30">
        <v>0</v>
      </c>
      <c r="X30" s="30">
        <v>0</v>
      </c>
      <c r="Y30" s="30">
        <v>0</v>
      </c>
      <c r="Z30" s="30">
        <v>1</v>
      </c>
    </row>
    <row r="31" spans="1:26" x14ac:dyDescent="0.2">
      <c r="A31" s="30">
        <v>24</v>
      </c>
      <c r="C31" s="31">
        <v>0.99370796900180225</v>
      </c>
      <c r="D31" s="32">
        <v>11823.120215866844</v>
      </c>
      <c r="E31" s="31">
        <v>0.90149527478739722</v>
      </c>
      <c r="F31" s="32">
        <v>3855.4695623563612</v>
      </c>
      <c r="G31" s="31">
        <v>0.95739338409763763</v>
      </c>
      <c r="H31" s="32">
        <v>7500.7382928937222</v>
      </c>
      <c r="I31" s="31">
        <v>0.89479224965013682</v>
      </c>
      <c r="J31" s="32">
        <v>3633.017218570878</v>
      </c>
      <c r="L31" s="43">
        <f t="shared" si="0"/>
        <v>-6854.5803708578323</v>
      </c>
      <c r="M31" s="43">
        <f t="shared" si="1"/>
        <v>652.00681158062525</v>
      </c>
      <c r="N31" s="43">
        <f t="shared" si="2"/>
        <v>-2713.7713724055338</v>
      </c>
      <c r="O31" s="43">
        <f t="shared" si="3"/>
        <v>840.94402967980568</v>
      </c>
      <c r="Q31" s="42">
        <f t="shared" si="4"/>
        <v>0</v>
      </c>
      <c r="R31" s="42">
        <f t="shared" si="5"/>
        <v>0</v>
      </c>
      <c r="S31" s="42">
        <f t="shared" si="6"/>
        <v>0</v>
      </c>
      <c r="T31" s="42">
        <f t="shared" si="7"/>
        <v>1</v>
      </c>
      <c r="V31" s="30">
        <v>26</v>
      </c>
      <c r="W31" s="30">
        <v>0</v>
      </c>
      <c r="X31" s="30">
        <v>0</v>
      </c>
      <c r="Y31" s="30">
        <v>0</v>
      </c>
      <c r="Z31" s="30">
        <v>1</v>
      </c>
    </row>
    <row r="32" spans="1:26" x14ac:dyDescent="0.2">
      <c r="A32" s="30">
        <v>25</v>
      </c>
      <c r="C32" s="31">
        <v>0.9649164151937929</v>
      </c>
      <c r="D32" s="32">
        <v>13330.330170109755</v>
      </c>
      <c r="E32" s="31">
        <v>0.91899715524560155</v>
      </c>
      <c r="F32" s="32">
        <v>3885.3803545095675</v>
      </c>
      <c r="G32" s="31">
        <v>0.96112620793384329</v>
      </c>
      <c r="H32" s="32">
        <v>8158.2152735787031</v>
      </c>
      <c r="I32" s="31">
        <v>0.91748699019492053</v>
      </c>
      <c r="J32" s="32">
        <v>3704.5587465986855</v>
      </c>
      <c r="L32" s="43">
        <f t="shared" si="0"/>
        <v>-8505.7480941407921</v>
      </c>
      <c r="M32" s="43">
        <f t="shared" si="1"/>
        <v>709.60542171844054</v>
      </c>
      <c r="N32" s="43">
        <f t="shared" si="2"/>
        <v>-3352.584233909487</v>
      </c>
      <c r="O32" s="43">
        <f t="shared" si="3"/>
        <v>882.87620437591704</v>
      </c>
      <c r="Q32" s="42">
        <f t="shared" si="4"/>
        <v>0</v>
      </c>
      <c r="R32" s="42">
        <f t="shared" si="5"/>
        <v>0</v>
      </c>
      <c r="S32" s="42">
        <f t="shared" si="6"/>
        <v>0</v>
      </c>
      <c r="T32" s="42">
        <f t="shared" si="7"/>
        <v>1</v>
      </c>
      <c r="V32" s="30">
        <v>28</v>
      </c>
      <c r="W32" s="30">
        <v>0</v>
      </c>
      <c r="X32" s="30">
        <v>0</v>
      </c>
      <c r="Y32" s="30">
        <v>0</v>
      </c>
      <c r="Z32" s="30">
        <v>1</v>
      </c>
    </row>
    <row r="33" spans="1:26" x14ac:dyDescent="0.2">
      <c r="A33" s="30">
        <v>26</v>
      </c>
      <c r="C33" s="31">
        <v>0.98073337157310259</v>
      </c>
      <c r="D33" s="32">
        <v>18758.869008972317</v>
      </c>
      <c r="E33" s="31">
        <v>0.73099287309436445</v>
      </c>
      <c r="F33" s="32">
        <v>2487.8916460849687</v>
      </c>
      <c r="G33" s="31">
        <v>0.95355582687860641</v>
      </c>
      <c r="H33" s="32">
        <v>11833.584320088066</v>
      </c>
      <c r="I33" s="31">
        <v>0.72857772517201136</v>
      </c>
      <c r="J33" s="32">
        <v>2349.9903458407066</v>
      </c>
      <c r="L33" s="43">
        <f t="shared" si="0"/>
        <v>-13855.202151106805</v>
      </c>
      <c r="M33" s="43">
        <f t="shared" si="1"/>
        <v>1167.0727193868534</v>
      </c>
      <c r="N33" s="43">
        <f t="shared" si="2"/>
        <v>-7065.8051856950342</v>
      </c>
      <c r="O33" s="43">
        <f t="shared" si="3"/>
        <v>1292.8982800193503</v>
      </c>
      <c r="Q33" s="42">
        <f t="shared" si="4"/>
        <v>0</v>
      </c>
      <c r="R33" s="42">
        <f t="shared" si="5"/>
        <v>0</v>
      </c>
      <c r="S33" s="42">
        <f t="shared" si="6"/>
        <v>0</v>
      </c>
      <c r="T33" s="42">
        <f t="shared" si="7"/>
        <v>1</v>
      </c>
      <c r="V33" s="30">
        <v>30</v>
      </c>
      <c r="W33" s="30">
        <v>0</v>
      </c>
      <c r="X33" s="30">
        <v>0</v>
      </c>
      <c r="Y33" s="30">
        <v>0</v>
      </c>
      <c r="Z33" s="30">
        <v>1</v>
      </c>
    </row>
    <row r="34" spans="1:26" x14ac:dyDescent="0.2">
      <c r="A34" s="30">
        <v>27</v>
      </c>
      <c r="C34" s="31">
        <v>0.91930210508870691</v>
      </c>
      <c r="D34" s="32">
        <v>14618.429553225606</v>
      </c>
      <c r="E34" s="31">
        <v>0.93536467115419253</v>
      </c>
      <c r="F34" s="32">
        <v>9048.6807743248428</v>
      </c>
      <c r="G34" s="31">
        <v>0.92411279666926194</v>
      </c>
      <c r="H34" s="32">
        <v>9434.2527408957885</v>
      </c>
      <c r="I34" s="31">
        <v>0.92411279666926194</v>
      </c>
      <c r="J34" s="32">
        <v>6972.9093520435445</v>
      </c>
      <c r="L34" s="43">
        <f t="shared" si="0"/>
        <v>-10021.919027782071</v>
      </c>
      <c r="M34" s="43">
        <f t="shared" si="1"/>
        <v>-4371.8574185538801</v>
      </c>
      <c r="N34" s="43">
        <f t="shared" si="2"/>
        <v>-4813.6887575494784</v>
      </c>
      <c r="O34" s="43">
        <f t="shared" si="3"/>
        <v>-2352.3453686972343</v>
      </c>
      <c r="Q34" s="42">
        <f t="shared" si="4"/>
        <v>0</v>
      </c>
      <c r="R34" s="42">
        <f t="shared" si="5"/>
        <v>0</v>
      </c>
      <c r="S34" s="42">
        <f t="shared" si="6"/>
        <v>0</v>
      </c>
      <c r="T34" s="42">
        <f t="shared" si="7"/>
        <v>1</v>
      </c>
      <c r="V34" s="30">
        <v>32</v>
      </c>
      <c r="W34" s="30">
        <v>0</v>
      </c>
      <c r="X34" s="30">
        <v>0</v>
      </c>
      <c r="Y34" s="30">
        <v>0</v>
      </c>
      <c r="Z34" s="30">
        <v>1</v>
      </c>
    </row>
    <row r="35" spans="1:26" x14ac:dyDescent="0.2">
      <c r="A35" s="30">
        <v>28</v>
      </c>
      <c r="C35" s="31">
        <v>0.99907459539590504</v>
      </c>
      <c r="D35" s="32">
        <v>15883.720292730699</v>
      </c>
      <c r="E35" s="31">
        <v>0.77245467253565447</v>
      </c>
      <c r="F35" s="32">
        <v>3130.0452245437004</v>
      </c>
      <c r="G35" s="31">
        <v>0.93919134395252335</v>
      </c>
      <c r="H35" s="32">
        <v>9512.3193994145531</v>
      </c>
      <c r="I35" s="31">
        <v>0.76832164781421541</v>
      </c>
      <c r="J35" s="32">
        <v>2944.0639875196216</v>
      </c>
      <c r="L35" s="43">
        <f t="shared" si="0"/>
        <v>-10888.347315751173</v>
      </c>
      <c r="M35" s="43">
        <f t="shared" si="1"/>
        <v>732.22813813457196</v>
      </c>
      <c r="N35" s="43">
        <f t="shared" si="2"/>
        <v>-4816.3626796519366</v>
      </c>
      <c r="O35" s="43">
        <f t="shared" si="3"/>
        <v>897.54425155145555</v>
      </c>
      <c r="Q35" s="42">
        <f t="shared" si="4"/>
        <v>0</v>
      </c>
      <c r="R35" s="42">
        <f t="shared" si="5"/>
        <v>0</v>
      </c>
      <c r="S35" s="42">
        <f t="shared" si="6"/>
        <v>0</v>
      </c>
      <c r="T35" s="42">
        <f t="shared" si="7"/>
        <v>1</v>
      </c>
      <c r="V35" s="30">
        <v>34</v>
      </c>
      <c r="W35" s="30">
        <v>0</v>
      </c>
      <c r="X35" s="30">
        <v>0</v>
      </c>
      <c r="Y35" s="30">
        <v>0</v>
      </c>
      <c r="Z35" s="30">
        <v>1</v>
      </c>
    </row>
    <row r="36" spans="1:26" x14ac:dyDescent="0.2">
      <c r="A36" s="30">
        <v>29</v>
      </c>
      <c r="C36" s="31">
        <v>0.96409076586640552</v>
      </c>
      <c r="D36" s="32">
        <v>15570.962628737596</v>
      </c>
      <c r="E36" s="31">
        <v>0.94611263079969143</v>
      </c>
      <c r="F36" s="32">
        <v>5157.1296505882619</v>
      </c>
      <c r="G36" s="31">
        <v>0.96217792788312961</v>
      </c>
      <c r="H36" s="32">
        <v>8795.8284097453816</v>
      </c>
      <c r="I36" s="31">
        <v>0.94611263079969143</v>
      </c>
      <c r="J36" s="32">
        <v>5019.133650850812</v>
      </c>
      <c r="L36" s="43">
        <f t="shared" si="0"/>
        <v>-10750.508799405568</v>
      </c>
      <c r="M36" s="43">
        <f t="shared" si="1"/>
        <v>-426.56649658980496</v>
      </c>
      <c r="N36" s="43">
        <f t="shared" si="2"/>
        <v>-3984.9387703297334</v>
      </c>
      <c r="O36" s="43">
        <f t="shared" si="3"/>
        <v>-288.57049685235506</v>
      </c>
      <c r="Q36" s="42">
        <f t="shared" si="4"/>
        <v>0</v>
      </c>
      <c r="R36" s="42">
        <f t="shared" si="5"/>
        <v>0</v>
      </c>
      <c r="S36" s="42">
        <f t="shared" si="6"/>
        <v>0</v>
      </c>
      <c r="T36" s="42">
        <f t="shared" si="7"/>
        <v>1</v>
      </c>
      <c r="V36" s="30">
        <v>36</v>
      </c>
      <c r="W36" s="30">
        <v>0</v>
      </c>
      <c r="X36" s="30">
        <v>0</v>
      </c>
      <c r="Y36" s="30">
        <v>0</v>
      </c>
      <c r="Z36" s="30">
        <v>1</v>
      </c>
    </row>
    <row r="37" spans="1:26" x14ac:dyDescent="0.2">
      <c r="A37" s="30">
        <v>30</v>
      </c>
      <c r="C37" s="31">
        <v>0.98183409155186463</v>
      </c>
      <c r="D37" s="32">
        <v>15683.847016297477</v>
      </c>
      <c r="E37" s="31">
        <v>0.94088619387199213</v>
      </c>
      <c r="F37" s="32">
        <v>7542.1973592582754</v>
      </c>
      <c r="G37" s="31">
        <v>0.93396733422293865</v>
      </c>
      <c r="H37" s="32">
        <v>9038.1071334582011</v>
      </c>
      <c r="I37" s="31">
        <v>0.93396733422293876</v>
      </c>
      <c r="J37" s="32">
        <v>5713.2791121975151</v>
      </c>
      <c r="L37" s="43">
        <f t="shared" si="0"/>
        <v>-10774.676558538154</v>
      </c>
      <c r="M37" s="43">
        <f t="shared" si="1"/>
        <v>-2837.7663898983146</v>
      </c>
      <c r="N37" s="43">
        <f t="shared" si="2"/>
        <v>-4368.2704623435075</v>
      </c>
      <c r="O37" s="43">
        <f t="shared" si="3"/>
        <v>-1043.4424410828215</v>
      </c>
      <c r="Q37" s="42">
        <f t="shared" si="4"/>
        <v>0</v>
      </c>
      <c r="R37" s="42">
        <f t="shared" si="5"/>
        <v>0</v>
      </c>
      <c r="S37" s="42">
        <f t="shared" si="6"/>
        <v>0</v>
      </c>
      <c r="T37" s="42">
        <f t="shared" si="7"/>
        <v>1</v>
      </c>
      <c r="V37" s="30">
        <v>38</v>
      </c>
      <c r="W37" s="30">
        <v>0</v>
      </c>
      <c r="X37" s="30">
        <v>0</v>
      </c>
      <c r="Y37" s="30">
        <v>0</v>
      </c>
      <c r="Z37" s="30">
        <v>1</v>
      </c>
    </row>
    <row r="38" spans="1:26" x14ac:dyDescent="0.2">
      <c r="A38" s="30">
        <v>31</v>
      </c>
      <c r="C38" s="31">
        <v>0.93719971145227976</v>
      </c>
      <c r="D38" s="32">
        <v>16669.430092563627</v>
      </c>
      <c r="E38" s="31">
        <v>0.8519060544681214</v>
      </c>
      <c r="F38" s="32">
        <v>13263.95533249083</v>
      </c>
      <c r="G38" s="31">
        <v>0.95895265705063149</v>
      </c>
      <c r="H38" s="32">
        <v>9782.0734508611713</v>
      </c>
      <c r="I38" s="31">
        <v>0.8467617275998649</v>
      </c>
      <c r="J38" s="32">
        <v>7023.5595804512241</v>
      </c>
      <c r="L38" s="43">
        <f t="shared" si="0"/>
        <v>-11983.431535302228</v>
      </c>
      <c r="M38" s="43">
        <f t="shared" si="1"/>
        <v>-9004.4250601502245</v>
      </c>
      <c r="N38" s="43">
        <f t="shared" si="2"/>
        <v>-4987.3101656080134</v>
      </c>
      <c r="O38" s="43">
        <f t="shared" si="3"/>
        <v>-2789.7509424518994</v>
      </c>
      <c r="Q38" s="42">
        <f t="shared" si="4"/>
        <v>0</v>
      </c>
      <c r="R38" s="42">
        <f t="shared" si="5"/>
        <v>0</v>
      </c>
      <c r="S38" s="42">
        <f t="shared" si="6"/>
        <v>0</v>
      </c>
      <c r="T38" s="42">
        <f t="shared" si="7"/>
        <v>1</v>
      </c>
      <c r="V38" s="30">
        <v>40</v>
      </c>
      <c r="W38" s="30">
        <v>0</v>
      </c>
      <c r="X38" s="30">
        <v>0</v>
      </c>
      <c r="Y38" s="30">
        <v>0</v>
      </c>
      <c r="Z38" s="30">
        <v>1</v>
      </c>
    </row>
    <row r="39" spans="1:26" x14ac:dyDescent="0.2">
      <c r="A39" s="30">
        <v>32</v>
      </c>
      <c r="C39" s="31">
        <v>0.99556152483690274</v>
      </c>
      <c r="D39" s="32">
        <v>15845.813228539166</v>
      </c>
      <c r="E39" s="31">
        <v>0.82225255688563159</v>
      </c>
      <c r="F39" s="32">
        <v>6801.6991290714641</v>
      </c>
      <c r="G39" s="31">
        <v>0.97067543379871601</v>
      </c>
      <c r="H39" s="32">
        <v>9276.071414297794</v>
      </c>
      <c r="I39" s="31">
        <v>0.81930002638837118</v>
      </c>
      <c r="J39" s="32">
        <v>4177.2428314962726</v>
      </c>
      <c r="L39" s="43">
        <f t="shared" si="0"/>
        <v>-10868.005604354652</v>
      </c>
      <c r="M39" s="43">
        <f t="shared" si="1"/>
        <v>-2690.4363446433063</v>
      </c>
      <c r="N39" s="43">
        <f t="shared" si="2"/>
        <v>-4422.6942453042138</v>
      </c>
      <c r="O39" s="43">
        <f t="shared" si="3"/>
        <v>-80.742699554416504</v>
      </c>
      <c r="Q39" s="42">
        <f t="shared" si="4"/>
        <v>0</v>
      </c>
      <c r="R39" s="42">
        <f t="shared" si="5"/>
        <v>0</v>
      </c>
      <c r="S39" s="42">
        <f t="shared" si="6"/>
        <v>0</v>
      </c>
      <c r="T39" s="42">
        <f t="shared" si="7"/>
        <v>1</v>
      </c>
      <c r="V39" s="30">
        <v>42</v>
      </c>
      <c r="W39" s="30">
        <v>0</v>
      </c>
      <c r="X39" s="30">
        <v>0</v>
      </c>
      <c r="Y39" s="30">
        <v>0</v>
      </c>
      <c r="Z39" s="30">
        <v>1</v>
      </c>
    </row>
    <row r="40" spans="1:26" x14ac:dyDescent="0.2">
      <c r="A40" s="30">
        <v>33</v>
      </c>
      <c r="C40" s="31">
        <v>0.99834644577821308</v>
      </c>
      <c r="D40" s="32">
        <v>15158.523642181939</v>
      </c>
      <c r="E40" s="31">
        <v>0.73244695698570839</v>
      </c>
      <c r="F40" s="32">
        <v>4808.7969613466757</v>
      </c>
      <c r="G40" s="31">
        <v>0.93150860804814495</v>
      </c>
      <c r="H40" s="32">
        <v>9602.9073468412516</v>
      </c>
      <c r="I40" s="31">
        <v>0.73189388677342104</v>
      </c>
      <c r="J40" s="32">
        <v>3290.5439044942245</v>
      </c>
      <c r="L40" s="43">
        <f t="shared" si="0"/>
        <v>-10166.791413290874</v>
      </c>
      <c r="M40" s="43">
        <f t="shared" si="1"/>
        <v>-1146.5621764181337</v>
      </c>
      <c r="N40" s="43">
        <f t="shared" si="2"/>
        <v>-4945.364306600527</v>
      </c>
      <c r="O40" s="43">
        <f t="shared" si="3"/>
        <v>368.92552937288065</v>
      </c>
      <c r="Q40" s="42">
        <f t="shared" si="4"/>
        <v>0</v>
      </c>
      <c r="R40" s="42">
        <f t="shared" si="5"/>
        <v>0</v>
      </c>
      <c r="S40" s="42">
        <f t="shared" si="6"/>
        <v>0</v>
      </c>
      <c r="T40" s="42">
        <f t="shared" si="7"/>
        <v>1</v>
      </c>
      <c r="V40" s="30">
        <v>44</v>
      </c>
      <c r="W40" s="30">
        <v>0</v>
      </c>
      <c r="X40" s="30">
        <v>0</v>
      </c>
      <c r="Y40" s="30">
        <v>0</v>
      </c>
      <c r="Z40" s="30">
        <v>1</v>
      </c>
    </row>
    <row r="41" spans="1:26" x14ac:dyDescent="0.2">
      <c r="A41" s="30">
        <v>34</v>
      </c>
      <c r="C41" s="31">
        <v>0.97302880734343133</v>
      </c>
      <c r="D41" s="32">
        <v>17645.646553858987</v>
      </c>
      <c r="E41" s="31">
        <v>0.93834629664820568</v>
      </c>
      <c r="F41" s="32">
        <v>8956.7858748247909</v>
      </c>
      <c r="G41" s="31">
        <v>0.93834629664820568</v>
      </c>
      <c r="H41" s="32">
        <v>10987.411041971664</v>
      </c>
      <c r="I41" s="31">
        <v>0.93834629664820579</v>
      </c>
      <c r="J41" s="32">
        <v>7299.0343525715016</v>
      </c>
      <c r="L41" s="43">
        <f t="shared" si="0"/>
        <v>-12780.502517141831</v>
      </c>
      <c r="M41" s="43">
        <f t="shared" si="1"/>
        <v>-4265.0543915837625</v>
      </c>
      <c r="N41" s="43">
        <f t="shared" si="2"/>
        <v>-6295.6795587306351</v>
      </c>
      <c r="O41" s="43">
        <f t="shared" si="3"/>
        <v>-2607.3028693304723</v>
      </c>
      <c r="Q41" s="42">
        <f t="shared" si="4"/>
        <v>0</v>
      </c>
      <c r="R41" s="42">
        <f t="shared" si="5"/>
        <v>0</v>
      </c>
      <c r="S41" s="42">
        <f t="shared" si="6"/>
        <v>0</v>
      </c>
      <c r="T41" s="42">
        <f t="shared" si="7"/>
        <v>1</v>
      </c>
      <c r="V41" s="30">
        <v>46</v>
      </c>
      <c r="W41" s="30">
        <v>0</v>
      </c>
      <c r="X41" s="30">
        <v>0</v>
      </c>
      <c r="Y41" s="30">
        <v>0</v>
      </c>
      <c r="Z41" s="30">
        <v>1</v>
      </c>
    </row>
    <row r="42" spans="1:26" x14ac:dyDescent="0.2">
      <c r="A42" s="30">
        <v>35</v>
      </c>
      <c r="C42" s="31">
        <v>0.9395000411491149</v>
      </c>
      <c r="D42" s="32">
        <v>13536.302240127732</v>
      </c>
      <c r="E42" s="31">
        <v>0.80084331439991818</v>
      </c>
      <c r="F42" s="32">
        <v>2226.2497561411824</v>
      </c>
      <c r="G42" s="31">
        <v>0.93858063049472151</v>
      </c>
      <c r="H42" s="32">
        <v>7950.9631021237301</v>
      </c>
      <c r="I42" s="31">
        <v>0.79939530552168803</v>
      </c>
      <c r="J42" s="32">
        <v>2047.0210311780029</v>
      </c>
      <c r="L42" s="43">
        <f t="shared" si="0"/>
        <v>-8838.802034382159</v>
      </c>
      <c r="M42" s="43">
        <f t="shared" si="1"/>
        <v>1777.9668158584086</v>
      </c>
      <c r="N42" s="43">
        <f t="shared" si="2"/>
        <v>-3258.0599496501227</v>
      </c>
      <c r="O42" s="43">
        <f t="shared" si="3"/>
        <v>1949.9554964304371</v>
      </c>
      <c r="Q42" s="42">
        <f t="shared" si="4"/>
        <v>0</v>
      </c>
      <c r="R42" s="42">
        <f t="shared" si="5"/>
        <v>0</v>
      </c>
      <c r="S42" s="42">
        <f t="shared" si="6"/>
        <v>0</v>
      </c>
      <c r="T42" s="42">
        <f t="shared" si="7"/>
        <v>1</v>
      </c>
      <c r="V42" s="30">
        <v>48</v>
      </c>
      <c r="W42" s="30">
        <v>0</v>
      </c>
      <c r="X42" s="30">
        <v>0</v>
      </c>
      <c r="Y42" s="30">
        <v>0</v>
      </c>
      <c r="Z42" s="30">
        <v>1</v>
      </c>
    </row>
    <row r="43" spans="1:26" x14ac:dyDescent="0.2">
      <c r="A43" s="30">
        <v>36</v>
      </c>
      <c r="C43" s="31">
        <v>0.97882478744994184</v>
      </c>
      <c r="D43" s="32">
        <v>16546.120420125317</v>
      </c>
      <c r="E43" s="31">
        <v>0.84117213259649515</v>
      </c>
      <c r="F43" s="32">
        <v>5819.130661532884</v>
      </c>
      <c r="G43" s="31">
        <v>0.95764837055408525</v>
      </c>
      <c r="H43" s="32">
        <v>10171.634192874622</v>
      </c>
      <c r="I43" s="31">
        <v>0.8393873427377434</v>
      </c>
      <c r="J43" s="32">
        <v>4244.687552636794</v>
      </c>
      <c r="L43" s="43">
        <f t="shared" si="0"/>
        <v>-11651.996482875607</v>
      </c>
      <c r="M43" s="43">
        <f t="shared" si="1"/>
        <v>-1613.2699985504087</v>
      </c>
      <c r="N43" s="43">
        <f t="shared" si="2"/>
        <v>-5383.3923401041966</v>
      </c>
      <c r="O43" s="43">
        <f t="shared" si="3"/>
        <v>-47.750838948077217</v>
      </c>
      <c r="Q43" s="42">
        <f t="shared" si="4"/>
        <v>0</v>
      </c>
      <c r="R43" s="42">
        <f t="shared" si="5"/>
        <v>0</v>
      </c>
      <c r="S43" s="42">
        <f t="shared" si="6"/>
        <v>0</v>
      </c>
      <c r="T43" s="42">
        <f t="shared" si="7"/>
        <v>1</v>
      </c>
      <c r="V43" s="30">
        <v>50</v>
      </c>
      <c r="W43" s="30">
        <v>0</v>
      </c>
      <c r="X43" s="30">
        <v>0</v>
      </c>
      <c r="Y43" s="30">
        <v>0</v>
      </c>
      <c r="Z43" s="30">
        <v>1</v>
      </c>
    </row>
    <row r="44" spans="1:26" x14ac:dyDescent="0.2">
      <c r="A44" s="30">
        <v>37</v>
      </c>
      <c r="C44" s="31">
        <v>0.96393726972483273</v>
      </c>
      <c r="D44" s="32">
        <v>12178.920518947205</v>
      </c>
      <c r="E44" s="31">
        <v>0.77422541013776769</v>
      </c>
      <c r="F44" s="32">
        <v>3556.3443515496556</v>
      </c>
      <c r="G44" s="31">
        <v>0.89539019054330526</v>
      </c>
      <c r="H44" s="32">
        <v>7150.0658883678252</v>
      </c>
      <c r="I44" s="31">
        <v>0.77042273375302939</v>
      </c>
      <c r="J44" s="32">
        <v>2689.4910200335794</v>
      </c>
      <c r="L44" s="43">
        <f t="shared" si="0"/>
        <v>-7359.2341703230413</v>
      </c>
      <c r="M44" s="43">
        <f t="shared" si="1"/>
        <v>314.78269913918302</v>
      </c>
      <c r="N44" s="43">
        <f t="shared" si="2"/>
        <v>-2673.1149356512988</v>
      </c>
      <c r="O44" s="43">
        <f t="shared" si="3"/>
        <v>1162.6226487315676</v>
      </c>
      <c r="Q44" s="42">
        <f t="shared" si="4"/>
        <v>0</v>
      </c>
      <c r="R44" s="42">
        <f t="shared" si="5"/>
        <v>0</v>
      </c>
      <c r="S44" s="42">
        <f t="shared" si="6"/>
        <v>0</v>
      </c>
      <c r="T44" s="42">
        <f t="shared" si="7"/>
        <v>1</v>
      </c>
      <c r="V44" s="30">
        <v>52</v>
      </c>
      <c r="W44" s="30">
        <v>0</v>
      </c>
      <c r="X44" s="30">
        <v>0</v>
      </c>
      <c r="Y44" s="30">
        <v>0</v>
      </c>
      <c r="Z44" s="30">
        <v>1</v>
      </c>
    </row>
    <row r="45" spans="1:26" x14ac:dyDescent="0.2">
      <c r="A45" s="30">
        <v>38</v>
      </c>
      <c r="C45" s="31">
        <v>0.99376609196749377</v>
      </c>
      <c r="D45" s="32">
        <v>17229.65644164864</v>
      </c>
      <c r="E45" s="31">
        <v>0.88631209871731009</v>
      </c>
      <c r="F45" s="32">
        <v>8069.7938294460255</v>
      </c>
      <c r="G45" s="31">
        <v>0.97136166540655489</v>
      </c>
      <c r="H45" s="32">
        <v>10153.990958358901</v>
      </c>
      <c r="I45" s="31">
        <v>0.88252661156844259</v>
      </c>
      <c r="J45" s="32">
        <v>5624.254857857678</v>
      </c>
      <c r="L45" s="43">
        <f t="shared" si="0"/>
        <v>-12260.825981811171</v>
      </c>
      <c r="M45" s="43">
        <f t="shared" si="1"/>
        <v>-3638.2333358594751</v>
      </c>
      <c r="N45" s="43">
        <f t="shared" si="2"/>
        <v>-5297.1826313261272</v>
      </c>
      <c r="O45" s="43">
        <f t="shared" si="3"/>
        <v>-1211.6218000154649</v>
      </c>
      <c r="Q45" s="42">
        <f t="shared" si="4"/>
        <v>0</v>
      </c>
      <c r="R45" s="42">
        <f t="shared" si="5"/>
        <v>0</v>
      </c>
      <c r="S45" s="42">
        <f t="shared" si="6"/>
        <v>0</v>
      </c>
      <c r="T45" s="42">
        <f t="shared" si="7"/>
        <v>1</v>
      </c>
      <c r="V45" s="30">
        <v>54</v>
      </c>
      <c r="W45" s="30">
        <v>0</v>
      </c>
      <c r="X45" s="30">
        <v>0</v>
      </c>
      <c r="Y45" s="30">
        <v>0</v>
      </c>
      <c r="Z45" s="30">
        <v>1</v>
      </c>
    </row>
    <row r="46" spans="1:26" x14ac:dyDescent="0.2">
      <c r="A46" s="30">
        <v>39</v>
      </c>
      <c r="C46" s="31">
        <v>0.98697798736416065</v>
      </c>
      <c r="D46" s="32">
        <v>16684.05523620746</v>
      </c>
      <c r="E46" s="31">
        <v>0.94784860096625767</v>
      </c>
      <c r="F46" s="32">
        <v>9761.4185828147711</v>
      </c>
      <c r="G46" s="31">
        <v>0.96243331065228177</v>
      </c>
      <c r="H46" s="32">
        <v>11051.908873582122</v>
      </c>
      <c r="I46" s="31">
        <v>0.94148501555265152</v>
      </c>
      <c r="J46" s="32">
        <v>7724.6896613351973</v>
      </c>
      <c r="L46" s="43">
        <f t="shared" si="0"/>
        <v>-11749.165299386656</v>
      </c>
      <c r="M46" s="43">
        <f t="shared" si="1"/>
        <v>-5022.175577983483</v>
      </c>
      <c r="N46" s="43">
        <f t="shared" si="2"/>
        <v>-6239.7423203207136</v>
      </c>
      <c r="O46" s="43">
        <f t="shared" si="3"/>
        <v>-3017.2645835719395</v>
      </c>
      <c r="Q46" s="42">
        <f t="shared" si="4"/>
        <v>0</v>
      </c>
      <c r="R46" s="42">
        <f t="shared" si="5"/>
        <v>0</v>
      </c>
      <c r="S46" s="42">
        <f t="shared" si="6"/>
        <v>0</v>
      </c>
      <c r="T46" s="42">
        <f t="shared" si="7"/>
        <v>1</v>
      </c>
      <c r="V46" s="30">
        <v>56</v>
      </c>
      <c r="W46" s="30">
        <v>0</v>
      </c>
      <c r="X46" s="30">
        <v>0</v>
      </c>
      <c r="Y46" s="30">
        <v>0</v>
      </c>
      <c r="Z46" s="30">
        <v>1</v>
      </c>
    </row>
    <row r="47" spans="1:26" x14ac:dyDescent="0.2">
      <c r="A47" s="30">
        <v>40</v>
      </c>
      <c r="C47" s="31">
        <v>0.99083565427617892</v>
      </c>
      <c r="D47" s="32">
        <v>16140.487934889603</v>
      </c>
      <c r="E47" s="31">
        <v>0.80673924987930812</v>
      </c>
      <c r="F47" s="32">
        <v>3172.0583226065742</v>
      </c>
      <c r="G47" s="31">
        <v>0.94788647203017495</v>
      </c>
      <c r="H47" s="32">
        <v>9947.1924993580869</v>
      </c>
      <c r="I47" s="31">
        <v>0.80423117016296863</v>
      </c>
      <c r="J47" s="32">
        <v>3022.0274025565277</v>
      </c>
      <c r="L47" s="43">
        <f t="shared" si="0"/>
        <v>-11186.309663508709</v>
      </c>
      <c r="M47" s="43">
        <f t="shared" si="1"/>
        <v>861.63792678996651</v>
      </c>
      <c r="N47" s="43">
        <f t="shared" si="2"/>
        <v>-5207.760139207212</v>
      </c>
      <c r="O47" s="43">
        <f t="shared" si="3"/>
        <v>999.12844825831553</v>
      </c>
      <c r="Q47" s="42">
        <f t="shared" si="4"/>
        <v>0</v>
      </c>
      <c r="R47" s="42">
        <f t="shared" si="5"/>
        <v>0</v>
      </c>
      <c r="S47" s="42">
        <f t="shared" si="6"/>
        <v>0</v>
      </c>
      <c r="T47" s="42">
        <f t="shared" si="7"/>
        <v>1</v>
      </c>
      <c r="V47" s="30">
        <v>58</v>
      </c>
      <c r="W47" s="30">
        <v>0</v>
      </c>
      <c r="X47" s="30">
        <v>0</v>
      </c>
      <c r="Y47" s="30">
        <v>0</v>
      </c>
      <c r="Z47" s="30">
        <v>1</v>
      </c>
    </row>
    <row r="48" spans="1:26" x14ac:dyDescent="0.2">
      <c r="A48" s="30">
        <v>41</v>
      </c>
      <c r="C48" s="31">
        <v>0.96644972458637668</v>
      </c>
      <c r="D48" s="32">
        <v>12841.556637702055</v>
      </c>
      <c r="E48" s="31">
        <v>0.90937151980869235</v>
      </c>
      <c r="F48" s="32">
        <v>4531.9979684233094</v>
      </c>
      <c r="G48" s="31">
        <v>0.90937151980869224</v>
      </c>
      <c r="H48" s="32">
        <v>8004.3794601281834</v>
      </c>
      <c r="I48" s="31">
        <v>0.90937151980869246</v>
      </c>
      <c r="J48" s="32">
        <v>4412.8660789205433</v>
      </c>
      <c r="L48" s="43">
        <f t="shared" si="0"/>
        <v>-8009.3080147701712</v>
      </c>
      <c r="M48" s="43">
        <f t="shared" si="1"/>
        <v>14.859630620152529</v>
      </c>
      <c r="N48" s="43">
        <f t="shared" si="2"/>
        <v>-3457.5218610847223</v>
      </c>
      <c r="O48" s="43">
        <f t="shared" si="3"/>
        <v>133.9915201229187</v>
      </c>
      <c r="Q48" s="42">
        <f t="shared" si="4"/>
        <v>0</v>
      </c>
      <c r="R48" s="42">
        <f t="shared" si="5"/>
        <v>0</v>
      </c>
      <c r="S48" s="42">
        <f t="shared" si="6"/>
        <v>0</v>
      </c>
      <c r="T48" s="42">
        <f t="shared" si="7"/>
        <v>1</v>
      </c>
      <c r="V48" s="30">
        <v>60</v>
      </c>
      <c r="W48" s="30">
        <v>0</v>
      </c>
      <c r="X48" s="30">
        <v>0</v>
      </c>
      <c r="Y48" s="30">
        <v>0</v>
      </c>
      <c r="Z48" s="30">
        <v>1</v>
      </c>
    </row>
    <row r="49" spans="1:26" x14ac:dyDescent="0.2">
      <c r="A49" s="30">
        <v>42</v>
      </c>
      <c r="C49" s="31">
        <v>0.94660182038396778</v>
      </c>
      <c r="D49" s="32">
        <v>13072.017177277461</v>
      </c>
      <c r="E49" s="31">
        <v>0.83685671296692787</v>
      </c>
      <c r="F49" s="32">
        <v>4192.6443640710822</v>
      </c>
      <c r="G49" s="31">
        <v>0.86569898315740068</v>
      </c>
      <c r="H49" s="32">
        <v>7816.1441412845361</v>
      </c>
      <c r="I49" s="31">
        <v>0.83097035513861384</v>
      </c>
      <c r="J49" s="32">
        <v>3933.4257010699871</v>
      </c>
      <c r="L49" s="43">
        <f t="shared" si="0"/>
        <v>-8339.0080753576221</v>
      </c>
      <c r="M49" s="43">
        <f t="shared" si="1"/>
        <v>-8.3607992364431993</v>
      </c>
      <c r="N49" s="43">
        <f t="shared" si="2"/>
        <v>-3487.6492254975328</v>
      </c>
      <c r="O49" s="43">
        <f t="shared" si="3"/>
        <v>221.42607462308251</v>
      </c>
      <c r="Q49" s="42">
        <f t="shared" si="4"/>
        <v>0</v>
      </c>
      <c r="R49" s="42">
        <f t="shared" si="5"/>
        <v>0</v>
      </c>
      <c r="S49" s="42">
        <f t="shared" si="6"/>
        <v>0</v>
      </c>
      <c r="T49" s="42">
        <f t="shared" si="7"/>
        <v>1</v>
      </c>
      <c r="V49" s="30">
        <v>62</v>
      </c>
      <c r="W49" s="30">
        <v>0</v>
      </c>
      <c r="X49" s="30">
        <v>0</v>
      </c>
      <c r="Y49" s="30">
        <v>0</v>
      </c>
      <c r="Z49" s="30">
        <v>1</v>
      </c>
    </row>
    <row r="50" spans="1:26" x14ac:dyDescent="0.2">
      <c r="A50" s="30">
        <v>43</v>
      </c>
      <c r="C50" s="31">
        <v>0.99148538855806745</v>
      </c>
      <c r="D50" s="32">
        <v>14098.302009476281</v>
      </c>
      <c r="E50" s="31">
        <v>0.95121781619082313</v>
      </c>
      <c r="F50" s="32">
        <v>4826.1517255200852</v>
      </c>
      <c r="G50" s="31">
        <v>0.95722995919861464</v>
      </c>
      <c r="H50" s="32">
        <v>8710.8014847803261</v>
      </c>
      <c r="I50" s="31">
        <v>0.9493294070089151</v>
      </c>
      <c r="J50" s="32">
        <v>4674.5003086619517</v>
      </c>
      <c r="L50" s="43">
        <f t="shared" si="0"/>
        <v>-9140.8750666859451</v>
      </c>
      <c r="M50" s="43">
        <f t="shared" si="1"/>
        <v>-70.062644565969094</v>
      </c>
      <c r="N50" s="43">
        <f t="shared" si="2"/>
        <v>-3924.6516887872531</v>
      </c>
      <c r="O50" s="43">
        <f t="shared" si="3"/>
        <v>72.146726382623456</v>
      </c>
      <c r="Q50" s="42">
        <f t="shared" si="4"/>
        <v>0</v>
      </c>
      <c r="R50" s="42">
        <f t="shared" si="5"/>
        <v>0</v>
      </c>
      <c r="S50" s="42">
        <f t="shared" si="6"/>
        <v>0</v>
      </c>
      <c r="T50" s="42">
        <f t="shared" si="7"/>
        <v>1</v>
      </c>
      <c r="V50" s="30">
        <v>64</v>
      </c>
      <c r="W50" s="30">
        <v>0</v>
      </c>
      <c r="X50" s="30">
        <v>0</v>
      </c>
      <c r="Y50" s="30">
        <v>0</v>
      </c>
      <c r="Z50" s="30">
        <v>1</v>
      </c>
    </row>
    <row r="51" spans="1:26" x14ac:dyDescent="0.2">
      <c r="A51" s="30">
        <v>44</v>
      </c>
      <c r="C51" s="31">
        <v>0.99800048820347231</v>
      </c>
      <c r="D51" s="32">
        <v>14421.024832832538</v>
      </c>
      <c r="E51" s="31">
        <v>0.78807237186011558</v>
      </c>
      <c r="F51" s="32">
        <v>2206.68348078905</v>
      </c>
      <c r="G51" s="31">
        <v>0.97815085214348518</v>
      </c>
      <c r="H51" s="32">
        <v>8937.1300141832253</v>
      </c>
      <c r="I51" s="31">
        <v>0.78759662186925294</v>
      </c>
      <c r="J51" s="32">
        <v>2070.5332660364829</v>
      </c>
      <c r="L51" s="43">
        <f t="shared" si="0"/>
        <v>-9431.0223918151751</v>
      </c>
      <c r="M51" s="43">
        <f t="shared" si="1"/>
        <v>1733.6783785115281</v>
      </c>
      <c r="N51" s="43">
        <f t="shared" si="2"/>
        <v>-4046.3757534657998</v>
      </c>
      <c r="O51" s="43">
        <f t="shared" si="3"/>
        <v>1867.449843309782</v>
      </c>
      <c r="Q51" s="42">
        <f t="shared" si="4"/>
        <v>0</v>
      </c>
      <c r="R51" s="42">
        <f t="shared" si="5"/>
        <v>0</v>
      </c>
      <c r="S51" s="42">
        <f t="shared" si="6"/>
        <v>0</v>
      </c>
      <c r="T51" s="42">
        <f t="shared" si="7"/>
        <v>1</v>
      </c>
      <c r="V51" s="30">
        <v>66</v>
      </c>
      <c r="W51" s="30">
        <v>0</v>
      </c>
      <c r="X51" s="30">
        <v>0</v>
      </c>
      <c r="Y51" s="30">
        <v>0</v>
      </c>
      <c r="Z51" s="30">
        <v>1</v>
      </c>
    </row>
    <row r="52" spans="1:26" x14ac:dyDescent="0.2">
      <c r="A52" s="30">
        <v>45</v>
      </c>
      <c r="C52" s="31">
        <v>0.99693793516799423</v>
      </c>
      <c r="D52" s="32">
        <v>16939.2757786394</v>
      </c>
      <c r="E52" s="31">
        <v>0.95311922932632009</v>
      </c>
      <c r="F52" s="32">
        <v>5634.8552461863819</v>
      </c>
      <c r="G52" s="31">
        <v>0.94357774874342981</v>
      </c>
      <c r="H52" s="32">
        <v>9645.1192773815746</v>
      </c>
      <c r="I52" s="31">
        <v>0.94357774874342981</v>
      </c>
      <c r="J52" s="32">
        <v>5292.902481311633</v>
      </c>
      <c r="L52" s="43">
        <f t="shared" si="0"/>
        <v>-11954.586102799429</v>
      </c>
      <c r="M52" s="43">
        <f t="shared" si="1"/>
        <v>-869.25909955478164</v>
      </c>
      <c r="N52" s="43">
        <f t="shared" si="2"/>
        <v>-4927.2305336644258</v>
      </c>
      <c r="O52" s="43">
        <f t="shared" si="3"/>
        <v>-575.01373759448416</v>
      </c>
      <c r="Q52" s="42">
        <f t="shared" si="4"/>
        <v>0</v>
      </c>
      <c r="R52" s="42">
        <f t="shared" si="5"/>
        <v>0</v>
      </c>
      <c r="S52" s="42">
        <f t="shared" si="6"/>
        <v>0</v>
      </c>
      <c r="T52" s="42">
        <f t="shared" si="7"/>
        <v>1</v>
      </c>
      <c r="V52" s="30">
        <v>68</v>
      </c>
      <c r="W52" s="30">
        <v>0</v>
      </c>
      <c r="X52" s="30">
        <v>0</v>
      </c>
      <c r="Y52" s="30">
        <v>0</v>
      </c>
      <c r="Z52" s="30">
        <v>1</v>
      </c>
    </row>
    <row r="53" spans="1:26" x14ac:dyDescent="0.2">
      <c r="A53" s="30">
        <v>46</v>
      </c>
      <c r="C53" s="31">
        <v>0.96608041179680504</v>
      </c>
      <c r="D53" s="32">
        <v>16940.010741276554</v>
      </c>
      <c r="E53" s="31">
        <v>0.89906906676972576</v>
      </c>
      <c r="F53" s="32">
        <v>4528.1132946845291</v>
      </c>
      <c r="G53" s="31">
        <v>0.96636288025372141</v>
      </c>
      <c r="H53" s="32">
        <v>10229.992013181383</v>
      </c>
      <c r="I53" s="31">
        <v>0.89498905177458554</v>
      </c>
      <c r="J53" s="32">
        <v>4312.9871748205051</v>
      </c>
      <c r="L53" s="43">
        <f t="shared" si="0"/>
        <v>-12109.608682292528</v>
      </c>
      <c r="M53" s="43">
        <f t="shared" si="1"/>
        <v>-32.76796083590034</v>
      </c>
      <c r="N53" s="43">
        <f t="shared" si="2"/>
        <v>-5398.1776119127762</v>
      </c>
      <c r="O53" s="43">
        <f t="shared" si="3"/>
        <v>161.95808405242224</v>
      </c>
      <c r="Q53" s="42">
        <f t="shared" si="4"/>
        <v>0</v>
      </c>
      <c r="R53" s="42">
        <f t="shared" si="5"/>
        <v>0</v>
      </c>
      <c r="S53" s="42">
        <f t="shared" si="6"/>
        <v>0</v>
      </c>
      <c r="T53" s="42">
        <f t="shared" si="7"/>
        <v>1</v>
      </c>
      <c r="V53" s="30">
        <v>70</v>
      </c>
      <c r="W53" s="30">
        <v>0</v>
      </c>
      <c r="X53" s="30">
        <v>0</v>
      </c>
      <c r="Y53" s="30">
        <v>0</v>
      </c>
      <c r="Z53" s="30">
        <v>1</v>
      </c>
    </row>
    <row r="54" spans="1:26" x14ac:dyDescent="0.2">
      <c r="A54" s="30">
        <v>47</v>
      </c>
      <c r="C54" s="31">
        <v>0.99706218570459615</v>
      </c>
      <c r="D54" s="32">
        <v>18277.728012039028</v>
      </c>
      <c r="E54" s="31">
        <v>0.8845615897559207</v>
      </c>
      <c r="F54" s="32">
        <v>4221.0981415103197</v>
      </c>
      <c r="G54" s="31">
        <v>0.96013245022739491</v>
      </c>
      <c r="H54" s="32">
        <v>10504.835246832461</v>
      </c>
      <c r="I54" s="31">
        <v>0.8845615897559207</v>
      </c>
      <c r="J54" s="32">
        <v>4105.0852744322219</v>
      </c>
      <c r="L54" s="43">
        <f t="shared" si="0"/>
        <v>-13292.417083516048</v>
      </c>
      <c r="M54" s="43">
        <f t="shared" si="1"/>
        <v>201.70980726928337</v>
      </c>
      <c r="N54" s="43">
        <f t="shared" si="2"/>
        <v>-5704.1729956954869</v>
      </c>
      <c r="O54" s="43">
        <f t="shared" si="3"/>
        <v>317.72267434738114</v>
      </c>
      <c r="Q54" s="42">
        <f t="shared" si="4"/>
        <v>0</v>
      </c>
      <c r="R54" s="42">
        <f t="shared" si="5"/>
        <v>0</v>
      </c>
      <c r="S54" s="42">
        <f t="shared" si="6"/>
        <v>0</v>
      </c>
      <c r="T54" s="42">
        <f t="shared" si="7"/>
        <v>1</v>
      </c>
      <c r="V54" s="30">
        <v>72</v>
      </c>
      <c r="W54" s="30">
        <v>0</v>
      </c>
      <c r="X54" s="30">
        <v>0</v>
      </c>
      <c r="Y54" s="30">
        <v>0</v>
      </c>
      <c r="Z54" s="30">
        <v>1</v>
      </c>
    </row>
    <row r="55" spans="1:26" x14ac:dyDescent="0.2">
      <c r="A55" s="30">
        <v>48</v>
      </c>
      <c r="C55" s="31">
        <v>0.98320700654759885</v>
      </c>
      <c r="D55" s="32">
        <v>16164.402786022933</v>
      </c>
      <c r="E55" s="31">
        <v>0.8447358091090561</v>
      </c>
      <c r="F55" s="32">
        <v>4076.2404888834894</v>
      </c>
      <c r="G55" s="31">
        <v>0.93265253996113739</v>
      </c>
      <c r="H55" s="32">
        <v>9698.5791025199451</v>
      </c>
      <c r="I55" s="31">
        <v>0.84473580910905621</v>
      </c>
      <c r="J55" s="32">
        <v>3953.4180429432822</v>
      </c>
      <c r="L55" s="43">
        <f t="shared" si="0"/>
        <v>-11248.367753284938</v>
      </c>
      <c r="M55" s="43">
        <f t="shared" si="1"/>
        <v>147.4385566617907</v>
      </c>
      <c r="N55" s="43">
        <f t="shared" si="2"/>
        <v>-5035.3164027142584</v>
      </c>
      <c r="O55" s="43">
        <f t="shared" si="3"/>
        <v>270.26100260199883</v>
      </c>
      <c r="Q55" s="42">
        <f t="shared" si="4"/>
        <v>0</v>
      </c>
      <c r="R55" s="42">
        <f t="shared" si="5"/>
        <v>0</v>
      </c>
      <c r="S55" s="42">
        <f t="shared" si="6"/>
        <v>0</v>
      </c>
      <c r="T55" s="42">
        <f t="shared" si="7"/>
        <v>1</v>
      </c>
      <c r="V55" s="30">
        <v>74</v>
      </c>
      <c r="W55" s="30">
        <v>0</v>
      </c>
      <c r="X55" s="30">
        <v>0</v>
      </c>
      <c r="Y55" s="30">
        <v>0</v>
      </c>
      <c r="Z55" s="30">
        <v>1</v>
      </c>
    </row>
    <row r="56" spans="1:26" x14ac:dyDescent="0.2">
      <c r="A56" s="30">
        <v>49</v>
      </c>
      <c r="C56" s="31">
        <v>0.99617089428223549</v>
      </c>
      <c r="D56" s="32">
        <v>12270.482225127771</v>
      </c>
      <c r="E56" s="31">
        <v>0.93283826250008062</v>
      </c>
      <c r="F56" s="32">
        <v>4153.7729659899578</v>
      </c>
      <c r="G56" s="31">
        <v>0.94385896701641347</v>
      </c>
      <c r="H56" s="32">
        <v>7435.4876144724512</v>
      </c>
      <c r="I56" s="31">
        <v>0.93104821851994091</v>
      </c>
      <c r="J56" s="32">
        <v>3971.2957241130684</v>
      </c>
      <c r="L56" s="43">
        <f t="shared" si="0"/>
        <v>-7289.6277537165934</v>
      </c>
      <c r="M56" s="43">
        <f t="shared" si="1"/>
        <v>510.41834651044519</v>
      </c>
      <c r="N56" s="43">
        <f t="shared" si="2"/>
        <v>-2716.1927793903842</v>
      </c>
      <c r="O56" s="43">
        <f t="shared" si="3"/>
        <v>683.9453684866362</v>
      </c>
      <c r="Q56" s="42">
        <f t="shared" si="4"/>
        <v>0</v>
      </c>
      <c r="R56" s="42">
        <f t="shared" si="5"/>
        <v>0</v>
      </c>
      <c r="S56" s="42">
        <f t="shared" si="6"/>
        <v>0</v>
      </c>
      <c r="T56" s="42">
        <f t="shared" si="7"/>
        <v>1</v>
      </c>
      <c r="V56" s="30">
        <v>76</v>
      </c>
      <c r="W56" s="30">
        <v>0</v>
      </c>
      <c r="X56" s="30">
        <v>0</v>
      </c>
      <c r="Y56" s="30">
        <v>0</v>
      </c>
      <c r="Z56" s="30">
        <v>1</v>
      </c>
    </row>
    <row r="57" spans="1:26" x14ac:dyDescent="0.2">
      <c r="A57" s="30">
        <v>50</v>
      </c>
      <c r="C57" s="31">
        <v>0.95403665696575035</v>
      </c>
      <c r="D57" s="32">
        <v>17591.17210446591</v>
      </c>
      <c r="E57" s="31">
        <v>0.87123180639240083</v>
      </c>
      <c r="F57" s="32">
        <v>5149.8165833060966</v>
      </c>
      <c r="G57" s="31">
        <v>0.94555634945091405</v>
      </c>
      <c r="H57" s="32">
        <v>10966.964542668089</v>
      </c>
      <c r="I57" s="31">
        <v>0.87123180639240094</v>
      </c>
      <c r="J57" s="32">
        <v>5024.7626069924254</v>
      </c>
      <c r="L57" s="43">
        <f t="shared" si="0"/>
        <v>-12820.988819637158</v>
      </c>
      <c r="M57" s="43">
        <f t="shared" si="1"/>
        <v>-793.6575513440921</v>
      </c>
      <c r="N57" s="43">
        <f t="shared" si="2"/>
        <v>-6239.1827954135188</v>
      </c>
      <c r="O57" s="43">
        <f t="shared" si="3"/>
        <v>-668.60357503042087</v>
      </c>
      <c r="Q57" s="42">
        <f t="shared" si="4"/>
        <v>0</v>
      </c>
      <c r="R57" s="42">
        <f t="shared" si="5"/>
        <v>0</v>
      </c>
      <c r="S57" s="42">
        <f t="shared" si="6"/>
        <v>0</v>
      </c>
      <c r="T57" s="42">
        <f t="shared" si="7"/>
        <v>1</v>
      </c>
      <c r="V57" s="30">
        <v>78</v>
      </c>
      <c r="W57" s="30">
        <v>0</v>
      </c>
      <c r="X57" s="30">
        <v>0</v>
      </c>
      <c r="Y57" s="30">
        <v>0</v>
      </c>
      <c r="Z57" s="30">
        <v>1</v>
      </c>
    </row>
    <row r="58" spans="1:26" x14ac:dyDescent="0.2">
      <c r="A58" s="30">
        <v>51</v>
      </c>
      <c r="C58" s="31">
        <v>0.98014624973464537</v>
      </c>
      <c r="D58" s="32">
        <v>17474.856855916223</v>
      </c>
      <c r="E58" s="31">
        <v>0.97976006345010447</v>
      </c>
      <c r="F58" s="32">
        <v>9085.4366541961881</v>
      </c>
      <c r="G58" s="31">
        <v>0.96906761995534263</v>
      </c>
      <c r="H58" s="32">
        <v>10140.766746071584</v>
      </c>
      <c r="I58" s="31">
        <v>0.96906761995534274</v>
      </c>
      <c r="J58" s="32">
        <v>6923.1747630376231</v>
      </c>
      <c r="L58" s="43">
        <f t="shared" si="0"/>
        <v>-12574.125607242997</v>
      </c>
      <c r="M58" s="43">
        <f t="shared" si="1"/>
        <v>-4186.6363369456658</v>
      </c>
      <c r="N58" s="43">
        <f t="shared" si="2"/>
        <v>-5295.4286462948703</v>
      </c>
      <c r="O58" s="43">
        <f t="shared" si="3"/>
        <v>-2077.8366632609095</v>
      </c>
      <c r="Q58" s="42">
        <f t="shared" si="4"/>
        <v>0</v>
      </c>
      <c r="R58" s="42">
        <f t="shared" si="5"/>
        <v>0</v>
      </c>
      <c r="S58" s="42">
        <f t="shared" si="6"/>
        <v>0</v>
      </c>
      <c r="T58" s="42">
        <f t="shared" si="7"/>
        <v>1</v>
      </c>
      <c r="V58" s="30">
        <v>80</v>
      </c>
      <c r="W58" s="30">
        <v>0</v>
      </c>
      <c r="X58" s="30">
        <v>0</v>
      </c>
      <c r="Y58" s="30">
        <v>0</v>
      </c>
      <c r="Z58" s="30">
        <v>1</v>
      </c>
    </row>
    <row r="59" spans="1:26" x14ac:dyDescent="0.2">
      <c r="A59" s="30">
        <v>52</v>
      </c>
      <c r="C59" s="31">
        <v>0.95656005145427192</v>
      </c>
      <c r="D59" s="32">
        <v>15659.906127416873</v>
      </c>
      <c r="E59" s="31">
        <v>0.93901858764168533</v>
      </c>
      <c r="F59" s="32">
        <v>5463.6111136014224</v>
      </c>
      <c r="G59" s="31">
        <v>0.93284625154038714</v>
      </c>
      <c r="H59" s="32">
        <v>9294.9709122100121</v>
      </c>
      <c r="I59" s="31">
        <v>0.93284625154038714</v>
      </c>
      <c r="J59" s="32">
        <v>5082.5254149921993</v>
      </c>
      <c r="L59" s="43">
        <f t="shared" si="0"/>
        <v>-10877.105870145513</v>
      </c>
      <c r="M59" s="43">
        <f t="shared" si="1"/>
        <v>-768.51817539299554</v>
      </c>
      <c r="N59" s="43">
        <f t="shared" si="2"/>
        <v>-4630.7396545080765</v>
      </c>
      <c r="O59" s="43">
        <f t="shared" si="3"/>
        <v>-418.29415729026368</v>
      </c>
      <c r="Q59" s="42">
        <f t="shared" si="4"/>
        <v>0</v>
      </c>
      <c r="R59" s="42">
        <f t="shared" si="5"/>
        <v>0</v>
      </c>
      <c r="S59" s="42">
        <f t="shared" si="6"/>
        <v>0</v>
      </c>
      <c r="T59" s="42">
        <f t="shared" si="7"/>
        <v>1</v>
      </c>
      <c r="V59" s="30">
        <v>82</v>
      </c>
      <c r="W59" s="30">
        <v>0</v>
      </c>
      <c r="X59" s="30">
        <v>0</v>
      </c>
      <c r="Y59" s="30">
        <v>0</v>
      </c>
      <c r="Z59" s="30">
        <v>1</v>
      </c>
    </row>
    <row r="60" spans="1:26" x14ac:dyDescent="0.2">
      <c r="A60" s="30">
        <v>53</v>
      </c>
      <c r="C60" s="31">
        <v>0.99986812220986099</v>
      </c>
      <c r="D60" s="32">
        <v>13987.453480012722</v>
      </c>
      <c r="E60" s="31">
        <v>0.72120546509054284</v>
      </c>
      <c r="F60" s="32">
        <v>7168.8076195836175</v>
      </c>
      <c r="G60" s="31">
        <v>0.92053635705997605</v>
      </c>
      <c r="H60" s="32">
        <v>8307.5790385959881</v>
      </c>
      <c r="I60" s="31">
        <v>0.72064517365911696</v>
      </c>
      <c r="J60" s="32">
        <v>3825.0894256029801</v>
      </c>
      <c r="L60" s="43">
        <f t="shared" si="0"/>
        <v>-8988.112868963417</v>
      </c>
      <c r="M60" s="43">
        <f t="shared" si="1"/>
        <v>-3562.7802941309033</v>
      </c>
      <c r="N60" s="43">
        <f t="shared" si="2"/>
        <v>-3704.8972532961079</v>
      </c>
      <c r="O60" s="43">
        <f t="shared" si="3"/>
        <v>-221.86355730739524</v>
      </c>
      <c r="Q60" s="42">
        <f t="shared" si="4"/>
        <v>0</v>
      </c>
      <c r="R60" s="42">
        <f t="shared" si="5"/>
        <v>0</v>
      </c>
      <c r="S60" s="42">
        <f t="shared" si="6"/>
        <v>0</v>
      </c>
      <c r="T60" s="42">
        <f t="shared" si="7"/>
        <v>1</v>
      </c>
      <c r="V60" s="30">
        <v>84</v>
      </c>
      <c r="W60" s="30">
        <v>0</v>
      </c>
      <c r="X60" s="30">
        <v>0</v>
      </c>
      <c r="Y60" s="30">
        <v>0</v>
      </c>
      <c r="Z60" s="30">
        <v>1</v>
      </c>
    </row>
    <row r="61" spans="1:26" x14ac:dyDescent="0.2">
      <c r="A61" s="30">
        <v>54</v>
      </c>
      <c r="C61" s="31">
        <v>0.98283961654277052</v>
      </c>
      <c r="D61" s="32">
        <v>12364.64189375507</v>
      </c>
      <c r="E61" s="31">
        <v>0.95637247874349463</v>
      </c>
      <c r="F61" s="32">
        <v>4420.7710106546519</v>
      </c>
      <c r="G61" s="31">
        <v>0.9557400851847907</v>
      </c>
      <c r="H61" s="32">
        <v>8093.3062177043021</v>
      </c>
      <c r="I61" s="31">
        <v>0.9550347590053524</v>
      </c>
      <c r="J61" s="32">
        <v>4261.270055769216</v>
      </c>
      <c r="L61" s="43">
        <f t="shared" si="0"/>
        <v>-7450.4438110412175</v>
      </c>
      <c r="M61" s="43">
        <f t="shared" si="1"/>
        <v>361.09138306282148</v>
      </c>
      <c r="N61" s="43">
        <f t="shared" si="2"/>
        <v>-3314.6057917803482</v>
      </c>
      <c r="O61" s="43">
        <f t="shared" si="3"/>
        <v>513.90373925754557</v>
      </c>
      <c r="Q61" s="42">
        <f t="shared" si="4"/>
        <v>0</v>
      </c>
      <c r="R61" s="42">
        <f t="shared" si="5"/>
        <v>0</v>
      </c>
      <c r="S61" s="42">
        <f t="shared" si="6"/>
        <v>0</v>
      </c>
      <c r="T61" s="42">
        <f t="shared" si="7"/>
        <v>1</v>
      </c>
      <c r="V61" s="30">
        <v>86</v>
      </c>
      <c r="W61" s="30">
        <v>0</v>
      </c>
      <c r="X61" s="30">
        <v>0</v>
      </c>
      <c r="Y61" s="30">
        <v>0</v>
      </c>
      <c r="Z61" s="30">
        <v>1</v>
      </c>
    </row>
    <row r="62" spans="1:26" x14ac:dyDescent="0.2">
      <c r="A62" s="30">
        <v>55</v>
      </c>
      <c r="C62" s="31">
        <v>0.95915296344906131</v>
      </c>
      <c r="D62" s="32">
        <v>15198.239615629645</v>
      </c>
      <c r="E62" s="31">
        <v>0.92221836097503207</v>
      </c>
      <c r="F62" s="32">
        <v>5080.8236189080917</v>
      </c>
      <c r="G62" s="31">
        <v>0.94985562585409988</v>
      </c>
      <c r="H62" s="32">
        <v>8940.3615064808691</v>
      </c>
      <c r="I62" s="31">
        <v>0.91190729883771438</v>
      </c>
      <c r="J62" s="32">
        <v>4473.021484107323</v>
      </c>
      <c r="L62" s="43">
        <f t="shared" si="0"/>
        <v>-10402.474798384339</v>
      </c>
      <c r="M62" s="43">
        <f t="shared" si="1"/>
        <v>-469.73181403293165</v>
      </c>
      <c r="N62" s="43">
        <f t="shared" si="2"/>
        <v>-4191.0833772103697</v>
      </c>
      <c r="O62" s="43">
        <f t="shared" si="3"/>
        <v>86.515010081248874</v>
      </c>
      <c r="Q62" s="42">
        <f t="shared" si="4"/>
        <v>0</v>
      </c>
      <c r="R62" s="42">
        <f t="shared" si="5"/>
        <v>0</v>
      </c>
      <c r="S62" s="42">
        <f t="shared" si="6"/>
        <v>0</v>
      </c>
      <c r="T62" s="42">
        <f t="shared" si="7"/>
        <v>1</v>
      </c>
      <c r="V62" s="30">
        <v>88</v>
      </c>
      <c r="W62" s="30">
        <v>0</v>
      </c>
      <c r="X62" s="30">
        <v>0</v>
      </c>
      <c r="Y62" s="30">
        <v>0</v>
      </c>
      <c r="Z62" s="30">
        <v>1</v>
      </c>
    </row>
    <row r="63" spans="1:26" x14ac:dyDescent="0.2">
      <c r="A63" s="30">
        <v>56</v>
      </c>
      <c r="C63" s="31">
        <v>0.99869157578825951</v>
      </c>
      <c r="D63" s="32">
        <v>17273.356836433944</v>
      </c>
      <c r="E63" s="31">
        <v>0.75938813245380898</v>
      </c>
      <c r="F63" s="32">
        <v>3329.6614540905784</v>
      </c>
      <c r="G63" s="31">
        <v>0.96617652621389516</v>
      </c>
      <c r="H63" s="32">
        <v>10699.354542303327</v>
      </c>
      <c r="I63" s="31">
        <v>0.7565164428636747</v>
      </c>
      <c r="J63" s="32">
        <v>3037.1994759019226</v>
      </c>
      <c r="L63" s="43">
        <f t="shared" si="0"/>
        <v>-12279.898957492647</v>
      </c>
      <c r="M63" s="43">
        <f t="shared" si="1"/>
        <v>467.27920817846643</v>
      </c>
      <c r="N63" s="43">
        <f t="shared" si="2"/>
        <v>-5868.4719112338507</v>
      </c>
      <c r="O63" s="43">
        <f t="shared" si="3"/>
        <v>745.38273841645105</v>
      </c>
      <c r="Q63" s="42">
        <f t="shared" si="4"/>
        <v>0</v>
      </c>
      <c r="R63" s="42">
        <f t="shared" si="5"/>
        <v>0</v>
      </c>
      <c r="S63" s="42">
        <f t="shared" si="6"/>
        <v>0</v>
      </c>
      <c r="T63" s="42">
        <f t="shared" si="7"/>
        <v>1</v>
      </c>
      <c r="V63" s="30">
        <v>90</v>
      </c>
      <c r="W63" s="30">
        <v>0</v>
      </c>
      <c r="X63" s="30">
        <v>0</v>
      </c>
      <c r="Y63" s="30">
        <v>0</v>
      </c>
      <c r="Z63" s="30">
        <v>1</v>
      </c>
    </row>
    <row r="64" spans="1:26" x14ac:dyDescent="0.2">
      <c r="A64" s="30">
        <v>57</v>
      </c>
      <c r="C64" s="31">
        <v>0.95912805015565095</v>
      </c>
      <c r="D64" s="32">
        <v>15539.775553073348</v>
      </c>
      <c r="E64" s="31">
        <v>0.88781224159501249</v>
      </c>
      <c r="F64" s="32">
        <v>5094.1322497350729</v>
      </c>
      <c r="G64" s="31">
        <v>0.92448158347589438</v>
      </c>
      <c r="H64" s="32">
        <v>9524.0392055364155</v>
      </c>
      <c r="I64" s="31">
        <v>0.88289871970094014</v>
      </c>
      <c r="J64" s="32">
        <v>4885.3143432184406</v>
      </c>
      <c r="L64" s="43">
        <f t="shared" si="0"/>
        <v>-10744.135302295093</v>
      </c>
      <c r="M64" s="43">
        <f t="shared" si="1"/>
        <v>-655.0710417600103</v>
      </c>
      <c r="N64" s="43">
        <f t="shared" si="2"/>
        <v>-4901.6312881569438</v>
      </c>
      <c r="O64" s="43">
        <f t="shared" si="3"/>
        <v>-470.82074471374017</v>
      </c>
      <c r="Q64" s="42">
        <f t="shared" si="4"/>
        <v>0</v>
      </c>
      <c r="R64" s="42">
        <f t="shared" si="5"/>
        <v>0</v>
      </c>
      <c r="S64" s="42">
        <f t="shared" si="6"/>
        <v>0</v>
      </c>
      <c r="T64" s="42">
        <f t="shared" si="7"/>
        <v>1</v>
      </c>
      <c r="V64" s="30">
        <v>92</v>
      </c>
      <c r="W64" s="30">
        <v>0</v>
      </c>
      <c r="X64" s="30">
        <v>0</v>
      </c>
      <c r="Y64" s="30">
        <v>0</v>
      </c>
      <c r="Z64" s="30">
        <v>1</v>
      </c>
    </row>
    <row r="65" spans="1:26" x14ac:dyDescent="0.2">
      <c r="A65" s="30">
        <v>58</v>
      </c>
      <c r="C65" s="31">
        <v>0.98057212381070757</v>
      </c>
      <c r="D65" s="32">
        <v>17396.359348306476</v>
      </c>
      <c r="E65" s="31">
        <v>0.90979860390760714</v>
      </c>
      <c r="F65" s="32">
        <v>6042.0749097860626</v>
      </c>
      <c r="G65" s="31">
        <v>0.90129871576952425</v>
      </c>
      <c r="H65" s="32">
        <v>10585.410003742129</v>
      </c>
      <c r="I65" s="31">
        <v>0.90129871576952425</v>
      </c>
      <c r="J65" s="32">
        <v>5732.4440650458519</v>
      </c>
      <c r="L65" s="43">
        <f t="shared" si="0"/>
        <v>-12493.498729252939</v>
      </c>
      <c r="M65" s="43">
        <f t="shared" si="1"/>
        <v>-1493.0818902480269</v>
      </c>
      <c r="N65" s="43">
        <f t="shared" si="2"/>
        <v>-6078.9164248945071</v>
      </c>
      <c r="O65" s="43">
        <f t="shared" si="3"/>
        <v>-1225.9504861982305</v>
      </c>
      <c r="Q65" s="42">
        <f t="shared" si="4"/>
        <v>0</v>
      </c>
      <c r="R65" s="42">
        <f t="shared" si="5"/>
        <v>0</v>
      </c>
      <c r="S65" s="42">
        <f t="shared" si="6"/>
        <v>0</v>
      </c>
      <c r="T65" s="42">
        <f t="shared" si="7"/>
        <v>1</v>
      </c>
      <c r="V65" s="30">
        <v>94</v>
      </c>
      <c r="W65" s="30">
        <v>0</v>
      </c>
      <c r="X65" s="30">
        <v>0</v>
      </c>
      <c r="Y65" s="30">
        <v>0</v>
      </c>
      <c r="Z65" s="30">
        <v>1</v>
      </c>
    </row>
    <row r="66" spans="1:26" x14ac:dyDescent="0.2">
      <c r="A66" s="30">
        <v>59</v>
      </c>
      <c r="C66" s="31">
        <v>0.99239483454189648</v>
      </c>
      <c r="D66" s="32">
        <v>13075.053447082981</v>
      </c>
      <c r="E66" s="31">
        <v>0.96016495688684422</v>
      </c>
      <c r="F66" s="32">
        <v>4851.1788369875076</v>
      </c>
      <c r="G66" s="31">
        <v>0.94885673461516795</v>
      </c>
      <c r="H66" s="32">
        <v>7973.5568021239878</v>
      </c>
      <c r="I66" s="31">
        <v>0.94885673461516795</v>
      </c>
      <c r="J66" s="32">
        <v>4555.0961415147822</v>
      </c>
      <c r="L66" s="43">
        <f t="shared" si="0"/>
        <v>-8113.0792743734983</v>
      </c>
      <c r="M66" s="43">
        <f t="shared" si="1"/>
        <v>-50.354052553286238</v>
      </c>
      <c r="N66" s="43">
        <f t="shared" si="2"/>
        <v>-3229.2731290481479</v>
      </c>
      <c r="O66" s="43">
        <f t="shared" si="3"/>
        <v>189.18753156105777</v>
      </c>
      <c r="Q66" s="42">
        <f t="shared" si="4"/>
        <v>0</v>
      </c>
      <c r="R66" s="42">
        <f t="shared" si="5"/>
        <v>0</v>
      </c>
      <c r="S66" s="42">
        <f t="shared" si="6"/>
        <v>0</v>
      </c>
      <c r="T66" s="42">
        <f t="shared" si="7"/>
        <v>1</v>
      </c>
      <c r="V66" s="30">
        <v>96</v>
      </c>
      <c r="W66" s="30">
        <v>0</v>
      </c>
      <c r="X66" s="30">
        <v>0</v>
      </c>
      <c r="Y66" s="30">
        <v>0</v>
      </c>
      <c r="Z66" s="30">
        <v>1</v>
      </c>
    </row>
    <row r="67" spans="1:26" x14ac:dyDescent="0.2">
      <c r="A67" s="30">
        <v>60</v>
      </c>
      <c r="C67" s="31">
        <v>0.99866219520080179</v>
      </c>
      <c r="D67" s="32">
        <v>16470.009983082145</v>
      </c>
      <c r="E67" s="31">
        <v>0.95127899066876409</v>
      </c>
      <c r="F67" s="32">
        <v>6120.5505386251834</v>
      </c>
      <c r="G67" s="31">
        <v>0.94757668466008327</v>
      </c>
      <c r="H67" s="32">
        <v>9941.4284531943522</v>
      </c>
      <c r="I67" s="31">
        <v>0.94757668466008327</v>
      </c>
      <c r="J67" s="32">
        <v>5919.9291486108614</v>
      </c>
      <c r="L67" s="43">
        <f t="shared" si="0"/>
        <v>-11476.699007078136</v>
      </c>
      <c r="M67" s="43">
        <f t="shared" si="1"/>
        <v>-1364.1555852813626</v>
      </c>
      <c r="N67" s="43">
        <f t="shared" si="2"/>
        <v>-5203.5450298939359</v>
      </c>
      <c r="O67" s="43">
        <f t="shared" si="3"/>
        <v>-1182.0457253104451</v>
      </c>
      <c r="Q67" s="42">
        <f t="shared" si="4"/>
        <v>0</v>
      </c>
      <c r="R67" s="42">
        <f t="shared" si="5"/>
        <v>0</v>
      </c>
      <c r="S67" s="42">
        <f t="shared" si="6"/>
        <v>0</v>
      </c>
      <c r="T67" s="42">
        <f t="shared" si="7"/>
        <v>1</v>
      </c>
      <c r="V67" s="30">
        <v>98</v>
      </c>
      <c r="W67" s="30">
        <v>0</v>
      </c>
      <c r="X67" s="30">
        <v>0</v>
      </c>
      <c r="Y67" s="30">
        <v>0</v>
      </c>
      <c r="Z67" s="30">
        <v>1</v>
      </c>
    </row>
    <row r="68" spans="1:26" x14ac:dyDescent="0.2">
      <c r="A68" s="30">
        <v>61</v>
      </c>
      <c r="C68" s="31">
        <v>0.9931741528103345</v>
      </c>
      <c r="D68" s="32">
        <v>15448.066046888343</v>
      </c>
      <c r="E68" s="31">
        <v>0.93694733949170883</v>
      </c>
      <c r="F68" s="32">
        <v>5126.726366134003</v>
      </c>
      <c r="G68" s="31">
        <v>0.93680254046183531</v>
      </c>
      <c r="H68" s="32">
        <v>9063.1082508536547</v>
      </c>
      <c r="I68" s="31">
        <v>0.93680254046183531</v>
      </c>
      <c r="J68" s="32">
        <v>4971.530717817559</v>
      </c>
      <c r="L68" s="43">
        <f t="shared" si="0"/>
        <v>-10482.19528283667</v>
      </c>
      <c r="M68" s="43">
        <f t="shared" si="1"/>
        <v>-441.98966867545914</v>
      </c>
      <c r="N68" s="43">
        <f t="shared" si="2"/>
        <v>-4379.0955485444783</v>
      </c>
      <c r="O68" s="43">
        <f t="shared" si="3"/>
        <v>-287.51801550838263</v>
      </c>
      <c r="Q68" s="42">
        <f t="shared" si="4"/>
        <v>0</v>
      </c>
      <c r="R68" s="42">
        <f t="shared" si="5"/>
        <v>0</v>
      </c>
      <c r="S68" s="42">
        <f t="shared" si="6"/>
        <v>0</v>
      </c>
      <c r="T68" s="42">
        <f t="shared" si="7"/>
        <v>1</v>
      </c>
      <c r="V68" s="30">
        <v>100</v>
      </c>
      <c r="W68" s="30">
        <v>0</v>
      </c>
      <c r="X68" s="30">
        <v>0</v>
      </c>
      <c r="Y68" s="30">
        <v>0</v>
      </c>
      <c r="Z68" s="30">
        <v>1</v>
      </c>
    </row>
    <row r="69" spans="1:26" x14ac:dyDescent="0.2">
      <c r="A69" s="30">
        <v>62</v>
      </c>
      <c r="C69" s="31">
        <v>0.9911456841325722</v>
      </c>
      <c r="D69" s="32">
        <v>14340.496281114229</v>
      </c>
      <c r="E69" s="31">
        <v>0.94729986515328213</v>
      </c>
      <c r="F69" s="32">
        <v>7352.7375858834785</v>
      </c>
      <c r="G69" s="31">
        <v>0.94090674419329035</v>
      </c>
      <c r="H69" s="32">
        <v>8361.5381918872263</v>
      </c>
      <c r="I69" s="31">
        <v>0.94090903263248515</v>
      </c>
      <c r="J69" s="32">
        <v>5493.7085451703169</v>
      </c>
      <c r="L69" s="43">
        <f t="shared" si="0"/>
        <v>-9384.7678604513676</v>
      </c>
      <c r="M69" s="43">
        <f t="shared" si="1"/>
        <v>-2616.2382601170675</v>
      </c>
      <c r="N69" s="43">
        <f t="shared" si="2"/>
        <v>-3657.0044709207741</v>
      </c>
      <c r="O69" s="43">
        <f t="shared" si="3"/>
        <v>-789.16338200789141</v>
      </c>
      <c r="Q69" s="42">
        <f t="shared" si="4"/>
        <v>0</v>
      </c>
      <c r="R69" s="42">
        <f t="shared" si="5"/>
        <v>0</v>
      </c>
      <c r="S69" s="42">
        <f t="shared" si="6"/>
        <v>0</v>
      </c>
      <c r="T69" s="42">
        <f t="shared" si="7"/>
        <v>1</v>
      </c>
      <c r="V69" s="30">
        <v>105</v>
      </c>
      <c r="W69" s="30">
        <v>0</v>
      </c>
      <c r="X69" s="30">
        <v>0</v>
      </c>
      <c r="Y69" s="30">
        <v>0</v>
      </c>
      <c r="Z69" s="30">
        <v>1</v>
      </c>
    </row>
    <row r="70" spans="1:26" x14ac:dyDescent="0.2">
      <c r="A70" s="30">
        <v>63</v>
      </c>
      <c r="C70" s="31">
        <v>0.98520552328191935</v>
      </c>
      <c r="D70" s="32">
        <v>14361.485478579218</v>
      </c>
      <c r="E70" s="31">
        <v>0.98427216788972527</v>
      </c>
      <c r="F70" s="32">
        <v>5494.0087936917562</v>
      </c>
      <c r="G70" s="31">
        <v>0.98066966656578014</v>
      </c>
      <c r="H70" s="32">
        <v>8836.0418393794716</v>
      </c>
      <c r="I70" s="31">
        <v>0.98066966656578014</v>
      </c>
      <c r="J70" s="32">
        <v>5280.2027085341369</v>
      </c>
      <c r="L70" s="43">
        <f t="shared" si="0"/>
        <v>-9435.4578621696201</v>
      </c>
      <c r="M70" s="43">
        <f t="shared" si="1"/>
        <v>-572.64795424312979</v>
      </c>
      <c r="N70" s="43">
        <f t="shared" si="2"/>
        <v>-3932.6935065505713</v>
      </c>
      <c r="O70" s="43">
        <f t="shared" si="3"/>
        <v>-376.85437570523663</v>
      </c>
      <c r="Q70" s="42">
        <f t="shared" si="4"/>
        <v>0</v>
      </c>
      <c r="R70" s="42">
        <f t="shared" si="5"/>
        <v>0</v>
      </c>
      <c r="S70" s="42">
        <f t="shared" si="6"/>
        <v>0</v>
      </c>
      <c r="T70" s="42">
        <f t="shared" si="7"/>
        <v>1</v>
      </c>
      <c r="V70" s="30">
        <v>110</v>
      </c>
      <c r="W70" s="30">
        <v>0</v>
      </c>
      <c r="X70" s="30">
        <v>0</v>
      </c>
      <c r="Y70" s="30">
        <v>0</v>
      </c>
      <c r="Z70" s="30">
        <v>1</v>
      </c>
    </row>
    <row r="71" spans="1:26" x14ac:dyDescent="0.2">
      <c r="A71" s="30">
        <v>64</v>
      </c>
      <c r="C71" s="31">
        <v>0.9962880638759618</v>
      </c>
      <c r="D71" s="32">
        <v>15082.245327382743</v>
      </c>
      <c r="E71" s="31">
        <v>0.88067245335390953</v>
      </c>
      <c r="F71" s="32">
        <v>8149.6506788850656</v>
      </c>
      <c r="G71" s="31">
        <v>0.92930456232448</v>
      </c>
      <c r="H71" s="32">
        <v>8643.2712941585596</v>
      </c>
      <c r="I71" s="31">
        <v>0.87212572013127909</v>
      </c>
      <c r="J71" s="32">
        <v>5408.5028826751577</v>
      </c>
      <c r="L71" s="43">
        <f t="shared" si="0"/>
        <v>-10100.805008002935</v>
      </c>
      <c r="M71" s="43">
        <f t="shared" si="1"/>
        <v>-3746.2884121155175</v>
      </c>
      <c r="N71" s="43">
        <f t="shared" si="2"/>
        <v>-3996.7484825361598</v>
      </c>
      <c r="O71" s="43">
        <f t="shared" si="3"/>
        <v>-1047.8742820187626</v>
      </c>
      <c r="Q71" s="42">
        <f t="shared" si="4"/>
        <v>0</v>
      </c>
      <c r="R71" s="42">
        <f t="shared" si="5"/>
        <v>0</v>
      </c>
      <c r="S71" s="42">
        <f t="shared" si="6"/>
        <v>0</v>
      </c>
      <c r="T71" s="42">
        <f t="shared" si="7"/>
        <v>1</v>
      </c>
      <c r="V71" s="30">
        <v>115</v>
      </c>
      <c r="W71" s="30">
        <v>0</v>
      </c>
      <c r="X71" s="30">
        <v>0</v>
      </c>
      <c r="Y71" s="30">
        <v>0</v>
      </c>
      <c r="Z71" s="30">
        <v>1</v>
      </c>
    </row>
    <row r="72" spans="1:26" x14ac:dyDescent="0.2">
      <c r="A72" s="30">
        <v>65</v>
      </c>
      <c r="C72" s="31">
        <v>0.99741176102185292</v>
      </c>
      <c r="D72" s="32">
        <v>14171.65533840906</v>
      </c>
      <c r="E72" s="31">
        <v>0.95743770292180097</v>
      </c>
      <c r="F72" s="32">
        <v>8679.4367542942873</v>
      </c>
      <c r="G72" s="31">
        <v>0.94625242357804518</v>
      </c>
      <c r="H72" s="32">
        <v>8414.0452956319423</v>
      </c>
      <c r="I72" s="31">
        <v>0.9462524235780454</v>
      </c>
      <c r="J72" s="32">
        <v>6075.0456877445695</v>
      </c>
      <c r="L72" s="43">
        <f t="shared" ref="L72:L135" si="8">C72*Rc_-D72</f>
        <v>-9184.5965332997948</v>
      </c>
      <c r="M72" s="43">
        <f t="shared" ref="M72:M135" si="9">E72*Rc_-F72</f>
        <v>-3892.2482396852829</v>
      </c>
      <c r="N72" s="43">
        <f t="shared" ref="N72:N135" si="10">G72*Rc_-H72</f>
        <v>-3682.7831777417168</v>
      </c>
      <c r="O72" s="43">
        <f t="shared" ref="O72:O135" si="11">I72*Rc_-J72</f>
        <v>-1343.7835698543422</v>
      </c>
      <c r="Q72" s="42">
        <f t="shared" si="4"/>
        <v>0</v>
      </c>
      <c r="R72" s="42">
        <f t="shared" si="5"/>
        <v>0</v>
      </c>
      <c r="S72" s="42">
        <f t="shared" si="6"/>
        <v>0</v>
      </c>
      <c r="T72" s="42">
        <f t="shared" si="7"/>
        <v>1</v>
      </c>
      <c r="V72" s="30">
        <v>120</v>
      </c>
      <c r="W72" s="30">
        <v>0</v>
      </c>
      <c r="X72" s="30">
        <v>0</v>
      </c>
      <c r="Y72" s="30">
        <v>0</v>
      </c>
      <c r="Z72" s="30">
        <v>1</v>
      </c>
    </row>
    <row r="73" spans="1:26" x14ac:dyDescent="0.2">
      <c r="A73" s="30">
        <v>66</v>
      </c>
      <c r="C73" s="31">
        <v>0.99477860525736883</v>
      </c>
      <c r="D73" s="32">
        <v>13899.386153264335</v>
      </c>
      <c r="E73" s="31">
        <v>0.86730423421666403</v>
      </c>
      <c r="F73" s="32">
        <v>4172.0619992481188</v>
      </c>
      <c r="G73" s="31">
        <v>0.95121963549650701</v>
      </c>
      <c r="H73" s="32">
        <v>9154.4611868641114</v>
      </c>
      <c r="I73" s="31">
        <v>0.8673042357177807</v>
      </c>
      <c r="J73" s="32">
        <v>3777.2170410804601</v>
      </c>
      <c r="L73" s="43">
        <f t="shared" si="8"/>
        <v>-8925.4931269774897</v>
      </c>
      <c r="M73" s="43">
        <f t="shared" si="9"/>
        <v>164.45917183520123</v>
      </c>
      <c r="N73" s="43">
        <f t="shared" si="10"/>
        <v>-4398.3630093815764</v>
      </c>
      <c r="O73" s="43">
        <f t="shared" si="11"/>
        <v>559.30413750844309</v>
      </c>
      <c r="Q73" s="42">
        <f t="shared" ref="Q73:Q136" si="12">IF(L73&gt;$M73,IF(L73&gt;$N73,IF(L73&gt;$O73,1,0),0),0)</f>
        <v>0</v>
      </c>
      <c r="R73" s="42">
        <f t="shared" ref="R73:R136" si="13">IF(M73&gt;$L73,IF(M73&gt;$N73,IF(M73&gt;$O73,1,0),0),0)</f>
        <v>0</v>
      </c>
      <c r="S73" s="42">
        <f t="shared" ref="S73:S136" si="14">IF(N73&gt;$M73,IF(N73&gt;$L73,IF(N73&gt;$O73,1,0),0),0)</f>
        <v>0</v>
      </c>
      <c r="T73" s="42">
        <f t="shared" ref="T73:T136" si="15">IF(O73&gt;$M73,IF(O73&gt;$N73,IF(O73&gt;$L73,1,0),0),0)</f>
        <v>1</v>
      </c>
      <c r="V73" s="30">
        <v>125</v>
      </c>
      <c r="W73" s="30">
        <v>0</v>
      </c>
      <c r="X73" s="30">
        <v>0</v>
      </c>
      <c r="Y73" s="30">
        <v>0</v>
      </c>
      <c r="Z73" s="30">
        <v>1</v>
      </c>
    </row>
    <row r="74" spans="1:26" x14ac:dyDescent="0.2">
      <c r="A74" s="30">
        <v>67</v>
      </c>
      <c r="C74" s="31">
        <v>0.99742986007591672</v>
      </c>
      <c r="D74" s="32">
        <v>10971.466363848071</v>
      </c>
      <c r="E74" s="31">
        <v>0.89734965108132014</v>
      </c>
      <c r="F74" s="32">
        <v>4803.795440257526</v>
      </c>
      <c r="G74" s="31">
        <v>0.97727857272688001</v>
      </c>
      <c r="H74" s="32">
        <v>6594.2446128653037</v>
      </c>
      <c r="I74" s="31">
        <v>0.8952670762174384</v>
      </c>
      <c r="J74" s="32">
        <v>3678.9319445980664</v>
      </c>
      <c r="L74" s="43">
        <f t="shared" si="8"/>
        <v>-5984.3170634684866</v>
      </c>
      <c r="M74" s="43">
        <f t="shared" si="9"/>
        <v>-317.04718485092508</v>
      </c>
      <c r="N74" s="43">
        <f t="shared" si="10"/>
        <v>-1707.8517492309038</v>
      </c>
      <c r="O74" s="43">
        <f t="shared" si="11"/>
        <v>797.40343648912585</v>
      </c>
      <c r="Q74" s="42">
        <f t="shared" si="12"/>
        <v>0</v>
      </c>
      <c r="R74" s="42">
        <f t="shared" si="13"/>
        <v>0</v>
      </c>
      <c r="S74" s="42">
        <f t="shared" si="14"/>
        <v>0</v>
      </c>
      <c r="T74" s="42">
        <f t="shared" si="15"/>
        <v>1</v>
      </c>
      <c r="V74" s="30">
        <v>130</v>
      </c>
      <c r="W74" s="30">
        <v>0</v>
      </c>
      <c r="X74" s="30">
        <v>0</v>
      </c>
      <c r="Y74" s="30">
        <v>0</v>
      </c>
      <c r="Z74" s="30">
        <v>1</v>
      </c>
    </row>
    <row r="75" spans="1:26" x14ac:dyDescent="0.2">
      <c r="A75" s="30">
        <v>68</v>
      </c>
      <c r="C75" s="31">
        <v>0.98294716146160876</v>
      </c>
      <c r="D75" s="32">
        <v>13387.348251579584</v>
      </c>
      <c r="E75" s="31">
        <v>0.92775751521268801</v>
      </c>
      <c r="F75" s="32">
        <v>4741.8737877436706</v>
      </c>
      <c r="G75" s="31">
        <v>0.9227752488068387</v>
      </c>
      <c r="H75" s="32">
        <v>7979.7316048662187</v>
      </c>
      <c r="I75" s="31">
        <v>0.92277817202624468</v>
      </c>
      <c r="J75" s="32">
        <v>4498.7347264775808</v>
      </c>
      <c r="L75" s="43">
        <f t="shared" si="8"/>
        <v>-8472.6124442715409</v>
      </c>
      <c r="M75" s="43">
        <f t="shared" si="9"/>
        <v>-103.08621168023092</v>
      </c>
      <c r="N75" s="43">
        <f t="shared" si="10"/>
        <v>-3365.8553608320253</v>
      </c>
      <c r="O75" s="43">
        <f t="shared" si="11"/>
        <v>115.15613365364243</v>
      </c>
      <c r="Q75" s="42">
        <f t="shared" si="12"/>
        <v>0</v>
      </c>
      <c r="R75" s="42">
        <f t="shared" si="13"/>
        <v>0</v>
      </c>
      <c r="S75" s="42">
        <f t="shared" si="14"/>
        <v>0</v>
      </c>
      <c r="T75" s="42">
        <f t="shared" si="15"/>
        <v>1</v>
      </c>
      <c r="V75" s="30">
        <v>135</v>
      </c>
      <c r="W75" s="30">
        <v>0</v>
      </c>
      <c r="X75" s="30">
        <v>0</v>
      </c>
      <c r="Y75" s="30">
        <v>0</v>
      </c>
      <c r="Z75" s="30">
        <v>1</v>
      </c>
    </row>
    <row r="76" spans="1:26" x14ac:dyDescent="0.2">
      <c r="A76" s="30">
        <v>69</v>
      </c>
      <c r="C76" s="31">
        <v>0.96780459551771181</v>
      </c>
      <c r="D76" s="32">
        <v>15748.328162846728</v>
      </c>
      <c r="E76" s="31">
        <v>0.88341202580049805</v>
      </c>
      <c r="F76" s="32">
        <v>4255.443993496664</v>
      </c>
      <c r="G76" s="31">
        <v>0.95092916771858871</v>
      </c>
      <c r="H76" s="32">
        <v>9389.0448831890008</v>
      </c>
      <c r="I76" s="31">
        <v>0.87372054725848391</v>
      </c>
      <c r="J76" s="32">
        <v>3945.6766378641723</v>
      </c>
      <c r="L76" s="43">
        <f t="shared" si="8"/>
        <v>-10909.30518525817</v>
      </c>
      <c r="M76" s="43">
        <f t="shared" si="9"/>
        <v>161.61613550582661</v>
      </c>
      <c r="N76" s="43">
        <f t="shared" si="10"/>
        <v>-4634.3990445960571</v>
      </c>
      <c r="O76" s="43">
        <f t="shared" si="11"/>
        <v>422.92609842824731</v>
      </c>
      <c r="Q76" s="42">
        <f t="shared" si="12"/>
        <v>0</v>
      </c>
      <c r="R76" s="42">
        <f t="shared" si="13"/>
        <v>0</v>
      </c>
      <c r="S76" s="42">
        <f t="shared" si="14"/>
        <v>0</v>
      </c>
      <c r="T76" s="42">
        <f t="shared" si="15"/>
        <v>1</v>
      </c>
      <c r="V76" s="30">
        <v>140</v>
      </c>
      <c r="W76" s="30">
        <v>0</v>
      </c>
      <c r="X76" s="30">
        <v>0</v>
      </c>
      <c r="Y76" s="30">
        <v>0</v>
      </c>
      <c r="Z76" s="30">
        <v>1</v>
      </c>
    </row>
    <row r="77" spans="1:26" x14ac:dyDescent="0.2">
      <c r="A77" s="30">
        <v>70</v>
      </c>
      <c r="C77" s="31">
        <v>0.98171048885641421</v>
      </c>
      <c r="D77" s="32">
        <v>16691.022839588139</v>
      </c>
      <c r="E77" s="31">
        <v>0.82549882581716161</v>
      </c>
      <c r="F77" s="32">
        <v>3835.6996082655578</v>
      </c>
      <c r="G77" s="31">
        <v>0.94837558038294323</v>
      </c>
      <c r="H77" s="32">
        <v>10416.529132567241</v>
      </c>
      <c r="I77" s="31">
        <v>0.82549882581716161</v>
      </c>
      <c r="J77" s="32">
        <v>3678.9353069816498</v>
      </c>
      <c r="L77" s="43">
        <f t="shared" si="8"/>
        <v>-11782.470395306067</v>
      </c>
      <c r="M77" s="43">
        <f t="shared" si="9"/>
        <v>291.79452082025</v>
      </c>
      <c r="N77" s="43">
        <f t="shared" si="10"/>
        <v>-5674.6512306525246</v>
      </c>
      <c r="O77" s="43">
        <f t="shared" si="11"/>
        <v>448.55882210415803</v>
      </c>
      <c r="Q77" s="42">
        <f t="shared" si="12"/>
        <v>0</v>
      </c>
      <c r="R77" s="42">
        <f t="shared" si="13"/>
        <v>0</v>
      </c>
      <c r="S77" s="42">
        <f t="shared" si="14"/>
        <v>0</v>
      </c>
      <c r="T77" s="42">
        <f t="shared" si="15"/>
        <v>1</v>
      </c>
      <c r="V77" s="30">
        <v>145</v>
      </c>
      <c r="W77" s="30">
        <v>0</v>
      </c>
      <c r="X77" s="30">
        <v>0</v>
      </c>
      <c r="Y77" s="30">
        <v>0</v>
      </c>
      <c r="Z77" s="30">
        <v>1</v>
      </c>
    </row>
    <row r="78" spans="1:26" x14ac:dyDescent="0.2">
      <c r="A78" s="30">
        <v>71</v>
      </c>
      <c r="C78" s="31">
        <v>0.98679834909682984</v>
      </c>
      <c r="D78" s="32">
        <v>16753.249451864704</v>
      </c>
      <c r="E78" s="31">
        <v>0.96788155947324328</v>
      </c>
      <c r="F78" s="32">
        <v>6153.7187401521887</v>
      </c>
      <c r="G78" s="31">
        <v>0.96584770801610542</v>
      </c>
      <c r="H78" s="32">
        <v>10277.068757051065</v>
      </c>
      <c r="I78" s="31">
        <v>0.96584770801610553</v>
      </c>
      <c r="J78" s="32">
        <v>5961.4312197569379</v>
      </c>
      <c r="L78" s="43">
        <f t="shared" si="8"/>
        <v>-11819.257706380555</v>
      </c>
      <c r="M78" s="43">
        <f t="shared" si="9"/>
        <v>-1314.3109427859727</v>
      </c>
      <c r="N78" s="43">
        <f t="shared" si="10"/>
        <v>-5447.8302169705385</v>
      </c>
      <c r="O78" s="43">
        <f t="shared" si="11"/>
        <v>-1132.1926796764101</v>
      </c>
      <c r="Q78" s="42">
        <f t="shared" si="12"/>
        <v>0</v>
      </c>
      <c r="R78" s="42">
        <f t="shared" si="13"/>
        <v>0</v>
      </c>
      <c r="S78" s="42">
        <f t="shared" si="14"/>
        <v>0</v>
      </c>
      <c r="T78" s="42">
        <f t="shared" si="15"/>
        <v>1</v>
      </c>
      <c r="V78" s="30">
        <v>150</v>
      </c>
      <c r="W78" s="30">
        <v>0</v>
      </c>
      <c r="X78" s="30">
        <v>0</v>
      </c>
      <c r="Y78" s="30">
        <v>0</v>
      </c>
      <c r="Z78" s="30">
        <v>1</v>
      </c>
    </row>
    <row r="79" spans="1:26" x14ac:dyDescent="0.2">
      <c r="A79" s="30">
        <v>72</v>
      </c>
      <c r="C79" s="31">
        <v>0.9988080942480202</v>
      </c>
      <c r="D79" s="32">
        <v>14510.905868758537</v>
      </c>
      <c r="E79" s="31">
        <v>0.82832823421294832</v>
      </c>
      <c r="F79" s="32">
        <v>6062.1487736661229</v>
      </c>
      <c r="G79" s="31">
        <v>0.96373291125609317</v>
      </c>
      <c r="H79" s="32">
        <v>8921.6938178081109</v>
      </c>
      <c r="I79" s="31">
        <v>0.82396427905022485</v>
      </c>
      <c r="J79" s="32">
        <v>4167.9685507089989</v>
      </c>
      <c r="L79" s="43">
        <f t="shared" si="8"/>
        <v>-9516.8653975184352</v>
      </c>
      <c r="M79" s="43">
        <f t="shared" si="9"/>
        <v>-1920.5076026013812</v>
      </c>
      <c r="N79" s="43">
        <f t="shared" si="10"/>
        <v>-4103.0292615276448</v>
      </c>
      <c r="O79" s="43">
        <f t="shared" si="11"/>
        <v>-48.14715545787476</v>
      </c>
      <c r="Q79" s="42">
        <f t="shared" si="12"/>
        <v>0</v>
      </c>
      <c r="R79" s="42">
        <f t="shared" si="13"/>
        <v>0</v>
      </c>
      <c r="S79" s="42">
        <f t="shared" si="14"/>
        <v>0</v>
      </c>
      <c r="T79" s="42">
        <f t="shared" si="15"/>
        <v>1</v>
      </c>
      <c r="V79" s="30">
        <v>155</v>
      </c>
      <c r="W79" s="30">
        <v>0</v>
      </c>
      <c r="X79" s="30">
        <v>0</v>
      </c>
      <c r="Y79" s="30">
        <v>0</v>
      </c>
      <c r="Z79" s="30">
        <v>1</v>
      </c>
    </row>
    <row r="80" spans="1:26" x14ac:dyDescent="0.2">
      <c r="A80" s="30">
        <v>73</v>
      </c>
      <c r="C80" s="31">
        <v>0.99534400674149903</v>
      </c>
      <c r="D80" s="32">
        <v>15912.568202169119</v>
      </c>
      <c r="E80" s="31">
        <v>0.93440025892649747</v>
      </c>
      <c r="F80" s="32">
        <v>8291.3676776823377</v>
      </c>
      <c r="G80" s="31">
        <v>0.93201673462377799</v>
      </c>
      <c r="H80" s="32">
        <v>9677.0457108882765</v>
      </c>
      <c r="I80" s="31">
        <v>0.93201673462377821</v>
      </c>
      <c r="J80" s="32">
        <v>6706.1228794934186</v>
      </c>
      <c r="L80" s="43">
        <f t="shared" si="8"/>
        <v>-10935.848168461624</v>
      </c>
      <c r="M80" s="43">
        <f t="shared" si="9"/>
        <v>-3619.3663830498499</v>
      </c>
      <c r="N80" s="43">
        <f t="shared" si="10"/>
        <v>-5016.9620377693864</v>
      </c>
      <c r="O80" s="43">
        <f t="shared" si="11"/>
        <v>-2046.0392063745276</v>
      </c>
      <c r="Q80" s="42">
        <f t="shared" si="12"/>
        <v>0</v>
      </c>
      <c r="R80" s="42">
        <f t="shared" si="13"/>
        <v>0</v>
      </c>
      <c r="S80" s="42">
        <f t="shared" si="14"/>
        <v>0</v>
      </c>
      <c r="T80" s="42">
        <f t="shared" si="15"/>
        <v>1</v>
      </c>
      <c r="V80" s="30">
        <v>160</v>
      </c>
      <c r="W80" s="30">
        <v>0</v>
      </c>
      <c r="X80" s="30">
        <v>0</v>
      </c>
      <c r="Y80" s="30">
        <v>0</v>
      </c>
      <c r="Z80" s="30">
        <v>1</v>
      </c>
    </row>
    <row r="81" spans="1:26" x14ac:dyDescent="0.2">
      <c r="A81" s="30">
        <v>74</v>
      </c>
      <c r="C81" s="31">
        <v>0.99234246497455947</v>
      </c>
      <c r="D81" s="32">
        <v>13569.505470731032</v>
      </c>
      <c r="E81" s="31">
        <v>0.98187137242918676</v>
      </c>
      <c r="F81" s="32">
        <v>4868.6522496391462</v>
      </c>
      <c r="G81" s="31">
        <v>0.96993047531527021</v>
      </c>
      <c r="H81" s="32">
        <v>8206.2960253290221</v>
      </c>
      <c r="I81" s="31">
        <v>0.96993047543901512</v>
      </c>
      <c r="J81" s="32">
        <v>4539.2793772705782</v>
      </c>
      <c r="L81" s="43">
        <f t="shared" si="8"/>
        <v>-8607.7931458582352</v>
      </c>
      <c r="M81" s="43">
        <f t="shared" si="9"/>
        <v>40.704612506787271</v>
      </c>
      <c r="N81" s="43">
        <f t="shared" si="10"/>
        <v>-3356.6436487526707</v>
      </c>
      <c r="O81" s="43">
        <f t="shared" si="11"/>
        <v>310.37299992449698</v>
      </c>
      <c r="Q81" s="42">
        <f t="shared" si="12"/>
        <v>0</v>
      </c>
      <c r="R81" s="42">
        <f t="shared" si="13"/>
        <v>0</v>
      </c>
      <c r="S81" s="42">
        <f t="shared" si="14"/>
        <v>0</v>
      </c>
      <c r="T81" s="42">
        <f t="shared" si="15"/>
        <v>1</v>
      </c>
      <c r="V81" s="30">
        <v>165</v>
      </c>
      <c r="W81" s="30">
        <v>0</v>
      </c>
      <c r="X81" s="30">
        <v>0</v>
      </c>
      <c r="Y81" s="30">
        <v>0</v>
      </c>
      <c r="Z81" s="30">
        <v>1</v>
      </c>
    </row>
    <row r="82" spans="1:26" x14ac:dyDescent="0.2">
      <c r="A82" s="30">
        <v>75</v>
      </c>
      <c r="C82" s="31">
        <v>0.98062892771954446</v>
      </c>
      <c r="D82" s="32">
        <v>15895.78918829364</v>
      </c>
      <c r="E82" s="31">
        <v>0.95835777116326359</v>
      </c>
      <c r="F82" s="32">
        <v>5972.3826746040677</v>
      </c>
      <c r="G82" s="31">
        <v>0.95835777116326359</v>
      </c>
      <c r="H82" s="32">
        <v>9956.9563774425769</v>
      </c>
      <c r="I82" s="31">
        <v>0.95835777116326359</v>
      </c>
      <c r="J82" s="32">
        <v>5826.6822337153508</v>
      </c>
      <c r="L82" s="43">
        <f t="shared" si="8"/>
        <v>-10992.644549695917</v>
      </c>
      <c r="M82" s="43">
        <f t="shared" si="9"/>
        <v>-1180.59381878775</v>
      </c>
      <c r="N82" s="43">
        <f t="shared" si="10"/>
        <v>-5165.1675216262593</v>
      </c>
      <c r="O82" s="43">
        <f t="shared" si="11"/>
        <v>-1034.8933778990331</v>
      </c>
      <c r="Q82" s="42">
        <f t="shared" si="12"/>
        <v>0</v>
      </c>
      <c r="R82" s="42">
        <f t="shared" si="13"/>
        <v>0</v>
      </c>
      <c r="S82" s="42">
        <f t="shared" si="14"/>
        <v>0</v>
      </c>
      <c r="T82" s="42">
        <f t="shared" si="15"/>
        <v>1</v>
      </c>
      <c r="V82" s="30">
        <v>170</v>
      </c>
      <c r="W82" s="30">
        <v>0</v>
      </c>
      <c r="X82" s="30">
        <v>0</v>
      </c>
      <c r="Y82" s="30">
        <v>0</v>
      </c>
      <c r="Z82" s="30">
        <v>1</v>
      </c>
    </row>
    <row r="83" spans="1:26" x14ac:dyDescent="0.2">
      <c r="A83" s="30">
        <v>76</v>
      </c>
      <c r="C83" s="31">
        <v>0.99260980695003875</v>
      </c>
      <c r="D83" s="32">
        <v>16622.224562893385</v>
      </c>
      <c r="E83" s="31">
        <v>0.96217956565919693</v>
      </c>
      <c r="F83" s="32">
        <v>10226.922759976604</v>
      </c>
      <c r="G83" s="31">
        <v>0.95862784422808667</v>
      </c>
      <c r="H83" s="32">
        <v>8898.6288484172728</v>
      </c>
      <c r="I83" s="31">
        <v>0.95862784422808667</v>
      </c>
      <c r="J83" s="32">
        <v>6772.6751453083934</v>
      </c>
      <c r="L83" s="43">
        <f t="shared" si="8"/>
        <v>-11659.175528143191</v>
      </c>
      <c r="M83" s="43">
        <f t="shared" si="9"/>
        <v>-5416.0249316806194</v>
      </c>
      <c r="N83" s="43">
        <f t="shared" si="10"/>
        <v>-4105.4896272768392</v>
      </c>
      <c r="O83" s="43">
        <f t="shared" si="11"/>
        <v>-1979.5359241679598</v>
      </c>
      <c r="Q83" s="42">
        <f t="shared" si="12"/>
        <v>0</v>
      </c>
      <c r="R83" s="42">
        <f t="shared" si="13"/>
        <v>0</v>
      </c>
      <c r="S83" s="42">
        <f t="shared" si="14"/>
        <v>0</v>
      </c>
      <c r="T83" s="42">
        <f t="shared" si="15"/>
        <v>1</v>
      </c>
      <c r="V83" s="30">
        <v>175</v>
      </c>
      <c r="W83" s="30">
        <v>0</v>
      </c>
      <c r="X83" s="30">
        <v>0</v>
      </c>
      <c r="Y83" s="30">
        <v>0</v>
      </c>
      <c r="Z83" s="30">
        <v>1</v>
      </c>
    </row>
    <row r="84" spans="1:26" x14ac:dyDescent="0.2">
      <c r="A84" s="30">
        <v>77</v>
      </c>
      <c r="C84" s="31">
        <v>0.99986588793187392</v>
      </c>
      <c r="D84" s="32">
        <v>15116.50039822239</v>
      </c>
      <c r="E84" s="31">
        <v>0.85182777440922086</v>
      </c>
      <c r="F84" s="32">
        <v>3092.0525023105106</v>
      </c>
      <c r="G84" s="31">
        <v>0.97176424310042542</v>
      </c>
      <c r="H84" s="32">
        <v>8928.8876470738105</v>
      </c>
      <c r="I84" s="31">
        <v>0.85182777440922086</v>
      </c>
      <c r="J84" s="32">
        <v>2969.9280780602967</v>
      </c>
      <c r="L84" s="43">
        <f t="shared" si="8"/>
        <v>-10117.17095856302</v>
      </c>
      <c r="M84" s="43">
        <f t="shared" si="9"/>
        <v>1167.086369735594</v>
      </c>
      <c r="N84" s="43">
        <f t="shared" si="10"/>
        <v>-4070.0664315716831</v>
      </c>
      <c r="O84" s="43">
        <f t="shared" si="11"/>
        <v>1289.2107939858079</v>
      </c>
      <c r="Q84" s="42">
        <f t="shared" si="12"/>
        <v>0</v>
      </c>
      <c r="R84" s="42">
        <f t="shared" si="13"/>
        <v>0</v>
      </c>
      <c r="S84" s="42">
        <f t="shared" si="14"/>
        <v>0</v>
      </c>
      <c r="T84" s="42">
        <f t="shared" si="15"/>
        <v>1</v>
      </c>
      <c r="V84" s="30">
        <v>180</v>
      </c>
      <c r="W84" s="30">
        <v>0</v>
      </c>
      <c r="X84" s="30">
        <v>0</v>
      </c>
      <c r="Y84" s="30">
        <v>0</v>
      </c>
      <c r="Z84" s="30">
        <v>1</v>
      </c>
    </row>
    <row r="85" spans="1:26" x14ac:dyDescent="0.2">
      <c r="A85" s="30">
        <v>78</v>
      </c>
      <c r="C85" s="31">
        <v>0.98364069634586615</v>
      </c>
      <c r="D85" s="32">
        <v>16437.76841720294</v>
      </c>
      <c r="E85" s="31">
        <v>0.88613232197346625</v>
      </c>
      <c r="F85" s="32">
        <v>7953.5723906293124</v>
      </c>
      <c r="G85" s="31">
        <v>0.92681463575017209</v>
      </c>
      <c r="H85" s="32">
        <v>9916.4608582014171</v>
      </c>
      <c r="I85" s="31">
        <v>0.87897922686906393</v>
      </c>
      <c r="J85" s="32">
        <v>5984.6344614149921</v>
      </c>
      <c r="L85" s="43">
        <f t="shared" si="8"/>
        <v>-11519.564935473609</v>
      </c>
      <c r="M85" s="43">
        <f t="shared" si="9"/>
        <v>-3522.9107807619812</v>
      </c>
      <c r="N85" s="43">
        <f t="shared" si="10"/>
        <v>-5282.3876794505568</v>
      </c>
      <c r="O85" s="43">
        <f t="shared" si="11"/>
        <v>-1589.7383270696728</v>
      </c>
      <c r="Q85" s="42">
        <f t="shared" si="12"/>
        <v>0</v>
      </c>
      <c r="R85" s="42">
        <f t="shared" si="13"/>
        <v>0</v>
      </c>
      <c r="S85" s="42">
        <f t="shared" si="14"/>
        <v>0</v>
      </c>
      <c r="T85" s="42">
        <f t="shared" si="15"/>
        <v>1</v>
      </c>
      <c r="V85" s="30">
        <v>185</v>
      </c>
      <c r="W85" s="30">
        <v>0</v>
      </c>
      <c r="X85" s="30">
        <v>0</v>
      </c>
      <c r="Y85" s="30">
        <v>0</v>
      </c>
      <c r="Z85" s="30">
        <v>1</v>
      </c>
    </row>
    <row r="86" spans="1:26" x14ac:dyDescent="0.2">
      <c r="A86" s="30">
        <v>79</v>
      </c>
      <c r="C86" s="31">
        <v>0.95821542549816063</v>
      </c>
      <c r="D86" s="32">
        <v>15193.081224141961</v>
      </c>
      <c r="E86" s="31">
        <v>0.96586569130941546</v>
      </c>
      <c r="F86" s="32">
        <v>6658.4157889330891</v>
      </c>
      <c r="G86" s="31">
        <v>0.96272378770732159</v>
      </c>
      <c r="H86" s="32">
        <v>9055.8817071194644</v>
      </c>
      <c r="I86" s="31">
        <v>0.96272378770732159</v>
      </c>
      <c r="J86" s="32">
        <v>5543.3447134788148</v>
      </c>
      <c r="L86" s="43">
        <f t="shared" si="8"/>
        <v>-10402.004096651159</v>
      </c>
      <c r="M86" s="43">
        <f t="shared" si="9"/>
        <v>-1829.0873323860114</v>
      </c>
      <c r="N86" s="43">
        <f t="shared" si="10"/>
        <v>-4242.2627685828566</v>
      </c>
      <c r="O86" s="43">
        <f t="shared" si="11"/>
        <v>-729.72577494220695</v>
      </c>
      <c r="Q86" s="42">
        <f t="shared" si="12"/>
        <v>0</v>
      </c>
      <c r="R86" s="42">
        <f t="shared" si="13"/>
        <v>0</v>
      </c>
      <c r="S86" s="42">
        <f t="shared" si="14"/>
        <v>0</v>
      </c>
      <c r="T86" s="42">
        <f t="shared" si="15"/>
        <v>1</v>
      </c>
      <c r="V86" s="30">
        <v>190</v>
      </c>
      <c r="W86" s="30">
        <v>0</v>
      </c>
      <c r="X86" s="30">
        <v>0</v>
      </c>
      <c r="Y86" s="30">
        <v>0</v>
      </c>
      <c r="Z86" s="30">
        <v>1</v>
      </c>
    </row>
    <row r="87" spans="1:26" x14ac:dyDescent="0.2">
      <c r="A87" s="30">
        <v>80</v>
      </c>
      <c r="C87" s="31">
        <v>0.99178930017075262</v>
      </c>
      <c r="D87" s="32">
        <v>15471.485150174</v>
      </c>
      <c r="E87" s="31">
        <v>0.95818324198223381</v>
      </c>
      <c r="F87" s="32">
        <v>5215.9592845643419</v>
      </c>
      <c r="G87" s="31">
        <v>0.95523585273487865</v>
      </c>
      <c r="H87" s="32">
        <v>9510.9703472687979</v>
      </c>
      <c r="I87" s="31">
        <v>0.95523585273487865</v>
      </c>
      <c r="J87" s="32">
        <v>5046.1664129414676</v>
      </c>
      <c r="L87" s="43">
        <f t="shared" si="8"/>
        <v>-10512.538649320237</v>
      </c>
      <c r="M87" s="43">
        <f t="shared" si="9"/>
        <v>-425.04307465317288</v>
      </c>
      <c r="N87" s="43">
        <f t="shared" si="10"/>
        <v>-4734.7910835944049</v>
      </c>
      <c r="O87" s="43">
        <f t="shared" si="11"/>
        <v>-269.98714926707453</v>
      </c>
      <c r="Q87" s="42">
        <f t="shared" si="12"/>
        <v>0</v>
      </c>
      <c r="R87" s="42">
        <f t="shared" si="13"/>
        <v>0</v>
      </c>
      <c r="S87" s="42">
        <f t="shared" si="14"/>
        <v>0</v>
      </c>
      <c r="T87" s="42">
        <f t="shared" si="15"/>
        <v>1</v>
      </c>
      <c r="V87" s="30">
        <v>195</v>
      </c>
      <c r="W87" s="30">
        <v>0</v>
      </c>
      <c r="X87" s="30">
        <v>0</v>
      </c>
      <c r="Y87" s="30">
        <v>0</v>
      </c>
      <c r="Z87" s="30">
        <v>1</v>
      </c>
    </row>
    <row r="88" spans="1:26" x14ac:dyDescent="0.2">
      <c r="A88" s="30">
        <v>81</v>
      </c>
      <c r="C88" s="31">
        <v>0.9578035002095564</v>
      </c>
      <c r="D88" s="32">
        <v>15080.426930029969</v>
      </c>
      <c r="E88" s="31">
        <v>0.75676069444318195</v>
      </c>
      <c r="F88" s="32">
        <v>1927.1578854203249</v>
      </c>
      <c r="G88" s="31">
        <v>0.93853102405605393</v>
      </c>
      <c r="H88" s="32">
        <v>8877.1595650438703</v>
      </c>
      <c r="I88" s="31">
        <v>0.75452686247994127</v>
      </c>
      <c r="J88" s="32">
        <v>1743.2699062941633</v>
      </c>
      <c r="L88" s="43">
        <f t="shared" si="8"/>
        <v>-10291.409428982188</v>
      </c>
      <c r="M88" s="43">
        <f t="shared" si="9"/>
        <v>1856.6455867955847</v>
      </c>
      <c r="N88" s="43">
        <f t="shared" si="10"/>
        <v>-4184.504444763601</v>
      </c>
      <c r="O88" s="43">
        <f t="shared" si="11"/>
        <v>2029.3644061055429</v>
      </c>
      <c r="Q88" s="42">
        <f t="shared" si="12"/>
        <v>0</v>
      </c>
      <c r="R88" s="42">
        <f t="shared" si="13"/>
        <v>0</v>
      </c>
      <c r="S88" s="42">
        <f t="shared" si="14"/>
        <v>0</v>
      </c>
      <c r="T88" s="42">
        <f t="shared" si="15"/>
        <v>1</v>
      </c>
      <c r="V88" s="30">
        <v>200</v>
      </c>
      <c r="W88" s="30">
        <v>0</v>
      </c>
      <c r="X88" s="30">
        <v>0</v>
      </c>
      <c r="Y88" s="30">
        <v>0</v>
      </c>
      <c r="Z88" s="30">
        <v>1</v>
      </c>
    </row>
    <row r="89" spans="1:26" x14ac:dyDescent="0.2">
      <c r="A89" s="30">
        <v>82</v>
      </c>
      <c r="C89" s="31">
        <v>0.97964414892705765</v>
      </c>
      <c r="D89" s="32">
        <v>15117.2581360691</v>
      </c>
      <c r="E89" s="31">
        <v>0.73988754473890717</v>
      </c>
      <c r="F89" s="32">
        <v>7850.4652816424978</v>
      </c>
      <c r="G89" s="31">
        <v>0.92199072698095152</v>
      </c>
      <c r="H89" s="32">
        <v>9491.7463269026975</v>
      </c>
      <c r="I89" s="31">
        <v>0.73431359156732456</v>
      </c>
      <c r="J89" s="32">
        <v>4662.4570641173195</v>
      </c>
      <c r="L89" s="43">
        <f t="shared" si="8"/>
        <v>-10219.037391433812</v>
      </c>
      <c r="M89" s="43">
        <f t="shared" si="9"/>
        <v>-4151.0275579479621</v>
      </c>
      <c r="N89" s="43">
        <f t="shared" si="10"/>
        <v>-4881.79269199794</v>
      </c>
      <c r="O89" s="43">
        <f t="shared" si="11"/>
        <v>-990.88910628069652</v>
      </c>
      <c r="Q89" s="42">
        <f t="shared" si="12"/>
        <v>0</v>
      </c>
      <c r="R89" s="42">
        <f t="shared" si="13"/>
        <v>0</v>
      </c>
      <c r="S89" s="42">
        <f t="shared" si="14"/>
        <v>0</v>
      </c>
      <c r="T89" s="42">
        <f t="shared" si="15"/>
        <v>1</v>
      </c>
      <c r="V89" s="30">
        <v>210</v>
      </c>
      <c r="W89" s="30">
        <v>0</v>
      </c>
      <c r="X89" s="30">
        <v>0</v>
      </c>
      <c r="Y89" s="30">
        <v>0</v>
      </c>
      <c r="Z89" s="30">
        <v>1</v>
      </c>
    </row>
    <row r="90" spans="1:26" x14ac:dyDescent="0.2">
      <c r="A90" s="30">
        <v>83</v>
      </c>
      <c r="C90" s="31">
        <v>0.97948447978664688</v>
      </c>
      <c r="D90" s="32">
        <v>16305.470362526905</v>
      </c>
      <c r="E90" s="31">
        <v>0.86999246421408172</v>
      </c>
      <c r="F90" s="32">
        <v>6686.8660392136717</v>
      </c>
      <c r="G90" s="31">
        <v>0.95366233637447295</v>
      </c>
      <c r="H90" s="32">
        <v>9614.9133878722478</v>
      </c>
      <c r="I90" s="31">
        <v>0.86795003525308378</v>
      </c>
      <c r="J90" s="32">
        <v>4987.0077545241347</v>
      </c>
      <c r="L90" s="43">
        <f t="shared" si="8"/>
        <v>-11408.047963593672</v>
      </c>
      <c r="M90" s="43">
        <f t="shared" si="9"/>
        <v>-2336.9037181432632</v>
      </c>
      <c r="N90" s="43">
        <f t="shared" si="10"/>
        <v>-4846.6017059998831</v>
      </c>
      <c r="O90" s="43">
        <f t="shared" si="11"/>
        <v>-647.25757825871551</v>
      </c>
      <c r="Q90" s="42">
        <f t="shared" si="12"/>
        <v>0</v>
      </c>
      <c r="R90" s="42">
        <f t="shared" si="13"/>
        <v>0</v>
      </c>
      <c r="S90" s="42">
        <f t="shared" si="14"/>
        <v>0</v>
      </c>
      <c r="T90" s="42">
        <f t="shared" si="15"/>
        <v>1</v>
      </c>
      <c r="V90" s="30">
        <v>220</v>
      </c>
      <c r="W90" s="30">
        <v>0</v>
      </c>
      <c r="X90" s="30">
        <v>0</v>
      </c>
      <c r="Y90" s="30">
        <v>0</v>
      </c>
      <c r="Z90" s="30">
        <v>1</v>
      </c>
    </row>
    <row r="91" spans="1:26" x14ac:dyDescent="0.2">
      <c r="A91" s="30">
        <v>84</v>
      </c>
      <c r="C91" s="31">
        <v>0.98184108540236092</v>
      </c>
      <c r="D91" s="32">
        <v>14857.249303220078</v>
      </c>
      <c r="E91" s="31">
        <v>0.8314168528100514</v>
      </c>
      <c r="F91" s="32">
        <v>4091.3726870887249</v>
      </c>
      <c r="G91" s="31">
        <v>0.90686559291871061</v>
      </c>
      <c r="H91" s="32">
        <v>9004.7921058639949</v>
      </c>
      <c r="I91" s="31">
        <v>0.82642539753531352</v>
      </c>
      <c r="J91" s="32">
        <v>3894.7434104273329</v>
      </c>
      <c r="L91" s="43">
        <f t="shared" si="8"/>
        <v>-9948.043876208274</v>
      </c>
      <c r="M91" s="43">
        <f t="shared" si="9"/>
        <v>65.711576961532046</v>
      </c>
      <c r="N91" s="43">
        <f t="shared" si="10"/>
        <v>-4470.4641412704423</v>
      </c>
      <c r="O91" s="43">
        <f t="shared" si="11"/>
        <v>237.38357724923435</v>
      </c>
      <c r="Q91" s="42">
        <f t="shared" si="12"/>
        <v>0</v>
      </c>
      <c r="R91" s="42">
        <f t="shared" si="13"/>
        <v>0</v>
      </c>
      <c r="S91" s="42">
        <f t="shared" si="14"/>
        <v>0</v>
      </c>
      <c r="T91" s="42">
        <f t="shared" si="15"/>
        <v>1</v>
      </c>
      <c r="V91" s="30">
        <v>230</v>
      </c>
      <c r="W91" s="30">
        <v>0</v>
      </c>
      <c r="X91" s="30">
        <v>0</v>
      </c>
      <c r="Y91" s="30">
        <v>0</v>
      </c>
      <c r="Z91" s="30">
        <v>1</v>
      </c>
    </row>
    <row r="92" spans="1:26" x14ac:dyDescent="0.2">
      <c r="A92" s="30">
        <v>85</v>
      </c>
      <c r="C92" s="31">
        <v>0.99890593199416455</v>
      </c>
      <c r="D92" s="32">
        <v>13372.885167406772</v>
      </c>
      <c r="E92" s="31">
        <v>0.93608456021274078</v>
      </c>
      <c r="F92" s="32">
        <v>4457.0662523967667</v>
      </c>
      <c r="G92" s="31">
        <v>0.93283654292864115</v>
      </c>
      <c r="H92" s="32">
        <v>7921.6506048941446</v>
      </c>
      <c r="I92" s="31">
        <v>0.93283654292864127</v>
      </c>
      <c r="J92" s="32">
        <v>4213.9753652349946</v>
      </c>
      <c r="L92" s="43">
        <f t="shared" si="8"/>
        <v>-8378.3555074359501</v>
      </c>
      <c r="M92" s="43">
        <f t="shared" si="9"/>
        <v>223.35654866693676</v>
      </c>
      <c r="N92" s="43">
        <f t="shared" si="10"/>
        <v>-3257.4678902509386</v>
      </c>
      <c r="O92" s="43">
        <f t="shared" si="11"/>
        <v>450.20734940821148</v>
      </c>
      <c r="Q92" s="42">
        <f t="shared" si="12"/>
        <v>0</v>
      </c>
      <c r="R92" s="42">
        <f t="shared" si="13"/>
        <v>0</v>
      </c>
      <c r="S92" s="42">
        <f t="shared" si="14"/>
        <v>0</v>
      </c>
      <c r="T92" s="42">
        <f t="shared" si="15"/>
        <v>1</v>
      </c>
      <c r="V92" s="30">
        <v>240</v>
      </c>
      <c r="W92" s="30">
        <v>0</v>
      </c>
      <c r="X92" s="30">
        <v>0</v>
      </c>
      <c r="Y92" s="30">
        <v>0</v>
      </c>
      <c r="Z92" s="30">
        <v>1</v>
      </c>
    </row>
    <row r="93" spans="1:26" x14ac:dyDescent="0.2">
      <c r="A93" s="30">
        <v>86</v>
      </c>
      <c r="C93" s="31">
        <v>0.9873873098068886</v>
      </c>
      <c r="D93" s="32">
        <v>16186.70799130357</v>
      </c>
      <c r="E93" s="31">
        <v>0.93407857239628589</v>
      </c>
      <c r="F93" s="32">
        <v>5816.9096826549185</v>
      </c>
      <c r="G93" s="31">
        <v>0.93162829209713127</v>
      </c>
      <c r="H93" s="32">
        <v>10033.740399341063</v>
      </c>
      <c r="I93" s="31">
        <v>0.93163135907501116</v>
      </c>
      <c r="J93" s="32">
        <v>5535.5825983778223</v>
      </c>
      <c r="L93" s="43">
        <f t="shared" si="8"/>
        <v>-11249.771442269128</v>
      </c>
      <c r="M93" s="43">
        <f t="shared" si="9"/>
        <v>-1146.5168206734888</v>
      </c>
      <c r="N93" s="43">
        <f t="shared" si="10"/>
        <v>-5375.5989388554062</v>
      </c>
      <c r="O93" s="43">
        <f t="shared" si="11"/>
        <v>-877.42580300276677</v>
      </c>
      <c r="Q93" s="42">
        <f t="shared" si="12"/>
        <v>0</v>
      </c>
      <c r="R93" s="42">
        <f t="shared" si="13"/>
        <v>0</v>
      </c>
      <c r="S93" s="42">
        <f t="shared" si="14"/>
        <v>0</v>
      </c>
      <c r="T93" s="42">
        <f t="shared" si="15"/>
        <v>1</v>
      </c>
      <c r="V93" s="30">
        <v>250</v>
      </c>
      <c r="W93" s="30">
        <v>0</v>
      </c>
      <c r="X93" s="30">
        <v>0</v>
      </c>
      <c r="Y93" s="30">
        <v>0</v>
      </c>
      <c r="Z93" s="30">
        <v>1</v>
      </c>
    </row>
    <row r="94" spans="1:26" x14ac:dyDescent="0.2">
      <c r="A94" s="30">
        <v>87</v>
      </c>
      <c r="C94" s="31">
        <v>0.95315783358560513</v>
      </c>
      <c r="D94" s="32">
        <v>11566.86856643705</v>
      </c>
      <c r="E94" s="31">
        <v>0.9643415303623013</v>
      </c>
      <c r="F94" s="32">
        <v>5939.5202662057336</v>
      </c>
      <c r="G94" s="31">
        <v>0.96142898551719491</v>
      </c>
      <c r="H94" s="32">
        <v>7128.3024830761369</v>
      </c>
      <c r="I94" s="31">
        <v>0.96142898551747824</v>
      </c>
      <c r="J94" s="32">
        <v>4848.7067323048232</v>
      </c>
      <c r="L94" s="43">
        <f t="shared" si="8"/>
        <v>-6801.079398509024</v>
      </c>
      <c r="M94" s="43">
        <f t="shared" si="9"/>
        <v>-1117.8126143942272</v>
      </c>
      <c r="N94" s="43">
        <f t="shared" si="10"/>
        <v>-2321.1575554901619</v>
      </c>
      <c r="O94" s="43">
        <f t="shared" si="11"/>
        <v>-41.561804717432096</v>
      </c>
      <c r="Q94" s="42">
        <f t="shared" si="12"/>
        <v>0</v>
      </c>
      <c r="R94" s="42">
        <f t="shared" si="13"/>
        <v>0</v>
      </c>
      <c r="S94" s="42">
        <f t="shared" si="14"/>
        <v>0</v>
      </c>
      <c r="T94" s="42">
        <f t="shared" si="15"/>
        <v>1</v>
      </c>
      <c r="V94" s="30">
        <v>260</v>
      </c>
      <c r="W94" s="30">
        <v>0</v>
      </c>
      <c r="X94" s="30">
        <v>0</v>
      </c>
      <c r="Y94" s="30">
        <v>0</v>
      </c>
      <c r="Z94" s="30">
        <v>1</v>
      </c>
    </row>
    <row r="95" spans="1:26" x14ac:dyDescent="0.2">
      <c r="A95" s="30">
        <v>88</v>
      </c>
      <c r="C95" s="31">
        <v>0.9616745447149051</v>
      </c>
      <c r="D95" s="32">
        <v>15297.723237009652</v>
      </c>
      <c r="E95" s="31">
        <v>0.93130302251162234</v>
      </c>
      <c r="F95" s="32">
        <v>5405.8359420665711</v>
      </c>
      <c r="G95" s="31">
        <v>0.94110527671886279</v>
      </c>
      <c r="H95" s="32">
        <v>9416.9015965391554</v>
      </c>
      <c r="I95" s="31">
        <v>0.93130302251162234</v>
      </c>
      <c r="J95" s="32">
        <v>5251.7151835492195</v>
      </c>
      <c r="L95" s="43">
        <f t="shared" si="8"/>
        <v>-10489.350513435125</v>
      </c>
      <c r="M95" s="43">
        <f t="shared" si="9"/>
        <v>-749.32082950845961</v>
      </c>
      <c r="N95" s="43">
        <f t="shared" si="10"/>
        <v>-4711.3752129448412</v>
      </c>
      <c r="O95" s="43">
        <f t="shared" si="11"/>
        <v>-595.20007099110808</v>
      </c>
      <c r="Q95" s="42">
        <f t="shared" si="12"/>
        <v>0</v>
      </c>
      <c r="R95" s="42">
        <f t="shared" si="13"/>
        <v>0</v>
      </c>
      <c r="S95" s="42">
        <f t="shared" si="14"/>
        <v>0</v>
      </c>
      <c r="T95" s="42">
        <f t="shared" si="15"/>
        <v>1</v>
      </c>
      <c r="V95" s="30">
        <v>270</v>
      </c>
      <c r="W95" s="30">
        <v>0</v>
      </c>
      <c r="X95" s="30">
        <v>0</v>
      </c>
      <c r="Y95" s="30">
        <v>0</v>
      </c>
      <c r="Z95" s="30">
        <v>1</v>
      </c>
    </row>
    <row r="96" spans="1:26" x14ac:dyDescent="0.2">
      <c r="A96" s="30">
        <v>89</v>
      </c>
      <c r="C96" s="31">
        <v>0.99865155042716858</v>
      </c>
      <c r="D96" s="32">
        <v>14250.197226317869</v>
      </c>
      <c r="E96" s="31">
        <v>0.96988580454806606</v>
      </c>
      <c r="F96" s="32">
        <v>5177.4461928461624</v>
      </c>
      <c r="G96" s="31">
        <v>0.96952073693596574</v>
      </c>
      <c r="H96" s="32">
        <v>8315.8280756171844</v>
      </c>
      <c r="I96" s="31">
        <v>0.96952073693596574</v>
      </c>
      <c r="J96" s="32">
        <v>5024.7347518273828</v>
      </c>
      <c r="L96" s="43">
        <f t="shared" si="8"/>
        <v>-9256.9394741820252</v>
      </c>
      <c r="M96" s="43">
        <f t="shared" si="9"/>
        <v>-328.01717010583252</v>
      </c>
      <c r="N96" s="43">
        <f t="shared" si="10"/>
        <v>-3468.2243909373556</v>
      </c>
      <c r="O96" s="43">
        <f t="shared" si="11"/>
        <v>-177.13106714755395</v>
      </c>
      <c r="Q96" s="42">
        <f t="shared" si="12"/>
        <v>0</v>
      </c>
      <c r="R96" s="42">
        <f t="shared" si="13"/>
        <v>0</v>
      </c>
      <c r="S96" s="42">
        <f t="shared" si="14"/>
        <v>0</v>
      </c>
      <c r="T96" s="42">
        <f t="shared" si="15"/>
        <v>1</v>
      </c>
      <c r="V96" s="30">
        <v>280</v>
      </c>
      <c r="W96" s="30">
        <v>0</v>
      </c>
      <c r="X96" s="30">
        <v>0</v>
      </c>
      <c r="Y96" s="30">
        <v>0</v>
      </c>
      <c r="Z96" s="30">
        <v>1</v>
      </c>
    </row>
    <row r="97" spans="1:26" x14ac:dyDescent="0.2">
      <c r="A97" s="30">
        <v>90</v>
      </c>
      <c r="C97" s="31">
        <v>0.9755576302704061</v>
      </c>
      <c r="D97" s="32">
        <v>17277.811471833604</v>
      </c>
      <c r="E97" s="31">
        <v>0.91714383484221296</v>
      </c>
      <c r="F97" s="32">
        <v>6807.2827306766194</v>
      </c>
      <c r="G97" s="31">
        <v>0.93109965343721113</v>
      </c>
      <c r="H97" s="32">
        <v>10970.116227038705</v>
      </c>
      <c r="I97" s="31">
        <v>0.91714383484221296</v>
      </c>
      <c r="J97" s="32">
        <v>6098.0856511734573</v>
      </c>
      <c r="L97" s="43">
        <f t="shared" si="8"/>
        <v>-12400.023320481574</v>
      </c>
      <c r="M97" s="43">
        <f t="shared" si="9"/>
        <v>-2221.5635564655549</v>
      </c>
      <c r="N97" s="43">
        <f t="shared" si="10"/>
        <v>-6314.6179598526496</v>
      </c>
      <c r="O97" s="43">
        <f t="shared" si="11"/>
        <v>-1512.3664769623929</v>
      </c>
      <c r="Q97" s="42">
        <f t="shared" si="12"/>
        <v>0</v>
      </c>
      <c r="R97" s="42">
        <f t="shared" si="13"/>
        <v>0</v>
      </c>
      <c r="S97" s="42">
        <f t="shared" si="14"/>
        <v>0</v>
      </c>
      <c r="T97" s="42">
        <f t="shared" si="15"/>
        <v>1</v>
      </c>
      <c r="V97" s="30">
        <v>290</v>
      </c>
      <c r="W97" s="30">
        <v>0</v>
      </c>
      <c r="X97" s="30">
        <v>0</v>
      </c>
      <c r="Y97" s="30">
        <v>0</v>
      </c>
      <c r="Z97" s="30">
        <v>1</v>
      </c>
    </row>
    <row r="98" spans="1:26" x14ac:dyDescent="0.2">
      <c r="A98" s="30">
        <v>91</v>
      </c>
      <c r="C98" s="31">
        <v>0.89193408772266025</v>
      </c>
      <c r="D98" s="32">
        <v>13003.116712518589</v>
      </c>
      <c r="E98" s="31">
        <v>0.93163935941697984</v>
      </c>
      <c r="F98" s="32">
        <v>5418.7238841597091</v>
      </c>
      <c r="G98" s="31">
        <v>0.93095371048335385</v>
      </c>
      <c r="H98" s="32">
        <v>8072.8891616034252</v>
      </c>
      <c r="I98" s="31">
        <v>0.93095371048335385</v>
      </c>
      <c r="J98" s="32">
        <v>4912.0773636169661</v>
      </c>
      <c r="L98" s="43">
        <f t="shared" si="8"/>
        <v>-8543.4462739052869</v>
      </c>
      <c r="M98" s="43">
        <f t="shared" si="9"/>
        <v>-760.52708707480997</v>
      </c>
      <c r="N98" s="43">
        <f t="shared" si="10"/>
        <v>-3418.1206091866561</v>
      </c>
      <c r="O98" s="43">
        <f t="shared" si="11"/>
        <v>-257.30881120019694</v>
      </c>
      <c r="Q98" s="42">
        <f t="shared" si="12"/>
        <v>0</v>
      </c>
      <c r="R98" s="42">
        <f t="shared" si="13"/>
        <v>0</v>
      </c>
      <c r="S98" s="42">
        <f t="shared" si="14"/>
        <v>0</v>
      </c>
      <c r="T98" s="42">
        <f t="shared" si="15"/>
        <v>1</v>
      </c>
      <c r="V98" s="30">
        <v>300</v>
      </c>
      <c r="W98" s="30">
        <v>0</v>
      </c>
      <c r="X98" s="30">
        <v>0</v>
      </c>
      <c r="Y98" s="30">
        <v>0</v>
      </c>
      <c r="Z98" s="30">
        <v>1</v>
      </c>
    </row>
    <row r="99" spans="1:26" x14ac:dyDescent="0.2">
      <c r="A99" s="30">
        <v>92</v>
      </c>
      <c r="C99" s="31">
        <v>0.99126040426098172</v>
      </c>
      <c r="D99" s="32">
        <v>13240.652919037093</v>
      </c>
      <c r="E99" s="31">
        <v>0.95857555476531653</v>
      </c>
      <c r="F99" s="32">
        <v>7000.7178377279452</v>
      </c>
      <c r="G99" s="31">
        <v>0.9539546233305547</v>
      </c>
      <c r="H99" s="32">
        <v>8205.3436261243041</v>
      </c>
      <c r="I99" s="31">
        <v>0.9539546233305547</v>
      </c>
      <c r="J99" s="32">
        <v>5479.6352435040044</v>
      </c>
      <c r="L99" s="43">
        <f t="shared" si="8"/>
        <v>-8284.3508977321835</v>
      </c>
      <c r="M99" s="43">
        <f t="shared" si="9"/>
        <v>-2207.8400639013626</v>
      </c>
      <c r="N99" s="43">
        <f t="shared" si="10"/>
        <v>-3435.5705094715304</v>
      </c>
      <c r="O99" s="43">
        <f t="shared" si="11"/>
        <v>-709.86212685123064</v>
      </c>
      <c r="Q99" s="42">
        <f t="shared" si="12"/>
        <v>0</v>
      </c>
      <c r="R99" s="42">
        <f t="shared" si="13"/>
        <v>0</v>
      </c>
      <c r="S99" s="42">
        <f t="shared" si="14"/>
        <v>0</v>
      </c>
      <c r="T99" s="42">
        <f t="shared" si="15"/>
        <v>1</v>
      </c>
      <c r="V99" s="30">
        <v>310</v>
      </c>
      <c r="W99" s="30">
        <v>0</v>
      </c>
      <c r="X99" s="30">
        <v>0</v>
      </c>
      <c r="Y99" s="30">
        <v>0</v>
      </c>
      <c r="Z99" s="30">
        <v>1</v>
      </c>
    </row>
    <row r="100" spans="1:26" x14ac:dyDescent="0.2">
      <c r="A100" s="30">
        <v>93</v>
      </c>
      <c r="C100" s="31">
        <v>0.99889853203877066</v>
      </c>
      <c r="D100" s="32">
        <v>12430.496722799575</v>
      </c>
      <c r="E100" s="31">
        <v>0.96960705989071427</v>
      </c>
      <c r="F100" s="32">
        <v>3839.8396308564211</v>
      </c>
      <c r="G100" s="31">
        <v>0.98234675954116146</v>
      </c>
      <c r="H100" s="32">
        <v>7125.0348487635629</v>
      </c>
      <c r="I100" s="31">
        <v>0.96741652448134363</v>
      </c>
      <c r="J100" s="32">
        <v>3663.4052469254721</v>
      </c>
      <c r="L100" s="43">
        <f t="shared" si="8"/>
        <v>-7436.0040626057216</v>
      </c>
      <c r="M100" s="43">
        <f t="shared" si="9"/>
        <v>1008.1956685971504</v>
      </c>
      <c r="N100" s="43">
        <f t="shared" si="10"/>
        <v>-2213.301051057756</v>
      </c>
      <c r="O100" s="43">
        <f t="shared" si="11"/>
        <v>1173.6773754812457</v>
      </c>
      <c r="Q100" s="42">
        <f t="shared" si="12"/>
        <v>0</v>
      </c>
      <c r="R100" s="42">
        <f t="shared" si="13"/>
        <v>0</v>
      </c>
      <c r="S100" s="42">
        <f t="shared" si="14"/>
        <v>0</v>
      </c>
      <c r="T100" s="42">
        <f t="shared" si="15"/>
        <v>1</v>
      </c>
      <c r="V100" s="30">
        <v>320</v>
      </c>
      <c r="W100" s="30">
        <v>0</v>
      </c>
      <c r="X100" s="30">
        <v>0</v>
      </c>
      <c r="Y100" s="30">
        <v>0</v>
      </c>
      <c r="Z100" s="30">
        <v>1</v>
      </c>
    </row>
    <row r="101" spans="1:26" x14ac:dyDescent="0.2">
      <c r="A101" s="30">
        <v>94</v>
      </c>
      <c r="C101" s="31">
        <v>0.99562447569021895</v>
      </c>
      <c r="D101" s="32">
        <v>15371.292431048707</v>
      </c>
      <c r="E101" s="31">
        <v>0.87536136349457916</v>
      </c>
      <c r="F101" s="32">
        <v>4639.7550059492951</v>
      </c>
      <c r="G101" s="31">
        <v>0.90015397302295241</v>
      </c>
      <c r="H101" s="32">
        <v>9500.558978302759</v>
      </c>
      <c r="I101" s="31">
        <v>0.87240600511718447</v>
      </c>
      <c r="J101" s="32">
        <v>4442.1582403193306</v>
      </c>
      <c r="L101" s="43">
        <f t="shared" si="8"/>
        <v>-10393.170052597612</v>
      </c>
      <c r="M101" s="43">
        <f t="shared" si="9"/>
        <v>-262.94818847639908</v>
      </c>
      <c r="N101" s="43">
        <f t="shared" si="10"/>
        <v>-4999.7891131879969</v>
      </c>
      <c r="O101" s="43">
        <f t="shared" si="11"/>
        <v>-80.12821473340864</v>
      </c>
      <c r="Q101" s="42">
        <f t="shared" si="12"/>
        <v>0</v>
      </c>
      <c r="R101" s="42">
        <f t="shared" si="13"/>
        <v>0</v>
      </c>
      <c r="S101" s="42">
        <f t="shared" si="14"/>
        <v>0</v>
      </c>
      <c r="T101" s="42">
        <f t="shared" si="15"/>
        <v>1</v>
      </c>
      <c r="V101" s="30">
        <v>330</v>
      </c>
      <c r="W101" s="30">
        <v>0</v>
      </c>
      <c r="X101" s="30">
        <v>0</v>
      </c>
      <c r="Y101" s="30">
        <v>0</v>
      </c>
      <c r="Z101" s="30">
        <v>1</v>
      </c>
    </row>
    <row r="102" spans="1:26" x14ac:dyDescent="0.2">
      <c r="A102" s="30">
        <v>95</v>
      </c>
      <c r="C102" s="31">
        <v>0.93904416265542323</v>
      </c>
      <c r="D102" s="32">
        <v>17768.900241171752</v>
      </c>
      <c r="E102" s="31">
        <v>0.92618127633032232</v>
      </c>
      <c r="F102" s="32">
        <v>5919.6865366821221</v>
      </c>
      <c r="G102" s="31">
        <v>0.91493652825805638</v>
      </c>
      <c r="H102" s="32">
        <v>10833.590775623466</v>
      </c>
      <c r="I102" s="31">
        <v>0.91493652825805638</v>
      </c>
      <c r="J102" s="32">
        <v>5576.2819883861703</v>
      </c>
      <c r="L102" s="43">
        <f t="shared" si="8"/>
        <v>-13073.679427894636</v>
      </c>
      <c r="M102" s="43">
        <f t="shared" si="9"/>
        <v>-1288.7801550305103</v>
      </c>
      <c r="N102" s="43">
        <f t="shared" si="10"/>
        <v>-6258.9081343331845</v>
      </c>
      <c r="O102" s="43">
        <f t="shared" si="11"/>
        <v>-1001.5993470958883</v>
      </c>
      <c r="Q102" s="42">
        <f t="shared" si="12"/>
        <v>0</v>
      </c>
      <c r="R102" s="42">
        <f t="shared" si="13"/>
        <v>0</v>
      </c>
      <c r="S102" s="42">
        <f t="shared" si="14"/>
        <v>0</v>
      </c>
      <c r="T102" s="42">
        <f t="shared" si="15"/>
        <v>1</v>
      </c>
      <c r="V102" s="30">
        <v>340</v>
      </c>
      <c r="W102" s="30">
        <v>0</v>
      </c>
      <c r="X102" s="30">
        <v>0</v>
      </c>
      <c r="Y102" s="30">
        <v>0</v>
      </c>
      <c r="Z102" s="30">
        <v>1</v>
      </c>
    </row>
    <row r="103" spans="1:26" x14ac:dyDescent="0.2">
      <c r="A103" s="30">
        <v>96</v>
      </c>
      <c r="C103" s="31">
        <v>0.9958806761707274</v>
      </c>
      <c r="D103" s="32">
        <v>13876.526730158908</v>
      </c>
      <c r="E103" s="31">
        <v>0.92137329867224294</v>
      </c>
      <c r="F103" s="32">
        <v>6267.1242278666905</v>
      </c>
      <c r="G103" s="31">
        <v>0.91813661388602719</v>
      </c>
      <c r="H103" s="32">
        <v>8217.5060087534675</v>
      </c>
      <c r="I103" s="31">
        <v>0.91813661388602741</v>
      </c>
      <c r="J103" s="32">
        <v>4980.9332068639605</v>
      </c>
      <c r="L103" s="43">
        <f t="shared" si="8"/>
        <v>-8897.1233493052714</v>
      </c>
      <c r="M103" s="43">
        <f t="shared" si="9"/>
        <v>-1660.257734505476</v>
      </c>
      <c r="N103" s="43">
        <f t="shared" si="10"/>
        <v>-3626.8229393233314</v>
      </c>
      <c r="O103" s="43">
        <f t="shared" si="11"/>
        <v>-390.25013743382351</v>
      </c>
      <c r="Q103" s="42">
        <f t="shared" si="12"/>
        <v>0</v>
      </c>
      <c r="R103" s="42">
        <f t="shared" si="13"/>
        <v>0</v>
      </c>
      <c r="S103" s="42">
        <f t="shared" si="14"/>
        <v>0</v>
      </c>
      <c r="T103" s="42">
        <f t="shared" si="15"/>
        <v>1</v>
      </c>
      <c r="V103" s="30">
        <v>350</v>
      </c>
      <c r="W103" s="30">
        <v>0</v>
      </c>
      <c r="X103" s="30">
        <v>0</v>
      </c>
      <c r="Y103" s="30">
        <v>0</v>
      </c>
      <c r="Z103" s="30">
        <v>1</v>
      </c>
    </row>
    <row r="104" spans="1:26" x14ac:dyDescent="0.2">
      <c r="A104" s="30">
        <v>97</v>
      </c>
      <c r="C104" s="31">
        <v>0.9928770056986721</v>
      </c>
      <c r="D104" s="32">
        <v>16330.852946542593</v>
      </c>
      <c r="E104" s="31">
        <v>0.96211353442158054</v>
      </c>
      <c r="F104" s="32">
        <v>13723.947888102741</v>
      </c>
      <c r="G104" s="31">
        <v>0.96211353442158054</v>
      </c>
      <c r="H104" s="32">
        <v>9580.4132405590153</v>
      </c>
      <c r="I104" s="31">
        <v>0.96211353442158054</v>
      </c>
      <c r="J104" s="32">
        <v>8443.102932223137</v>
      </c>
      <c r="L104" s="43">
        <f t="shared" si="8"/>
        <v>-11366.467918049231</v>
      </c>
      <c r="M104" s="43">
        <f t="shared" si="9"/>
        <v>-8913.3802159948391</v>
      </c>
      <c r="N104" s="43">
        <f t="shared" si="10"/>
        <v>-4769.8455684511127</v>
      </c>
      <c r="O104" s="43">
        <f t="shared" si="11"/>
        <v>-3632.5352601152345</v>
      </c>
      <c r="Q104" s="42">
        <f t="shared" si="12"/>
        <v>0</v>
      </c>
      <c r="R104" s="42">
        <f t="shared" si="13"/>
        <v>0</v>
      </c>
      <c r="S104" s="42">
        <f t="shared" si="14"/>
        <v>0</v>
      </c>
      <c r="T104" s="42">
        <f t="shared" si="15"/>
        <v>1</v>
      </c>
      <c r="V104" s="30">
        <v>360</v>
      </c>
      <c r="W104" s="30">
        <v>0</v>
      </c>
      <c r="X104" s="30">
        <v>0</v>
      </c>
      <c r="Y104" s="30">
        <v>0</v>
      </c>
      <c r="Z104" s="30">
        <v>1</v>
      </c>
    </row>
    <row r="105" spans="1:26" x14ac:dyDescent="0.2">
      <c r="A105" s="30">
        <v>98</v>
      </c>
      <c r="C105" s="31">
        <v>0.95756568271567588</v>
      </c>
      <c r="D105" s="32">
        <v>18744.084019305221</v>
      </c>
      <c r="E105" s="31">
        <v>0.89218084331875303</v>
      </c>
      <c r="F105" s="32">
        <v>7670.983708247285</v>
      </c>
      <c r="G105" s="31">
        <v>0.95064108215931897</v>
      </c>
      <c r="H105" s="32">
        <v>11919.362173673206</v>
      </c>
      <c r="I105" s="31">
        <v>0.89218084331875303</v>
      </c>
      <c r="J105" s="32">
        <v>6098.5074529525637</v>
      </c>
      <c r="L105" s="43">
        <f t="shared" si="8"/>
        <v>-13956.255605726841</v>
      </c>
      <c r="M105" s="43">
        <f t="shared" si="9"/>
        <v>-3210.0794916535197</v>
      </c>
      <c r="N105" s="43">
        <f t="shared" si="10"/>
        <v>-7166.1567628766106</v>
      </c>
      <c r="O105" s="43">
        <f t="shared" si="11"/>
        <v>-1637.6032363587983</v>
      </c>
      <c r="Q105" s="42">
        <f t="shared" si="12"/>
        <v>0</v>
      </c>
      <c r="R105" s="42">
        <f t="shared" si="13"/>
        <v>0</v>
      </c>
      <c r="S105" s="42">
        <f t="shared" si="14"/>
        <v>0</v>
      </c>
      <c r="T105" s="42">
        <f t="shared" si="15"/>
        <v>1</v>
      </c>
      <c r="V105" s="30">
        <v>370</v>
      </c>
      <c r="W105" s="30">
        <v>0</v>
      </c>
      <c r="X105" s="30">
        <v>0</v>
      </c>
      <c r="Y105" s="30">
        <v>0</v>
      </c>
      <c r="Z105" s="30">
        <v>1</v>
      </c>
    </row>
    <row r="106" spans="1:26" x14ac:dyDescent="0.2">
      <c r="A106" s="30">
        <v>99</v>
      </c>
      <c r="C106" s="31">
        <v>0.94026321300155502</v>
      </c>
      <c r="D106" s="32">
        <v>17137.437722338622</v>
      </c>
      <c r="E106" s="31">
        <v>0.84162832093783357</v>
      </c>
      <c r="F106" s="32">
        <v>3977.5608625655018</v>
      </c>
      <c r="G106" s="31">
        <v>0.94904561283494604</v>
      </c>
      <c r="H106" s="32">
        <v>10879.245752903436</v>
      </c>
      <c r="I106" s="31">
        <v>0.83440747515870517</v>
      </c>
      <c r="J106" s="32">
        <v>3738.4362740876104</v>
      </c>
      <c r="L106" s="43">
        <f t="shared" si="8"/>
        <v>-12436.121657330847</v>
      </c>
      <c r="M106" s="43">
        <f t="shared" si="9"/>
        <v>230.58074212366637</v>
      </c>
      <c r="N106" s="43">
        <f t="shared" si="10"/>
        <v>-6134.0176887287062</v>
      </c>
      <c r="O106" s="43">
        <f t="shared" si="11"/>
        <v>433.60110170591543</v>
      </c>
      <c r="Q106" s="42">
        <f t="shared" si="12"/>
        <v>0</v>
      </c>
      <c r="R106" s="42">
        <f t="shared" si="13"/>
        <v>0</v>
      </c>
      <c r="S106" s="42">
        <f t="shared" si="14"/>
        <v>0</v>
      </c>
      <c r="T106" s="42">
        <f t="shared" si="15"/>
        <v>1</v>
      </c>
      <c r="V106" s="30">
        <v>380</v>
      </c>
      <c r="W106" s="30">
        <v>0</v>
      </c>
      <c r="X106" s="30">
        <v>0</v>
      </c>
      <c r="Y106" s="30">
        <v>0</v>
      </c>
      <c r="Z106" s="30">
        <v>1</v>
      </c>
    </row>
    <row r="107" spans="1:26" x14ac:dyDescent="0.2">
      <c r="A107" s="30">
        <v>100</v>
      </c>
      <c r="C107" s="31">
        <v>0.91445369557473566</v>
      </c>
      <c r="D107" s="32">
        <v>16836.126310868163</v>
      </c>
      <c r="E107" s="31">
        <v>0.84429871040565674</v>
      </c>
      <c r="F107" s="32">
        <v>3908.2912580818406</v>
      </c>
      <c r="G107" s="31">
        <v>0.94100469929442887</v>
      </c>
      <c r="H107" s="32">
        <v>10168.889929625453</v>
      </c>
      <c r="I107" s="31">
        <v>0.84135900229951144</v>
      </c>
      <c r="J107" s="32">
        <v>3700.8586080435844</v>
      </c>
      <c r="L107" s="43">
        <f t="shared" si="8"/>
        <v>-12263.857832994485</v>
      </c>
      <c r="M107" s="43">
        <f t="shared" si="9"/>
        <v>313.20229394644275</v>
      </c>
      <c r="N107" s="43">
        <f t="shared" si="10"/>
        <v>-5463.8664331533091</v>
      </c>
      <c r="O107" s="43">
        <f t="shared" si="11"/>
        <v>505.93640345397307</v>
      </c>
      <c r="Q107" s="42">
        <f t="shared" si="12"/>
        <v>0</v>
      </c>
      <c r="R107" s="42">
        <f t="shared" si="13"/>
        <v>0</v>
      </c>
      <c r="S107" s="42">
        <f t="shared" si="14"/>
        <v>0</v>
      </c>
      <c r="T107" s="42">
        <f t="shared" si="15"/>
        <v>1</v>
      </c>
      <c r="V107" s="30">
        <v>390</v>
      </c>
      <c r="W107" s="30">
        <v>0</v>
      </c>
      <c r="X107" s="30">
        <v>0</v>
      </c>
      <c r="Y107" s="30">
        <v>0</v>
      </c>
      <c r="Z107" s="30">
        <v>1</v>
      </c>
    </row>
    <row r="108" spans="1:26" x14ac:dyDescent="0.2">
      <c r="A108" s="30">
        <v>101</v>
      </c>
      <c r="C108" s="31">
        <v>0.99879305973779808</v>
      </c>
      <c r="D108" s="32">
        <v>12871.34050159127</v>
      </c>
      <c r="E108" s="31">
        <v>0.94810062775192616</v>
      </c>
      <c r="F108" s="32">
        <v>4763.9391558462376</v>
      </c>
      <c r="G108" s="31">
        <v>0.93969938612845638</v>
      </c>
      <c r="H108" s="32">
        <v>8152.7539694497127</v>
      </c>
      <c r="I108" s="31">
        <v>0.93969938612845638</v>
      </c>
      <c r="J108" s="32">
        <v>4517.5140249030446</v>
      </c>
      <c r="L108" s="43">
        <f t="shared" si="8"/>
        <v>-7877.3752029022799</v>
      </c>
      <c r="M108" s="43">
        <f t="shared" si="9"/>
        <v>-23.436017086606626</v>
      </c>
      <c r="N108" s="43">
        <f t="shared" si="10"/>
        <v>-3454.2570388074309</v>
      </c>
      <c r="O108" s="43">
        <f t="shared" si="11"/>
        <v>180.98290573923714</v>
      </c>
      <c r="Q108" s="42">
        <f t="shared" si="12"/>
        <v>0</v>
      </c>
      <c r="R108" s="42">
        <f t="shared" si="13"/>
        <v>0</v>
      </c>
      <c r="S108" s="42">
        <f t="shared" si="14"/>
        <v>0</v>
      </c>
      <c r="T108" s="42">
        <f t="shared" si="15"/>
        <v>1</v>
      </c>
      <c r="V108" s="30">
        <v>400</v>
      </c>
      <c r="W108" s="30">
        <v>0</v>
      </c>
      <c r="X108" s="30">
        <v>0</v>
      </c>
      <c r="Y108" s="30">
        <v>0</v>
      </c>
      <c r="Z108" s="30">
        <v>1</v>
      </c>
    </row>
    <row r="109" spans="1:26" x14ac:dyDescent="0.2">
      <c r="A109" s="30">
        <v>102</v>
      </c>
      <c r="C109" s="31">
        <v>0.99882444188659003</v>
      </c>
      <c r="D109" s="32">
        <v>18784.29661335508</v>
      </c>
      <c r="E109" s="31">
        <v>0.97244604114733302</v>
      </c>
      <c r="F109" s="32">
        <v>6963.1123196577355</v>
      </c>
      <c r="G109" s="31">
        <v>0.97161219550449185</v>
      </c>
      <c r="H109" s="32">
        <v>11230.954203934069</v>
      </c>
      <c r="I109" s="31">
        <v>0.97161219550449762</v>
      </c>
      <c r="J109" s="32">
        <v>6799.7897248725485</v>
      </c>
      <c r="L109" s="43">
        <f t="shared" si="8"/>
        <v>-13790.17440392213</v>
      </c>
      <c r="M109" s="43">
        <f t="shared" si="9"/>
        <v>-2100.8821139210704</v>
      </c>
      <c r="N109" s="43">
        <f t="shared" si="10"/>
        <v>-6372.8932264116092</v>
      </c>
      <c r="O109" s="43">
        <f t="shared" si="11"/>
        <v>-1941.7287473500601</v>
      </c>
      <c r="Q109" s="42">
        <f t="shared" si="12"/>
        <v>0</v>
      </c>
      <c r="R109" s="42">
        <f t="shared" si="13"/>
        <v>0</v>
      </c>
      <c r="S109" s="42">
        <f t="shared" si="14"/>
        <v>0</v>
      </c>
      <c r="T109" s="42">
        <f t="shared" si="15"/>
        <v>1</v>
      </c>
      <c r="V109" s="30">
        <v>410</v>
      </c>
      <c r="W109" s="30">
        <v>0</v>
      </c>
      <c r="X109" s="30">
        <v>0</v>
      </c>
      <c r="Y109" s="30">
        <v>0</v>
      </c>
      <c r="Z109" s="30">
        <v>1</v>
      </c>
    </row>
    <row r="110" spans="1:26" x14ac:dyDescent="0.2">
      <c r="A110" s="30">
        <v>103</v>
      </c>
      <c r="C110" s="31">
        <v>0.9900458189195358</v>
      </c>
      <c r="D110" s="32">
        <v>17177.969724261326</v>
      </c>
      <c r="E110" s="31">
        <v>0.97021866112210797</v>
      </c>
      <c r="F110" s="32">
        <v>5764.605577664166</v>
      </c>
      <c r="G110" s="31">
        <v>0.96449565968169426</v>
      </c>
      <c r="H110" s="32">
        <v>10590.792739517887</v>
      </c>
      <c r="I110" s="31">
        <v>0.96449565968169426</v>
      </c>
      <c r="J110" s="32">
        <v>5534.5783294238072</v>
      </c>
      <c r="L110" s="43">
        <f t="shared" si="8"/>
        <v>-12227.740629663647</v>
      </c>
      <c r="M110" s="43">
        <f t="shared" si="9"/>
        <v>-913.51227205362648</v>
      </c>
      <c r="N110" s="43">
        <f t="shared" si="10"/>
        <v>-5768.3144411094154</v>
      </c>
      <c r="O110" s="43">
        <f t="shared" si="11"/>
        <v>-712.10003101533584</v>
      </c>
      <c r="Q110" s="42">
        <f t="shared" si="12"/>
        <v>0</v>
      </c>
      <c r="R110" s="42">
        <f t="shared" si="13"/>
        <v>0</v>
      </c>
      <c r="S110" s="42">
        <f t="shared" si="14"/>
        <v>0</v>
      </c>
      <c r="T110" s="42">
        <f t="shared" si="15"/>
        <v>1</v>
      </c>
      <c r="V110" s="30">
        <v>420</v>
      </c>
      <c r="W110" s="30">
        <v>0</v>
      </c>
      <c r="X110" s="30">
        <v>0</v>
      </c>
      <c r="Y110" s="30">
        <v>0</v>
      </c>
      <c r="Z110" s="30">
        <v>1</v>
      </c>
    </row>
    <row r="111" spans="1:26" x14ac:dyDescent="0.2">
      <c r="A111" s="30">
        <v>104</v>
      </c>
      <c r="C111" s="31">
        <v>0.97470205293484613</v>
      </c>
      <c r="D111" s="32">
        <v>19131.6720375923</v>
      </c>
      <c r="E111" s="31">
        <v>0.84572064596575558</v>
      </c>
      <c r="F111" s="32">
        <v>7347.2714347990895</v>
      </c>
      <c r="G111" s="31">
        <v>0.96009466402665911</v>
      </c>
      <c r="H111" s="32">
        <v>11796.649403593743</v>
      </c>
      <c r="I111" s="31">
        <v>0.84208988937094509</v>
      </c>
      <c r="J111" s="32">
        <v>5731.9097047311006</v>
      </c>
      <c r="L111" s="43">
        <f t="shared" si="8"/>
        <v>-14258.161772918069</v>
      </c>
      <c r="M111" s="43">
        <f t="shared" si="9"/>
        <v>-3118.6682049703113</v>
      </c>
      <c r="N111" s="43">
        <f t="shared" si="10"/>
        <v>-6996.1760834604474</v>
      </c>
      <c r="O111" s="43">
        <f t="shared" si="11"/>
        <v>-1521.4602578763752</v>
      </c>
      <c r="Q111" s="42">
        <f t="shared" si="12"/>
        <v>0</v>
      </c>
      <c r="R111" s="42">
        <f t="shared" si="13"/>
        <v>0</v>
      </c>
      <c r="S111" s="42">
        <f t="shared" si="14"/>
        <v>0</v>
      </c>
      <c r="T111" s="42">
        <f t="shared" si="15"/>
        <v>1</v>
      </c>
      <c r="V111" s="30">
        <v>430</v>
      </c>
      <c r="W111" s="30">
        <v>0</v>
      </c>
      <c r="X111" s="30">
        <v>0</v>
      </c>
      <c r="Y111" s="30">
        <v>0</v>
      </c>
      <c r="Z111" s="30">
        <v>1</v>
      </c>
    </row>
    <row r="112" spans="1:26" x14ac:dyDescent="0.2">
      <c r="A112" s="30">
        <v>105</v>
      </c>
      <c r="C112" s="31">
        <v>0.99813570467579016</v>
      </c>
      <c r="D112" s="32">
        <v>12792.037331489315</v>
      </c>
      <c r="E112" s="31">
        <v>0.97461153336952755</v>
      </c>
      <c r="F112" s="32">
        <v>7676.9152483115085</v>
      </c>
      <c r="G112" s="31">
        <v>0.97174673048089033</v>
      </c>
      <c r="H112" s="32">
        <v>7954.9564291478191</v>
      </c>
      <c r="I112" s="31">
        <v>0.97174673048089033</v>
      </c>
      <c r="J112" s="32">
        <v>5769.1321578598081</v>
      </c>
      <c r="L112" s="43">
        <f t="shared" si="8"/>
        <v>-7801.3588081103644</v>
      </c>
      <c r="M112" s="43">
        <f t="shared" si="9"/>
        <v>-2803.8575814638707</v>
      </c>
      <c r="N112" s="43">
        <f t="shared" si="10"/>
        <v>-3096.2227767433678</v>
      </c>
      <c r="O112" s="43">
        <f t="shared" si="11"/>
        <v>-910.39850545535683</v>
      </c>
      <c r="Q112" s="42">
        <f t="shared" si="12"/>
        <v>0</v>
      </c>
      <c r="R112" s="42">
        <f t="shared" si="13"/>
        <v>0</v>
      </c>
      <c r="S112" s="42">
        <f t="shared" si="14"/>
        <v>0</v>
      </c>
      <c r="T112" s="42">
        <f t="shared" si="15"/>
        <v>1</v>
      </c>
      <c r="V112" s="30">
        <v>440</v>
      </c>
      <c r="W112" s="30">
        <v>0</v>
      </c>
      <c r="X112" s="30">
        <v>0</v>
      </c>
      <c r="Y112" s="30">
        <v>0</v>
      </c>
      <c r="Z112" s="30">
        <v>1</v>
      </c>
    </row>
    <row r="113" spans="1:26" x14ac:dyDescent="0.2">
      <c r="A113" s="30">
        <v>106</v>
      </c>
      <c r="C113" s="31">
        <v>0.99214200196842495</v>
      </c>
      <c r="D113" s="32">
        <v>16088.729458052267</v>
      </c>
      <c r="E113" s="31">
        <v>0.79295709400271908</v>
      </c>
      <c r="F113" s="32">
        <v>8795.5801838340631</v>
      </c>
      <c r="G113" s="31">
        <v>0.92766347629983925</v>
      </c>
      <c r="H113" s="32">
        <v>9936.9824292007088</v>
      </c>
      <c r="I113" s="31">
        <v>0.79277015687378327</v>
      </c>
      <c r="J113" s="32">
        <v>5520.8668298164075</v>
      </c>
      <c r="L113" s="43">
        <f t="shared" si="8"/>
        <v>-11128.019448210141</v>
      </c>
      <c r="M113" s="43">
        <f t="shared" si="9"/>
        <v>-4830.7947138204672</v>
      </c>
      <c r="N113" s="43">
        <f t="shared" si="10"/>
        <v>-5298.6650477015128</v>
      </c>
      <c r="O113" s="43">
        <f t="shared" si="11"/>
        <v>-1557.0160454474913</v>
      </c>
      <c r="Q113" s="42">
        <f t="shared" si="12"/>
        <v>0</v>
      </c>
      <c r="R113" s="42">
        <f t="shared" si="13"/>
        <v>0</v>
      </c>
      <c r="S113" s="42">
        <f t="shared" si="14"/>
        <v>0</v>
      </c>
      <c r="T113" s="42">
        <f t="shared" si="15"/>
        <v>1</v>
      </c>
      <c r="V113" s="30">
        <v>450</v>
      </c>
      <c r="W113" s="30">
        <v>0</v>
      </c>
      <c r="X113" s="30">
        <v>0</v>
      </c>
      <c r="Y113" s="30">
        <v>0</v>
      </c>
      <c r="Z113" s="30">
        <v>1</v>
      </c>
    </row>
    <row r="114" spans="1:26" x14ac:dyDescent="0.2">
      <c r="A114" s="30">
        <v>107</v>
      </c>
      <c r="C114" s="31">
        <v>0.98059760279682906</v>
      </c>
      <c r="D114" s="32">
        <v>16432.38770029982</v>
      </c>
      <c r="E114" s="31">
        <v>0.90544252249277157</v>
      </c>
      <c r="F114" s="32">
        <v>5481.850927345462</v>
      </c>
      <c r="G114" s="31">
        <v>0.92580021578127281</v>
      </c>
      <c r="H114" s="32">
        <v>8980.2578659414648</v>
      </c>
      <c r="I114" s="31">
        <v>0.89797296904976565</v>
      </c>
      <c r="J114" s="32">
        <v>5126.3463032516565</v>
      </c>
      <c r="L114" s="43">
        <f t="shared" si="8"/>
        <v>-11529.399686315675</v>
      </c>
      <c r="M114" s="43">
        <f t="shared" si="9"/>
        <v>-954.63831488160395</v>
      </c>
      <c r="N114" s="43">
        <f t="shared" si="10"/>
        <v>-4351.2567870351004</v>
      </c>
      <c r="O114" s="43">
        <f t="shared" si="11"/>
        <v>-636.48145800282873</v>
      </c>
      <c r="Q114" s="42">
        <f t="shared" si="12"/>
        <v>0</v>
      </c>
      <c r="R114" s="42">
        <f t="shared" si="13"/>
        <v>0</v>
      </c>
      <c r="S114" s="42">
        <f t="shared" si="14"/>
        <v>0</v>
      </c>
      <c r="T114" s="42">
        <f t="shared" si="15"/>
        <v>1</v>
      </c>
      <c r="V114" s="30">
        <v>460</v>
      </c>
      <c r="W114" s="30">
        <v>0</v>
      </c>
      <c r="X114" s="30">
        <v>0</v>
      </c>
      <c r="Y114" s="30">
        <v>0</v>
      </c>
      <c r="Z114" s="30">
        <v>1</v>
      </c>
    </row>
    <row r="115" spans="1:26" x14ac:dyDescent="0.2">
      <c r="A115" s="30">
        <v>108</v>
      </c>
      <c r="C115" s="31">
        <v>0.99401239808914721</v>
      </c>
      <c r="D115" s="32">
        <v>13939.851890675292</v>
      </c>
      <c r="E115" s="31">
        <v>0.86227869251714495</v>
      </c>
      <c r="F115" s="32">
        <v>3397.4162698530381</v>
      </c>
      <c r="G115" s="31">
        <v>0.9834831461378899</v>
      </c>
      <c r="H115" s="32">
        <v>8472.1425008795413</v>
      </c>
      <c r="I115" s="31">
        <v>0.86133928959932815</v>
      </c>
      <c r="J115" s="32">
        <v>3253.3090762741895</v>
      </c>
      <c r="L115" s="43">
        <f t="shared" si="8"/>
        <v>-8969.7899002295562</v>
      </c>
      <c r="M115" s="43">
        <f t="shared" si="9"/>
        <v>913.97719273268649</v>
      </c>
      <c r="N115" s="43">
        <f t="shared" si="10"/>
        <v>-3554.7267701900919</v>
      </c>
      <c r="O115" s="43">
        <f t="shared" si="11"/>
        <v>1053.3873717224515</v>
      </c>
      <c r="Q115" s="42">
        <f t="shared" si="12"/>
        <v>0</v>
      </c>
      <c r="R115" s="42">
        <f t="shared" si="13"/>
        <v>0</v>
      </c>
      <c r="S115" s="42">
        <f t="shared" si="14"/>
        <v>0</v>
      </c>
      <c r="T115" s="42">
        <f t="shared" si="15"/>
        <v>1</v>
      </c>
      <c r="V115" s="30">
        <v>470</v>
      </c>
      <c r="W115" s="30">
        <v>0</v>
      </c>
      <c r="X115" s="30">
        <v>0</v>
      </c>
      <c r="Y115" s="30">
        <v>0</v>
      </c>
      <c r="Z115" s="30">
        <v>1</v>
      </c>
    </row>
    <row r="116" spans="1:26" x14ac:dyDescent="0.2">
      <c r="A116" s="30">
        <v>109</v>
      </c>
      <c r="C116" s="31">
        <v>0.99249918089433808</v>
      </c>
      <c r="D116" s="32">
        <v>16384.201660364564</v>
      </c>
      <c r="E116" s="31">
        <v>0.89454119491359263</v>
      </c>
      <c r="F116" s="32">
        <v>5421.7908145062574</v>
      </c>
      <c r="G116" s="31">
        <v>0.89286533313691474</v>
      </c>
      <c r="H116" s="32">
        <v>10250.713120970129</v>
      </c>
      <c r="I116" s="31">
        <v>0.89286861636709025</v>
      </c>
      <c r="J116" s="32">
        <v>5228.0842247438013</v>
      </c>
      <c r="L116" s="43">
        <f t="shared" si="8"/>
        <v>-11421.705755892874</v>
      </c>
      <c r="M116" s="43">
        <f t="shared" si="9"/>
        <v>-949.08483993829395</v>
      </c>
      <c r="N116" s="43">
        <f t="shared" si="10"/>
        <v>-5786.3864552855557</v>
      </c>
      <c r="O116" s="43">
        <f t="shared" si="11"/>
        <v>-763.74114290835041</v>
      </c>
      <c r="Q116" s="42">
        <f t="shared" si="12"/>
        <v>0</v>
      </c>
      <c r="R116" s="42">
        <f t="shared" si="13"/>
        <v>0</v>
      </c>
      <c r="S116" s="42">
        <f t="shared" si="14"/>
        <v>0</v>
      </c>
      <c r="T116" s="42">
        <f t="shared" si="15"/>
        <v>1</v>
      </c>
      <c r="V116" s="30">
        <v>480</v>
      </c>
      <c r="W116" s="30">
        <v>0</v>
      </c>
      <c r="X116" s="30">
        <v>0</v>
      </c>
      <c r="Y116" s="30">
        <v>0</v>
      </c>
      <c r="Z116" s="30">
        <v>1</v>
      </c>
    </row>
    <row r="117" spans="1:26" x14ac:dyDescent="0.2">
      <c r="A117" s="30">
        <v>110</v>
      </c>
      <c r="C117" s="31">
        <v>0.97186770003902034</v>
      </c>
      <c r="D117" s="32">
        <v>15363.812872523113</v>
      </c>
      <c r="E117" s="31">
        <v>0.9420697617367132</v>
      </c>
      <c r="F117" s="32">
        <v>4964.4592865257937</v>
      </c>
      <c r="G117" s="31">
        <v>0.9420697617367132</v>
      </c>
      <c r="H117" s="32">
        <v>9165.2055096842323</v>
      </c>
      <c r="I117" s="31">
        <v>0.94206976173671331</v>
      </c>
      <c r="J117" s="32">
        <v>4856.8439417618247</v>
      </c>
      <c r="L117" s="43">
        <f t="shared" si="8"/>
        <v>-10504.474372328012</v>
      </c>
      <c r="M117" s="43">
        <f t="shared" si="9"/>
        <v>-254.11047784222774</v>
      </c>
      <c r="N117" s="43">
        <f t="shared" si="10"/>
        <v>-4454.8567010006664</v>
      </c>
      <c r="O117" s="43">
        <f t="shared" si="11"/>
        <v>-146.49513307825782</v>
      </c>
      <c r="Q117" s="42">
        <f t="shared" si="12"/>
        <v>0</v>
      </c>
      <c r="R117" s="42">
        <f t="shared" si="13"/>
        <v>0</v>
      </c>
      <c r="S117" s="42">
        <f t="shared" si="14"/>
        <v>0</v>
      </c>
      <c r="T117" s="42">
        <f t="shared" si="15"/>
        <v>1</v>
      </c>
      <c r="V117" s="30">
        <v>490</v>
      </c>
      <c r="W117" s="30">
        <v>0</v>
      </c>
      <c r="X117" s="30">
        <v>0</v>
      </c>
      <c r="Y117" s="30">
        <v>0</v>
      </c>
      <c r="Z117" s="30">
        <v>1</v>
      </c>
    </row>
    <row r="118" spans="1:26" x14ac:dyDescent="0.2">
      <c r="A118" s="30">
        <v>111</v>
      </c>
      <c r="C118" s="31">
        <v>0.97762342810016778</v>
      </c>
      <c r="D118" s="32">
        <v>17523.867110829346</v>
      </c>
      <c r="E118" s="31">
        <v>0.76300201245495769</v>
      </c>
      <c r="F118" s="32">
        <v>8180.8874789665688</v>
      </c>
      <c r="G118" s="31">
        <v>0.93450573680302584</v>
      </c>
      <c r="H118" s="32">
        <v>10703.77464326056</v>
      </c>
      <c r="I118" s="31">
        <v>0.76173231448524259</v>
      </c>
      <c r="J118" s="32">
        <v>4851.1550832484299</v>
      </c>
      <c r="L118" s="43">
        <f t="shared" si="8"/>
        <v>-12635.749970328507</v>
      </c>
      <c r="M118" s="43">
        <f t="shared" si="9"/>
        <v>-4365.8774166917801</v>
      </c>
      <c r="N118" s="43">
        <f t="shared" si="10"/>
        <v>-6031.2459592454306</v>
      </c>
      <c r="O118" s="43">
        <f t="shared" si="11"/>
        <v>-1042.4935108222171</v>
      </c>
      <c r="Q118" s="42">
        <f t="shared" si="12"/>
        <v>0</v>
      </c>
      <c r="R118" s="42">
        <f t="shared" si="13"/>
        <v>0</v>
      </c>
      <c r="S118" s="42">
        <f t="shared" si="14"/>
        <v>0</v>
      </c>
      <c r="T118" s="42">
        <f t="shared" si="15"/>
        <v>1</v>
      </c>
      <c r="V118" s="30">
        <v>500</v>
      </c>
      <c r="W118" s="30">
        <v>0</v>
      </c>
      <c r="X118" s="30">
        <v>0</v>
      </c>
      <c r="Y118" s="30">
        <v>0</v>
      </c>
      <c r="Z118" s="30">
        <v>1</v>
      </c>
    </row>
    <row r="119" spans="1:26" x14ac:dyDescent="0.2">
      <c r="A119" s="30">
        <v>112</v>
      </c>
      <c r="C119" s="31">
        <v>0.99832998664318595</v>
      </c>
      <c r="D119" s="32">
        <v>14366.764255809208</v>
      </c>
      <c r="E119" s="31">
        <v>0.85495136933768279</v>
      </c>
      <c r="F119" s="32">
        <v>3645.913978176332</v>
      </c>
      <c r="G119" s="31">
        <v>0.96055447491486756</v>
      </c>
      <c r="H119" s="32">
        <v>9043.3792012534086</v>
      </c>
      <c r="I119" s="31">
        <v>0.85008437616762911</v>
      </c>
      <c r="J119" s="32">
        <v>3470.9023273511471</v>
      </c>
      <c r="L119" s="43">
        <f t="shared" si="8"/>
        <v>-9375.1143225932792</v>
      </c>
      <c r="M119" s="43">
        <f t="shared" si="9"/>
        <v>628.84286851208208</v>
      </c>
      <c r="N119" s="43">
        <f t="shared" si="10"/>
        <v>-4240.6068266790708</v>
      </c>
      <c r="O119" s="43">
        <f t="shared" si="11"/>
        <v>779.51955348699857</v>
      </c>
      <c r="Q119" s="42">
        <f t="shared" si="12"/>
        <v>0</v>
      </c>
      <c r="R119" s="42">
        <f t="shared" si="13"/>
        <v>0</v>
      </c>
      <c r="S119" s="42">
        <f t="shared" si="14"/>
        <v>0</v>
      </c>
      <c r="T119" s="42">
        <f t="shared" si="15"/>
        <v>1</v>
      </c>
      <c r="V119" s="30">
        <v>550</v>
      </c>
      <c r="W119" s="30">
        <v>0</v>
      </c>
      <c r="X119" s="30">
        <v>0</v>
      </c>
      <c r="Y119" s="30">
        <v>0</v>
      </c>
      <c r="Z119" s="30">
        <v>1</v>
      </c>
    </row>
    <row r="120" spans="1:26" x14ac:dyDescent="0.2">
      <c r="A120" s="30">
        <v>113</v>
      </c>
      <c r="C120" s="31">
        <v>0.97365806950956191</v>
      </c>
      <c r="D120" s="32">
        <v>14727.505212223641</v>
      </c>
      <c r="E120" s="31">
        <v>0.96264237739245184</v>
      </c>
      <c r="F120" s="32">
        <v>5193.3057464837448</v>
      </c>
      <c r="G120" s="31">
        <v>0.9606697188626957</v>
      </c>
      <c r="H120" s="32">
        <v>8865.392307164595</v>
      </c>
      <c r="I120" s="31">
        <v>0.9606697188626957</v>
      </c>
      <c r="J120" s="32">
        <v>5008.5272500418587</v>
      </c>
      <c r="L120" s="43">
        <f t="shared" si="8"/>
        <v>-9859.2148646758324</v>
      </c>
      <c r="M120" s="43">
        <f t="shared" si="9"/>
        <v>-380.09385952148568</v>
      </c>
      <c r="N120" s="43">
        <f t="shared" si="10"/>
        <v>-4062.0437128511167</v>
      </c>
      <c r="O120" s="43">
        <f t="shared" si="11"/>
        <v>-205.17865572838036</v>
      </c>
      <c r="Q120" s="42">
        <f t="shared" si="12"/>
        <v>0</v>
      </c>
      <c r="R120" s="42">
        <f t="shared" si="13"/>
        <v>0</v>
      </c>
      <c r="S120" s="42">
        <f t="shared" si="14"/>
        <v>0</v>
      </c>
      <c r="T120" s="42">
        <f t="shared" si="15"/>
        <v>1</v>
      </c>
      <c r="V120" s="30">
        <v>600</v>
      </c>
      <c r="W120" s="30">
        <v>0</v>
      </c>
      <c r="X120" s="30">
        <v>0</v>
      </c>
      <c r="Y120" s="30">
        <v>0</v>
      </c>
      <c r="Z120" s="30">
        <v>1</v>
      </c>
    </row>
    <row r="121" spans="1:26" x14ac:dyDescent="0.2">
      <c r="A121" s="30">
        <v>114</v>
      </c>
      <c r="C121" s="31">
        <v>0.99465240433157032</v>
      </c>
      <c r="D121" s="32">
        <v>13095.272525867687</v>
      </c>
      <c r="E121" s="31">
        <v>0.89469276001093034</v>
      </c>
      <c r="F121" s="32">
        <v>5074.1109254357525</v>
      </c>
      <c r="G121" s="31">
        <v>0.96623777431905888</v>
      </c>
      <c r="H121" s="32">
        <v>7492.2435634983167</v>
      </c>
      <c r="I121" s="31">
        <v>0.88677473483719771</v>
      </c>
      <c r="J121" s="32">
        <v>3717.9009651955853</v>
      </c>
      <c r="L121" s="43">
        <f t="shared" si="8"/>
        <v>-8122.0105042098357</v>
      </c>
      <c r="M121" s="43">
        <f t="shared" si="9"/>
        <v>-600.64712538110052</v>
      </c>
      <c r="N121" s="43">
        <f t="shared" si="10"/>
        <v>-2661.0546919030221</v>
      </c>
      <c r="O121" s="43">
        <f t="shared" si="11"/>
        <v>715.97270899040313</v>
      </c>
      <c r="Q121" s="42">
        <f t="shared" si="12"/>
        <v>0</v>
      </c>
      <c r="R121" s="42">
        <f t="shared" si="13"/>
        <v>0</v>
      </c>
      <c r="S121" s="42">
        <f t="shared" si="14"/>
        <v>0</v>
      </c>
      <c r="T121" s="42">
        <f t="shared" si="15"/>
        <v>1</v>
      </c>
      <c r="V121" s="30">
        <v>650</v>
      </c>
      <c r="W121" s="30">
        <v>0</v>
      </c>
      <c r="X121" s="30">
        <v>0</v>
      </c>
      <c r="Y121" s="30">
        <v>0</v>
      </c>
      <c r="Z121" s="30">
        <v>1</v>
      </c>
    </row>
    <row r="122" spans="1:26" x14ac:dyDescent="0.2">
      <c r="A122" s="30">
        <v>115</v>
      </c>
      <c r="C122" s="31">
        <v>0.96961775689253415</v>
      </c>
      <c r="D122" s="32">
        <v>14168.52072460391</v>
      </c>
      <c r="E122" s="31">
        <v>0.9726347588294586</v>
      </c>
      <c r="F122" s="32">
        <v>4325.009531307116</v>
      </c>
      <c r="G122" s="31">
        <v>0.96799468260335186</v>
      </c>
      <c r="H122" s="32">
        <v>7954.5369651858837</v>
      </c>
      <c r="I122" s="31">
        <v>0.96799799521959451</v>
      </c>
      <c r="J122" s="32">
        <v>4083.2153785444784</v>
      </c>
      <c r="L122" s="43">
        <f t="shared" si="8"/>
        <v>-9320.4319401412395</v>
      </c>
      <c r="M122" s="43">
        <f t="shared" si="9"/>
        <v>538.16426284017689</v>
      </c>
      <c r="N122" s="43">
        <f t="shared" si="10"/>
        <v>-3114.5635521691247</v>
      </c>
      <c r="O122" s="43">
        <f t="shared" si="11"/>
        <v>756.774597553494</v>
      </c>
      <c r="Q122" s="42">
        <f t="shared" si="12"/>
        <v>0</v>
      </c>
      <c r="R122" s="42">
        <f t="shared" si="13"/>
        <v>0</v>
      </c>
      <c r="S122" s="42">
        <f t="shared" si="14"/>
        <v>0</v>
      </c>
      <c r="T122" s="42">
        <f t="shared" si="15"/>
        <v>1</v>
      </c>
      <c r="V122" s="30">
        <v>700</v>
      </c>
      <c r="W122" s="30">
        <v>0</v>
      </c>
      <c r="X122" s="30">
        <v>0</v>
      </c>
      <c r="Y122" s="30">
        <v>0</v>
      </c>
      <c r="Z122" s="30">
        <v>1</v>
      </c>
    </row>
    <row r="123" spans="1:26" x14ac:dyDescent="0.2">
      <c r="A123" s="30">
        <v>116</v>
      </c>
      <c r="C123" s="31">
        <v>0.99386490259448934</v>
      </c>
      <c r="D123" s="32">
        <v>18197.571255509807</v>
      </c>
      <c r="E123" s="31">
        <v>0.85180863219980707</v>
      </c>
      <c r="F123" s="32">
        <v>6386.1437025767955</v>
      </c>
      <c r="G123" s="31">
        <v>0.88073633899699477</v>
      </c>
      <c r="H123" s="32">
        <v>10555.270106737598</v>
      </c>
      <c r="I123" s="31">
        <v>0.84613074353396878</v>
      </c>
      <c r="J123" s="32">
        <v>5520.3618612716709</v>
      </c>
      <c r="L123" s="43">
        <f t="shared" si="8"/>
        <v>-13228.246742537362</v>
      </c>
      <c r="M123" s="43">
        <f t="shared" si="9"/>
        <v>-2127.1005415777599</v>
      </c>
      <c r="N123" s="43">
        <f t="shared" si="10"/>
        <v>-6151.5884117526248</v>
      </c>
      <c r="O123" s="43">
        <f t="shared" si="11"/>
        <v>-1289.708143601827</v>
      </c>
      <c r="Q123" s="42">
        <f t="shared" si="12"/>
        <v>0</v>
      </c>
      <c r="R123" s="42">
        <f t="shared" si="13"/>
        <v>0</v>
      </c>
      <c r="S123" s="42">
        <f t="shared" si="14"/>
        <v>0</v>
      </c>
      <c r="T123" s="42">
        <f t="shared" si="15"/>
        <v>1</v>
      </c>
      <c r="V123" s="30">
        <v>750</v>
      </c>
      <c r="W123" s="30">
        <v>0</v>
      </c>
      <c r="X123" s="30">
        <v>0</v>
      </c>
      <c r="Y123" s="30">
        <v>0</v>
      </c>
      <c r="Z123" s="30">
        <v>1</v>
      </c>
    </row>
    <row r="124" spans="1:26" x14ac:dyDescent="0.2">
      <c r="A124" s="30">
        <v>117</v>
      </c>
      <c r="C124" s="31">
        <v>0.99460538617044769</v>
      </c>
      <c r="D124" s="32">
        <v>18051.311448776276</v>
      </c>
      <c r="E124" s="31">
        <v>0.79128837296690435</v>
      </c>
      <c r="F124" s="32">
        <v>9153.6762232986312</v>
      </c>
      <c r="G124" s="31">
        <v>0.96558925814380014</v>
      </c>
      <c r="H124" s="32">
        <v>10930.619726701958</v>
      </c>
      <c r="I124" s="31">
        <v>0.7880559819896813</v>
      </c>
      <c r="J124" s="32">
        <v>5128.9595358196875</v>
      </c>
      <c r="L124" s="43">
        <f t="shared" si="8"/>
        <v>-13078.284517924038</v>
      </c>
      <c r="M124" s="43">
        <f t="shared" si="9"/>
        <v>-5197.2343584641094</v>
      </c>
      <c r="N124" s="43">
        <f t="shared" si="10"/>
        <v>-6102.673435982957</v>
      </c>
      <c r="O124" s="43">
        <f t="shared" si="11"/>
        <v>-1188.6796258712811</v>
      </c>
      <c r="Q124" s="42">
        <f t="shared" si="12"/>
        <v>0</v>
      </c>
      <c r="R124" s="42">
        <f t="shared" si="13"/>
        <v>0</v>
      </c>
      <c r="S124" s="42">
        <f t="shared" si="14"/>
        <v>0</v>
      </c>
      <c r="T124" s="42">
        <f t="shared" si="15"/>
        <v>1</v>
      </c>
      <c r="V124" s="30">
        <v>800</v>
      </c>
      <c r="W124" s="30">
        <v>0</v>
      </c>
      <c r="X124" s="30">
        <v>0</v>
      </c>
      <c r="Y124" s="30">
        <v>0</v>
      </c>
      <c r="Z124" s="30">
        <v>1</v>
      </c>
    </row>
    <row r="125" spans="1:26" x14ac:dyDescent="0.2">
      <c r="A125" s="30">
        <v>118</v>
      </c>
      <c r="C125" s="31">
        <v>0.96329389294090095</v>
      </c>
      <c r="D125" s="32">
        <v>17338.886571839295</v>
      </c>
      <c r="E125" s="31">
        <v>0.96651918487302291</v>
      </c>
      <c r="F125" s="32">
        <v>7538.1697841335235</v>
      </c>
      <c r="G125" s="31">
        <v>0.96033727742661679</v>
      </c>
      <c r="H125" s="32">
        <v>10534.762766870013</v>
      </c>
      <c r="I125" s="31">
        <v>0.96033727742661701</v>
      </c>
      <c r="J125" s="32">
        <v>6336.1406649042347</v>
      </c>
      <c r="L125" s="43">
        <f t="shared" si="8"/>
        <v>-12522.417107134792</v>
      </c>
      <c r="M125" s="43">
        <f t="shared" si="9"/>
        <v>-2705.5738597684094</v>
      </c>
      <c r="N125" s="43">
        <f t="shared" si="10"/>
        <v>-5733.0763797369291</v>
      </c>
      <c r="O125" s="43">
        <f t="shared" si="11"/>
        <v>-1534.4542777711495</v>
      </c>
      <c r="Q125" s="42">
        <f t="shared" si="12"/>
        <v>0</v>
      </c>
      <c r="R125" s="42">
        <f t="shared" si="13"/>
        <v>0</v>
      </c>
      <c r="S125" s="42">
        <f t="shared" si="14"/>
        <v>0</v>
      </c>
      <c r="T125" s="42">
        <f t="shared" si="15"/>
        <v>1</v>
      </c>
      <c r="V125" s="30">
        <v>850</v>
      </c>
      <c r="W125" s="30">
        <v>0</v>
      </c>
      <c r="X125" s="30">
        <v>0</v>
      </c>
      <c r="Y125" s="30">
        <v>0</v>
      </c>
      <c r="Z125" s="30">
        <v>1</v>
      </c>
    </row>
    <row r="126" spans="1:26" x14ac:dyDescent="0.2">
      <c r="A126" s="30">
        <v>119</v>
      </c>
      <c r="C126" s="31">
        <v>0.98754544001683775</v>
      </c>
      <c r="D126" s="32">
        <v>15637.973506060986</v>
      </c>
      <c r="E126" s="31">
        <v>0.90051617502886028</v>
      </c>
      <c r="F126" s="32">
        <v>4866.8681163473766</v>
      </c>
      <c r="G126" s="31">
        <v>0.92115360214006325</v>
      </c>
      <c r="H126" s="32">
        <v>9577.3675710583375</v>
      </c>
      <c r="I126" s="31">
        <v>0.89706356896300532</v>
      </c>
      <c r="J126" s="32">
        <v>4667.0189628683765</v>
      </c>
      <c r="L126" s="43">
        <f t="shared" si="8"/>
        <v>-10700.246305976798</v>
      </c>
      <c r="M126" s="43">
        <f t="shared" si="9"/>
        <v>-364.28724120307561</v>
      </c>
      <c r="N126" s="43">
        <f t="shared" si="10"/>
        <v>-4971.5995603580213</v>
      </c>
      <c r="O126" s="43">
        <f t="shared" si="11"/>
        <v>-181.70111805335</v>
      </c>
      <c r="Q126" s="42">
        <f t="shared" si="12"/>
        <v>0</v>
      </c>
      <c r="R126" s="42">
        <f t="shared" si="13"/>
        <v>0</v>
      </c>
      <c r="S126" s="42">
        <f t="shared" si="14"/>
        <v>0</v>
      </c>
      <c r="T126" s="42">
        <f t="shared" si="15"/>
        <v>1</v>
      </c>
      <c r="V126" s="30">
        <v>900</v>
      </c>
      <c r="W126" s="30">
        <v>0</v>
      </c>
      <c r="X126" s="30">
        <v>0</v>
      </c>
      <c r="Y126" s="30">
        <v>0</v>
      </c>
      <c r="Z126" s="30">
        <v>1</v>
      </c>
    </row>
    <row r="127" spans="1:26" x14ac:dyDescent="0.2">
      <c r="A127" s="30">
        <v>120</v>
      </c>
      <c r="C127" s="31">
        <v>0.99592127274366493</v>
      </c>
      <c r="D127" s="32">
        <v>14527.406824529917</v>
      </c>
      <c r="E127" s="31">
        <v>0.93077275883613986</v>
      </c>
      <c r="F127" s="32">
        <v>5169.0072770501783</v>
      </c>
      <c r="G127" s="31">
        <v>0.93276233524861341</v>
      </c>
      <c r="H127" s="32">
        <v>8955.39788577933</v>
      </c>
      <c r="I127" s="31">
        <v>0.91869661370593869</v>
      </c>
      <c r="J127" s="32">
        <v>4847.2452898065494</v>
      </c>
      <c r="L127" s="43">
        <f t="shared" si="8"/>
        <v>-9547.8004608115916</v>
      </c>
      <c r="M127" s="43">
        <f t="shared" si="9"/>
        <v>-515.14348286947916</v>
      </c>
      <c r="N127" s="43">
        <f t="shared" si="10"/>
        <v>-4291.5862095362627</v>
      </c>
      <c r="O127" s="43">
        <f t="shared" si="11"/>
        <v>-253.7622212768556</v>
      </c>
      <c r="Q127" s="42">
        <f t="shared" si="12"/>
        <v>0</v>
      </c>
      <c r="R127" s="42">
        <f t="shared" si="13"/>
        <v>0</v>
      </c>
      <c r="S127" s="42">
        <f t="shared" si="14"/>
        <v>0</v>
      </c>
      <c r="T127" s="42">
        <f t="shared" si="15"/>
        <v>1</v>
      </c>
      <c r="V127" s="30">
        <v>950</v>
      </c>
      <c r="W127" s="30">
        <v>0</v>
      </c>
      <c r="X127" s="30">
        <v>0</v>
      </c>
      <c r="Y127" s="30">
        <v>0</v>
      </c>
      <c r="Z127" s="30">
        <v>1</v>
      </c>
    </row>
    <row r="128" spans="1:26" x14ac:dyDescent="0.2">
      <c r="A128" s="30">
        <v>121</v>
      </c>
      <c r="C128" s="31">
        <v>0.99609628223761648</v>
      </c>
      <c r="D128" s="32">
        <v>12252.078864175908</v>
      </c>
      <c r="E128" s="31">
        <v>0.75141101058706106</v>
      </c>
      <c r="F128" s="32">
        <v>1599.7577990411446</v>
      </c>
      <c r="G128" s="31">
        <v>0.96705455406245244</v>
      </c>
      <c r="H128" s="32">
        <v>7792.7002333731107</v>
      </c>
      <c r="I128" s="31">
        <v>0.75141101058706106</v>
      </c>
      <c r="J128" s="32">
        <v>1477.8952265475871</v>
      </c>
      <c r="L128" s="43">
        <f t="shared" si="8"/>
        <v>-7271.5974529878258</v>
      </c>
      <c r="M128" s="43">
        <f t="shared" si="9"/>
        <v>2157.2972538941608</v>
      </c>
      <c r="N128" s="43">
        <f t="shared" si="10"/>
        <v>-2957.4274630608488</v>
      </c>
      <c r="O128" s="43">
        <f t="shared" si="11"/>
        <v>2279.1598263877186</v>
      </c>
      <c r="Q128" s="42">
        <f t="shared" si="12"/>
        <v>0</v>
      </c>
      <c r="R128" s="42">
        <f t="shared" si="13"/>
        <v>0</v>
      </c>
      <c r="S128" s="42">
        <f t="shared" si="14"/>
        <v>0</v>
      </c>
      <c r="T128" s="42">
        <f t="shared" si="15"/>
        <v>1</v>
      </c>
      <c r="V128" s="30">
        <v>1000</v>
      </c>
      <c r="W128" s="30">
        <v>0</v>
      </c>
      <c r="X128" s="30">
        <v>0</v>
      </c>
      <c r="Y128" s="30">
        <v>0</v>
      </c>
      <c r="Z128" s="30">
        <v>1</v>
      </c>
    </row>
    <row r="129" spans="1:26" x14ac:dyDescent="0.2">
      <c r="A129" s="30">
        <v>122</v>
      </c>
      <c r="C129" s="31">
        <v>0.99938081117832434</v>
      </c>
      <c r="D129" s="32">
        <v>20021.483318920389</v>
      </c>
      <c r="E129" s="31">
        <v>0.88111922449178137</v>
      </c>
      <c r="F129" s="32">
        <v>5325.1029772156462</v>
      </c>
      <c r="G129" s="31">
        <v>0.96958505672470663</v>
      </c>
      <c r="H129" s="32">
        <v>12987.382386976913</v>
      </c>
      <c r="I129" s="31">
        <v>0.87677028064392593</v>
      </c>
      <c r="J129" s="32">
        <v>4976.4857371014859</v>
      </c>
      <c r="L129" s="43">
        <f t="shared" si="8"/>
        <v>-15024.579263028769</v>
      </c>
      <c r="M129" s="43">
        <f t="shared" si="9"/>
        <v>-919.5068547567389</v>
      </c>
      <c r="N129" s="43">
        <f t="shared" si="10"/>
        <v>-8139.4571033533803</v>
      </c>
      <c r="O129" s="43">
        <f t="shared" si="11"/>
        <v>-592.63433388185604</v>
      </c>
      <c r="Q129" s="42">
        <f t="shared" si="12"/>
        <v>0</v>
      </c>
      <c r="R129" s="42">
        <f t="shared" si="13"/>
        <v>0</v>
      </c>
      <c r="S129" s="42">
        <f t="shared" si="14"/>
        <v>0</v>
      </c>
      <c r="T129" s="42">
        <f t="shared" si="15"/>
        <v>1</v>
      </c>
      <c r="V129" s="30">
        <v>1050</v>
      </c>
      <c r="W129" s="30">
        <v>0</v>
      </c>
      <c r="X129" s="30">
        <v>0</v>
      </c>
      <c r="Y129" s="30">
        <v>0</v>
      </c>
      <c r="Z129" s="30">
        <v>1</v>
      </c>
    </row>
    <row r="130" spans="1:26" x14ac:dyDescent="0.2">
      <c r="A130" s="30">
        <v>123</v>
      </c>
      <c r="C130" s="31">
        <v>0.99171091190572902</v>
      </c>
      <c r="D130" s="32">
        <v>14590.991396605124</v>
      </c>
      <c r="E130" s="31">
        <v>0.8111768209151462</v>
      </c>
      <c r="F130" s="32">
        <v>3436.445493361683</v>
      </c>
      <c r="G130" s="31">
        <v>0.89162648985763915</v>
      </c>
      <c r="H130" s="32">
        <v>8822.4212233496946</v>
      </c>
      <c r="I130" s="31">
        <v>0.80140503642584715</v>
      </c>
      <c r="J130" s="32">
        <v>3161.9712782639704</v>
      </c>
      <c r="L130" s="43">
        <f t="shared" si="8"/>
        <v>-9632.4368370764787</v>
      </c>
      <c r="M130" s="43">
        <f t="shared" si="9"/>
        <v>619.4386112140478</v>
      </c>
      <c r="N130" s="43">
        <f t="shared" si="10"/>
        <v>-4364.2887740614988</v>
      </c>
      <c r="O130" s="43">
        <f t="shared" si="11"/>
        <v>845.05390386526551</v>
      </c>
      <c r="Q130" s="42">
        <f t="shared" si="12"/>
        <v>0</v>
      </c>
      <c r="R130" s="42">
        <f t="shared" si="13"/>
        <v>0</v>
      </c>
      <c r="S130" s="42">
        <f t="shared" si="14"/>
        <v>0</v>
      </c>
      <c r="T130" s="42">
        <f t="shared" si="15"/>
        <v>1</v>
      </c>
      <c r="V130" s="30">
        <v>1100</v>
      </c>
      <c r="W130" s="30">
        <v>0</v>
      </c>
      <c r="X130" s="30">
        <v>0</v>
      </c>
      <c r="Y130" s="30">
        <v>0</v>
      </c>
      <c r="Z130" s="30">
        <v>1</v>
      </c>
    </row>
    <row r="131" spans="1:26" x14ac:dyDescent="0.2">
      <c r="A131" s="30">
        <v>124</v>
      </c>
      <c r="C131" s="31">
        <v>0.99043674445272856</v>
      </c>
      <c r="D131" s="32">
        <v>14389.702648771268</v>
      </c>
      <c r="E131" s="31">
        <v>0.96978186150328138</v>
      </c>
      <c r="F131" s="32">
        <v>4797.7029868837762</v>
      </c>
      <c r="G131" s="31">
        <v>0.96089954775475639</v>
      </c>
      <c r="H131" s="32">
        <v>8903.6989028300322</v>
      </c>
      <c r="I131" s="31">
        <v>0.96089954775475639</v>
      </c>
      <c r="J131" s="32">
        <v>4530.2035503043489</v>
      </c>
      <c r="L131" s="43">
        <f t="shared" si="8"/>
        <v>-9437.518926507626</v>
      </c>
      <c r="M131" s="43">
        <f t="shared" si="9"/>
        <v>51.206320632631105</v>
      </c>
      <c r="N131" s="43">
        <f t="shared" si="10"/>
        <v>-4099.2011640562505</v>
      </c>
      <c r="O131" s="43">
        <f t="shared" si="11"/>
        <v>274.29418846943281</v>
      </c>
      <c r="Q131" s="42">
        <f t="shared" si="12"/>
        <v>0</v>
      </c>
      <c r="R131" s="42">
        <f t="shared" si="13"/>
        <v>0</v>
      </c>
      <c r="S131" s="42">
        <f t="shared" si="14"/>
        <v>0</v>
      </c>
      <c r="T131" s="42">
        <f t="shared" si="15"/>
        <v>1</v>
      </c>
      <c r="V131" s="30">
        <v>1150</v>
      </c>
      <c r="W131" s="30">
        <v>0</v>
      </c>
      <c r="X131" s="30">
        <v>0</v>
      </c>
      <c r="Y131" s="30">
        <v>0</v>
      </c>
      <c r="Z131" s="30">
        <v>1</v>
      </c>
    </row>
    <row r="132" spans="1:26" x14ac:dyDescent="0.2">
      <c r="A132" s="30">
        <v>125</v>
      </c>
      <c r="C132" s="31">
        <v>0.9895762719308292</v>
      </c>
      <c r="D132" s="32">
        <v>14253.545754105462</v>
      </c>
      <c r="E132" s="31">
        <v>0.96187640051038037</v>
      </c>
      <c r="F132" s="32">
        <v>4659.8827275811873</v>
      </c>
      <c r="G132" s="31">
        <v>0.95885630014595535</v>
      </c>
      <c r="H132" s="32">
        <v>8263.2466164979251</v>
      </c>
      <c r="I132" s="31">
        <v>0.95885630014595535</v>
      </c>
      <c r="J132" s="32">
        <v>4496.4168024494911</v>
      </c>
      <c r="L132" s="43">
        <f t="shared" si="8"/>
        <v>-9305.6643944513162</v>
      </c>
      <c r="M132" s="43">
        <f t="shared" si="9"/>
        <v>149.4992749707144</v>
      </c>
      <c r="N132" s="43">
        <f t="shared" si="10"/>
        <v>-3468.9651157681483</v>
      </c>
      <c r="O132" s="43">
        <f t="shared" si="11"/>
        <v>297.86469828028567</v>
      </c>
      <c r="Q132" s="42">
        <f t="shared" si="12"/>
        <v>0</v>
      </c>
      <c r="R132" s="42">
        <f t="shared" si="13"/>
        <v>0</v>
      </c>
      <c r="S132" s="42">
        <f t="shared" si="14"/>
        <v>0</v>
      </c>
      <c r="T132" s="42">
        <f t="shared" si="15"/>
        <v>1</v>
      </c>
      <c r="V132" s="30">
        <v>1200</v>
      </c>
      <c r="W132" s="30">
        <v>0</v>
      </c>
      <c r="X132" s="30">
        <v>0</v>
      </c>
      <c r="Y132" s="30">
        <v>0</v>
      </c>
      <c r="Z132" s="30">
        <v>1</v>
      </c>
    </row>
    <row r="133" spans="1:26" x14ac:dyDescent="0.2">
      <c r="A133" s="30">
        <v>126</v>
      </c>
      <c r="C133" s="31">
        <v>0.9866961545289018</v>
      </c>
      <c r="D133" s="32">
        <v>16975.472868181645</v>
      </c>
      <c r="E133" s="31">
        <v>0.8599870585630387</v>
      </c>
      <c r="F133" s="32">
        <v>3383.8008034835329</v>
      </c>
      <c r="G133" s="31">
        <v>0.96557960898718243</v>
      </c>
      <c r="H133" s="32">
        <v>9719.6389229154665</v>
      </c>
      <c r="I133" s="31">
        <v>0.8599870585630387</v>
      </c>
      <c r="J133" s="32">
        <v>3191.8511393061126</v>
      </c>
      <c r="L133" s="43">
        <f t="shared" si="8"/>
        <v>-12041.992095537136</v>
      </c>
      <c r="M133" s="43">
        <f t="shared" si="9"/>
        <v>916.13448933166092</v>
      </c>
      <c r="N133" s="43">
        <f t="shared" si="10"/>
        <v>-4891.7408779795542</v>
      </c>
      <c r="O133" s="43">
        <f t="shared" si="11"/>
        <v>1108.0841535090813</v>
      </c>
      <c r="Q133" s="42">
        <f t="shared" si="12"/>
        <v>0</v>
      </c>
      <c r="R133" s="42">
        <f t="shared" si="13"/>
        <v>0</v>
      </c>
      <c r="S133" s="42">
        <f t="shared" si="14"/>
        <v>0</v>
      </c>
      <c r="T133" s="42">
        <f t="shared" si="15"/>
        <v>1</v>
      </c>
      <c r="V133" s="30">
        <v>1250</v>
      </c>
      <c r="W133" s="30">
        <v>0</v>
      </c>
      <c r="X133" s="30">
        <v>0</v>
      </c>
      <c r="Y133" s="30">
        <v>0</v>
      </c>
      <c r="Z133" s="30">
        <v>1</v>
      </c>
    </row>
    <row r="134" spans="1:26" x14ac:dyDescent="0.2">
      <c r="A134" s="30">
        <v>127</v>
      </c>
      <c r="C134" s="31">
        <v>0.96309005033706485</v>
      </c>
      <c r="D134" s="32">
        <v>15305.409104374032</v>
      </c>
      <c r="E134" s="31">
        <v>0.95871791446607169</v>
      </c>
      <c r="F134" s="32">
        <v>5693.1109198373397</v>
      </c>
      <c r="G134" s="31">
        <v>0.9587179144660718</v>
      </c>
      <c r="H134" s="32">
        <v>8980.6002280710309</v>
      </c>
      <c r="I134" s="31">
        <v>0.9587179144660718</v>
      </c>
      <c r="J134" s="32">
        <v>5546.0279928293667</v>
      </c>
      <c r="L134" s="43">
        <f t="shared" si="8"/>
        <v>-10489.958852688707</v>
      </c>
      <c r="M134" s="43">
        <f t="shared" si="9"/>
        <v>-899.52134750698133</v>
      </c>
      <c r="N134" s="43">
        <f t="shared" si="10"/>
        <v>-4187.0106557406716</v>
      </c>
      <c r="O134" s="43">
        <f t="shared" si="11"/>
        <v>-752.43842049900741</v>
      </c>
      <c r="Q134" s="42">
        <f t="shared" si="12"/>
        <v>0</v>
      </c>
      <c r="R134" s="42">
        <f t="shared" si="13"/>
        <v>0</v>
      </c>
      <c r="S134" s="42">
        <f t="shared" si="14"/>
        <v>0</v>
      </c>
      <c r="T134" s="42">
        <f t="shared" si="15"/>
        <v>1</v>
      </c>
      <c r="V134" s="30">
        <v>1300</v>
      </c>
      <c r="W134" s="30">
        <v>0</v>
      </c>
      <c r="X134" s="30">
        <v>0</v>
      </c>
      <c r="Y134" s="30">
        <v>0</v>
      </c>
      <c r="Z134" s="30">
        <v>1</v>
      </c>
    </row>
    <row r="135" spans="1:26" x14ac:dyDescent="0.2">
      <c r="A135" s="30">
        <v>128</v>
      </c>
      <c r="C135" s="31">
        <v>0.98203256826644136</v>
      </c>
      <c r="D135" s="32">
        <v>18531.935268071837</v>
      </c>
      <c r="E135" s="31">
        <v>0.88067011675978546</v>
      </c>
      <c r="F135" s="32">
        <v>6438.5389061980595</v>
      </c>
      <c r="G135" s="31">
        <v>0.94927196415432036</v>
      </c>
      <c r="H135" s="32">
        <v>11515.758540770605</v>
      </c>
      <c r="I135" s="31">
        <v>0.87805562038680962</v>
      </c>
      <c r="J135" s="32">
        <v>5611.7994389866344</v>
      </c>
      <c r="L135" s="43">
        <f t="shared" si="8"/>
        <v>-13621.77242673963</v>
      </c>
      <c r="M135" s="43">
        <f t="shared" si="9"/>
        <v>-2035.1883223991326</v>
      </c>
      <c r="N135" s="43">
        <f t="shared" si="10"/>
        <v>-6769.3987199990024</v>
      </c>
      <c r="O135" s="43">
        <f t="shared" si="11"/>
        <v>-1221.5213370525862</v>
      </c>
      <c r="Q135" s="42">
        <f t="shared" si="12"/>
        <v>0</v>
      </c>
      <c r="R135" s="42">
        <f t="shared" si="13"/>
        <v>0</v>
      </c>
      <c r="S135" s="42">
        <f t="shared" si="14"/>
        <v>0</v>
      </c>
      <c r="T135" s="42">
        <f t="shared" si="15"/>
        <v>1</v>
      </c>
      <c r="V135" s="30">
        <v>1350</v>
      </c>
      <c r="W135" s="30">
        <v>0</v>
      </c>
      <c r="X135" s="30">
        <v>0</v>
      </c>
      <c r="Y135" s="30">
        <v>0</v>
      </c>
      <c r="Z135" s="30">
        <v>1</v>
      </c>
    </row>
    <row r="136" spans="1:26" x14ac:dyDescent="0.2">
      <c r="A136" s="30">
        <v>129</v>
      </c>
      <c r="C136" s="31">
        <v>0.9850479516724221</v>
      </c>
      <c r="D136" s="32">
        <v>13475.392357533217</v>
      </c>
      <c r="E136" s="31">
        <v>0.77354655191279931</v>
      </c>
      <c r="F136" s="32">
        <v>6060.9738567370732</v>
      </c>
      <c r="G136" s="31">
        <v>0.95579164626192858</v>
      </c>
      <c r="H136" s="32">
        <v>8533.1292276194417</v>
      </c>
      <c r="I136" s="31">
        <v>0.76942772277363658</v>
      </c>
      <c r="J136" s="32">
        <v>3804.6349939056167</v>
      </c>
      <c r="L136" s="43">
        <f t="shared" ref="L136:L199" si="16">C136*Rc_-D136</f>
        <v>-8550.152599171106</v>
      </c>
      <c r="M136" s="43">
        <f t="shared" ref="M136:M199" si="17">E136*Rc_-F136</f>
        <v>-2193.2410971730765</v>
      </c>
      <c r="N136" s="43">
        <f t="shared" ref="N136:N199" si="18">G136*Rc_-H136</f>
        <v>-3754.1709963097992</v>
      </c>
      <c r="O136" s="43">
        <f t="shared" ref="O136:O199" si="19">I136*Rc_-J136</f>
        <v>42.503619962566063</v>
      </c>
      <c r="Q136" s="42">
        <f t="shared" si="12"/>
        <v>0</v>
      </c>
      <c r="R136" s="42">
        <f t="shared" si="13"/>
        <v>0</v>
      </c>
      <c r="S136" s="42">
        <f t="shared" si="14"/>
        <v>0</v>
      </c>
      <c r="T136" s="42">
        <f t="shared" si="15"/>
        <v>1</v>
      </c>
      <c r="V136" s="30">
        <v>1400</v>
      </c>
      <c r="W136" s="30">
        <v>0</v>
      </c>
      <c r="X136" s="30">
        <v>0</v>
      </c>
      <c r="Y136" s="30">
        <v>0</v>
      </c>
      <c r="Z136" s="30">
        <v>1</v>
      </c>
    </row>
    <row r="137" spans="1:26" x14ac:dyDescent="0.2">
      <c r="A137" s="30">
        <v>130</v>
      </c>
      <c r="C137" s="31">
        <v>0.97301428320487815</v>
      </c>
      <c r="D137" s="32">
        <v>18851.622591982235</v>
      </c>
      <c r="E137" s="31">
        <v>0.98259582954772906</v>
      </c>
      <c r="F137" s="32">
        <v>6351.6336119716716</v>
      </c>
      <c r="G137" s="31">
        <v>0.97880807752488708</v>
      </c>
      <c r="H137" s="32">
        <v>11712.70582170114</v>
      </c>
      <c r="I137" s="31">
        <v>0.9788080775248873</v>
      </c>
      <c r="J137" s="32">
        <v>6121.4543391347361</v>
      </c>
      <c r="L137" s="43">
        <f t="shared" si="16"/>
        <v>-13986.551175957844</v>
      </c>
      <c r="M137" s="43">
        <f t="shared" si="17"/>
        <v>-1438.6544642330264</v>
      </c>
      <c r="N137" s="43">
        <f t="shared" si="18"/>
        <v>-6818.6654340767045</v>
      </c>
      <c r="O137" s="43">
        <f t="shared" si="19"/>
        <v>-1227.4139515102997</v>
      </c>
      <c r="Q137" s="42">
        <f t="shared" ref="Q137:Q200" si="20">IF(L137&gt;$M137,IF(L137&gt;$N137,IF(L137&gt;$O137,1,0),0),0)</f>
        <v>0</v>
      </c>
      <c r="R137" s="42">
        <f t="shared" ref="R137:R200" si="21">IF(M137&gt;$L137,IF(M137&gt;$N137,IF(M137&gt;$O137,1,0),0),0)</f>
        <v>0</v>
      </c>
      <c r="S137" s="42">
        <f t="shared" ref="S137:S200" si="22">IF(N137&gt;$M137,IF(N137&gt;$L137,IF(N137&gt;$O137,1,0),0),0)</f>
        <v>0</v>
      </c>
      <c r="T137" s="42">
        <f t="shared" ref="T137:T200" si="23">IF(O137&gt;$M137,IF(O137&gt;$N137,IF(O137&gt;$L137,1,0),0),0)</f>
        <v>1</v>
      </c>
      <c r="V137" s="30">
        <v>1450</v>
      </c>
      <c r="W137" s="30">
        <v>0</v>
      </c>
      <c r="X137" s="30">
        <v>0</v>
      </c>
      <c r="Y137" s="30">
        <v>0</v>
      </c>
      <c r="Z137" s="30">
        <v>1</v>
      </c>
    </row>
    <row r="138" spans="1:26" x14ac:dyDescent="0.2">
      <c r="A138" s="30">
        <v>131</v>
      </c>
      <c r="C138" s="31">
        <v>0.98154814327181938</v>
      </c>
      <c r="D138" s="32">
        <v>15803.566798430978</v>
      </c>
      <c r="E138" s="31">
        <v>0.97435508130075599</v>
      </c>
      <c r="F138" s="32">
        <v>6337.15083848009</v>
      </c>
      <c r="G138" s="31">
        <v>0.96396164374452353</v>
      </c>
      <c r="H138" s="32">
        <v>9498.2652296474171</v>
      </c>
      <c r="I138" s="31">
        <v>0.96396164374452342</v>
      </c>
      <c r="J138" s="32">
        <v>5536.9646912381259</v>
      </c>
      <c r="L138" s="43">
        <f t="shared" si="16"/>
        <v>-10895.826082071882</v>
      </c>
      <c r="M138" s="43">
        <f t="shared" si="17"/>
        <v>-1465.3754319763102</v>
      </c>
      <c r="N138" s="43">
        <f t="shared" si="18"/>
        <v>-4678.4570109247998</v>
      </c>
      <c r="O138" s="43">
        <f t="shared" si="19"/>
        <v>-717.15647251550854</v>
      </c>
      <c r="Q138" s="42">
        <f t="shared" si="20"/>
        <v>0</v>
      </c>
      <c r="R138" s="42">
        <f t="shared" si="21"/>
        <v>0</v>
      </c>
      <c r="S138" s="42">
        <f t="shared" si="22"/>
        <v>0</v>
      </c>
      <c r="T138" s="42">
        <f t="shared" si="23"/>
        <v>1</v>
      </c>
      <c r="V138" s="30">
        <v>1500</v>
      </c>
      <c r="W138" s="30">
        <v>0</v>
      </c>
      <c r="X138" s="30">
        <v>0</v>
      </c>
      <c r="Y138" s="30">
        <v>0</v>
      </c>
      <c r="Z138" s="30">
        <v>1</v>
      </c>
    </row>
    <row r="139" spans="1:26" x14ac:dyDescent="0.2">
      <c r="A139" s="30">
        <v>132</v>
      </c>
      <c r="C139" s="31">
        <v>0.99928363875285064</v>
      </c>
      <c r="D139" s="32">
        <v>14030.904167543325</v>
      </c>
      <c r="E139" s="31">
        <v>0.89185669071874396</v>
      </c>
      <c r="F139" s="32">
        <v>4671.7342127872289</v>
      </c>
      <c r="G139" s="31">
        <v>0.9772951350240493</v>
      </c>
      <c r="H139" s="32">
        <v>8806.7705737691995</v>
      </c>
      <c r="I139" s="31">
        <v>0.89185669071874374</v>
      </c>
      <c r="J139" s="32">
        <v>4541.8280993890485</v>
      </c>
      <c r="L139" s="43">
        <f t="shared" si="16"/>
        <v>-9034.4859737790721</v>
      </c>
      <c r="M139" s="43">
        <f t="shared" si="17"/>
        <v>-212.45075919350893</v>
      </c>
      <c r="N139" s="43">
        <f t="shared" si="18"/>
        <v>-3920.2948986489528</v>
      </c>
      <c r="O139" s="43">
        <f t="shared" si="19"/>
        <v>-82.544645795329416</v>
      </c>
      <c r="Q139" s="42">
        <f t="shared" si="20"/>
        <v>0</v>
      </c>
      <c r="R139" s="42">
        <f t="shared" si="21"/>
        <v>0</v>
      </c>
      <c r="S139" s="42">
        <f t="shared" si="22"/>
        <v>0</v>
      </c>
      <c r="T139" s="42">
        <f t="shared" si="23"/>
        <v>1</v>
      </c>
      <c r="V139" s="30">
        <v>1550</v>
      </c>
      <c r="W139" s="30">
        <v>0</v>
      </c>
      <c r="X139" s="30">
        <v>0</v>
      </c>
      <c r="Y139" s="30">
        <v>0</v>
      </c>
      <c r="Z139" s="30">
        <v>1</v>
      </c>
    </row>
    <row r="140" spans="1:26" x14ac:dyDescent="0.2">
      <c r="A140" s="30">
        <v>133</v>
      </c>
      <c r="C140" s="31">
        <v>0.99946382179006221</v>
      </c>
      <c r="D140" s="32">
        <v>13785.686790389884</v>
      </c>
      <c r="E140" s="31">
        <v>0.96867819549857637</v>
      </c>
      <c r="F140" s="32">
        <v>5146.5940911603157</v>
      </c>
      <c r="G140" s="31">
        <v>0.96867523600636662</v>
      </c>
      <c r="H140" s="32">
        <v>8473.3320962997786</v>
      </c>
      <c r="I140" s="31">
        <v>0.96867819549857659</v>
      </c>
      <c r="J140" s="32">
        <v>5024.7618382148412</v>
      </c>
      <c r="L140" s="43">
        <f t="shared" si="16"/>
        <v>-8788.3676814395731</v>
      </c>
      <c r="M140" s="43">
        <f t="shared" si="17"/>
        <v>-303.20311366743408</v>
      </c>
      <c r="N140" s="43">
        <f t="shared" si="18"/>
        <v>-3629.9559162679452</v>
      </c>
      <c r="O140" s="43">
        <f t="shared" si="19"/>
        <v>-181.3708607219578</v>
      </c>
      <c r="Q140" s="42">
        <f t="shared" si="20"/>
        <v>0</v>
      </c>
      <c r="R140" s="42">
        <f t="shared" si="21"/>
        <v>0</v>
      </c>
      <c r="S140" s="42">
        <f t="shared" si="22"/>
        <v>0</v>
      </c>
      <c r="T140" s="42">
        <f t="shared" si="23"/>
        <v>1</v>
      </c>
      <c r="V140" s="30">
        <v>1600</v>
      </c>
      <c r="W140" s="30">
        <v>0</v>
      </c>
      <c r="X140" s="30">
        <v>0</v>
      </c>
      <c r="Y140" s="30">
        <v>0</v>
      </c>
      <c r="Z140" s="30">
        <v>1</v>
      </c>
    </row>
    <row r="141" spans="1:26" x14ac:dyDescent="0.2">
      <c r="A141" s="30">
        <v>134</v>
      </c>
      <c r="C141" s="31">
        <v>0.98540064918185177</v>
      </c>
      <c r="D141" s="32">
        <v>21832.456570983206</v>
      </c>
      <c r="E141" s="31">
        <v>0.9199161293046314</v>
      </c>
      <c r="F141" s="32">
        <v>8740.000635964594</v>
      </c>
      <c r="G141" s="31">
        <v>0.9421675845350721</v>
      </c>
      <c r="H141" s="32">
        <v>13194.25272976156</v>
      </c>
      <c r="I141" s="31">
        <v>0.91502862653158745</v>
      </c>
      <c r="J141" s="32">
        <v>7468.3502142781235</v>
      </c>
      <c r="L141" s="43">
        <f t="shared" si="16"/>
        <v>-16905.453325073948</v>
      </c>
      <c r="M141" s="43">
        <f t="shared" si="17"/>
        <v>-4140.4199894414369</v>
      </c>
      <c r="N141" s="43">
        <f t="shared" si="18"/>
        <v>-8483.4148070861993</v>
      </c>
      <c r="O141" s="43">
        <f t="shared" si="19"/>
        <v>-2893.2070816201858</v>
      </c>
      <c r="Q141" s="42">
        <f t="shared" si="20"/>
        <v>0</v>
      </c>
      <c r="R141" s="42">
        <f t="shared" si="21"/>
        <v>0</v>
      </c>
      <c r="S141" s="42">
        <f t="shared" si="22"/>
        <v>0</v>
      </c>
      <c r="T141" s="42">
        <f t="shared" si="23"/>
        <v>1</v>
      </c>
      <c r="V141" s="30">
        <v>1650</v>
      </c>
      <c r="W141" s="30">
        <v>0</v>
      </c>
      <c r="X141" s="30">
        <v>0</v>
      </c>
      <c r="Y141" s="30">
        <v>0</v>
      </c>
      <c r="Z141" s="30">
        <v>1</v>
      </c>
    </row>
    <row r="142" spans="1:26" x14ac:dyDescent="0.2">
      <c r="A142" s="30">
        <v>135</v>
      </c>
      <c r="C142" s="31">
        <v>0.99868847274750594</v>
      </c>
      <c r="D142" s="32">
        <v>15046.776735195272</v>
      </c>
      <c r="E142" s="31">
        <v>0.92990912271169901</v>
      </c>
      <c r="F142" s="32">
        <v>6657.6327488222478</v>
      </c>
      <c r="G142" s="31">
        <v>0.92352212041934623</v>
      </c>
      <c r="H142" s="32">
        <v>8666.3259162198337</v>
      </c>
      <c r="I142" s="31">
        <v>0.92352212041934634</v>
      </c>
      <c r="J142" s="32">
        <v>5362.8433144362089</v>
      </c>
      <c r="L142" s="43">
        <f t="shared" si="16"/>
        <v>-10053.334371457742</v>
      </c>
      <c r="M142" s="43">
        <f t="shared" si="17"/>
        <v>-2008.0871352637523</v>
      </c>
      <c r="N142" s="43">
        <f t="shared" si="18"/>
        <v>-4048.7153141231029</v>
      </c>
      <c r="O142" s="43">
        <f t="shared" si="19"/>
        <v>-745.23271233947708</v>
      </c>
      <c r="Q142" s="42">
        <f t="shared" si="20"/>
        <v>0</v>
      </c>
      <c r="R142" s="42">
        <f t="shared" si="21"/>
        <v>0</v>
      </c>
      <c r="S142" s="42">
        <f t="shared" si="22"/>
        <v>0</v>
      </c>
      <c r="T142" s="42">
        <f t="shared" si="23"/>
        <v>1</v>
      </c>
      <c r="V142" s="30">
        <v>1700</v>
      </c>
      <c r="W142" s="30">
        <v>0</v>
      </c>
      <c r="X142" s="30">
        <v>0</v>
      </c>
      <c r="Y142" s="30">
        <v>0</v>
      </c>
      <c r="Z142" s="30">
        <v>1</v>
      </c>
    </row>
    <row r="143" spans="1:26" x14ac:dyDescent="0.2">
      <c r="A143" s="30">
        <v>136</v>
      </c>
      <c r="C143" s="31">
        <v>0.99096790335736606</v>
      </c>
      <c r="D143" s="32">
        <v>13793.032873161996</v>
      </c>
      <c r="E143" s="31">
        <v>0.84557808629832565</v>
      </c>
      <c r="F143" s="32">
        <v>3849.2762084206988</v>
      </c>
      <c r="G143" s="31">
        <v>0.9087571669690282</v>
      </c>
      <c r="H143" s="32">
        <v>8483.5071185972229</v>
      </c>
      <c r="I143" s="31">
        <v>0.83626892162468813</v>
      </c>
      <c r="J143" s="32">
        <v>3580.2438191623219</v>
      </c>
      <c r="L143" s="43">
        <f t="shared" si="16"/>
        <v>-8838.1933563751663</v>
      </c>
      <c r="M143" s="43">
        <f t="shared" si="17"/>
        <v>378.61422307092926</v>
      </c>
      <c r="N143" s="43">
        <f t="shared" si="18"/>
        <v>-3939.7212837520819</v>
      </c>
      <c r="O143" s="43">
        <f t="shared" si="19"/>
        <v>601.10078896111872</v>
      </c>
      <c r="Q143" s="42">
        <f t="shared" si="20"/>
        <v>0</v>
      </c>
      <c r="R143" s="42">
        <f t="shared" si="21"/>
        <v>0</v>
      </c>
      <c r="S143" s="42">
        <f t="shared" si="22"/>
        <v>0</v>
      </c>
      <c r="T143" s="42">
        <f t="shared" si="23"/>
        <v>1</v>
      </c>
      <c r="V143" s="30">
        <v>1750</v>
      </c>
      <c r="W143" s="30">
        <v>0</v>
      </c>
      <c r="X143" s="30">
        <v>0</v>
      </c>
      <c r="Y143" s="30">
        <v>0</v>
      </c>
      <c r="Z143" s="30">
        <v>1</v>
      </c>
    </row>
    <row r="144" spans="1:26" x14ac:dyDescent="0.2">
      <c r="A144" s="30">
        <v>137</v>
      </c>
      <c r="C144" s="31">
        <v>0.98929468619799188</v>
      </c>
      <c r="D144" s="32">
        <v>14705.265124503565</v>
      </c>
      <c r="E144" s="31">
        <v>0.94082529365357503</v>
      </c>
      <c r="F144" s="32">
        <v>6799.0991271687399</v>
      </c>
      <c r="G144" s="31">
        <v>0.95160025801608561</v>
      </c>
      <c r="H144" s="32">
        <v>8802.9453902474179</v>
      </c>
      <c r="I144" s="31">
        <v>0.93425249931581456</v>
      </c>
      <c r="J144" s="32">
        <v>5513.5076403158382</v>
      </c>
      <c r="L144" s="43">
        <f t="shared" si="16"/>
        <v>-9758.7916935136054</v>
      </c>
      <c r="M144" s="43">
        <f t="shared" si="17"/>
        <v>-2094.9726589008651</v>
      </c>
      <c r="N144" s="43">
        <f t="shared" si="18"/>
        <v>-4044.9441001669902</v>
      </c>
      <c r="O144" s="43">
        <f t="shared" si="19"/>
        <v>-842.24514373676539</v>
      </c>
      <c r="Q144" s="42">
        <f t="shared" si="20"/>
        <v>0</v>
      </c>
      <c r="R144" s="42">
        <f t="shared" si="21"/>
        <v>0</v>
      </c>
      <c r="S144" s="42">
        <f t="shared" si="22"/>
        <v>0</v>
      </c>
      <c r="T144" s="42">
        <f t="shared" si="23"/>
        <v>1</v>
      </c>
      <c r="V144" s="30">
        <v>1800</v>
      </c>
      <c r="W144" s="30">
        <v>0</v>
      </c>
      <c r="X144" s="30">
        <v>0</v>
      </c>
      <c r="Y144" s="30">
        <v>0</v>
      </c>
      <c r="Z144" s="30">
        <v>1</v>
      </c>
    </row>
    <row r="145" spans="1:26" x14ac:dyDescent="0.2">
      <c r="A145" s="30">
        <v>138</v>
      </c>
      <c r="C145" s="31">
        <v>0.98821722577014226</v>
      </c>
      <c r="D145" s="32">
        <v>15829.232688795948</v>
      </c>
      <c r="E145" s="31">
        <v>0.88867423479243235</v>
      </c>
      <c r="F145" s="32">
        <v>4441.1027859814531</v>
      </c>
      <c r="G145" s="31">
        <v>0.93743155441288017</v>
      </c>
      <c r="H145" s="32">
        <v>9545.2008883436829</v>
      </c>
      <c r="I145" s="31">
        <v>0.88276891453714823</v>
      </c>
      <c r="J145" s="32">
        <v>4221.5716360283213</v>
      </c>
      <c r="L145" s="43">
        <f t="shared" si="16"/>
        <v>-10888.146559945237</v>
      </c>
      <c r="M145" s="43">
        <f t="shared" si="17"/>
        <v>2.2683879807091216</v>
      </c>
      <c r="N145" s="43">
        <f t="shared" si="18"/>
        <v>-4858.043116279282</v>
      </c>
      <c r="O145" s="43">
        <f t="shared" si="19"/>
        <v>192.27293665741945</v>
      </c>
      <c r="Q145" s="42">
        <f t="shared" si="20"/>
        <v>0</v>
      </c>
      <c r="R145" s="42">
        <f t="shared" si="21"/>
        <v>0</v>
      </c>
      <c r="S145" s="42">
        <f t="shared" si="22"/>
        <v>0</v>
      </c>
      <c r="T145" s="42">
        <f t="shared" si="23"/>
        <v>1</v>
      </c>
      <c r="V145" s="30">
        <v>1850</v>
      </c>
      <c r="W145" s="30">
        <v>0</v>
      </c>
      <c r="X145" s="30">
        <v>0</v>
      </c>
      <c r="Y145" s="30">
        <v>0</v>
      </c>
      <c r="Z145" s="30">
        <v>1</v>
      </c>
    </row>
    <row r="146" spans="1:26" x14ac:dyDescent="0.2">
      <c r="A146" s="30">
        <v>139</v>
      </c>
      <c r="C146" s="31">
        <v>0.96719414851690377</v>
      </c>
      <c r="D146" s="32">
        <v>16779.708504655217</v>
      </c>
      <c r="E146" s="31">
        <v>0.93459456700111687</v>
      </c>
      <c r="F146" s="32">
        <v>9010.9889761993763</v>
      </c>
      <c r="G146" s="31">
        <v>0.93102401449305283</v>
      </c>
      <c r="H146" s="32">
        <v>9529.6631279688536</v>
      </c>
      <c r="I146" s="31">
        <v>0.93102401449305283</v>
      </c>
      <c r="J146" s="32">
        <v>6464.472141856093</v>
      </c>
      <c r="L146" s="43">
        <f t="shared" si="16"/>
        <v>-11943.737762070697</v>
      </c>
      <c r="M146" s="43">
        <f t="shared" si="17"/>
        <v>-4338.0161411937916</v>
      </c>
      <c r="N146" s="43">
        <f t="shared" si="18"/>
        <v>-4874.5430555035891</v>
      </c>
      <c r="O146" s="43">
        <f t="shared" si="19"/>
        <v>-1809.3520693908285</v>
      </c>
      <c r="Q146" s="42">
        <f t="shared" si="20"/>
        <v>0</v>
      </c>
      <c r="R146" s="42">
        <f t="shared" si="21"/>
        <v>0</v>
      </c>
      <c r="S146" s="42">
        <f t="shared" si="22"/>
        <v>0</v>
      </c>
      <c r="T146" s="42">
        <f t="shared" si="23"/>
        <v>1</v>
      </c>
      <c r="V146" s="30">
        <v>1900</v>
      </c>
      <c r="W146" s="30">
        <v>0</v>
      </c>
      <c r="X146" s="30">
        <v>0</v>
      </c>
      <c r="Y146" s="30">
        <v>0</v>
      </c>
      <c r="Z146" s="30">
        <v>1</v>
      </c>
    </row>
    <row r="147" spans="1:26" x14ac:dyDescent="0.2">
      <c r="A147" s="30">
        <v>140</v>
      </c>
      <c r="C147" s="31">
        <v>0.99860471486834956</v>
      </c>
      <c r="D147" s="32">
        <v>17185.447470901276</v>
      </c>
      <c r="E147" s="31">
        <v>0.82939961077223223</v>
      </c>
      <c r="F147" s="32">
        <v>3620.7778283893726</v>
      </c>
      <c r="G147" s="31">
        <v>0.98116296317920504</v>
      </c>
      <c r="H147" s="32">
        <v>10052.913812203762</v>
      </c>
      <c r="I147" s="31">
        <v>0.82928877428987358</v>
      </c>
      <c r="J147" s="32">
        <v>3445.3148600925269</v>
      </c>
      <c r="L147" s="43">
        <f t="shared" si="16"/>
        <v>-12192.423896559529</v>
      </c>
      <c r="M147" s="43">
        <f t="shared" si="17"/>
        <v>526.22022547178813</v>
      </c>
      <c r="N147" s="43">
        <f t="shared" si="18"/>
        <v>-5147.0989963077373</v>
      </c>
      <c r="O147" s="43">
        <f t="shared" si="19"/>
        <v>701.12901135684115</v>
      </c>
      <c r="Q147" s="42">
        <f t="shared" si="20"/>
        <v>0</v>
      </c>
      <c r="R147" s="42">
        <f t="shared" si="21"/>
        <v>0</v>
      </c>
      <c r="S147" s="42">
        <f t="shared" si="22"/>
        <v>0</v>
      </c>
      <c r="T147" s="42">
        <f t="shared" si="23"/>
        <v>1</v>
      </c>
      <c r="V147" s="30">
        <v>1950</v>
      </c>
      <c r="W147" s="30">
        <v>0</v>
      </c>
      <c r="X147" s="30">
        <v>0</v>
      </c>
      <c r="Y147" s="30">
        <v>0</v>
      </c>
      <c r="Z147" s="30">
        <v>1</v>
      </c>
    </row>
    <row r="148" spans="1:26" x14ac:dyDescent="0.2">
      <c r="A148" s="30">
        <v>141</v>
      </c>
      <c r="C148" s="31">
        <v>0.97911564614633584</v>
      </c>
      <c r="D148" s="32">
        <v>12257.525367166962</v>
      </c>
      <c r="E148" s="31">
        <v>0.95912531585408312</v>
      </c>
      <c r="F148" s="32">
        <v>4467.3384318272447</v>
      </c>
      <c r="G148" s="31">
        <v>0.95692911505384537</v>
      </c>
      <c r="H148" s="32">
        <v>7838.777123013997</v>
      </c>
      <c r="I148" s="31">
        <v>0.95702682641059156</v>
      </c>
      <c r="J148" s="32">
        <v>4351.8162184874918</v>
      </c>
      <c r="L148" s="43">
        <f t="shared" si="16"/>
        <v>-7361.9471364352821</v>
      </c>
      <c r="M148" s="43">
        <f t="shared" si="17"/>
        <v>328.2881474431706</v>
      </c>
      <c r="N148" s="43">
        <f t="shared" si="18"/>
        <v>-3054.1315477447697</v>
      </c>
      <c r="O148" s="43">
        <f t="shared" si="19"/>
        <v>433.31791356546637</v>
      </c>
      <c r="Q148" s="42">
        <f t="shared" si="20"/>
        <v>0</v>
      </c>
      <c r="R148" s="42">
        <f t="shared" si="21"/>
        <v>0</v>
      </c>
      <c r="S148" s="42">
        <f t="shared" si="22"/>
        <v>0</v>
      </c>
      <c r="T148" s="42">
        <f t="shared" si="23"/>
        <v>1</v>
      </c>
      <c r="V148" s="30">
        <v>2000</v>
      </c>
      <c r="W148" s="30">
        <v>0</v>
      </c>
      <c r="X148" s="30">
        <v>0</v>
      </c>
      <c r="Y148" s="30">
        <v>0</v>
      </c>
      <c r="Z148" s="30">
        <v>1</v>
      </c>
    </row>
    <row r="149" spans="1:26" x14ac:dyDescent="0.2">
      <c r="A149" s="30">
        <v>142</v>
      </c>
      <c r="C149" s="31">
        <v>0.98041426873294013</v>
      </c>
      <c r="D149" s="32">
        <v>16587.132250639319</v>
      </c>
      <c r="E149" s="31">
        <v>0.95968292856211401</v>
      </c>
      <c r="F149" s="32">
        <v>5537.1846409610116</v>
      </c>
      <c r="G149" s="31">
        <v>0.97298296018070463</v>
      </c>
      <c r="H149" s="32">
        <v>10369.657970635772</v>
      </c>
      <c r="I149" s="31">
        <v>0.95946193040170924</v>
      </c>
      <c r="J149" s="32">
        <v>5272.8522676570301</v>
      </c>
      <c r="L149" s="43">
        <f t="shared" si="16"/>
        <v>-11685.060906974617</v>
      </c>
      <c r="M149" s="43">
        <f t="shared" si="17"/>
        <v>-738.7699981504411</v>
      </c>
      <c r="N149" s="43">
        <f t="shared" si="18"/>
        <v>-5504.7431697322481</v>
      </c>
      <c r="O149" s="43">
        <f t="shared" si="19"/>
        <v>-475.54261564848366</v>
      </c>
      <c r="Q149" s="42">
        <f t="shared" si="20"/>
        <v>0</v>
      </c>
      <c r="R149" s="42">
        <f t="shared" si="21"/>
        <v>0</v>
      </c>
      <c r="S149" s="42">
        <f t="shared" si="22"/>
        <v>0</v>
      </c>
      <c r="T149" s="42">
        <f t="shared" si="23"/>
        <v>1</v>
      </c>
      <c r="V149" s="30">
        <v>2050</v>
      </c>
      <c r="W149" s="30">
        <v>0</v>
      </c>
      <c r="X149" s="30">
        <v>0</v>
      </c>
      <c r="Y149" s="30">
        <v>0</v>
      </c>
      <c r="Z149" s="30">
        <v>1</v>
      </c>
    </row>
    <row r="150" spans="1:26" x14ac:dyDescent="0.2">
      <c r="A150" s="30">
        <v>143</v>
      </c>
      <c r="C150" s="31">
        <v>0.99610823503672774</v>
      </c>
      <c r="D150" s="32">
        <v>13297.657383801514</v>
      </c>
      <c r="E150" s="31">
        <v>0.84275870674642783</v>
      </c>
      <c r="F150" s="32">
        <v>3388.0032905537482</v>
      </c>
      <c r="G150" s="31">
        <v>0.95782411519571076</v>
      </c>
      <c r="H150" s="32">
        <v>8242.6046591469531</v>
      </c>
      <c r="I150" s="31">
        <v>0.83877108127220301</v>
      </c>
      <c r="J150" s="32">
        <v>3205.6545573746953</v>
      </c>
      <c r="L150" s="43">
        <f t="shared" si="16"/>
        <v>-8317.1162086178738</v>
      </c>
      <c r="M150" s="43">
        <f t="shared" si="17"/>
        <v>825.79024317839048</v>
      </c>
      <c r="N150" s="43">
        <f t="shared" si="18"/>
        <v>-3453.4840831683996</v>
      </c>
      <c r="O150" s="43">
        <f t="shared" si="19"/>
        <v>988.20084898632012</v>
      </c>
      <c r="Q150" s="42">
        <f t="shared" si="20"/>
        <v>0</v>
      </c>
      <c r="R150" s="42">
        <f t="shared" si="21"/>
        <v>0</v>
      </c>
      <c r="S150" s="42">
        <f t="shared" si="22"/>
        <v>0</v>
      </c>
      <c r="T150" s="42">
        <f t="shared" si="23"/>
        <v>1</v>
      </c>
      <c r="V150" s="30">
        <v>2100</v>
      </c>
      <c r="W150" s="30">
        <v>0</v>
      </c>
      <c r="X150" s="30">
        <v>0</v>
      </c>
      <c r="Y150" s="30">
        <v>0</v>
      </c>
      <c r="Z150" s="30">
        <v>1</v>
      </c>
    </row>
    <row r="151" spans="1:26" x14ac:dyDescent="0.2">
      <c r="A151" s="30">
        <v>144</v>
      </c>
      <c r="C151" s="31">
        <v>0.99967430989552308</v>
      </c>
      <c r="D151" s="32">
        <v>14531.849034327795</v>
      </c>
      <c r="E151" s="31">
        <v>0.96478346031380946</v>
      </c>
      <c r="F151" s="32">
        <v>5096.6885069016844</v>
      </c>
      <c r="G151" s="31">
        <v>0.96460500222901846</v>
      </c>
      <c r="H151" s="32">
        <v>8975.0260808553885</v>
      </c>
      <c r="I151" s="31">
        <v>0.96460500222901846</v>
      </c>
      <c r="J151" s="32">
        <v>4966.5625396764844</v>
      </c>
      <c r="L151" s="43">
        <f t="shared" si="16"/>
        <v>-9533.4774848501802</v>
      </c>
      <c r="M151" s="43">
        <f t="shared" si="17"/>
        <v>-272.77120533263678</v>
      </c>
      <c r="N151" s="43">
        <f t="shared" si="18"/>
        <v>-4152.0010697102962</v>
      </c>
      <c r="O151" s="43">
        <f t="shared" si="19"/>
        <v>-143.53752853139213</v>
      </c>
      <c r="Q151" s="42">
        <f t="shared" si="20"/>
        <v>0</v>
      </c>
      <c r="R151" s="42">
        <f t="shared" si="21"/>
        <v>0</v>
      </c>
      <c r="S151" s="42">
        <f t="shared" si="22"/>
        <v>0</v>
      </c>
      <c r="T151" s="42">
        <f t="shared" si="23"/>
        <v>1</v>
      </c>
      <c r="V151" s="30">
        <v>2150</v>
      </c>
      <c r="W151" s="30">
        <v>0</v>
      </c>
      <c r="X151" s="30">
        <v>0</v>
      </c>
      <c r="Y151" s="30">
        <v>0</v>
      </c>
      <c r="Z151" s="30">
        <v>1</v>
      </c>
    </row>
    <row r="152" spans="1:26" x14ac:dyDescent="0.2">
      <c r="A152" s="30">
        <v>145</v>
      </c>
      <c r="C152" s="31">
        <v>0.99838097968049433</v>
      </c>
      <c r="D152" s="32">
        <v>17600.806287101517</v>
      </c>
      <c r="E152" s="31">
        <v>0.84585897891229966</v>
      </c>
      <c r="F152" s="32">
        <v>4757.3123791423413</v>
      </c>
      <c r="G152" s="31">
        <v>0.94632003428139733</v>
      </c>
      <c r="H152" s="32">
        <v>10975.343176950111</v>
      </c>
      <c r="I152" s="31">
        <v>0.84031996864224334</v>
      </c>
      <c r="J152" s="32">
        <v>4515.2893969371953</v>
      </c>
      <c r="L152" s="43">
        <f t="shared" si="16"/>
        <v>-12608.901388699045</v>
      </c>
      <c r="M152" s="43">
        <f t="shared" si="17"/>
        <v>-528.0174845808433</v>
      </c>
      <c r="N152" s="43">
        <f t="shared" si="18"/>
        <v>-6243.743005543125</v>
      </c>
      <c r="O152" s="43">
        <f t="shared" si="19"/>
        <v>-313.68955372597884</v>
      </c>
      <c r="Q152" s="42">
        <f t="shared" si="20"/>
        <v>0</v>
      </c>
      <c r="R152" s="42">
        <f t="shared" si="21"/>
        <v>0</v>
      </c>
      <c r="S152" s="42">
        <f t="shared" si="22"/>
        <v>0</v>
      </c>
      <c r="T152" s="42">
        <f t="shared" si="23"/>
        <v>1</v>
      </c>
      <c r="V152" s="30">
        <v>2200</v>
      </c>
      <c r="W152" s="30">
        <v>0</v>
      </c>
      <c r="X152" s="30">
        <v>0</v>
      </c>
      <c r="Y152" s="30">
        <v>0</v>
      </c>
      <c r="Z152" s="30">
        <v>1</v>
      </c>
    </row>
    <row r="153" spans="1:26" x14ac:dyDescent="0.2">
      <c r="A153" s="30">
        <v>146</v>
      </c>
      <c r="C153" s="31">
        <v>0.98492148176025918</v>
      </c>
      <c r="D153" s="32">
        <v>12663.21585168337</v>
      </c>
      <c r="E153" s="31">
        <v>0.93916579602857464</v>
      </c>
      <c r="F153" s="32">
        <v>5379.6396600157104</v>
      </c>
      <c r="G153" s="31">
        <v>0.93597587527267923</v>
      </c>
      <c r="H153" s="32">
        <v>7051.5154009028502</v>
      </c>
      <c r="I153" s="31">
        <v>0.93143067093159271</v>
      </c>
      <c r="J153" s="32">
        <v>4310.9533749895654</v>
      </c>
      <c r="L153" s="43">
        <f t="shared" si="16"/>
        <v>-7738.6084428820741</v>
      </c>
      <c r="M153" s="43">
        <f t="shared" si="17"/>
        <v>-683.81067987283768</v>
      </c>
      <c r="N153" s="43">
        <f t="shared" si="18"/>
        <v>-2371.6360245394544</v>
      </c>
      <c r="O153" s="43">
        <f t="shared" si="19"/>
        <v>346.19997966839856</v>
      </c>
      <c r="Q153" s="42">
        <f t="shared" si="20"/>
        <v>0</v>
      </c>
      <c r="R153" s="42">
        <f t="shared" si="21"/>
        <v>0</v>
      </c>
      <c r="S153" s="42">
        <f t="shared" si="22"/>
        <v>0</v>
      </c>
      <c r="T153" s="42">
        <f t="shared" si="23"/>
        <v>1</v>
      </c>
      <c r="V153" s="30">
        <v>2250</v>
      </c>
      <c r="W153" s="30">
        <v>0</v>
      </c>
      <c r="X153" s="30">
        <v>0</v>
      </c>
      <c r="Y153" s="30">
        <v>0</v>
      </c>
      <c r="Z153" s="30">
        <v>1</v>
      </c>
    </row>
    <row r="154" spans="1:26" x14ac:dyDescent="0.2">
      <c r="A154" s="30">
        <v>147</v>
      </c>
      <c r="C154" s="31">
        <v>0.99810511714577521</v>
      </c>
      <c r="D154" s="32">
        <v>16887.21902034535</v>
      </c>
      <c r="E154" s="31">
        <v>0.95912727042997381</v>
      </c>
      <c r="F154" s="32">
        <v>8047.4479410973981</v>
      </c>
      <c r="G154" s="31">
        <v>0.95768808739344946</v>
      </c>
      <c r="H154" s="32">
        <v>10257.262420003195</v>
      </c>
      <c r="I154" s="31">
        <v>0.95768808739344957</v>
      </c>
      <c r="J154" s="32">
        <v>6561.9925767929817</v>
      </c>
      <c r="L154" s="43">
        <f t="shared" si="16"/>
        <v>-11896.693434616474</v>
      </c>
      <c r="M154" s="43">
        <f t="shared" si="17"/>
        <v>-3251.8115889475293</v>
      </c>
      <c r="N154" s="43">
        <f t="shared" si="18"/>
        <v>-5468.8219830359476</v>
      </c>
      <c r="O154" s="43">
        <f t="shared" si="19"/>
        <v>-1773.5521398257342</v>
      </c>
      <c r="Q154" s="42">
        <f t="shared" si="20"/>
        <v>0</v>
      </c>
      <c r="R154" s="42">
        <f t="shared" si="21"/>
        <v>0</v>
      </c>
      <c r="S154" s="42">
        <f t="shared" si="22"/>
        <v>0</v>
      </c>
      <c r="T154" s="42">
        <f t="shared" si="23"/>
        <v>1</v>
      </c>
      <c r="V154" s="30">
        <v>2300</v>
      </c>
      <c r="W154" s="30">
        <v>0</v>
      </c>
      <c r="X154" s="30">
        <v>0</v>
      </c>
      <c r="Y154" s="30">
        <v>0</v>
      </c>
      <c r="Z154" s="30">
        <v>1</v>
      </c>
    </row>
    <row r="155" spans="1:26" x14ac:dyDescent="0.2">
      <c r="A155" s="30">
        <v>148</v>
      </c>
      <c r="C155" s="31">
        <v>0.94619399944643034</v>
      </c>
      <c r="D155" s="32">
        <v>18952.674802816229</v>
      </c>
      <c r="E155" s="31">
        <v>0.94905836090397888</v>
      </c>
      <c r="F155" s="32">
        <v>6725.9772978215824</v>
      </c>
      <c r="G155" s="31">
        <v>0.94252599479480814</v>
      </c>
      <c r="H155" s="32">
        <v>11239.562546102536</v>
      </c>
      <c r="I155" s="31">
        <v>0.94252895454158869</v>
      </c>
      <c r="J155" s="32">
        <v>6430.866605646077</v>
      </c>
      <c r="L155" s="43">
        <f t="shared" si="16"/>
        <v>-14221.704805584079</v>
      </c>
      <c r="M155" s="43">
        <f t="shared" si="17"/>
        <v>-1980.6854933016884</v>
      </c>
      <c r="N155" s="43">
        <f t="shared" si="18"/>
        <v>-6526.9325721284949</v>
      </c>
      <c r="O155" s="43">
        <f t="shared" si="19"/>
        <v>-1718.221832938134</v>
      </c>
      <c r="Q155" s="42">
        <f t="shared" si="20"/>
        <v>0</v>
      </c>
      <c r="R155" s="42">
        <f t="shared" si="21"/>
        <v>0</v>
      </c>
      <c r="S155" s="42">
        <f t="shared" si="22"/>
        <v>0</v>
      </c>
      <c r="T155" s="42">
        <f t="shared" si="23"/>
        <v>1</v>
      </c>
      <c r="V155" s="30">
        <v>2350</v>
      </c>
      <c r="W155" s="30">
        <v>0</v>
      </c>
      <c r="X155" s="30">
        <v>0</v>
      </c>
      <c r="Y155" s="30">
        <v>0</v>
      </c>
      <c r="Z155" s="30">
        <v>1</v>
      </c>
    </row>
    <row r="156" spans="1:26" x14ac:dyDescent="0.2">
      <c r="A156" s="30">
        <v>149</v>
      </c>
      <c r="C156" s="31">
        <v>0.97244358637428274</v>
      </c>
      <c r="D156" s="32">
        <v>15908.552214847998</v>
      </c>
      <c r="E156" s="31">
        <v>0.71734866451575185</v>
      </c>
      <c r="F156" s="32">
        <v>2166.2997904799445</v>
      </c>
      <c r="G156" s="31">
        <v>0.96339727997994762</v>
      </c>
      <c r="H156" s="32">
        <v>9579.5564953823396</v>
      </c>
      <c r="I156" s="31">
        <v>0.71293758706323362</v>
      </c>
      <c r="J156" s="32">
        <v>1882.2284823464358</v>
      </c>
      <c r="L156" s="43">
        <f t="shared" si="16"/>
        <v>-11046.334282976584</v>
      </c>
      <c r="M156" s="43">
        <f t="shared" si="17"/>
        <v>1420.443532098815</v>
      </c>
      <c r="N156" s="43">
        <f t="shared" si="18"/>
        <v>-4762.5700954826016</v>
      </c>
      <c r="O156" s="43">
        <f t="shared" si="19"/>
        <v>1682.4594529697322</v>
      </c>
      <c r="Q156" s="42">
        <f t="shared" si="20"/>
        <v>0</v>
      </c>
      <c r="R156" s="42">
        <f t="shared" si="21"/>
        <v>0</v>
      </c>
      <c r="S156" s="42">
        <f t="shared" si="22"/>
        <v>0</v>
      </c>
      <c r="T156" s="42">
        <f t="shared" si="23"/>
        <v>1</v>
      </c>
      <c r="V156" s="30">
        <v>2400</v>
      </c>
      <c r="W156" s="30">
        <v>0</v>
      </c>
      <c r="X156" s="30">
        <v>0</v>
      </c>
      <c r="Y156" s="30">
        <v>0</v>
      </c>
      <c r="Z156" s="30">
        <v>1</v>
      </c>
    </row>
    <row r="157" spans="1:26" x14ac:dyDescent="0.2">
      <c r="A157" s="30">
        <v>150</v>
      </c>
      <c r="C157" s="31">
        <v>0.93961021984268989</v>
      </c>
      <c r="D157" s="32">
        <v>17102.677657451375</v>
      </c>
      <c r="E157" s="31">
        <v>0.92100319792965357</v>
      </c>
      <c r="F157" s="32">
        <v>5692.9298658150865</v>
      </c>
      <c r="G157" s="31">
        <v>0.91790381407117561</v>
      </c>
      <c r="H157" s="32">
        <v>10748.525624164889</v>
      </c>
      <c r="I157" s="31">
        <v>0.91790381407117572</v>
      </c>
      <c r="J157" s="32">
        <v>5498.7234903933913</v>
      </c>
      <c r="L157" s="43">
        <f t="shared" si="16"/>
        <v>-12404.626558237926</v>
      </c>
      <c r="M157" s="43">
        <f t="shared" si="17"/>
        <v>-1087.9138761668182</v>
      </c>
      <c r="N157" s="43">
        <f t="shared" si="18"/>
        <v>-6159.0065538090112</v>
      </c>
      <c r="O157" s="43">
        <f t="shared" si="19"/>
        <v>-909.20442003751305</v>
      </c>
      <c r="Q157" s="42">
        <f t="shared" si="20"/>
        <v>0</v>
      </c>
      <c r="R157" s="42">
        <f t="shared" si="21"/>
        <v>0</v>
      </c>
      <c r="S157" s="42">
        <f t="shared" si="22"/>
        <v>0</v>
      </c>
      <c r="T157" s="42">
        <f t="shared" si="23"/>
        <v>1</v>
      </c>
      <c r="V157" s="30">
        <v>2450</v>
      </c>
      <c r="W157" s="30">
        <v>0</v>
      </c>
      <c r="X157" s="30">
        <v>0</v>
      </c>
      <c r="Y157" s="30">
        <v>0</v>
      </c>
      <c r="Z157" s="30">
        <v>1</v>
      </c>
    </row>
    <row r="158" spans="1:26" x14ac:dyDescent="0.2">
      <c r="A158" s="30">
        <v>151</v>
      </c>
      <c r="C158" s="31">
        <v>0.99686319314419103</v>
      </c>
      <c r="D158" s="32">
        <v>13202.299374505637</v>
      </c>
      <c r="E158" s="31">
        <v>0.8557105645323092</v>
      </c>
      <c r="F158" s="32">
        <v>3186.114533037603</v>
      </c>
      <c r="G158" s="31">
        <v>0.9585666456181694</v>
      </c>
      <c r="H158" s="32">
        <v>8507.9733001348104</v>
      </c>
      <c r="I158" s="31">
        <v>0.85571056453230909</v>
      </c>
      <c r="J158" s="32">
        <v>3075.7456008544486</v>
      </c>
      <c r="L158" s="43">
        <f t="shared" si="16"/>
        <v>-8217.983408784683</v>
      </c>
      <c r="M158" s="43">
        <f t="shared" si="17"/>
        <v>1092.4382896239431</v>
      </c>
      <c r="N158" s="43">
        <f t="shared" si="18"/>
        <v>-3715.1400720439633</v>
      </c>
      <c r="O158" s="43">
        <f t="shared" si="19"/>
        <v>1202.8072218070965</v>
      </c>
      <c r="Q158" s="42">
        <f t="shared" si="20"/>
        <v>0</v>
      </c>
      <c r="R158" s="42">
        <f t="shared" si="21"/>
        <v>0</v>
      </c>
      <c r="S158" s="42">
        <f t="shared" si="22"/>
        <v>0</v>
      </c>
      <c r="T158" s="42">
        <f t="shared" si="23"/>
        <v>1</v>
      </c>
      <c r="V158" s="30">
        <v>2500</v>
      </c>
      <c r="W158" s="30">
        <v>0</v>
      </c>
      <c r="X158" s="30">
        <v>0</v>
      </c>
      <c r="Y158" s="30">
        <v>0</v>
      </c>
      <c r="Z158" s="30">
        <v>1</v>
      </c>
    </row>
    <row r="159" spans="1:26" x14ac:dyDescent="0.2">
      <c r="A159" s="30">
        <v>152</v>
      </c>
      <c r="C159" s="31">
        <v>0.96434581466200575</v>
      </c>
      <c r="D159" s="32">
        <v>14615.294711390252</v>
      </c>
      <c r="E159" s="31">
        <v>0.85516659160083797</v>
      </c>
      <c r="F159" s="32">
        <v>3550.8888445955276</v>
      </c>
      <c r="G159" s="31">
        <v>0.939982334721714</v>
      </c>
      <c r="H159" s="32">
        <v>8748.176366239446</v>
      </c>
      <c r="I159" s="31">
        <v>0.85516659160083797</v>
      </c>
      <c r="J159" s="32">
        <v>3417.1780363263592</v>
      </c>
      <c r="L159" s="43">
        <f t="shared" si="16"/>
        <v>-9793.5656380802229</v>
      </c>
      <c r="M159" s="43">
        <f t="shared" si="17"/>
        <v>724.94411340866236</v>
      </c>
      <c r="N159" s="43">
        <f t="shared" si="18"/>
        <v>-4048.2646926308762</v>
      </c>
      <c r="O159" s="43">
        <f t="shared" si="19"/>
        <v>858.65492167783077</v>
      </c>
      <c r="Q159" s="42">
        <f t="shared" si="20"/>
        <v>0</v>
      </c>
      <c r="R159" s="42">
        <f t="shared" si="21"/>
        <v>0</v>
      </c>
      <c r="S159" s="42">
        <f t="shared" si="22"/>
        <v>0</v>
      </c>
      <c r="T159" s="42">
        <f t="shared" si="23"/>
        <v>1</v>
      </c>
      <c r="V159" s="30">
        <v>2550</v>
      </c>
      <c r="W159" s="30">
        <v>0</v>
      </c>
      <c r="X159" s="30">
        <v>0</v>
      </c>
      <c r="Y159" s="30">
        <v>0</v>
      </c>
      <c r="Z159" s="30">
        <v>1</v>
      </c>
    </row>
    <row r="160" spans="1:26" x14ac:dyDescent="0.2">
      <c r="A160" s="30">
        <v>153</v>
      </c>
      <c r="C160" s="31">
        <v>0.99465770015426536</v>
      </c>
      <c r="D160" s="32">
        <v>16472.733308192452</v>
      </c>
      <c r="E160" s="31">
        <v>0.85835280153393101</v>
      </c>
      <c r="F160" s="32">
        <v>6771.15488892536</v>
      </c>
      <c r="G160" s="31">
        <v>0.95739151153380342</v>
      </c>
      <c r="H160" s="32">
        <v>9712.9317147139827</v>
      </c>
      <c r="I160" s="31">
        <v>0.8566002947879805</v>
      </c>
      <c r="J160" s="32">
        <v>4871.472595610644</v>
      </c>
      <c r="L160" s="43">
        <f t="shared" si="16"/>
        <v>-11499.444807421125</v>
      </c>
      <c r="M160" s="43">
        <f t="shared" si="17"/>
        <v>-2479.3908812557047</v>
      </c>
      <c r="N160" s="43">
        <f t="shared" si="18"/>
        <v>-4925.974157044966</v>
      </c>
      <c r="O160" s="43">
        <f t="shared" si="19"/>
        <v>-588.47112167074192</v>
      </c>
      <c r="Q160" s="42">
        <f t="shared" si="20"/>
        <v>0</v>
      </c>
      <c r="R160" s="42">
        <f t="shared" si="21"/>
        <v>0</v>
      </c>
      <c r="S160" s="42">
        <f t="shared" si="22"/>
        <v>0</v>
      </c>
      <c r="T160" s="42">
        <f t="shared" si="23"/>
        <v>1</v>
      </c>
      <c r="V160" s="30">
        <v>2600</v>
      </c>
      <c r="W160" s="30">
        <v>0</v>
      </c>
      <c r="X160" s="30">
        <v>0</v>
      </c>
      <c r="Y160" s="30">
        <v>0</v>
      </c>
      <c r="Z160" s="30">
        <v>1</v>
      </c>
    </row>
    <row r="161" spans="1:26" x14ac:dyDescent="0.2">
      <c r="A161" s="30">
        <v>154</v>
      </c>
      <c r="C161" s="31">
        <v>0.99553376790087111</v>
      </c>
      <c r="D161" s="32">
        <v>14040.975787742309</v>
      </c>
      <c r="E161" s="31">
        <v>0.81671828598814589</v>
      </c>
      <c r="F161" s="32">
        <v>4994.0034965728955</v>
      </c>
      <c r="G161" s="31">
        <v>0.9651724681291074</v>
      </c>
      <c r="H161" s="32">
        <v>8894.461048185969</v>
      </c>
      <c r="I161" s="31">
        <v>0.81671835120285519</v>
      </c>
      <c r="J161" s="32">
        <v>3822.1486277496747</v>
      </c>
      <c r="L161" s="43">
        <f t="shared" si="16"/>
        <v>-9063.3069482379542</v>
      </c>
      <c r="M161" s="43">
        <f t="shared" si="17"/>
        <v>-910.41206663216599</v>
      </c>
      <c r="N161" s="43">
        <f t="shared" si="18"/>
        <v>-4068.5987075404319</v>
      </c>
      <c r="O161" s="43">
        <f t="shared" si="19"/>
        <v>261.44312826460146</v>
      </c>
      <c r="Q161" s="42">
        <f t="shared" si="20"/>
        <v>0</v>
      </c>
      <c r="R161" s="42">
        <f t="shared" si="21"/>
        <v>0</v>
      </c>
      <c r="S161" s="42">
        <f t="shared" si="22"/>
        <v>0</v>
      </c>
      <c r="T161" s="42">
        <f t="shared" si="23"/>
        <v>1</v>
      </c>
      <c r="V161" s="30">
        <v>2650</v>
      </c>
      <c r="W161" s="30">
        <v>0</v>
      </c>
      <c r="X161" s="30">
        <v>0</v>
      </c>
      <c r="Y161" s="30">
        <v>0</v>
      </c>
      <c r="Z161" s="30">
        <v>1</v>
      </c>
    </row>
    <row r="162" spans="1:26" x14ac:dyDescent="0.2">
      <c r="A162" s="30">
        <v>155</v>
      </c>
      <c r="C162" s="31">
        <v>0.97253688841321251</v>
      </c>
      <c r="D162" s="32">
        <v>15773.884889543619</v>
      </c>
      <c r="E162" s="31">
        <v>0.72213108571065565</v>
      </c>
      <c r="F162" s="32">
        <v>1807.1334570011575</v>
      </c>
      <c r="G162" s="31">
        <v>0.91883963064900032</v>
      </c>
      <c r="H162" s="32">
        <v>8957.5113700407965</v>
      </c>
      <c r="I162" s="31">
        <v>0.71985233315097885</v>
      </c>
      <c r="J162" s="32">
        <v>1649.0324569308098</v>
      </c>
      <c r="L162" s="43">
        <f t="shared" si="16"/>
        <v>-10911.200447477557</v>
      </c>
      <c r="M162" s="43">
        <f t="shared" si="17"/>
        <v>1803.5219715521209</v>
      </c>
      <c r="N162" s="43">
        <f t="shared" si="18"/>
        <v>-4363.3132167957947</v>
      </c>
      <c r="O162" s="43">
        <f t="shared" si="19"/>
        <v>1950.2292088240845</v>
      </c>
      <c r="Q162" s="42">
        <f t="shared" si="20"/>
        <v>0</v>
      </c>
      <c r="R162" s="42">
        <f t="shared" si="21"/>
        <v>0</v>
      </c>
      <c r="S162" s="42">
        <f t="shared" si="22"/>
        <v>0</v>
      </c>
      <c r="T162" s="42">
        <f t="shared" si="23"/>
        <v>1</v>
      </c>
      <c r="V162" s="30">
        <v>2700</v>
      </c>
      <c r="W162" s="30">
        <v>0</v>
      </c>
      <c r="X162" s="30">
        <v>0</v>
      </c>
      <c r="Y162" s="30">
        <v>0</v>
      </c>
      <c r="Z162" s="30">
        <v>1</v>
      </c>
    </row>
    <row r="163" spans="1:26" x14ac:dyDescent="0.2">
      <c r="A163" s="30">
        <v>156</v>
      </c>
      <c r="C163" s="31">
        <v>0.99148138539883324</v>
      </c>
      <c r="D163" s="32">
        <v>14458.017067543451</v>
      </c>
      <c r="E163" s="31">
        <v>0.95124528673359821</v>
      </c>
      <c r="F163" s="32">
        <v>4983.7060065803034</v>
      </c>
      <c r="G163" s="31">
        <v>0.9449386978442863</v>
      </c>
      <c r="H163" s="32">
        <v>8785.709554228124</v>
      </c>
      <c r="I163" s="31">
        <v>0.9449386978442863</v>
      </c>
      <c r="J163" s="32">
        <v>4754.6291839821251</v>
      </c>
      <c r="L163" s="43">
        <f t="shared" si="16"/>
        <v>-9500.6101405492846</v>
      </c>
      <c r="M163" s="43">
        <f t="shared" si="17"/>
        <v>-227.47957291231251</v>
      </c>
      <c r="N163" s="43">
        <f t="shared" si="18"/>
        <v>-4061.0160650066928</v>
      </c>
      <c r="O163" s="43">
        <f t="shared" si="19"/>
        <v>-29.935694760693877</v>
      </c>
      <c r="Q163" s="42">
        <f t="shared" si="20"/>
        <v>0</v>
      </c>
      <c r="R163" s="42">
        <f t="shared" si="21"/>
        <v>0</v>
      </c>
      <c r="S163" s="42">
        <f t="shared" si="22"/>
        <v>0</v>
      </c>
      <c r="T163" s="42">
        <f t="shared" si="23"/>
        <v>1</v>
      </c>
      <c r="V163" s="30">
        <v>2750</v>
      </c>
      <c r="W163" s="30">
        <v>0</v>
      </c>
      <c r="X163" s="30">
        <v>0</v>
      </c>
      <c r="Y163" s="30">
        <v>0</v>
      </c>
      <c r="Z163" s="30">
        <v>1</v>
      </c>
    </row>
    <row r="164" spans="1:26" x14ac:dyDescent="0.2">
      <c r="A164" s="30">
        <v>157</v>
      </c>
      <c r="C164" s="31">
        <v>0.97708434990285076</v>
      </c>
      <c r="D164" s="32">
        <v>18527.704918719955</v>
      </c>
      <c r="E164" s="31">
        <v>0.851052854463485</v>
      </c>
      <c r="F164" s="32">
        <v>5035.8390467433674</v>
      </c>
      <c r="G164" s="31">
        <v>0.94123572656681842</v>
      </c>
      <c r="H164" s="32">
        <v>10689.132420362816</v>
      </c>
      <c r="I164" s="31">
        <v>0.84837761919291055</v>
      </c>
      <c r="J164" s="32">
        <v>4333.3249572173754</v>
      </c>
      <c r="L164" s="43">
        <f t="shared" si="16"/>
        <v>-13642.283169205701</v>
      </c>
      <c r="M164" s="43">
        <f t="shared" si="17"/>
        <v>-780.57477442594245</v>
      </c>
      <c r="N164" s="43">
        <f t="shared" si="18"/>
        <v>-5982.9537875287233</v>
      </c>
      <c r="O164" s="43">
        <f t="shared" si="19"/>
        <v>-91.436861252822382</v>
      </c>
      <c r="Q164" s="42">
        <f t="shared" si="20"/>
        <v>0</v>
      </c>
      <c r="R164" s="42">
        <f t="shared" si="21"/>
        <v>0</v>
      </c>
      <c r="S164" s="42">
        <f t="shared" si="22"/>
        <v>0</v>
      </c>
      <c r="T164" s="42">
        <f t="shared" si="23"/>
        <v>1</v>
      </c>
      <c r="V164" s="30">
        <v>2800</v>
      </c>
      <c r="W164" s="30">
        <v>0</v>
      </c>
      <c r="X164" s="30">
        <v>0</v>
      </c>
      <c r="Y164" s="30">
        <v>0</v>
      </c>
      <c r="Z164" s="30">
        <v>1</v>
      </c>
    </row>
    <row r="165" spans="1:26" x14ac:dyDescent="0.2">
      <c r="A165" s="30">
        <v>158</v>
      </c>
      <c r="C165" s="31">
        <v>0.97304610655268431</v>
      </c>
      <c r="D165" s="32">
        <v>13617.724124209692</v>
      </c>
      <c r="E165" s="31">
        <v>0.92704580889751598</v>
      </c>
      <c r="F165" s="32">
        <v>4566.8411773497537</v>
      </c>
      <c r="G165" s="31">
        <v>0.92647303488469601</v>
      </c>
      <c r="H165" s="32">
        <v>7955.4653707675179</v>
      </c>
      <c r="I165" s="31">
        <v>0.92647303488469601</v>
      </c>
      <c r="J165" s="32">
        <v>4378.9898172816047</v>
      </c>
      <c r="L165" s="43">
        <f t="shared" si="16"/>
        <v>-8752.4935914462694</v>
      </c>
      <c r="M165" s="43">
        <f t="shared" si="17"/>
        <v>68.387867137826106</v>
      </c>
      <c r="N165" s="43">
        <f t="shared" si="18"/>
        <v>-3323.1001963440376</v>
      </c>
      <c r="O165" s="43">
        <f t="shared" si="19"/>
        <v>253.37535714187561</v>
      </c>
      <c r="Q165" s="42">
        <f t="shared" si="20"/>
        <v>0</v>
      </c>
      <c r="R165" s="42">
        <f t="shared" si="21"/>
        <v>0</v>
      </c>
      <c r="S165" s="42">
        <f t="shared" si="22"/>
        <v>0</v>
      </c>
      <c r="T165" s="42">
        <f t="shared" si="23"/>
        <v>1</v>
      </c>
      <c r="V165" s="30">
        <v>2850</v>
      </c>
      <c r="W165" s="30">
        <v>0</v>
      </c>
      <c r="X165" s="30">
        <v>0</v>
      </c>
      <c r="Y165" s="30">
        <v>0</v>
      </c>
      <c r="Z165" s="30">
        <v>1</v>
      </c>
    </row>
    <row r="166" spans="1:26" x14ac:dyDescent="0.2">
      <c r="A166" s="30">
        <v>159</v>
      </c>
      <c r="C166" s="31">
        <v>0.99730258494680291</v>
      </c>
      <c r="D166" s="32">
        <v>13530.8110826918</v>
      </c>
      <c r="E166" s="31">
        <v>0.96564644478203987</v>
      </c>
      <c r="F166" s="32">
        <v>4825.6590756577543</v>
      </c>
      <c r="G166" s="31">
        <v>0.95520536681096802</v>
      </c>
      <c r="H166" s="32">
        <v>8188.3820759383661</v>
      </c>
      <c r="I166" s="31">
        <v>0.95520536681096802</v>
      </c>
      <c r="J166" s="32">
        <v>4525.930835864021</v>
      </c>
      <c r="L166" s="43">
        <f t="shared" si="16"/>
        <v>-8544.2981579577863</v>
      </c>
      <c r="M166" s="43">
        <f t="shared" si="17"/>
        <v>2.5731482524452076</v>
      </c>
      <c r="N166" s="43">
        <f t="shared" si="18"/>
        <v>-3412.3552418835261</v>
      </c>
      <c r="O166" s="43">
        <f t="shared" si="19"/>
        <v>250.09599819081905</v>
      </c>
      <c r="Q166" s="42">
        <f t="shared" si="20"/>
        <v>0</v>
      </c>
      <c r="R166" s="42">
        <f t="shared" si="21"/>
        <v>0</v>
      </c>
      <c r="S166" s="42">
        <f t="shared" si="22"/>
        <v>0</v>
      </c>
      <c r="T166" s="42">
        <f t="shared" si="23"/>
        <v>1</v>
      </c>
      <c r="V166" s="30">
        <v>2900</v>
      </c>
      <c r="W166" s="30">
        <v>0</v>
      </c>
      <c r="X166" s="30">
        <v>0</v>
      </c>
      <c r="Y166" s="30">
        <v>0</v>
      </c>
      <c r="Z166" s="30">
        <v>1</v>
      </c>
    </row>
    <row r="167" spans="1:26" x14ac:dyDescent="0.2">
      <c r="A167" s="30">
        <v>160</v>
      </c>
      <c r="C167" s="31">
        <v>0.96231389556711178</v>
      </c>
      <c r="D167" s="32">
        <v>15780.125382397357</v>
      </c>
      <c r="E167" s="31">
        <v>0.84436414101779</v>
      </c>
      <c r="F167" s="32">
        <v>4562.6305122378571</v>
      </c>
      <c r="G167" s="31">
        <v>0.91846552166574158</v>
      </c>
      <c r="H167" s="32">
        <v>9791.3189758276403</v>
      </c>
      <c r="I167" s="31">
        <v>0.83914287159513723</v>
      </c>
      <c r="J167" s="32">
        <v>4369.1321297184686</v>
      </c>
      <c r="L167" s="43">
        <f t="shared" si="16"/>
        <v>-10968.555904561797</v>
      </c>
      <c r="M167" s="43">
        <f t="shared" si="17"/>
        <v>-340.80980714890757</v>
      </c>
      <c r="N167" s="43">
        <f t="shared" si="18"/>
        <v>-5198.991367498932</v>
      </c>
      <c r="O167" s="43">
        <f t="shared" si="19"/>
        <v>-173.41777174278286</v>
      </c>
      <c r="Q167" s="42">
        <f t="shared" si="20"/>
        <v>0</v>
      </c>
      <c r="R167" s="42">
        <f t="shared" si="21"/>
        <v>0</v>
      </c>
      <c r="S167" s="42">
        <f t="shared" si="22"/>
        <v>0</v>
      </c>
      <c r="T167" s="42">
        <f t="shared" si="23"/>
        <v>1</v>
      </c>
      <c r="V167" s="30">
        <v>2950</v>
      </c>
      <c r="W167" s="30">
        <v>0</v>
      </c>
      <c r="X167" s="30">
        <v>0</v>
      </c>
      <c r="Y167" s="30">
        <v>0</v>
      </c>
      <c r="Z167" s="30">
        <v>1</v>
      </c>
    </row>
    <row r="168" spans="1:26" x14ac:dyDescent="0.2">
      <c r="A168" s="30">
        <v>161</v>
      </c>
      <c r="C168" s="31">
        <v>0.98037557147484322</v>
      </c>
      <c r="D168" s="32">
        <v>16921.95838820772</v>
      </c>
      <c r="E168" s="31">
        <v>0.92761024827044314</v>
      </c>
      <c r="F168" s="32">
        <v>6077.6446816605267</v>
      </c>
      <c r="G168" s="31">
        <v>0.95569798605988598</v>
      </c>
      <c r="H168" s="32">
        <v>10749.944872661037</v>
      </c>
      <c r="I168" s="31">
        <v>0.92130658523081999</v>
      </c>
      <c r="J168" s="32">
        <v>5810.834178979675</v>
      </c>
      <c r="L168" s="43">
        <f t="shared" si="16"/>
        <v>-12020.080530833504</v>
      </c>
      <c r="M168" s="43">
        <f t="shared" si="17"/>
        <v>-1439.5934403083111</v>
      </c>
      <c r="N168" s="43">
        <f t="shared" si="18"/>
        <v>-5971.4549423616072</v>
      </c>
      <c r="O168" s="43">
        <f t="shared" si="19"/>
        <v>-1204.3012528255749</v>
      </c>
      <c r="Q168" s="42">
        <f t="shared" si="20"/>
        <v>0</v>
      </c>
      <c r="R168" s="42">
        <f t="shared" si="21"/>
        <v>0</v>
      </c>
      <c r="S168" s="42">
        <f t="shared" si="22"/>
        <v>0</v>
      </c>
      <c r="T168" s="42">
        <f t="shared" si="23"/>
        <v>1</v>
      </c>
      <c r="V168" s="30">
        <v>3000</v>
      </c>
      <c r="W168" s="30">
        <v>0</v>
      </c>
      <c r="X168" s="30">
        <v>0</v>
      </c>
      <c r="Y168" s="30">
        <v>0</v>
      </c>
      <c r="Z168" s="30">
        <v>1</v>
      </c>
    </row>
    <row r="169" spans="1:26" x14ac:dyDescent="0.2">
      <c r="A169" s="30">
        <v>162</v>
      </c>
      <c r="C169" s="31">
        <v>0.99474355882194176</v>
      </c>
      <c r="D169" s="32">
        <v>13286.143812159595</v>
      </c>
      <c r="E169" s="31">
        <v>0.94202601975816602</v>
      </c>
      <c r="F169" s="32">
        <v>4340.026986302033</v>
      </c>
      <c r="G169" s="31">
        <v>0.94422263664894424</v>
      </c>
      <c r="H169" s="32">
        <v>7967.9565590693865</v>
      </c>
      <c r="I169" s="31">
        <v>0.93628927066425494</v>
      </c>
      <c r="J169" s="32">
        <v>4135.0969536027342</v>
      </c>
      <c r="L169" s="43">
        <f t="shared" si="16"/>
        <v>-8312.4260180498859</v>
      </c>
      <c r="M169" s="43">
        <f t="shared" si="17"/>
        <v>370.1031124887968</v>
      </c>
      <c r="N169" s="43">
        <f t="shared" si="18"/>
        <v>-3246.8433758246656</v>
      </c>
      <c r="O169" s="43">
        <f t="shared" si="19"/>
        <v>546.34939971854055</v>
      </c>
      <c r="Q169" s="42">
        <f t="shared" si="20"/>
        <v>0</v>
      </c>
      <c r="R169" s="42">
        <f t="shared" si="21"/>
        <v>0</v>
      </c>
      <c r="S169" s="42">
        <f t="shared" si="22"/>
        <v>0</v>
      </c>
      <c r="T169" s="42">
        <f t="shared" si="23"/>
        <v>1</v>
      </c>
      <c r="V169" s="30">
        <v>3050</v>
      </c>
      <c r="W169" s="30">
        <v>0</v>
      </c>
      <c r="X169" s="30">
        <v>0</v>
      </c>
      <c r="Y169" s="30">
        <v>0</v>
      </c>
      <c r="Z169" s="30">
        <v>1</v>
      </c>
    </row>
    <row r="170" spans="1:26" x14ac:dyDescent="0.2">
      <c r="A170" s="30">
        <v>163</v>
      </c>
      <c r="C170" s="31">
        <v>0.99822933703868777</v>
      </c>
      <c r="D170" s="32">
        <v>13636.583215301496</v>
      </c>
      <c r="E170" s="31">
        <v>0.96950820291133133</v>
      </c>
      <c r="F170" s="32">
        <v>6121.211610894482</v>
      </c>
      <c r="G170" s="31">
        <v>0.95676313099363819</v>
      </c>
      <c r="H170" s="32">
        <v>8062.6543676084211</v>
      </c>
      <c r="I170" s="31">
        <v>0.95676313099363819</v>
      </c>
      <c r="J170" s="32">
        <v>4850.5807200825957</v>
      </c>
      <c r="L170" s="43">
        <f t="shared" si="16"/>
        <v>-8645.4365301080579</v>
      </c>
      <c r="M170" s="43">
        <f t="shared" si="17"/>
        <v>-1273.6705963378254</v>
      </c>
      <c r="N170" s="43">
        <f t="shared" si="18"/>
        <v>-3278.8387126402304</v>
      </c>
      <c r="O170" s="43">
        <f t="shared" si="19"/>
        <v>-66.765065114404933</v>
      </c>
      <c r="Q170" s="42">
        <f t="shared" si="20"/>
        <v>0</v>
      </c>
      <c r="R170" s="42">
        <f t="shared" si="21"/>
        <v>0</v>
      </c>
      <c r="S170" s="42">
        <f t="shared" si="22"/>
        <v>0</v>
      </c>
      <c r="T170" s="42">
        <f t="shared" si="23"/>
        <v>1</v>
      </c>
      <c r="V170" s="30">
        <v>3100</v>
      </c>
      <c r="W170" s="30">
        <v>0</v>
      </c>
      <c r="X170" s="30">
        <v>0</v>
      </c>
      <c r="Y170" s="30">
        <v>0</v>
      </c>
      <c r="Z170" s="30">
        <v>1</v>
      </c>
    </row>
    <row r="171" spans="1:26" x14ac:dyDescent="0.2">
      <c r="A171" s="30">
        <v>164</v>
      </c>
      <c r="C171" s="31">
        <v>0.98845517690839468</v>
      </c>
      <c r="D171" s="32">
        <v>15986.093826566632</v>
      </c>
      <c r="E171" s="31">
        <v>0.77581514121282624</v>
      </c>
      <c r="F171" s="32">
        <v>2563.3602820458664</v>
      </c>
      <c r="G171" s="31">
        <v>0.93150302847290356</v>
      </c>
      <c r="H171" s="32">
        <v>8967.5917832101768</v>
      </c>
      <c r="I171" s="31">
        <v>0.77142639632084165</v>
      </c>
      <c r="J171" s="32">
        <v>2311.1912607025638</v>
      </c>
      <c r="L171" s="43">
        <f t="shared" si="16"/>
        <v>-11043.81794202466</v>
      </c>
      <c r="M171" s="43">
        <f t="shared" si="17"/>
        <v>1315.7154240182649</v>
      </c>
      <c r="N171" s="43">
        <f t="shared" si="18"/>
        <v>-4310.0766408456593</v>
      </c>
      <c r="O171" s="43">
        <f t="shared" si="19"/>
        <v>1545.9407209016445</v>
      </c>
      <c r="Q171" s="42">
        <f t="shared" si="20"/>
        <v>0</v>
      </c>
      <c r="R171" s="42">
        <f t="shared" si="21"/>
        <v>0</v>
      </c>
      <c r="S171" s="42">
        <f t="shared" si="22"/>
        <v>0</v>
      </c>
      <c r="T171" s="42">
        <f t="shared" si="23"/>
        <v>1</v>
      </c>
      <c r="V171" s="30">
        <v>3150</v>
      </c>
      <c r="W171" s="30">
        <v>0</v>
      </c>
      <c r="X171" s="30">
        <v>0</v>
      </c>
      <c r="Y171" s="30">
        <v>0</v>
      </c>
      <c r="Z171" s="30">
        <v>1</v>
      </c>
    </row>
    <row r="172" spans="1:26" x14ac:dyDescent="0.2">
      <c r="A172" s="30">
        <v>165</v>
      </c>
      <c r="C172" s="31">
        <v>0.98703714149121424</v>
      </c>
      <c r="D172" s="32">
        <v>16218.324502513413</v>
      </c>
      <c r="E172" s="31">
        <v>0.74204799735998872</v>
      </c>
      <c r="F172" s="32">
        <v>2969.0128260363012</v>
      </c>
      <c r="G172" s="31">
        <v>0.87633842433773879</v>
      </c>
      <c r="H172" s="32">
        <v>9226.8700651745094</v>
      </c>
      <c r="I172" s="31">
        <v>0.73877363643208838</v>
      </c>
      <c r="J172" s="32">
        <v>2762.1643472112942</v>
      </c>
      <c r="L172" s="43">
        <f t="shared" si="16"/>
        <v>-11283.138795057341</v>
      </c>
      <c r="M172" s="43">
        <f t="shared" si="17"/>
        <v>741.22716076364213</v>
      </c>
      <c r="N172" s="43">
        <f t="shared" si="18"/>
        <v>-4845.1779434858154</v>
      </c>
      <c r="O172" s="43">
        <f t="shared" si="19"/>
        <v>931.70383494914768</v>
      </c>
      <c r="Q172" s="42">
        <f t="shared" si="20"/>
        <v>0</v>
      </c>
      <c r="R172" s="42">
        <f t="shared" si="21"/>
        <v>0</v>
      </c>
      <c r="S172" s="42">
        <f t="shared" si="22"/>
        <v>0</v>
      </c>
      <c r="T172" s="42">
        <f t="shared" si="23"/>
        <v>1</v>
      </c>
      <c r="V172" s="30">
        <v>3200</v>
      </c>
      <c r="W172" s="30">
        <v>0</v>
      </c>
      <c r="X172" s="30">
        <v>0</v>
      </c>
      <c r="Y172" s="30">
        <v>0</v>
      </c>
      <c r="Z172" s="30">
        <v>1</v>
      </c>
    </row>
    <row r="173" spans="1:26" x14ac:dyDescent="0.2">
      <c r="A173" s="30">
        <v>166</v>
      </c>
      <c r="C173" s="31">
        <v>0.99266844206977523</v>
      </c>
      <c r="D173" s="32">
        <v>15128.404782394475</v>
      </c>
      <c r="E173" s="31">
        <v>0.93131726987888719</v>
      </c>
      <c r="F173" s="32">
        <v>5586.7995295954688</v>
      </c>
      <c r="G173" s="31">
        <v>0.91762477272753895</v>
      </c>
      <c r="H173" s="32">
        <v>9207.7577761663342</v>
      </c>
      <c r="I173" s="31">
        <v>0.91762477272753895</v>
      </c>
      <c r="J173" s="32">
        <v>5237.9491698576512</v>
      </c>
      <c r="L173" s="43">
        <f t="shared" si="16"/>
        <v>-10165.062572045597</v>
      </c>
      <c r="M173" s="43">
        <f t="shared" si="17"/>
        <v>-930.21318020103263</v>
      </c>
      <c r="N173" s="43">
        <f t="shared" si="18"/>
        <v>-4619.6339125286395</v>
      </c>
      <c r="O173" s="43">
        <f t="shared" si="19"/>
        <v>-649.82530621995647</v>
      </c>
      <c r="Q173" s="42">
        <f t="shared" si="20"/>
        <v>0</v>
      </c>
      <c r="R173" s="42">
        <f t="shared" si="21"/>
        <v>0</v>
      </c>
      <c r="S173" s="42">
        <f t="shared" si="22"/>
        <v>0</v>
      </c>
      <c r="T173" s="42">
        <f t="shared" si="23"/>
        <v>1</v>
      </c>
      <c r="V173" s="30">
        <v>3250</v>
      </c>
      <c r="W173" s="30">
        <v>0</v>
      </c>
      <c r="X173" s="30">
        <v>0</v>
      </c>
      <c r="Y173" s="30">
        <v>0</v>
      </c>
      <c r="Z173" s="30">
        <v>1</v>
      </c>
    </row>
    <row r="174" spans="1:26" x14ac:dyDescent="0.2">
      <c r="A174" s="30">
        <v>167</v>
      </c>
      <c r="C174" s="31">
        <v>0.99639583707181756</v>
      </c>
      <c r="D174" s="32">
        <v>21633.194143257002</v>
      </c>
      <c r="E174" s="31">
        <v>0.91958380289415032</v>
      </c>
      <c r="F174" s="32">
        <v>7090.5482296579376</v>
      </c>
      <c r="G174" s="31">
        <v>0.913568580283038</v>
      </c>
      <c r="H174" s="32">
        <v>12952.815751522354</v>
      </c>
      <c r="I174" s="31">
        <v>0.9135685837636679</v>
      </c>
      <c r="J174" s="32">
        <v>6814.5289267407034</v>
      </c>
      <c r="L174" s="43">
        <f t="shared" si="16"/>
        <v>-16651.214957897915</v>
      </c>
      <c r="M174" s="43">
        <f t="shared" si="17"/>
        <v>-2492.6292151871858</v>
      </c>
      <c r="N174" s="43">
        <f t="shared" si="18"/>
        <v>-8384.972850107164</v>
      </c>
      <c r="O174" s="43">
        <f t="shared" si="19"/>
        <v>-2246.6860079223643</v>
      </c>
      <c r="Q174" s="42">
        <f t="shared" si="20"/>
        <v>0</v>
      </c>
      <c r="R174" s="42">
        <f t="shared" si="21"/>
        <v>0</v>
      </c>
      <c r="S174" s="42">
        <f t="shared" si="22"/>
        <v>0</v>
      </c>
      <c r="T174" s="42">
        <f t="shared" si="23"/>
        <v>1</v>
      </c>
      <c r="V174" s="30">
        <v>3300</v>
      </c>
      <c r="W174" s="30">
        <v>0</v>
      </c>
      <c r="X174" s="30">
        <v>0</v>
      </c>
      <c r="Y174" s="30">
        <v>0</v>
      </c>
      <c r="Z174" s="30">
        <v>1</v>
      </c>
    </row>
    <row r="175" spans="1:26" x14ac:dyDescent="0.2">
      <c r="A175" s="30">
        <v>168</v>
      </c>
      <c r="C175" s="31">
        <v>0.975722099484576</v>
      </c>
      <c r="D175" s="32">
        <v>13599.988213413253</v>
      </c>
      <c r="E175" s="31">
        <v>0.95656068842147246</v>
      </c>
      <c r="F175" s="32">
        <v>7036.3422344225364</v>
      </c>
      <c r="G175" s="31">
        <v>0.9485377755527995</v>
      </c>
      <c r="H175" s="32">
        <v>8683.2793348916093</v>
      </c>
      <c r="I175" s="31">
        <v>0.94279436140890516</v>
      </c>
      <c r="J175" s="32">
        <v>5635.7796747029952</v>
      </c>
      <c r="L175" s="43">
        <f t="shared" si="16"/>
        <v>-8721.377715990373</v>
      </c>
      <c r="M175" s="43">
        <f t="shared" si="17"/>
        <v>-2253.5387923151739</v>
      </c>
      <c r="N175" s="43">
        <f t="shared" si="18"/>
        <v>-3940.5904571276114</v>
      </c>
      <c r="O175" s="43">
        <f t="shared" si="19"/>
        <v>-921.80786765846915</v>
      </c>
      <c r="Q175" s="42">
        <f t="shared" si="20"/>
        <v>0</v>
      </c>
      <c r="R175" s="42">
        <f t="shared" si="21"/>
        <v>0</v>
      </c>
      <c r="S175" s="42">
        <f t="shared" si="22"/>
        <v>0</v>
      </c>
      <c r="T175" s="42">
        <f t="shared" si="23"/>
        <v>1</v>
      </c>
      <c r="V175" s="30">
        <v>3350</v>
      </c>
      <c r="W175" s="30">
        <v>0</v>
      </c>
      <c r="X175" s="30">
        <v>0</v>
      </c>
      <c r="Y175" s="30">
        <v>0</v>
      </c>
      <c r="Z175" s="30">
        <v>1</v>
      </c>
    </row>
    <row r="176" spans="1:26" x14ac:dyDescent="0.2">
      <c r="A176" s="30">
        <v>169</v>
      </c>
      <c r="C176" s="31">
        <v>0.99937422287187061</v>
      </c>
      <c r="D176" s="32">
        <v>15943.039454570089</v>
      </c>
      <c r="E176" s="31">
        <v>0.95883423935546663</v>
      </c>
      <c r="F176" s="32">
        <v>9388.7632954069522</v>
      </c>
      <c r="G176" s="31">
        <v>0.94869626343109803</v>
      </c>
      <c r="H176" s="32">
        <v>10022.169243101376</v>
      </c>
      <c r="I176" s="31">
        <v>0.94869626343109803</v>
      </c>
      <c r="J176" s="32">
        <v>7095.7101135794064</v>
      </c>
      <c r="L176" s="43">
        <f t="shared" si="16"/>
        <v>-10946.168340210737</v>
      </c>
      <c r="M176" s="43">
        <f t="shared" si="17"/>
        <v>-4594.5920986296187</v>
      </c>
      <c r="N176" s="43">
        <f t="shared" si="18"/>
        <v>-5278.6879259458865</v>
      </c>
      <c r="O176" s="43">
        <f t="shared" si="19"/>
        <v>-2352.2287964239167</v>
      </c>
      <c r="Q176" s="42">
        <f t="shared" si="20"/>
        <v>0</v>
      </c>
      <c r="R176" s="42">
        <f t="shared" si="21"/>
        <v>0</v>
      </c>
      <c r="S176" s="42">
        <f t="shared" si="22"/>
        <v>0</v>
      </c>
      <c r="T176" s="42">
        <f t="shared" si="23"/>
        <v>1</v>
      </c>
      <c r="V176" s="30">
        <v>3400</v>
      </c>
      <c r="W176" s="30">
        <v>0</v>
      </c>
      <c r="X176" s="30">
        <v>0</v>
      </c>
      <c r="Y176" s="30">
        <v>0</v>
      </c>
      <c r="Z176" s="30">
        <v>1</v>
      </c>
    </row>
    <row r="177" spans="1:26" x14ac:dyDescent="0.2">
      <c r="A177" s="30">
        <v>170</v>
      </c>
      <c r="C177" s="31">
        <v>0.99428556999837114</v>
      </c>
      <c r="D177" s="32">
        <v>14495.778285103923</v>
      </c>
      <c r="E177" s="31">
        <v>0.78638125986115326</v>
      </c>
      <c r="F177" s="32">
        <v>2783.7650044114084</v>
      </c>
      <c r="G177" s="31">
        <v>0.95464075632099221</v>
      </c>
      <c r="H177" s="32">
        <v>9177.0759528897015</v>
      </c>
      <c r="I177" s="31">
        <v>0.78160421299428418</v>
      </c>
      <c r="J177" s="32">
        <v>2562.715253960841</v>
      </c>
      <c r="L177" s="43">
        <f t="shared" si="16"/>
        <v>-9524.3504351120682</v>
      </c>
      <c r="M177" s="43">
        <f t="shared" si="17"/>
        <v>1148.141294894358</v>
      </c>
      <c r="N177" s="43">
        <f t="shared" si="18"/>
        <v>-4403.87217128474</v>
      </c>
      <c r="O177" s="43">
        <f t="shared" si="19"/>
        <v>1345.3058110105799</v>
      </c>
      <c r="Q177" s="42">
        <f t="shared" si="20"/>
        <v>0</v>
      </c>
      <c r="R177" s="42">
        <f t="shared" si="21"/>
        <v>0</v>
      </c>
      <c r="S177" s="42">
        <f t="shared" si="22"/>
        <v>0</v>
      </c>
      <c r="T177" s="42">
        <f t="shared" si="23"/>
        <v>1</v>
      </c>
      <c r="V177" s="30">
        <v>3450</v>
      </c>
      <c r="W177" s="30">
        <v>0</v>
      </c>
      <c r="X177" s="30">
        <v>0</v>
      </c>
      <c r="Y177" s="30">
        <v>0</v>
      </c>
      <c r="Z177" s="30">
        <v>1</v>
      </c>
    </row>
    <row r="178" spans="1:26" x14ac:dyDescent="0.2">
      <c r="A178" s="30">
        <v>171</v>
      </c>
      <c r="C178" s="31">
        <v>0.99368792425939823</v>
      </c>
      <c r="D178" s="32">
        <v>14943.931362243331</v>
      </c>
      <c r="E178" s="31">
        <v>0.73175824444042536</v>
      </c>
      <c r="F178" s="32">
        <v>7018.3270268565457</v>
      </c>
      <c r="G178" s="31">
        <v>0.92161600030801138</v>
      </c>
      <c r="H178" s="32">
        <v>9256.3536617458285</v>
      </c>
      <c r="I178" s="31">
        <v>0.73175824444302395</v>
      </c>
      <c r="J178" s="32">
        <v>4218.1109941946406</v>
      </c>
      <c r="L178" s="43">
        <f t="shared" si="16"/>
        <v>-9975.4917409463396</v>
      </c>
      <c r="M178" s="43">
        <f t="shared" si="17"/>
        <v>-3359.5358046544188</v>
      </c>
      <c r="N178" s="43">
        <f t="shared" si="18"/>
        <v>-4648.2736602057712</v>
      </c>
      <c r="O178" s="43">
        <f t="shared" si="19"/>
        <v>-559.31977197952074</v>
      </c>
      <c r="Q178" s="42">
        <f t="shared" si="20"/>
        <v>0</v>
      </c>
      <c r="R178" s="42">
        <f t="shared" si="21"/>
        <v>0</v>
      </c>
      <c r="S178" s="42">
        <f t="shared" si="22"/>
        <v>0</v>
      </c>
      <c r="T178" s="42">
        <f t="shared" si="23"/>
        <v>1</v>
      </c>
      <c r="V178" s="30">
        <v>3500</v>
      </c>
      <c r="W178" s="30">
        <v>0</v>
      </c>
      <c r="X178" s="30">
        <v>0</v>
      </c>
      <c r="Y178" s="30">
        <v>0</v>
      </c>
      <c r="Z178" s="30">
        <v>1</v>
      </c>
    </row>
    <row r="179" spans="1:26" x14ac:dyDescent="0.2">
      <c r="A179" s="30">
        <v>172</v>
      </c>
      <c r="C179" s="31">
        <v>0.94644810810356583</v>
      </c>
      <c r="D179" s="32">
        <v>15582.756796820277</v>
      </c>
      <c r="E179" s="31">
        <v>0.79480888202944322</v>
      </c>
      <c r="F179" s="32">
        <v>5062.3901615652239</v>
      </c>
      <c r="G179" s="31">
        <v>0.90134496332931335</v>
      </c>
      <c r="H179" s="32">
        <v>9193.3529016126522</v>
      </c>
      <c r="I179" s="31">
        <v>0.78759550365515252</v>
      </c>
      <c r="J179" s="32">
        <v>4013.5601923837121</v>
      </c>
      <c r="L179" s="43">
        <f t="shared" si="16"/>
        <v>-10850.516256302448</v>
      </c>
      <c r="M179" s="43">
        <f t="shared" si="17"/>
        <v>-1088.3457514180077</v>
      </c>
      <c r="N179" s="43">
        <f t="shared" si="18"/>
        <v>-4686.6280849660852</v>
      </c>
      <c r="O179" s="43">
        <f t="shared" si="19"/>
        <v>-75.582674107949515</v>
      </c>
      <c r="Q179" s="42">
        <f t="shared" si="20"/>
        <v>0</v>
      </c>
      <c r="R179" s="42">
        <f t="shared" si="21"/>
        <v>0</v>
      </c>
      <c r="S179" s="42">
        <f t="shared" si="22"/>
        <v>0</v>
      </c>
      <c r="T179" s="42">
        <f t="shared" si="23"/>
        <v>1</v>
      </c>
      <c r="V179" s="30">
        <v>3550</v>
      </c>
      <c r="W179" s="30">
        <v>0</v>
      </c>
      <c r="X179" s="30">
        <v>0</v>
      </c>
      <c r="Y179" s="30">
        <v>0</v>
      </c>
      <c r="Z179" s="30">
        <v>1</v>
      </c>
    </row>
    <row r="180" spans="1:26" x14ac:dyDescent="0.2">
      <c r="A180" s="30">
        <v>173</v>
      </c>
      <c r="C180" s="31">
        <v>0.99825242949521065</v>
      </c>
      <c r="D180" s="32">
        <v>12266.981318324135</v>
      </c>
      <c r="E180" s="31">
        <v>0.76204607294788707</v>
      </c>
      <c r="F180" s="32">
        <v>1599.3535582462678</v>
      </c>
      <c r="G180" s="31">
        <v>0.97164203683853523</v>
      </c>
      <c r="H180" s="32">
        <v>7178.0430851140609</v>
      </c>
      <c r="I180" s="31">
        <v>0.76204607294788707</v>
      </c>
      <c r="J180" s="32">
        <v>1473.2561456223323</v>
      </c>
      <c r="L180" s="43">
        <f t="shared" si="16"/>
        <v>-7275.7191708480814</v>
      </c>
      <c r="M180" s="43">
        <f t="shared" si="17"/>
        <v>2210.8768064931674</v>
      </c>
      <c r="N180" s="43">
        <f t="shared" si="18"/>
        <v>-2319.8329009213849</v>
      </c>
      <c r="O180" s="43">
        <f t="shared" si="19"/>
        <v>2336.9742191171026</v>
      </c>
      <c r="Q180" s="42">
        <f t="shared" si="20"/>
        <v>0</v>
      </c>
      <c r="R180" s="42">
        <f t="shared" si="21"/>
        <v>0</v>
      </c>
      <c r="S180" s="42">
        <f t="shared" si="22"/>
        <v>0</v>
      </c>
      <c r="T180" s="42">
        <f t="shared" si="23"/>
        <v>1</v>
      </c>
      <c r="V180" s="30">
        <v>3600</v>
      </c>
      <c r="W180" s="30">
        <v>0</v>
      </c>
      <c r="X180" s="30">
        <v>0</v>
      </c>
      <c r="Y180" s="30">
        <v>0</v>
      </c>
      <c r="Z180" s="30">
        <v>1</v>
      </c>
    </row>
    <row r="181" spans="1:26" x14ac:dyDescent="0.2">
      <c r="A181" s="30">
        <v>174</v>
      </c>
      <c r="C181" s="31">
        <v>0.97709688709266329</v>
      </c>
      <c r="D181" s="32">
        <v>19145.242152566276</v>
      </c>
      <c r="E181" s="31">
        <v>0.91589206550857594</v>
      </c>
      <c r="F181" s="32">
        <v>7075.3575349286448</v>
      </c>
      <c r="G181" s="31">
        <v>0.94250547503857907</v>
      </c>
      <c r="H181" s="32">
        <v>11799.952353558405</v>
      </c>
      <c r="I181" s="31">
        <v>0.91583234599511565</v>
      </c>
      <c r="J181" s="32">
        <v>6938.1965535543777</v>
      </c>
      <c r="L181" s="43">
        <f t="shared" si="16"/>
        <v>-14259.757717102959</v>
      </c>
      <c r="M181" s="43">
        <f t="shared" si="17"/>
        <v>-2495.8972073857649</v>
      </c>
      <c r="N181" s="43">
        <f t="shared" si="18"/>
        <v>-7087.4249783655096</v>
      </c>
      <c r="O181" s="43">
        <f t="shared" si="19"/>
        <v>-2359.0348235787997</v>
      </c>
      <c r="Q181" s="42">
        <f t="shared" si="20"/>
        <v>0</v>
      </c>
      <c r="R181" s="42">
        <f t="shared" si="21"/>
        <v>0</v>
      </c>
      <c r="S181" s="42">
        <f t="shared" si="22"/>
        <v>0</v>
      </c>
      <c r="T181" s="42">
        <f t="shared" si="23"/>
        <v>1</v>
      </c>
      <c r="V181" s="30">
        <v>3650</v>
      </c>
      <c r="W181" s="30">
        <v>0</v>
      </c>
      <c r="X181" s="30">
        <v>0</v>
      </c>
      <c r="Y181" s="30">
        <v>0</v>
      </c>
      <c r="Z181" s="30">
        <v>1</v>
      </c>
    </row>
    <row r="182" spans="1:26" x14ac:dyDescent="0.2">
      <c r="A182" s="30">
        <v>175</v>
      </c>
      <c r="C182" s="31">
        <v>0.98861496921135827</v>
      </c>
      <c r="D182" s="32">
        <v>17632.20929929816</v>
      </c>
      <c r="E182" s="31">
        <v>0.8734606004868134</v>
      </c>
      <c r="F182" s="32">
        <v>6572.0209208341785</v>
      </c>
      <c r="G182" s="31">
        <v>0.87934671948540966</v>
      </c>
      <c r="H182" s="32">
        <v>10544.469141657913</v>
      </c>
      <c r="I182" s="31">
        <v>0.86943244818512921</v>
      </c>
      <c r="J182" s="32">
        <v>5763.1742372372528</v>
      </c>
      <c r="L182" s="43">
        <f t="shared" si="16"/>
        <v>-12689.134453241368</v>
      </c>
      <c r="M182" s="43">
        <f t="shared" si="17"/>
        <v>-2204.7179184001116</v>
      </c>
      <c r="N182" s="43">
        <f t="shared" si="18"/>
        <v>-6147.7355442308653</v>
      </c>
      <c r="O182" s="43">
        <f t="shared" si="19"/>
        <v>-1416.0119963116067</v>
      </c>
      <c r="Q182" s="42">
        <f t="shared" si="20"/>
        <v>0</v>
      </c>
      <c r="R182" s="42">
        <f t="shared" si="21"/>
        <v>0</v>
      </c>
      <c r="S182" s="42">
        <f t="shared" si="22"/>
        <v>0</v>
      </c>
      <c r="T182" s="42">
        <f t="shared" si="23"/>
        <v>1</v>
      </c>
      <c r="V182" s="30">
        <v>3700</v>
      </c>
      <c r="W182" s="30">
        <v>0</v>
      </c>
      <c r="X182" s="30">
        <v>0</v>
      </c>
      <c r="Y182" s="30">
        <v>0</v>
      </c>
      <c r="Z182" s="30">
        <v>1</v>
      </c>
    </row>
    <row r="183" spans="1:26" x14ac:dyDescent="0.2">
      <c r="A183" s="30">
        <v>176</v>
      </c>
      <c r="C183" s="31">
        <v>0.97091162105054385</v>
      </c>
      <c r="D183" s="32">
        <v>16167.039857538921</v>
      </c>
      <c r="E183" s="31">
        <v>0.84151283204662874</v>
      </c>
      <c r="F183" s="32">
        <v>8016.7328473264342</v>
      </c>
      <c r="G183" s="31">
        <v>0.95450540062403122</v>
      </c>
      <c r="H183" s="32">
        <v>10219.500187691461</v>
      </c>
      <c r="I183" s="31">
        <v>0.83371296393743011</v>
      </c>
      <c r="J183" s="32">
        <v>5259.5779063390664</v>
      </c>
      <c r="L183" s="43">
        <f t="shared" si="16"/>
        <v>-11312.481752286201</v>
      </c>
      <c r="M183" s="43">
        <f t="shared" si="17"/>
        <v>-3809.1686870932908</v>
      </c>
      <c r="N183" s="43">
        <f t="shared" si="18"/>
        <v>-5446.973184571305</v>
      </c>
      <c r="O183" s="43">
        <f t="shared" si="19"/>
        <v>-1091.0130866519157</v>
      </c>
      <c r="Q183" s="42">
        <f t="shared" si="20"/>
        <v>0</v>
      </c>
      <c r="R183" s="42">
        <f t="shared" si="21"/>
        <v>0</v>
      </c>
      <c r="S183" s="42">
        <f t="shared" si="22"/>
        <v>0</v>
      </c>
      <c r="T183" s="42">
        <f t="shared" si="23"/>
        <v>1</v>
      </c>
      <c r="V183" s="30">
        <v>3750</v>
      </c>
      <c r="W183" s="30">
        <v>0</v>
      </c>
      <c r="X183" s="30">
        <v>0</v>
      </c>
      <c r="Y183" s="30">
        <v>0</v>
      </c>
      <c r="Z183" s="30">
        <v>1</v>
      </c>
    </row>
    <row r="184" spans="1:26" x14ac:dyDescent="0.2">
      <c r="A184" s="30">
        <v>177</v>
      </c>
      <c r="C184" s="31">
        <v>0.9849751788173412</v>
      </c>
      <c r="D184" s="32">
        <v>17438.835271452197</v>
      </c>
      <c r="E184" s="31">
        <v>0.80629506040115773</v>
      </c>
      <c r="F184" s="32">
        <v>4774.2644250977655</v>
      </c>
      <c r="G184" s="31">
        <v>0.95050744959623401</v>
      </c>
      <c r="H184" s="32">
        <v>10214.301259659342</v>
      </c>
      <c r="I184" s="31">
        <v>0.805674768341194</v>
      </c>
      <c r="J184" s="32">
        <v>3821.5547482807488</v>
      </c>
      <c r="L184" s="43">
        <f t="shared" si="16"/>
        <v>-12513.959377365492</v>
      </c>
      <c r="M184" s="43">
        <f t="shared" si="17"/>
        <v>-742.78912309197676</v>
      </c>
      <c r="N184" s="43">
        <f t="shared" si="18"/>
        <v>-5461.7640116781713</v>
      </c>
      <c r="O184" s="43">
        <f t="shared" si="19"/>
        <v>206.81909342522113</v>
      </c>
      <c r="Q184" s="42">
        <f t="shared" si="20"/>
        <v>0</v>
      </c>
      <c r="R184" s="42">
        <f t="shared" si="21"/>
        <v>0</v>
      </c>
      <c r="S184" s="42">
        <f t="shared" si="22"/>
        <v>0</v>
      </c>
      <c r="T184" s="42">
        <f t="shared" si="23"/>
        <v>1</v>
      </c>
      <c r="V184" s="30">
        <v>3800</v>
      </c>
      <c r="W184" s="30">
        <v>0</v>
      </c>
      <c r="X184" s="30">
        <v>0</v>
      </c>
      <c r="Y184" s="30">
        <v>0</v>
      </c>
      <c r="Z184" s="30">
        <v>1</v>
      </c>
    </row>
    <row r="185" spans="1:26" x14ac:dyDescent="0.2">
      <c r="A185" s="30">
        <v>178</v>
      </c>
      <c r="C185" s="31">
        <v>0.99241009215783105</v>
      </c>
      <c r="D185" s="32">
        <v>13416.444021103631</v>
      </c>
      <c r="E185" s="31">
        <v>0.83258283253362675</v>
      </c>
      <c r="F185" s="32">
        <v>3007.5712393333065</v>
      </c>
      <c r="G185" s="31">
        <v>0.9645946764798643</v>
      </c>
      <c r="H185" s="32">
        <v>8193.5954923291119</v>
      </c>
      <c r="I185" s="31">
        <v>0.82931152969519062</v>
      </c>
      <c r="J185" s="32">
        <v>2851.9399334621121</v>
      </c>
      <c r="L185" s="43">
        <f t="shared" si="16"/>
        <v>-8454.3935603144746</v>
      </c>
      <c r="M185" s="43">
        <f t="shared" si="17"/>
        <v>1155.3429233348274</v>
      </c>
      <c r="N185" s="43">
        <f t="shared" si="18"/>
        <v>-3370.6221099297909</v>
      </c>
      <c r="O185" s="43">
        <f t="shared" si="19"/>
        <v>1294.617715013841</v>
      </c>
      <c r="Q185" s="42">
        <f t="shared" si="20"/>
        <v>0</v>
      </c>
      <c r="R185" s="42">
        <f t="shared" si="21"/>
        <v>0</v>
      </c>
      <c r="S185" s="42">
        <f t="shared" si="22"/>
        <v>0</v>
      </c>
      <c r="T185" s="42">
        <f t="shared" si="23"/>
        <v>1</v>
      </c>
      <c r="V185" s="30">
        <v>3850</v>
      </c>
      <c r="W185" s="30">
        <v>0</v>
      </c>
      <c r="X185" s="30">
        <v>0</v>
      </c>
      <c r="Y185" s="30">
        <v>0</v>
      </c>
      <c r="Z185" s="30">
        <v>1</v>
      </c>
    </row>
    <row r="186" spans="1:26" x14ac:dyDescent="0.2">
      <c r="A186" s="30">
        <v>179</v>
      </c>
      <c r="C186" s="31">
        <v>0.99350448193424756</v>
      </c>
      <c r="D186" s="32">
        <v>13616.91618460982</v>
      </c>
      <c r="E186" s="31">
        <v>0.83459098120331188</v>
      </c>
      <c r="F186" s="32">
        <v>5674.6540533124335</v>
      </c>
      <c r="G186" s="31">
        <v>0.97562325270141015</v>
      </c>
      <c r="H186" s="32">
        <v>8062.1841754508714</v>
      </c>
      <c r="I186" s="31">
        <v>0.83227412029786096</v>
      </c>
      <c r="J186" s="32">
        <v>3643.5047672557203</v>
      </c>
      <c r="L186" s="43">
        <f t="shared" si="16"/>
        <v>-8649.3937749385805</v>
      </c>
      <c r="M186" s="43">
        <f t="shared" si="17"/>
        <v>-1501.6991472958744</v>
      </c>
      <c r="N186" s="43">
        <f t="shared" si="18"/>
        <v>-3184.0679119438209</v>
      </c>
      <c r="O186" s="43">
        <f t="shared" si="19"/>
        <v>517.86583423358479</v>
      </c>
      <c r="Q186" s="42">
        <f t="shared" si="20"/>
        <v>0</v>
      </c>
      <c r="R186" s="42">
        <f t="shared" si="21"/>
        <v>0</v>
      </c>
      <c r="S186" s="42">
        <f t="shared" si="22"/>
        <v>0</v>
      </c>
      <c r="T186" s="42">
        <f t="shared" si="23"/>
        <v>1</v>
      </c>
      <c r="V186" s="30">
        <v>3900</v>
      </c>
      <c r="W186" s="30">
        <v>0</v>
      </c>
      <c r="X186" s="30">
        <v>0</v>
      </c>
      <c r="Y186" s="30">
        <v>0</v>
      </c>
      <c r="Z186" s="30">
        <v>1</v>
      </c>
    </row>
    <row r="187" spans="1:26" x14ac:dyDescent="0.2">
      <c r="A187" s="30">
        <v>180</v>
      </c>
      <c r="C187" s="31">
        <v>0.96318310866022261</v>
      </c>
      <c r="D187" s="32">
        <v>12884.386312163662</v>
      </c>
      <c r="E187" s="31">
        <v>0.75120274788447772</v>
      </c>
      <c r="F187" s="32">
        <v>2306.7831195817134</v>
      </c>
      <c r="G187" s="31">
        <v>0.9318520302016029</v>
      </c>
      <c r="H187" s="32">
        <v>8138.0353459224943</v>
      </c>
      <c r="I187" s="31">
        <v>0.74751656051334325</v>
      </c>
      <c r="J187" s="32">
        <v>2125.061826725047</v>
      </c>
      <c r="L187" s="43">
        <f t="shared" si="16"/>
        <v>-8068.4707688625494</v>
      </c>
      <c r="M187" s="43">
        <f t="shared" si="17"/>
        <v>1449.230619840675</v>
      </c>
      <c r="N187" s="43">
        <f t="shared" si="18"/>
        <v>-3478.7751949144795</v>
      </c>
      <c r="O187" s="43">
        <f t="shared" si="19"/>
        <v>1612.520975841669</v>
      </c>
      <c r="Q187" s="42">
        <f t="shared" si="20"/>
        <v>0</v>
      </c>
      <c r="R187" s="42">
        <f t="shared" si="21"/>
        <v>0</v>
      </c>
      <c r="S187" s="42">
        <f t="shared" si="22"/>
        <v>0</v>
      </c>
      <c r="T187" s="42">
        <f t="shared" si="23"/>
        <v>1</v>
      </c>
      <c r="V187" s="30">
        <v>3950</v>
      </c>
      <c r="W187" s="30">
        <v>0</v>
      </c>
      <c r="X187" s="30">
        <v>0</v>
      </c>
      <c r="Y187" s="30">
        <v>0</v>
      </c>
      <c r="Z187" s="30">
        <v>1</v>
      </c>
    </row>
    <row r="188" spans="1:26" x14ac:dyDescent="0.2">
      <c r="A188" s="30">
        <v>181</v>
      </c>
      <c r="C188" s="31">
        <v>0.97445576024236791</v>
      </c>
      <c r="D188" s="32">
        <v>15314.052908406222</v>
      </c>
      <c r="E188" s="31">
        <v>0.93715378644635505</v>
      </c>
      <c r="F188" s="32">
        <v>8390.4159495431395</v>
      </c>
      <c r="G188" s="31">
        <v>0.93353220906256595</v>
      </c>
      <c r="H188" s="32">
        <v>9015.1938208507199</v>
      </c>
      <c r="I188" s="31">
        <v>0.93353220906256595</v>
      </c>
      <c r="J188" s="32">
        <v>6344.0135513838732</v>
      </c>
      <c r="L188" s="43">
        <f t="shared" si="16"/>
        <v>-10441.774107194382</v>
      </c>
      <c r="M188" s="43">
        <f t="shared" si="17"/>
        <v>-3704.6470173113639</v>
      </c>
      <c r="N188" s="43">
        <f t="shared" si="18"/>
        <v>-4347.5327755378903</v>
      </c>
      <c r="O188" s="43">
        <f t="shared" si="19"/>
        <v>-1676.3525060710435</v>
      </c>
      <c r="Q188" s="42">
        <f t="shared" si="20"/>
        <v>0</v>
      </c>
      <c r="R188" s="42">
        <f t="shared" si="21"/>
        <v>0</v>
      </c>
      <c r="S188" s="42">
        <f t="shared" si="22"/>
        <v>0</v>
      </c>
      <c r="T188" s="42">
        <f t="shared" si="23"/>
        <v>1</v>
      </c>
      <c r="V188" s="30">
        <v>4000</v>
      </c>
      <c r="W188" s="30">
        <v>0</v>
      </c>
      <c r="X188" s="30">
        <v>0</v>
      </c>
      <c r="Y188" s="30">
        <v>0</v>
      </c>
      <c r="Z188" s="30">
        <v>1</v>
      </c>
    </row>
    <row r="189" spans="1:26" x14ac:dyDescent="0.2">
      <c r="A189" s="30">
        <v>182</v>
      </c>
      <c r="C189" s="31">
        <v>0.99705675408784067</v>
      </c>
      <c r="D189" s="32">
        <v>13916.48180570453</v>
      </c>
      <c r="E189" s="31">
        <v>0.7953152283808389</v>
      </c>
      <c r="F189" s="32">
        <v>8489.4765305916262</v>
      </c>
      <c r="G189" s="31">
        <v>0.92274768229319237</v>
      </c>
      <c r="H189" s="32">
        <v>8280.6507154062874</v>
      </c>
      <c r="I189" s="31">
        <v>0.79097912494457634</v>
      </c>
      <c r="J189" s="32">
        <v>4765.8874631912313</v>
      </c>
      <c r="L189" s="43">
        <f t="shared" si="16"/>
        <v>-8931.1980352653263</v>
      </c>
      <c r="M189" s="43">
        <f t="shared" si="17"/>
        <v>-4512.9003886874316</v>
      </c>
      <c r="N189" s="43">
        <f t="shared" si="18"/>
        <v>-3666.9123039403257</v>
      </c>
      <c r="O189" s="43">
        <f t="shared" si="19"/>
        <v>-810.99183846834967</v>
      </c>
      <c r="Q189" s="42">
        <f t="shared" si="20"/>
        <v>0</v>
      </c>
      <c r="R189" s="42">
        <f t="shared" si="21"/>
        <v>0</v>
      </c>
      <c r="S189" s="42">
        <f t="shared" si="22"/>
        <v>0</v>
      </c>
      <c r="T189" s="42">
        <f t="shared" si="23"/>
        <v>1</v>
      </c>
      <c r="V189" s="30">
        <v>4050</v>
      </c>
      <c r="W189" s="30">
        <v>0</v>
      </c>
      <c r="X189" s="30">
        <v>0</v>
      </c>
      <c r="Y189" s="30">
        <v>0</v>
      </c>
      <c r="Z189" s="30">
        <v>1</v>
      </c>
    </row>
    <row r="190" spans="1:26" x14ac:dyDescent="0.2">
      <c r="A190" s="30">
        <v>183</v>
      </c>
      <c r="C190" s="31">
        <v>0.99827201713493685</v>
      </c>
      <c r="D190" s="32">
        <v>15083.927699513362</v>
      </c>
      <c r="E190" s="31">
        <v>0.94360167234413894</v>
      </c>
      <c r="F190" s="32">
        <v>7936.7381280691288</v>
      </c>
      <c r="G190" s="31">
        <v>0.93934775790255587</v>
      </c>
      <c r="H190" s="32">
        <v>8711.7435452428272</v>
      </c>
      <c r="I190" s="31">
        <v>0.9326751773044385</v>
      </c>
      <c r="J190" s="32">
        <v>5696.1466755740175</v>
      </c>
      <c r="L190" s="43">
        <f t="shared" si="16"/>
        <v>-10092.567613838677</v>
      </c>
      <c r="M190" s="43">
        <f t="shared" si="17"/>
        <v>-3218.7297663484342</v>
      </c>
      <c r="N190" s="43">
        <f t="shared" si="18"/>
        <v>-4015.0047557300477</v>
      </c>
      <c r="O190" s="43">
        <f t="shared" si="19"/>
        <v>-1032.770789051825</v>
      </c>
      <c r="Q190" s="42">
        <f t="shared" si="20"/>
        <v>0</v>
      </c>
      <c r="R190" s="42">
        <f t="shared" si="21"/>
        <v>0</v>
      </c>
      <c r="S190" s="42">
        <f t="shared" si="22"/>
        <v>0</v>
      </c>
      <c r="T190" s="42">
        <f t="shared" si="23"/>
        <v>1</v>
      </c>
      <c r="V190" s="30">
        <v>4100</v>
      </c>
      <c r="W190" s="30">
        <v>0</v>
      </c>
      <c r="X190" s="30">
        <v>0</v>
      </c>
      <c r="Y190" s="30">
        <v>0</v>
      </c>
      <c r="Z190" s="30">
        <v>1</v>
      </c>
    </row>
    <row r="191" spans="1:26" x14ac:dyDescent="0.2">
      <c r="A191" s="30">
        <v>184</v>
      </c>
      <c r="C191" s="31">
        <v>0.99399479423491199</v>
      </c>
      <c r="D191" s="32">
        <v>13143.889719078268</v>
      </c>
      <c r="E191" s="31">
        <v>0.78304214047414189</v>
      </c>
      <c r="F191" s="32">
        <v>2412.5351325748793</v>
      </c>
      <c r="G191" s="31">
        <v>0.94509511776896238</v>
      </c>
      <c r="H191" s="32">
        <v>7953.0920667732853</v>
      </c>
      <c r="I191" s="31">
        <v>0.7815334028708989</v>
      </c>
      <c r="J191" s="32">
        <v>2224.1913950657167</v>
      </c>
      <c r="L191" s="43">
        <f t="shared" si="16"/>
        <v>-8173.9157479037085</v>
      </c>
      <c r="M191" s="43">
        <f t="shared" si="17"/>
        <v>1502.6755697958301</v>
      </c>
      <c r="N191" s="43">
        <f t="shared" si="18"/>
        <v>-3227.6164779284736</v>
      </c>
      <c r="O191" s="43">
        <f t="shared" si="19"/>
        <v>1683.4756192887776</v>
      </c>
      <c r="Q191" s="42">
        <f t="shared" si="20"/>
        <v>0</v>
      </c>
      <c r="R191" s="42">
        <f t="shared" si="21"/>
        <v>0</v>
      </c>
      <c r="S191" s="42">
        <f t="shared" si="22"/>
        <v>0</v>
      </c>
      <c r="T191" s="42">
        <f t="shared" si="23"/>
        <v>1</v>
      </c>
      <c r="V191" s="30">
        <v>4150</v>
      </c>
      <c r="W191" s="30">
        <v>0</v>
      </c>
      <c r="X191" s="30">
        <v>0</v>
      </c>
      <c r="Y191" s="30">
        <v>0</v>
      </c>
      <c r="Z191" s="30">
        <v>1</v>
      </c>
    </row>
    <row r="192" spans="1:26" x14ac:dyDescent="0.2">
      <c r="A192" s="30">
        <v>185</v>
      </c>
      <c r="C192" s="31">
        <v>0.99867559982764442</v>
      </c>
      <c r="D192" s="32">
        <v>15609.102213775408</v>
      </c>
      <c r="E192" s="31">
        <v>0.8807817467006489</v>
      </c>
      <c r="F192" s="32">
        <v>6308.8364643391724</v>
      </c>
      <c r="G192" s="31">
        <v>0.91471732273329209</v>
      </c>
      <c r="H192" s="32">
        <v>9720.7508410035134</v>
      </c>
      <c r="I192" s="31">
        <v>0.88011324312309114</v>
      </c>
      <c r="J192" s="32">
        <v>5535.197382969176</v>
      </c>
      <c r="L192" s="43">
        <f t="shared" si="16"/>
        <v>-10615.724214637186</v>
      </c>
      <c r="M192" s="43">
        <f t="shared" si="17"/>
        <v>-1904.9277308359278</v>
      </c>
      <c r="N192" s="43">
        <f t="shared" si="18"/>
        <v>-5147.1642273370526</v>
      </c>
      <c r="O192" s="43">
        <f t="shared" si="19"/>
        <v>-1134.6311673537202</v>
      </c>
      <c r="Q192" s="42">
        <f t="shared" si="20"/>
        <v>0</v>
      </c>
      <c r="R192" s="42">
        <f t="shared" si="21"/>
        <v>0</v>
      </c>
      <c r="S192" s="42">
        <f t="shared" si="22"/>
        <v>0</v>
      </c>
      <c r="T192" s="42">
        <f t="shared" si="23"/>
        <v>1</v>
      </c>
      <c r="V192" s="30">
        <v>4200</v>
      </c>
      <c r="W192" s="30">
        <v>0</v>
      </c>
      <c r="X192" s="30">
        <v>0</v>
      </c>
      <c r="Y192" s="30">
        <v>0</v>
      </c>
      <c r="Z192" s="30">
        <v>1</v>
      </c>
    </row>
    <row r="193" spans="1:26" x14ac:dyDescent="0.2">
      <c r="A193" s="30">
        <v>186</v>
      </c>
      <c r="C193" s="31">
        <v>0.99407368617235503</v>
      </c>
      <c r="D193" s="32">
        <v>18927.774387110978</v>
      </c>
      <c r="E193" s="31">
        <v>0.98224330599302323</v>
      </c>
      <c r="F193" s="32">
        <v>7168.0801792820139</v>
      </c>
      <c r="G193" s="31">
        <v>0.98224330599302312</v>
      </c>
      <c r="H193" s="32">
        <v>11136.74714712117</v>
      </c>
      <c r="I193" s="31">
        <v>0.98224330599302312</v>
      </c>
      <c r="J193" s="32">
        <v>7029.130570512637</v>
      </c>
      <c r="L193" s="43">
        <f t="shared" si="16"/>
        <v>-13957.405956249204</v>
      </c>
      <c r="M193" s="43">
        <f t="shared" si="17"/>
        <v>-2256.8636493168979</v>
      </c>
      <c r="N193" s="43">
        <f t="shared" si="18"/>
        <v>-6225.5306171560542</v>
      </c>
      <c r="O193" s="43">
        <f t="shared" si="19"/>
        <v>-2117.9140405475209</v>
      </c>
      <c r="Q193" s="42">
        <f t="shared" si="20"/>
        <v>0</v>
      </c>
      <c r="R193" s="42">
        <f t="shared" si="21"/>
        <v>0</v>
      </c>
      <c r="S193" s="42">
        <f t="shared" si="22"/>
        <v>0</v>
      </c>
      <c r="T193" s="42">
        <f t="shared" si="23"/>
        <v>1</v>
      </c>
      <c r="V193" s="30">
        <v>4250</v>
      </c>
      <c r="W193" s="30">
        <v>0</v>
      </c>
      <c r="X193" s="30">
        <v>0</v>
      </c>
      <c r="Y193" s="30">
        <v>0</v>
      </c>
      <c r="Z193" s="30">
        <v>1</v>
      </c>
    </row>
    <row r="194" spans="1:26" x14ac:dyDescent="0.2">
      <c r="A194" s="30">
        <v>187</v>
      </c>
      <c r="C194" s="31">
        <v>0.99552570581526012</v>
      </c>
      <c r="D194" s="32">
        <v>16025.135702035384</v>
      </c>
      <c r="E194" s="31">
        <v>0.83490004998066292</v>
      </c>
      <c r="F194" s="32">
        <v>3473.4087838138985</v>
      </c>
      <c r="G194" s="31">
        <v>0.95483240877065811</v>
      </c>
      <c r="H194" s="32">
        <v>9657.5897862025995</v>
      </c>
      <c r="I194" s="31">
        <v>0.82701873825565642</v>
      </c>
      <c r="J194" s="32">
        <v>3201.1270253293678</v>
      </c>
      <c r="L194" s="43">
        <f t="shared" si="16"/>
        <v>-11047.507172959084</v>
      </c>
      <c r="M194" s="43">
        <f t="shared" si="17"/>
        <v>701.09146608941592</v>
      </c>
      <c r="N194" s="43">
        <f t="shared" si="18"/>
        <v>-4883.4277423493086</v>
      </c>
      <c r="O194" s="43">
        <f t="shared" si="19"/>
        <v>933.96666594891394</v>
      </c>
      <c r="Q194" s="42">
        <f t="shared" si="20"/>
        <v>0</v>
      </c>
      <c r="R194" s="42">
        <f t="shared" si="21"/>
        <v>0</v>
      </c>
      <c r="S194" s="42">
        <f t="shared" si="22"/>
        <v>0</v>
      </c>
      <c r="T194" s="42">
        <f t="shared" si="23"/>
        <v>1</v>
      </c>
      <c r="V194" s="30">
        <v>4300</v>
      </c>
      <c r="W194" s="30">
        <v>0</v>
      </c>
      <c r="X194" s="30">
        <v>0</v>
      </c>
      <c r="Y194" s="30">
        <v>0</v>
      </c>
      <c r="Z194" s="30">
        <v>1</v>
      </c>
    </row>
    <row r="195" spans="1:26" x14ac:dyDescent="0.2">
      <c r="A195" s="30">
        <v>188</v>
      </c>
      <c r="C195" s="31">
        <v>0.99995735171402189</v>
      </c>
      <c r="D195" s="32">
        <v>19714.472865348092</v>
      </c>
      <c r="E195" s="31">
        <v>0.9371165850227432</v>
      </c>
      <c r="F195" s="32">
        <v>11576.334522265148</v>
      </c>
      <c r="G195" s="31">
        <v>0.95372863214809445</v>
      </c>
      <c r="H195" s="32">
        <v>11857.130492566726</v>
      </c>
      <c r="I195" s="31">
        <v>0.93183375214453057</v>
      </c>
      <c r="J195" s="32">
        <v>8223.5909618975202</v>
      </c>
      <c r="L195" s="43">
        <f t="shared" si="16"/>
        <v>-14714.686106777983</v>
      </c>
      <c r="M195" s="43">
        <f t="shared" si="17"/>
        <v>-6890.7515971514322</v>
      </c>
      <c r="N195" s="43">
        <f t="shared" si="18"/>
        <v>-7088.4873318262544</v>
      </c>
      <c r="O195" s="43">
        <f t="shared" si="19"/>
        <v>-3564.422201174867</v>
      </c>
      <c r="Q195" s="42">
        <f t="shared" si="20"/>
        <v>0</v>
      </c>
      <c r="R195" s="42">
        <f t="shared" si="21"/>
        <v>0</v>
      </c>
      <c r="S195" s="42">
        <f t="shared" si="22"/>
        <v>0</v>
      </c>
      <c r="T195" s="42">
        <f t="shared" si="23"/>
        <v>1</v>
      </c>
      <c r="V195" s="30">
        <v>4350</v>
      </c>
      <c r="W195" s="30">
        <v>0</v>
      </c>
      <c r="X195" s="30">
        <v>0</v>
      </c>
      <c r="Y195" s="30">
        <v>0</v>
      </c>
      <c r="Z195" s="30">
        <v>1</v>
      </c>
    </row>
    <row r="196" spans="1:26" x14ac:dyDescent="0.2">
      <c r="A196" s="30">
        <v>189</v>
      </c>
      <c r="C196" s="31">
        <v>0.99650456668662479</v>
      </c>
      <c r="D196" s="32">
        <v>15759.393244635052</v>
      </c>
      <c r="E196" s="31">
        <v>0.85591869232546736</v>
      </c>
      <c r="F196" s="32">
        <v>4097.5491274677925</v>
      </c>
      <c r="G196" s="31">
        <v>0.94438193480453869</v>
      </c>
      <c r="H196" s="32">
        <v>9294.2493890517471</v>
      </c>
      <c r="I196" s="31">
        <v>0.85034698665170072</v>
      </c>
      <c r="J196" s="32">
        <v>3872.8763235513893</v>
      </c>
      <c r="L196" s="43">
        <f t="shared" si="16"/>
        <v>-10776.870411201928</v>
      </c>
      <c r="M196" s="43">
        <f t="shared" si="17"/>
        <v>182.04433415954463</v>
      </c>
      <c r="N196" s="43">
        <f t="shared" si="18"/>
        <v>-4572.3397150290539</v>
      </c>
      <c r="O196" s="43">
        <f t="shared" si="19"/>
        <v>378.85860970711428</v>
      </c>
      <c r="Q196" s="42">
        <f t="shared" si="20"/>
        <v>0</v>
      </c>
      <c r="R196" s="42">
        <f t="shared" si="21"/>
        <v>0</v>
      </c>
      <c r="S196" s="42">
        <f t="shared" si="22"/>
        <v>0</v>
      </c>
      <c r="T196" s="42">
        <f t="shared" si="23"/>
        <v>1</v>
      </c>
      <c r="V196" s="30">
        <v>4400</v>
      </c>
      <c r="W196" s="30">
        <v>0</v>
      </c>
      <c r="X196" s="30">
        <v>0</v>
      </c>
      <c r="Y196" s="30">
        <v>0</v>
      </c>
      <c r="Z196" s="30">
        <v>1</v>
      </c>
    </row>
    <row r="197" spans="1:26" x14ac:dyDescent="0.2">
      <c r="A197" s="30">
        <v>190</v>
      </c>
      <c r="C197" s="31">
        <v>0.9964504114283339</v>
      </c>
      <c r="D197" s="32">
        <v>14809.311797613233</v>
      </c>
      <c r="E197" s="31">
        <v>0.9176070720422892</v>
      </c>
      <c r="F197" s="32">
        <v>6404.8648069218589</v>
      </c>
      <c r="G197" s="31">
        <v>0.9685202232220067</v>
      </c>
      <c r="H197" s="32">
        <v>9225.3261094602058</v>
      </c>
      <c r="I197" s="31">
        <v>0.91751010450561954</v>
      </c>
      <c r="J197" s="32">
        <v>5185.9233140711985</v>
      </c>
      <c r="L197" s="43">
        <f t="shared" si="16"/>
        <v>-9827.0597404715627</v>
      </c>
      <c r="M197" s="43">
        <f t="shared" si="17"/>
        <v>-1816.8294467104133</v>
      </c>
      <c r="N197" s="43">
        <f t="shared" si="18"/>
        <v>-4382.7249933501726</v>
      </c>
      <c r="O197" s="43">
        <f t="shared" si="19"/>
        <v>-598.3727915431009</v>
      </c>
      <c r="Q197" s="42">
        <f t="shared" si="20"/>
        <v>0</v>
      </c>
      <c r="R197" s="42">
        <f t="shared" si="21"/>
        <v>0</v>
      </c>
      <c r="S197" s="42">
        <f t="shared" si="22"/>
        <v>0</v>
      </c>
      <c r="T197" s="42">
        <f t="shared" si="23"/>
        <v>1</v>
      </c>
      <c r="V197" s="30">
        <v>4450</v>
      </c>
      <c r="W197" s="30">
        <v>0</v>
      </c>
      <c r="X197" s="30">
        <v>0</v>
      </c>
      <c r="Y197" s="30">
        <v>0</v>
      </c>
      <c r="Z197" s="30">
        <v>1</v>
      </c>
    </row>
    <row r="198" spans="1:26" x14ac:dyDescent="0.2">
      <c r="A198" s="30">
        <v>191</v>
      </c>
      <c r="C198" s="31">
        <v>0.9954184618268147</v>
      </c>
      <c r="D198" s="32">
        <v>13289.571643306124</v>
      </c>
      <c r="E198" s="31">
        <v>0.90706258843710463</v>
      </c>
      <c r="F198" s="32">
        <v>5501.7105891543433</v>
      </c>
      <c r="G198" s="31">
        <v>0.94636683181973003</v>
      </c>
      <c r="H198" s="32">
        <v>8110.1201072768436</v>
      </c>
      <c r="I198" s="31">
        <v>0.90589748394135605</v>
      </c>
      <c r="J198" s="32">
        <v>4442.9917887143065</v>
      </c>
      <c r="L198" s="43">
        <f t="shared" si="16"/>
        <v>-8312.4793341720506</v>
      </c>
      <c r="M198" s="43">
        <f t="shared" si="17"/>
        <v>-966.39764696882048</v>
      </c>
      <c r="N198" s="43">
        <f t="shared" si="18"/>
        <v>-3378.2859481781934</v>
      </c>
      <c r="O198" s="43">
        <f t="shared" si="19"/>
        <v>86.495630992473707</v>
      </c>
      <c r="Q198" s="42">
        <f t="shared" si="20"/>
        <v>0</v>
      </c>
      <c r="R198" s="42">
        <f t="shared" si="21"/>
        <v>0</v>
      </c>
      <c r="S198" s="42">
        <f t="shared" si="22"/>
        <v>0</v>
      </c>
      <c r="T198" s="42">
        <f t="shared" si="23"/>
        <v>1</v>
      </c>
      <c r="V198" s="30">
        <v>4500</v>
      </c>
      <c r="W198" s="30">
        <v>0</v>
      </c>
      <c r="X198" s="30">
        <v>0</v>
      </c>
      <c r="Y198" s="30">
        <v>0</v>
      </c>
      <c r="Z198" s="30">
        <v>1</v>
      </c>
    </row>
    <row r="199" spans="1:26" x14ac:dyDescent="0.2">
      <c r="A199" s="30">
        <v>192</v>
      </c>
      <c r="C199" s="31">
        <v>0.98204711171051273</v>
      </c>
      <c r="D199" s="32">
        <v>14048.70160748849</v>
      </c>
      <c r="E199" s="31">
        <v>0.98095525928483762</v>
      </c>
      <c r="F199" s="32">
        <v>6250.5532807824138</v>
      </c>
      <c r="G199" s="31">
        <v>0.97359162667445254</v>
      </c>
      <c r="H199" s="32">
        <v>8265.5141983062385</v>
      </c>
      <c r="I199" s="31">
        <v>0.97359162667445243</v>
      </c>
      <c r="J199" s="32">
        <v>5075.3180801344206</v>
      </c>
      <c r="L199" s="43">
        <f t="shared" si="16"/>
        <v>-9138.4660489359267</v>
      </c>
      <c r="M199" s="43">
        <f t="shared" si="17"/>
        <v>-1345.7769843582255</v>
      </c>
      <c r="N199" s="43">
        <f t="shared" si="18"/>
        <v>-3397.5560649339759</v>
      </c>
      <c r="O199" s="43">
        <f t="shared" si="19"/>
        <v>-207.35994676215887</v>
      </c>
      <c r="Q199" s="42">
        <f t="shared" si="20"/>
        <v>0</v>
      </c>
      <c r="R199" s="42">
        <f t="shared" si="21"/>
        <v>0</v>
      </c>
      <c r="S199" s="42">
        <f t="shared" si="22"/>
        <v>0</v>
      </c>
      <c r="T199" s="42">
        <f t="shared" si="23"/>
        <v>1</v>
      </c>
      <c r="V199" s="30">
        <v>4550</v>
      </c>
      <c r="W199" s="30">
        <v>0</v>
      </c>
      <c r="X199" s="30">
        <v>0</v>
      </c>
      <c r="Y199" s="30">
        <v>0</v>
      </c>
      <c r="Z199" s="30">
        <v>1</v>
      </c>
    </row>
    <row r="200" spans="1:26" x14ac:dyDescent="0.2">
      <c r="A200" s="30">
        <v>193</v>
      </c>
      <c r="C200" s="31">
        <v>0.95599847482031663</v>
      </c>
      <c r="D200" s="32">
        <v>17151.981250242734</v>
      </c>
      <c r="E200" s="31">
        <v>0.93963136655635271</v>
      </c>
      <c r="F200" s="32">
        <v>8459.659612856829</v>
      </c>
      <c r="G200" s="31">
        <v>0.93320109013075236</v>
      </c>
      <c r="H200" s="32">
        <v>11282.829296901858</v>
      </c>
      <c r="I200" s="31">
        <v>0.93320109013075236</v>
      </c>
      <c r="J200" s="32">
        <v>6962.402920631489</v>
      </c>
      <c r="L200" s="43">
        <f t="shared" ref="L200:L263" si="24">C200*Rc_-D200</f>
        <v>-12371.988876141151</v>
      </c>
      <c r="M200" s="43">
        <f t="shared" ref="M200:M263" si="25">E200*Rc_-F200</f>
        <v>-3761.5027800750659</v>
      </c>
      <c r="N200" s="43">
        <f t="shared" ref="N200:N263" si="26">G200*Rc_-H200</f>
        <v>-6616.8238462480967</v>
      </c>
      <c r="O200" s="43">
        <f t="shared" ref="O200:O263" si="27">I200*Rc_-J200</f>
        <v>-2296.3974699777273</v>
      </c>
      <c r="Q200" s="42">
        <f t="shared" si="20"/>
        <v>0</v>
      </c>
      <c r="R200" s="42">
        <f t="shared" si="21"/>
        <v>0</v>
      </c>
      <c r="S200" s="42">
        <f t="shared" si="22"/>
        <v>0</v>
      </c>
      <c r="T200" s="42">
        <f t="shared" si="23"/>
        <v>1</v>
      </c>
      <c r="V200" s="30">
        <v>4600</v>
      </c>
      <c r="W200" s="30">
        <v>0</v>
      </c>
      <c r="X200" s="30">
        <v>0</v>
      </c>
      <c r="Y200" s="30">
        <v>0</v>
      </c>
      <c r="Z200" s="30">
        <v>1</v>
      </c>
    </row>
    <row r="201" spans="1:26" x14ac:dyDescent="0.2">
      <c r="A201" s="30">
        <v>194</v>
      </c>
      <c r="C201" s="31">
        <v>0.99701600760133446</v>
      </c>
      <c r="D201" s="32">
        <v>15148.794940792301</v>
      </c>
      <c r="E201" s="31">
        <v>0.91154752960796825</v>
      </c>
      <c r="F201" s="32">
        <v>4692.5012201493164</v>
      </c>
      <c r="G201" s="31">
        <v>0.90675822201033618</v>
      </c>
      <c r="H201" s="32">
        <v>8620.5602613623341</v>
      </c>
      <c r="I201" s="31">
        <v>0.90675822201033618</v>
      </c>
      <c r="J201" s="32">
        <v>4434.9582976672964</v>
      </c>
      <c r="L201" s="43">
        <f t="shared" si="24"/>
        <v>-10163.714902785629</v>
      </c>
      <c r="M201" s="43">
        <f t="shared" si="25"/>
        <v>-134.76357210947481</v>
      </c>
      <c r="N201" s="43">
        <f t="shared" si="26"/>
        <v>-4086.7691513106529</v>
      </c>
      <c r="O201" s="43">
        <f t="shared" si="27"/>
        <v>98.832812384384852</v>
      </c>
      <c r="Q201" s="42">
        <f t="shared" ref="Q201:Q264" si="28">IF(L201&gt;$M201,IF(L201&gt;$N201,IF(L201&gt;$O201,1,0),0),0)</f>
        <v>0</v>
      </c>
      <c r="R201" s="42">
        <f t="shared" ref="R201:R264" si="29">IF(M201&gt;$L201,IF(M201&gt;$N201,IF(M201&gt;$O201,1,0),0),0)</f>
        <v>0</v>
      </c>
      <c r="S201" s="42">
        <f t="shared" ref="S201:S264" si="30">IF(N201&gt;$M201,IF(N201&gt;$L201,IF(N201&gt;$O201,1,0),0),0)</f>
        <v>0</v>
      </c>
      <c r="T201" s="42">
        <f t="shared" ref="T201:T264" si="31">IF(O201&gt;$M201,IF(O201&gt;$N201,IF(O201&gt;$L201,1,0),0),0)</f>
        <v>1</v>
      </c>
      <c r="V201" s="30">
        <v>4650</v>
      </c>
      <c r="W201" s="30">
        <v>0</v>
      </c>
      <c r="X201" s="30">
        <v>0</v>
      </c>
      <c r="Y201" s="30">
        <v>0</v>
      </c>
      <c r="Z201" s="30">
        <v>1</v>
      </c>
    </row>
    <row r="202" spans="1:26" x14ac:dyDescent="0.2">
      <c r="A202" s="30">
        <v>195</v>
      </c>
      <c r="C202" s="31">
        <v>0.97403572337424604</v>
      </c>
      <c r="D202" s="32">
        <v>16161.040337473187</v>
      </c>
      <c r="E202" s="31">
        <v>0.91831348417429226</v>
      </c>
      <c r="F202" s="32">
        <v>7144.9522705033305</v>
      </c>
      <c r="G202" s="31">
        <v>0.90190105034098811</v>
      </c>
      <c r="H202" s="32">
        <v>9710.6988643064942</v>
      </c>
      <c r="I202" s="31">
        <v>0.90190105034098811</v>
      </c>
      <c r="J202" s="32">
        <v>5926.6437690376406</v>
      </c>
      <c r="L202" s="43">
        <f t="shared" si="24"/>
        <v>-11290.861720601955</v>
      </c>
      <c r="M202" s="43">
        <f t="shared" si="25"/>
        <v>-2553.3848496318697</v>
      </c>
      <c r="N202" s="43">
        <f t="shared" si="26"/>
        <v>-5201.1936126015535</v>
      </c>
      <c r="O202" s="43">
        <f t="shared" si="27"/>
        <v>-1417.1385173326998</v>
      </c>
      <c r="Q202" s="42">
        <f t="shared" si="28"/>
        <v>0</v>
      </c>
      <c r="R202" s="42">
        <f t="shared" si="29"/>
        <v>0</v>
      </c>
      <c r="S202" s="42">
        <f t="shared" si="30"/>
        <v>0</v>
      </c>
      <c r="T202" s="42">
        <f t="shared" si="31"/>
        <v>1</v>
      </c>
      <c r="V202" s="30">
        <v>4700</v>
      </c>
      <c r="W202" s="30">
        <v>0</v>
      </c>
      <c r="X202" s="30">
        <v>0</v>
      </c>
      <c r="Y202" s="30">
        <v>0</v>
      </c>
      <c r="Z202" s="30">
        <v>1</v>
      </c>
    </row>
    <row r="203" spans="1:26" x14ac:dyDescent="0.2">
      <c r="A203" s="30">
        <v>196</v>
      </c>
      <c r="C203" s="31">
        <v>0.9805163863191888</v>
      </c>
      <c r="D203" s="32">
        <v>17802.275117124987</v>
      </c>
      <c r="E203" s="31">
        <v>0.71924445959826511</v>
      </c>
      <c r="F203" s="32">
        <v>1683.5348660410407</v>
      </c>
      <c r="G203" s="31">
        <v>0.96351566043073422</v>
      </c>
      <c r="H203" s="32">
        <v>11213.502451375367</v>
      </c>
      <c r="I203" s="31">
        <v>0.71734780723870284</v>
      </c>
      <c r="J203" s="32">
        <v>1527.7183342316757</v>
      </c>
      <c r="L203" s="43">
        <f t="shared" si="24"/>
        <v>-12899.693185529042</v>
      </c>
      <c r="M203" s="43">
        <f t="shared" si="25"/>
        <v>1912.6874319502847</v>
      </c>
      <c r="N203" s="43">
        <f t="shared" si="26"/>
        <v>-6395.9241492216961</v>
      </c>
      <c r="O203" s="43">
        <f t="shared" si="27"/>
        <v>2059.0207019618383</v>
      </c>
      <c r="Q203" s="42">
        <f t="shared" si="28"/>
        <v>0</v>
      </c>
      <c r="R203" s="42">
        <f t="shared" si="29"/>
        <v>0</v>
      </c>
      <c r="S203" s="42">
        <f t="shared" si="30"/>
        <v>0</v>
      </c>
      <c r="T203" s="42">
        <f t="shared" si="31"/>
        <v>1</v>
      </c>
      <c r="V203" s="30">
        <v>4750</v>
      </c>
      <c r="W203" s="30">
        <v>0</v>
      </c>
      <c r="X203" s="30">
        <v>0</v>
      </c>
      <c r="Y203" s="30">
        <v>0</v>
      </c>
      <c r="Z203" s="30">
        <v>1</v>
      </c>
    </row>
    <row r="204" spans="1:26" x14ac:dyDescent="0.2">
      <c r="A204" s="30">
        <v>197</v>
      </c>
      <c r="C204" s="31">
        <v>0.99999127309881986</v>
      </c>
      <c r="D204" s="32">
        <v>11604.244074976079</v>
      </c>
      <c r="E204" s="31">
        <v>0.96880189979369891</v>
      </c>
      <c r="F204" s="32">
        <v>4645.7572632131132</v>
      </c>
      <c r="G204" s="31">
        <v>0.96012083634704481</v>
      </c>
      <c r="H204" s="32">
        <v>7447.640344481455</v>
      </c>
      <c r="I204" s="31">
        <v>0.96012083634704481</v>
      </c>
      <c r="J204" s="32">
        <v>4442.7178802919971</v>
      </c>
      <c r="L204" s="43">
        <f t="shared" si="24"/>
        <v>-6604.2877094819796</v>
      </c>
      <c r="M204" s="43">
        <f t="shared" si="25"/>
        <v>198.25223575538166</v>
      </c>
      <c r="N204" s="43">
        <f t="shared" si="26"/>
        <v>-2647.0361627462307</v>
      </c>
      <c r="O204" s="43">
        <f t="shared" si="27"/>
        <v>357.88630144322724</v>
      </c>
      <c r="Q204" s="42">
        <f t="shared" si="28"/>
        <v>0</v>
      </c>
      <c r="R204" s="42">
        <f t="shared" si="29"/>
        <v>0</v>
      </c>
      <c r="S204" s="42">
        <f t="shared" si="30"/>
        <v>0</v>
      </c>
      <c r="T204" s="42">
        <f t="shared" si="31"/>
        <v>1</v>
      </c>
      <c r="V204" s="30">
        <v>4800</v>
      </c>
      <c r="W204" s="30">
        <v>0</v>
      </c>
      <c r="X204" s="30">
        <v>0</v>
      </c>
      <c r="Y204" s="30">
        <v>0</v>
      </c>
      <c r="Z204" s="30">
        <v>1</v>
      </c>
    </row>
    <row r="205" spans="1:26" x14ac:dyDescent="0.2">
      <c r="A205" s="30">
        <v>198</v>
      </c>
      <c r="C205" s="31">
        <v>0.9819250341683653</v>
      </c>
      <c r="D205" s="32">
        <v>15559.268519363974</v>
      </c>
      <c r="E205" s="31">
        <v>0.93896844846180549</v>
      </c>
      <c r="F205" s="32">
        <v>6251.5687786686394</v>
      </c>
      <c r="G205" s="31">
        <v>0.95617887563161497</v>
      </c>
      <c r="H205" s="32">
        <v>9771.6682312203138</v>
      </c>
      <c r="I205" s="31">
        <v>0.93896844846180549</v>
      </c>
      <c r="J205" s="32">
        <v>5810.5542110171764</v>
      </c>
      <c r="L205" s="43">
        <f t="shared" si="24"/>
        <v>-10649.643348522146</v>
      </c>
      <c r="M205" s="43">
        <f t="shared" si="25"/>
        <v>-1556.7265363596116</v>
      </c>
      <c r="N205" s="43">
        <f t="shared" si="26"/>
        <v>-4990.7738530622391</v>
      </c>
      <c r="O205" s="43">
        <f t="shared" si="27"/>
        <v>-1115.7119687081486</v>
      </c>
      <c r="Q205" s="42">
        <f t="shared" si="28"/>
        <v>0</v>
      </c>
      <c r="R205" s="42">
        <f t="shared" si="29"/>
        <v>0</v>
      </c>
      <c r="S205" s="42">
        <f t="shared" si="30"/>
        <v>0</v>
      </c>
      <c r="T205" s="42">
        <f t="shared" si="31"/>
        <v>1</v>
      </c>
      <c r="V205" s="30">
        <v>4850</v>
      </c>
      <c r="W205" s="30">
        <v>0</v>
      </c>
      <c r="X205" s="30">
        <v>0</v>
      </c>
      <c r="Y205" s="30">
        <v>0</v>
      </c>
      <c r="Z205" s="30">
        <v>1</v>
      </c>
    </row>
    <row r="206" spans="1:26" x14ac:dyDescent="0.2">
      <c r="A206" s="30">
        <v>199</v>
      </c>
      <c r="C206" s="31">
        <v>0.96996328695428868</v>
      </c>
      <c r="D206" s="32">
        <v>13864.524762520767</v>
      </c>
      <c r="E206" s="31">
        <v>0.94453251649716718</v>
      </c>
      <c r="F206" s="32">
        <v>8072.2512129309334</v>
      </c>
      <c r="G206" s="31">
        <v>0.94431929288977778</v>
      </c>
      <c r="H206" s="32">
        <v>8091.6417324857384</v>
      </c>
      <c r="I206" s="31">
        <v>0.94431929288977789</v>
      </c>
      <c r="J206" s="32">
        <v>5802.677634931094</v>
      </c>
      <c r="L206" s="43">
        <f t="shared" si="24"/>
        <v>-9014.7083277493221</v>
      </c>
      <c r="M206" s="43">
        <f t="shared" si="25"/>
        <v>-3349.5886304450978</v>
      </c>
      <c r="N206" s="43">
        <f t="shared" si="26"/>
        <v>-3370.0452680368498</v>
      </c>
      <c r="O206" s="43">
        <f t="shared" si="27"/>
        <v>-1081.0811704822045</v>
      </c>
      <c r="Q206" s="42">
        <f t="shared" si="28"/>
        <v>0</v>
      </c>
      <c r="R206" s="42">
        <f t="shared" si="29"/>
        <v>0</v>
      </c>
      <c r="S206" s="42">
        <f t="shared" si="30"/>
        <v>0</v>
      </c>
      <c r="T206" s="42">
        <f t="shared" si="31"/>
        <v>1</v>
      </c>
      <c r="V206" s="30">
        <v>4900</v>
      </c>
      <c r="W206" s="30">
        <v>0</v>
      </c>
      <c r="X206" s="30">
        <v>0</v>
      </c>
      <c r="Y206" s="30">
        <v>0</v>
      </c>
      <c r="Z206" s="30">
        <v>1</v>
      </c>
    </row>
    <row r="207" spans="1:26" x14ac:dyDescent="0.2">
      <c r="A207" s="30">
        <v>200</v>
      </c>
      <c r="C207" s="31">
        <v>0.98960254099927036</v>
      </c>
      <c r="D207" s="32">
        <v>14192.427731169275</v>
      </c>
      <c r="E207" s="31">
        <v>0.95692075283427636</v>
      </c>
      <c r="F207" s="32">
        <v>6655.2557978439463</v>
      </c>
      <c r="G207" s="31">
        <v>0.95692075283427647</v>
      </c>
      <c r="H207" s="32">
        <v>8702.9506212983924</v>
      </c>
      <c r="I207" s="31">
        <v>0.95692075283427647</v>
      </c>
      <c r="J207" s="32">
        <v>5761.7847998627922</v>
      </c>
      <c r="L207" s="43">
        <f t="shared" si="24"/>
        <v>-9244.4150261729228</v>
      </c>
      <c r="M207" s="43">
        <f t="shared" si="25"/>
        <v>-1870.6520336725644</v>
      </c>
      <c r="N207" s="43">
        <f t="shared" si="26"/>
        <v>-3918.3468571270105</v>
      </c>
      <c r="O207" s="43">
        <f t="shared" si="27"/>
        <v>-977.18103569141022</v>
      </c>
      <c r="Q207" s="42">
        <f t="shared" si="28"/>
        <v>0</v>
      </c>
      <c r="R207" s="42">
        <f t="shared" si="29"/>
        <v>0</v>
      </c>
      <c r="S207" s="42">
        <f t="shared" si="30"/>
        <v>0</v>
      </c>
      <c r="T207" s="42">
        <f t="shared" si="31"/>
        <v>1</v>
      </c>
      <c r="V207" s="30">
        <v>4950</v>
      </c>
      <c r="W207" s="30">
        <v>0</v>
      </c>
      <c r="X207" s="30">
        <v>0</v>
      </c>
      <c r="Y207" s="30">
        <v>0</v>
      </c>
      <c r="Z207" s="30">
        <v>1</v>
      </c>
    </row>
    <row r="208" spans="1:26" x14ac:dyDescent="0.2">
      <c r="A208" s="30">
        <v>201</v>
      </c>
      <c r="C208" s="31">
        <v>0.99187057157781711</v>
      </c>
      <c r="D208" s="32">
        <v>16854.097343961384</v>
      </c>
      <c r="E208" s="31">
        <v>0.94745017840907719</v>
      </c>
      <c r="F208" s="32">
        <v>6322.5223463669554</v>
      </c>
      <c r="G208" s="31">
        <v>0.96483296197516921</v>
      </c>
      <c r="H208" s="32">
        <v>10109.634890175408</v>
      </c>
      <c r="I208" s="31">
        <v>0.94745017840907719</v>
      </c>
      <c r="J208" s="32">
        <v>5510.4740190990897</v>
      </c>
      <c r="L208" s="43">
        <f t="shared" si="24"/>
        <v>-11894.744486072299</v>
      </c>
      <c r="M208" s="43">
        <f t="shared" si="25"/>
        <v>-1585.2714543215698</v>
      </c>
      <c r="N208" s="43">
        <f t="shared" si="26"/>
        <v>-5285.4700802995621</v>
      </c>
      <c r="O208" s="43">
        <f t="shared" si="27"/>
        <v>-773.22312705370405</v>
      </c>
      <c r="Q208" s="42">
        <f t="shared" si="28"/>
        <v>0</v>
      </c>
      <c r="R208" s="42">
        <f t="shared" si="29"/>
        <v>0</v>
      </c>
      <c r="S208" s="42">
        <f t="shared" si="30"/>
        <v>0</v>
      </c>
      <c r="T208" s="42">
        <f t="shared" si="31"/>
        <v>1</v>
      </c>
      <c r="V208" s="30">
        <v>5000</v>
      </c>
      <c r="W208" s="30">
        <v>0</v>
      </c>
      <c r="X208" s="30">
        <v>0</v>
      </c>
      <c r="Y208" s="30">
        <v>0</v>
      </c>
      <c r="Z208" s="30">
        <v>1</v>
      </c>
    </row>
    <row r="209" spans="1:20" x14ac:dyDescent="0.2">
      <c r="A209" s="30">
        <v>202</v>
      </c>
      <c r="C209" s="31">
        <v>0.98739602149954708</v>
      </c>
      <c r="D209" s="32">
        <v>15053.240549627424</v>
      </c>
      <c r="E209" s="31">
        <v>0.97499966014452966</v>
      </c>
      <c r="F209" s="32">
        <v>5759.2939252903243</v>
      </c>
      <c r="G209" s="31">
        <v>0.97376270151024613</v>
      </c>
      <c r="H209" s="32">
        <v>9023.0914066896003</v>
      </c>
      <c r="I209" s="31">
        <v>0.97376270151024635</v>
      </c>
      <c r="J209" s="32">
        <v>5589.8177569549116</v>
      </c>
      <c r="L209" s="43">
        <f t="shared" si="24"/>
        <v>-10116.260442129689</v>
      </c>
      <c r="M209" s="43">
        <f t="shared" si="25"/>
        <v>-884.29562456767599</v>
      </c>
      <c r="N209" s="43">
        <f t="shared" si="26"/>
        <v>-4154.2778991383693</v>
      </c>
      <c r="O209" s="43">
        <f t="shared" si="27"/>
        <v>-721.00424940367975</v>
      </c>
      <c r="Q209" s="42">
        <f t="shared" si="28"/>
        <v>0</v>
      </c>
      <c r="R209" s="42">
        <f t="shared" si="29"/>
        <v>0</v>
      </c>
      <c r="S209" s="42">
        <f t="shared" si="30"/>
        <v>0</v>
      </c>
      <c r="T209" s="42">
        <f t="shared" si="31"/>
        <v>1</v>
      </c>
    </row>
    <row r="210" spans="1:20" x14ac:dyDescent="0.2">
      <c r="A210" s="30">
        <v>203</v>
      </c>
      <c r="C210" s="31">
        <v>0.95921817477904991</v>
      </c>
      <c r="D210" s="32">
        <v>17116.191937910568</v>
      </c>
      <c r="E210" s="31">
        <v>0.94429053722131751</v>
      </c>
      <c r="F210" s="32">
        <v>8525.3562631055629</v>
      </c>
      <c r="G210" s="31">
        <v>0.93989861005725861</v>
      </c>
      <c r="H210" s="32">
        <v>10565.018847167266</v>
      </c>
      <c r="I210" s="31">
        <v>0.93989861005725883</v>
      </c>
      <c r="J210" s="32">
        <v>6865.8128097464351</v>
      </c>
      <c r="L210" s="43">
        <f t="shared" si="24"/>
        <v>-12320.101064015318</v>
      </c>
      <c r="M210" s="43">
        <f t="shared" si="25"/>
        <v>-3803.903576998975</v>
      </c>
      <c r="N210" s="43">
        <f t="shared" si="26"/>
        <v>-5865.5257968809738</v>
      </c>
      <c r="O210" s="43">
        <f t="shared" si="27"/>
        <v>-2166.3197594601406</v>
      </c>
      <c r="Q210" s="42">
        <f t="shared" si="28"/>
        <v>0</v>
      </c>
      <c r="R210" s="42">
        <f t="shared" si="29"/>
        <v>0</v>
      </c>
      <c r="S210" s="42">
        <f t="shared" si="30"/>
        <v>0</v>
      </c>
      <c r="T210" s="42">
        <f t="shared" si="31"/>
        <v>1</v>
      </c>
    </row>
    <row r="211" spans="1:20" x14ac:dyDescent="0.2">
      <c r="A211" s="30">
        <v>204</v>
      </c>
      <c r="C211" s="31">
        <v>0.99190860937674752</v>
      </c>
      <c r="D211" s="32">
        <v>12109.486642533851</v>
      </c>
      <c r="E211" s="31">
        <v>0.95406998784037667</v>
      </c>
      <c r="F211" s="32">
        <v>4054.636905740163</v>
      </c>
      <c r="G211" s="31">
        <v>0.95248050485121283</v>
      </c>
      <c r="H211" s="32">
        <v>7109.7781243014451</v>
      </c>
      <c r="I211" s="31">
        <v>0.95248050485121305</v>
      </c>
      <c r="J211" s="32">
        <v>3903.6911320431714</v>
      </c>
      <c r="L211" s="43">
        <f t="shared" si="24"/>
        <v>-7149.9435956501138</v>
      </c>
      <c r="M211" s="43">
        <f t="shared" si="25"/>
        <v>715.71303346171999</v>
      </c>
      <c r="N211" s="43">
        <f t="shared" si="26"/>
        <v>-2347.3756000453814</v>
      </c>
      <c r="O211" s="43">
        <f t="shared" si="27"/>
        <v>858.71139221289422</v>
      </c>
      <c r="Q211" s="42">
        <f t="shared" si="28"/>
        <v>0</v>
      </c>
      <c r="R211" s="42">
        <f t="shared" si="29"/>
        <v>0</v>
      </c>
      <c r="S211" s="42">
        <f t="shared" si="30"/>
        <v>0</v>
      </c>
      <c r="T211" s="42">
        <f t="shared" si="31"/>
        <v>1</v>
      </c>
    </row>
    <row r="212" spans="1:20" x14ac:dyDescent="0.2">
      <c r="A212" s="30">
        <v>205</v>
      </c>
      <c r="C212" s="31">
        <v>0.98228840978003684</v>
      </c>
      <c r="D212" s="32">
        <v>14895.391852038818</v>
      </c>
      <c r="E212" s="31">
        <v>0.95688426717614361</v>
      </c>
      <c r="F212" s="32">
        <v>6109.0771715809633</v>
      </c>
      <c r="G212" s="31">
        <v>0.95137470195207485</v>
      </c>
      <c r="H212" s="32">
        <v>9523.1182559670542</v>
      </c>
      <c r="I212" s="31">
        <v>0.95137470195207485</v>
      </c>
      <c r="J212" s="32">
        <v>5870.9896794075776</v>
      </c>
      <c r="L212" s="43">
        <f t="shared" si="24"/>
        <v>-9983.9498031386338</v>
      </c>
      <c r="M212" s="43">
        <f t="shared" si="25"/>
        <v>-1324.655835700245</v>
      </c>
      <c r="N212" s="43">
        <f t="shared" si="26"/>
        <v>-4766.2447462066802</v>
      </c>
      <c r="O212" s="43">
        <f t="shared" si="27"/>
        <v>-1114.1161696472036</v>
      </c>
      <c r="Q212" s="42">
        <f t="shared" si="28"/>
        <v>0</v>
      </c>
      <c r="R212" s="42">
        <f t="shared" si="29"/>
        <v>0</v>
      </c>
      <c r="S212" s="42">
        <f t="shared" si="30"/>
        <v>0</v>
      </c>
      <c r="T212" s="42">
        <f t="shared" si="31"/>
        <v>1</v>
      </c>
    </row>
    <row r="213" spans="1:20" x14ac:dyDescent="0.2">
      <c r="A213" s="30">
        <v>206</v>
      </c>
      <c r="C213" s="31">
        <v>0.95913819941689704</v>
      </c>
      <c r="D213" s="32">
        <v>14736.097997948475</v>
      </c>
      <c r="E213" s="31">
        <v>0.96635573546046394</v>
      </c>
      <c r="F213" s="32">
        <v>5041.4458124090361</v>
      </c>
      <c r="G213" s="31">
        <v>0.97239372054622153</v>
      </c>
      <c r="H213" s="32">
        <v>9110.5811319568002</v>
      </c>
      <c r="I213" s="31">
        <v>0.96349906663258811</v>
      </c>
      <c r="J213" s="32">
        <v>4881.4997573162846</v>
      </c>
      <c r="L213" s="43">
        <f t="shared" si="24"/>
        <v>-9940.4070008639901</v>
      </c>
      <c r="M213" s="43">
        <f t="shared" si="25"/>
        <v>-209.66713510671616</v>
      </c>
      <c r="N213" s="43">
        <f t="shared" si="26"/>
        <v>-4248.6125292256929</v>
      </c>
      <c r="O213" s="43">
        <f t="shared" si="27"/>
        <v>-64.004424153344189</v>
      </c>
      <c r="Q213" s="42">
        <f t="shared" si="28"/>
        <v>0</v>
      </c>
      <c r="R213" s="42">
        <f t="shared" si="29"/>
        <v>0</v>
      </c>
      <c r="S213" s="42">
        <f t="shared" si="30"/>
        <v>0</v>
      </c>
      <c r="T213" s="42">
        <f t="shared" si="31"/>
        <v>1</v>
      </c>
    </row>
    <row r="214" spans="1:20" x14ac:dyDescent="0.2">
      <c r="A214" s="30">
        <v>207</v>
      </c>
      <c r="C214" s="31">
        <v>0.99670276837462324</v>
      </c>
      <c r="D214" s="32">
        <v>16800.051026201396</v>
      </c>
      <c r="E214" s="31">
        <v>0.94614778947092182</v>
      </c>
      <c r="F214" s="32">
        <v>10677.126559348795</v>
      </c>
      <c r="G214" s="31">
        <v>0.94692021484061595</v>
      </c>
      <c r="H214" s="32">
        <v>10194.068737297737</v>
      </c>
      <c r="I214" s="31">
        <v>0.93980827401436262</v>
      </c>
      <c r="J214" s="32">
        <v>7356.1196020750303</v>
      </c>
      <c r="L214" s="43">
        <f t="shared" si="24"/>
        <v>-11816.537184328281</v>
      </c>
      <c r="M214" s="43">
        <f t="shared" si="25"/>
        <v>-5946.387611994186</v>
      </c>
      <c r="N214" s="43">
        <f t="shared" si="26"/>
        <v>-5459.4676630946578</v>
      </c>
      <c r="O214" s="43">
        <f t="shared" si="27"/>
        <v>-2657.0782320032176</v>
      </c>
      <c r="Q214" s="42">
        <f t="shared" si="28"/>
        <v>0</v>
      </c>
      <c r="R214" s="42">
        <f t="shared" si="29"/>
        <v>0</v>
      </c>
      <c r="S214" s="42">
        <f t="shared" si="30"/>
        <v>0</v>
      </c>
      <c r="T214" s="42">
        <f t="shared" si="31"/>
        <v>1</v>
      </c>
    </row>
    <row r="215" spans="1:20" x14ac:dyDescent="0.2">
      <c r="A215" s="30">
        <v>208</v>
      </c>
      <c r="C215" s="31">
        <v>0.99192143968478197</v>
      </c>
      <c r="D215" s="32">
        <v>16777.192261514025</v>
      </c>
      <c r="E215" s="31">
        <v>0.83465801211756796</v>
      </c>
      <c r="F215" s="32">
        <v>3138.7152131504358</v>
      </c>
      <c r="G215" s="31">
        <v>0.92033482581315385</v>
      </c>
      <c r="H215" s="32">
        <v>9452.2216676836779</v>
      </c>
      <c r="I215" s="31">
        <v>0.83218497496039534</v>
      </c>
      <c r="J215" s="32">
        <v>2955.5617740568387</v>
      </c>
      <c r="L215" s="43">
        <f t="shared" si="24"/>
        <v>-11817.585063090115</v>
      </c>
      <c r="M215" s="43">
        <f t="shared" si="25"/>
        <v>1034.5748474374036</v>
      </c>
      <c r="N215" s="43">
        <f t="shared" si="26"/>
        <v>-4850.5475386179087</v>
      </c>
      <c r="O215" s="43">
        <f t="shared" si="27"/>
        <v>1205.3631007451377</v>
      </c>
      <c r="Q215" s="42">
        <f t="shared" si="28"/>
        <v>0</v>
      </c>
      <c r="R215" s="42">
        <f t="shared" si="29"/>
        <v>0</v>
      </c>
      <c r="S215" s="42">
        <f t="shared" si="30"/>
        <v>0</v>
      </c>
      <c r="T215" s="42">
        <f t="shared" si="31"/>
        <v>1</v>
      </c>
    </row>
    <row r="216" spans="1:20" x14ac:dyDescent="0.2">
      <c r="A216" s="30">
        <v>209</v>
      </c>
      <c r="C216" s="31">
        <v>0.99561843694905294</v>
      </c>
      <c r="D216" s="32">
        <v>16625.239558782061</v>
      </c>
      <c r="E216" s="31">
        <v>0.89825649840629684</v>
      </c>
      <c r="F216" s="32">
        <v>9124.9973448175442</v>
      </c>
      <c r="G216" s="31">
        <v>0.89132136524267946</v>
      </c>
      <c r="H216" s="32">
        <v>9394.3324860176581</v>
      </c>
      <c r="I216" s="31">
        <v>0.89132136524268457</v>
      </c>
      <c r="J216" s="32">
        <v>6411.5967318828471</v>
      </c>
      <c r="L216" s="43">
        <f t="shared" si="24"/>
        <v>-11647.147374036796</v>
      </c>
      <c r="M216" s="43">
        <f t="shared" si="25"/>
        <v>-4633.71485278606</v>
      </c>
      <c r="N216" s="43">
        <f t="shared" si="26"/>
        <v>-4937.7256598042604</v>
      </c>
      <c r="O216" s="43">
        <f t="shared" si="27"/>
        <v>-1954.9899056694239</v>
      </c>
      <c r="Q216" s="42">
        <f t="shared" si="28"/>
        <v>0</v>
      </c>
      <c r="R216" s="42">
        <f t="shared" si="29"/>
        <v>0</v>
      </c>
      <c r="S216" s="42">
        <f t="shared" si="30"/>
        <v>0</v>
      </c>
      <c r="T216" s="42">
        <f t="shared" si="31"/>
        <v>1</v>
      </c>
    </row>
    <row r="217" spans="1:20" x14ac:dyDescent="0.2">
      <c r="A217" s="30">
        <v>210</v>
      </c>
      <c r="C217" s="31">
        <v>0.99322629735213586</v>
      </c>
      <c r="D217" s="32">
        <v>16070.829445651852</v>
      </c>
      <c r="E217" s="31">
        <v>0.78530949838290454</v>
      </c>
      <c r="F217" s="32">
        <v>3032.4573699996054</v>
      </c>
      <c r="G217" s="31">
        <v>0.93364671305653257</v>
      </c>
      <c r="H217" s="32">
        <v>9878.6757482612684</v>
      </c>
      <c r="I217" s="31">
        <v>0.77668961643325307</v>
      </c>
      <c r="J217" s="32">
        <v>2778.0103762527997</v>
      </c>
      <c r="L217" s="43">
        <f t="shared" si="24"/>
        <v>-11104.697958891174</v>
      </c>
      <c r="M217" s="43">
        <f t="shared" si="25"/>
        <v>894.09012191491729</v>
      </c>
      <c r="N217" s="43">
        <f t="shared" si="26"/>
        <v>-5210.4421829786052</v>
      </c>
      <c r="O217" s="43">
        <f t="shared" si="27"/>
        <v>1105.4377059134658</v>
      </c>
      <c r="Q217" s="42">
        <f t="shared" si="28"/>
        <v>0</v>
      </c>
      <c r="R217" s="42">
        <f t="shared" si="29"/>
        <v>0</v>
      </c>
      <c r="S217" s="42">
        <f t="shared" si="30"/>
        <v>0</v>
      </c>
      <c r="T217" s="42">
        <f t="shared" si="31"/>
        <v>1</v>
      </c>
    </row>
    <row r="218" spans="1:20" x14ac:dyDescent="0.2">
      <c r="A218" s="30">
        <v>211</v>
      </c>
      <c r="C218" s="31">
        <v>0.99187299908500659</v>
      </c>
      <c r="D218" s="32">
        <v>15245.26777833911</v>
      </c>
      <c r="E218" s="31">
        <v>0.95926565522449669</v>
      </c>
      <c r="F218" s="32">
        <v>7952.8419667579365</v>
      </c>
      <c r="G218" s="31">
        <v>0.94655043071915723</v>
      </c>
      <c r="H218" s="32">
        <v>9295.0100631158275</v>
      </c>
      <c r="I218" s="31">
        <v>0.94655043071915723</v>
      </c>
      <c r="J218" s="32">
        <v>6144.8984435966795</v>
      </c>
      <c r="L218" s="43">
        <f t="shared" si="24"/>
        <v>-10285.902782914076</v>
      </c>
      <c r="M218" s="43">
        <f t="shared" si="25"/>
        <v>-3156.5136906354528</v>
      </c>
      <c r="N218" s="43">
        <f t="shared" si="26"/>
        <v>-4562.2579095200417</v>
      </c>
      <c r="O218" s="43">
        <f t="shared" si="27"/>
        <v>-1412.1462900008937</v>
      </c>
      <c r="Q218" s="42">
        <f t="shared" si="28"/>
        <v>0</v>
      </c>
      <c r="R218" s="42">
        <f t="shared" si="29"/>
        <v>0</v>
      </c>
      <c r="S218" s="42">
        <f t="shared" si="30"/>
        <v>0</v>
      </c>
      <c r="T218" s="42">
        <f t="shared" si="31"/>
        <v>1</v>
      </c>
    </row>
    <row r="219" spans="1:20" x14ac:dyDescent="0.2">
      <c r="A219" s="30">
        <v>212</v>
      </c>
      <c r="C219" s="31">
        <v>0.99794280539973979</v>
      </c>
      <c r="D219" s="32">
        <v>16618.388039725767</v>
      </c>
      <c r="E219" s="31">
        <v>0.94151253599359386</v>
      </c>
      <c r="F219" s="32">
        <v>4300.1577317332467</v>
      </c>
      <c r="G219" s="31">
        <v>0.98405569562870698</v>
      </c>
      <c r="H219" s="32">
        <v>9624.6924009916293</v>
      </c>
      <c r="I219" s="31">
        <v>0.94151253599359386</v>
      </c>
      <c r="J219" s="32">
        <v>4208.3455943866202</v>
      </c>
      <c r="L219" s="43">
        <f t="shared" si="24"/>
        <v>-11628.674012727068</v>
      </c>
      <c r="M219" s="43">
        <f t="shared" si="25"/>
        <v>407.40494823472272</v>
      </c>
      <c r="N219" s="43">
        <f t="shared" si="26"/>
        <v>-4704.4139228480944</v>
      </c>
      <c r="O219" s="43">
        <f t="shared" si="27"/>
        <v>499.21708558134924</v>
      </c>
      <c r="Q219" s="42">
        <f t="shared" si="28"/>
        <v>0</v>
      </c>
      <c r="R219" s="42">
        <f t="shared" si="29"/>
        <v>0</v>
      </c>
      <c r="S219" s="42">
        <f t="shared" si="30"/>
        <v>0</v>
      </c>
      <c r="T219" s="42">
        <f t="shared" si="31"/>
        <v>1</v>
      </c>
    </row>
    <row r="220" spans="1:20" x14ac:dyDescent="0.2">
      <c r="A220" s="30">
        <v>213</v>
      </c>
      <c r="C220" s="31">
        <v>0.99559554503458714</v>
      </c>
      <c r="D220" s="32">
        <v>14856.130452123925</v>
      </c>
      <c r="E220" s="31">
        <v>0.85970960602870128</v>
      </c>
      <c r="F220" s="32">
        <v>3222.5639385597597</v>
      </c>
      <c r="G220" s="31">
        <v>0.96128875672288261</v>
      </c>
      <c r="H220" s="32">
        <v>9271.762761731241</v>
      </c>
      <c r="I220" s="31">
        <v>0.85888115741144999</v>
      </c>
      <c r="J220" s="32">
        <v>3069.0191008793336</v>
      </c>
      <c r="L220" s="43">
        <f t="shared" si="24"/>
        <v>-9878.1527269509897</v>
      </c>
      <c r="M220" s="43">
        <f t="shared" si="25"/>
        <v>1075.9840915837467</v>
      </c>
      <c r="N220" s="43">
        <f t="shared" si="26"/>
        <v>-4465.3189781168276</v>
      </c>
      <c r="O220" s="43">
        <f t="shared" si="27"/>
        <v>1225.3866861779161</v>
      </c>
      <c r="Q220" s="42">
        <f t="shared" si="28"/>
        <v>0</v>
      </c>
      <c r="R220" s="42">
        <f t="shared" si="29"/>
        <v>0</v>
      </c>
      <c r="S220" s="42">
        <f t="shared" si="30"/>
        <v>0</v>
      </c>
      <c r="T220" s="42">
        <f t="shared" si="31"/>
        <v>1</v>
      </c>
    </row>
    <row r="221" spans="1:20" x14ac:dyDescent="0.2">
      <c r="A221" s="30">
        <v>214</v>
      </c>
      <c r="C221" s="31">
        <v>0.99439897345298811</v>
      </c>
      <c r="D221" s="32">
        <v>12564.286768947921</v>
      </c>
      <c r="E221" s="31">
        <v>0.93188669703554816</v>
      </c>
      <c r="F221" s="32">
        <v>3765.6055054211251</v>
      </c>
      <c r="G221" s="31">
        <v>0.97345551010177278</v>
      </c>
      <c r="H221" s="32">
        <v>7664.154759118157</v>
      </c>
      <c r="I221" s="31">
        <v>0.92257427483434884</v>
      </c>
      <c r="J221" s="32">
        <v>3525.4993904182365</v>
      </c>
      <c r="L221" s="43">
        <f t="shared" si="24"/>
        <v>-7592.2919016829801</v>
      </c>
      <c r="M221" s="43">
        <f t="shared" si="25"/>
        <v>893.82797975661606</v>
      </c>
      <c r="N221" s="43">
        <f t="shared" si="26"/>
        <v>-2796.8772086092931</v>
      </c>
      <c r="O221" s="43">
        <f t="shared" si="27"/>
        <v>1087.3719837535073</v>
      </c>
      <c r="Q221" s="42">
        <f t="shared" si="28"/>
        <v>0</v>
      </c>
      <c r="R221" s="42">
        <f t="shared" si="29"/>
        <v>0</v>
      </c>
      <c r="S221" s="42">
        <f t="shared" si="30"/>
        <v>0</v>
      </c>
      <c r="T221" s="42">
        <f t="shared" si="31"/>
        <v>1</v>
      </c>
    </row>
    <row r="222" spans="1:20" x14ac:dyDescent="0.2">
      <c r="A222" s="30">
        <v>215</v>
      </c>
      <c r="C222" s="31">
        <v>0.99761057079296978</v>
      </c>
      <c r="D222" s="32">
        <v>16907.934595756939</v>
      </c>
      <c r="E222" s="31">
        <v>0.91099830498404688</v>
      </c>
      <c r="F222" s="32">
        <v>5273.5397692645065</v>
      </c>
      <c r="G222" s="31">
        <v>0.98755059927316402</v>
      </c>
      <c r="H222" s="32">
        <v>10953.316126818017</v>
      </c>
      <c r="I222" s="31">
        <v>0.90786023013763062</v>
      </c>
      <c r="J222" s="32">
        <v>5044.6721176686251</v>
      </c>
      <c r="L222" s="43">
        <f t="shared" si="24"/>
        <v>-11919.881741792091</v>
      </c>
      <c r="M222" s="43">
        <f t="shared" si="25"/>
        <v>-718.54824434427246</v>
      </c>
      <c r="N222" s="43">
        <f t="shared" si="26"/>
        <v>-6015.5631304521976</v>
      </c>
      <c r="O222" s="43">
        <f t="shared" si="27"/>
        <v>-505.37096698047208</v>
      </c>
      <c r="Q222" s="42">
        <f t="shared" si="28"/>
        <v>0</v>
      </c>
      <c r="R222" s="42">
        <f t="shared" si="29"/>
        <v>0</v>
      </c>
      <c r="S222" s="42">
        <f t="shared" si="30"/>
        <v>0</v>
      </c>
      <c r="T222" s="42">
        <f t="shared" si="31"/>
        <v>1</v>
      </c>
    </row>
    <row r="223" spans="1:20" x14ac:dyDescent="0.2">
      <c r="A223" s="30">
        <v>216</v>
      </c>
      <c r="C223" s="31">
        <v>0.97838432280637277</v>
      </c>
      <c r="D223" s="32">
        <v>15547.075455424265</v>
      </c>
      <c r="E223" s="31">
        <v>0.89554343284213955</v>
      </c>
      <c r="F223" s="32">
        <v>5856.3770442098639</v>
      </c>
      <c r="G223" s="31">
        <v>0.94022086217112744</v>
      </c>
      <c r="H223" s="32">
        <v>9171.7702013293874</v>
      </c>
      <c r="I223" s="31">
        <v>0.89248557381168814</v>
      </c>
      <c r="J223" s="32">
        <v>4774.3191232642876</v>
      </c>
      <c r="L223" s="43">
        <f t="shared" si="24"/>
        <v>-10655.153841392401</v>
      </c>
      <c r="M223" s="43">
        <f t="shared" si="25"/>
        <v>-1378.6598799991662</v>
      </c>
      <c r="N223" s="43">
        <f t="shared" si="26"/>
        <v>-4470.6658904737506</v>
      </c>
      <c r="O223" s="43">
        <f t="shared" si="27"/>
        <v>-311.89125420584696</v>
      </c>
      <c r="Q223" s="42">
        <f t="shared" si="28"/>
        <v>0</v>
      </c>
      <c r="R223" s="42">
        <f t="shared" si="29"/>
        <v>0</v>
      </c>
      <c r="S223" s="42">
        <f t="shared" si="30"/>
        <v>0</v>
      </c>
      <c r="T223" s="42">
        <f t="shared" si="31"/>
        <v>1</v>
      </c>
    </row>
    <row r="224" spans="1:20" x14ac:dyDescent="0.2">
      <c r="A224" s="30">
        <v>217</v>
      </c>
      <c r="C224" s="31">
        <v>0.99992570280455018</v>
      </c>
      <c r="D224" s="32">
        <v>15802.661671890341</v>
      </c>
      <c r="E224" s="31">
        <v>0.93362689881428929</v>
      </c>
      <c r="F224" s="32">
        <v>5650.2962583586786</v>
      </c>
      <c r="G224" s="31">
        <v>0.98096333114675405</v>
      </c>
      <c r="H224" s="32">
        <v>10449.494145626439</v>
      </c>
      <c r="I224" s="31">
        <v>0.93286059067452165</v>
      </c>
      <c r="J224" s="32">
        <v>5497.0314257806285</v>
      </c>
      <c r="L224" s="43">
        <f t="shared" si="24"/>
        <v>-10803.03315786759</v>
      </c>
      <c r="M224" s="43">
        <f t="shared" si="25"/>
        <v>-982.16176428723247</v>
      </c>
      <c r="N224" s="43">
        <f t="shared" si="26"/>
        <v>-5544.6774898926687</v>
      </c>
      <c r="O224" s="43">
        <f t="shared" si="27"/>
        <v>-832.72847240802002</v>
      </c>
      <c r="Q224" s="42">
        <f t="shared" si="28"/>
        <v>0</v>
      </c>
      <c r="R224" s="42">
        <f t="shared" si="29"/>
        <v>0</v>
      </c>
      <c r="S224" s="42">
        <f t="shared" si="30"/>
        <v>0</v>
      </c>
      <c r="T224" s="42">
        <f t="shared" si="31"/>
        <v>1</v>
      </c>
    </row>
    <row r="225" spans="1:20" x14ac:dyDescent="0.2">
      <c r="A225" s="30">
        <v>218</v>
      </c>
      <c r="C225" s="31">
        <v>0.99302062793304302</v>
      </c>
      <c r="D225" s="32">
        <v>16367.637988868064</v>
      </c>
      <c r="E225" s="31">
        <v>0.96491722496782362</v>
      </c>
      <c r="F225" s="32">
        <v>6178.9153650389981</v>
      </c>
      <c r="G225" s="31">
        <v>0.96491722496782351</v>
      </c>
      <c r="H225" s="32">
        <v>9793.96116993953</v>
      </c>
      <c r="I225" s="31">
        <v>0.96491722496782373</v>
      </c>
      <c r="J225" s="32">
        <v>6041.2175443102615</v>
      </c>
      <c r="L225" s="43">
        <f t="shared" si="24"/>
        <v>-11402.53484920285</v>
      </c>
      <c r="M225" s="43">
        <f t="shared" si="25"/>
        <v>-1354.3292401998797</v>
      </c>
      <c r="N225" s="43">
        <f t="shared" si="26"/>
        <v>-4969.3750451004125</v>
      </c>
      <c r="O225" s="43">
        <f t="shared" si="27"/>
        <v>-1216.6314194711431</v>
      </c>
      <c r="Q225" s="42">
        <f t="shared" si="28"/>
        <v>0</v>
      </c>
      <c r="R225" s="42">
        <f t="shared" si="29"/>
        <v>0</v>
      </c>
      <c r="S225" s="42">
        <f t="shared" si="30"/>
        <v>0</v>
      </c>
      <c r="T225" s="42">
        <f t="shared" si="31"/>
        <v>1</v>
      </c>
    </row>
    <row r="226" spans="1:20" x14ac:dyDescent="0.2">
      <c r="A226" s="30">
        <v>219</v>
      </c>
      <c r="C226" s="31">
        <v>0.98974349418899998</v>
      </c>
      <c r="D226" s="32">
        <v>13701.173790105157</v>
      </c>
      <c r="E226" s="31">
        <v>0.74115729241528649</v>
      </c>
      <c r="F226" s="32">
        <v>1646.2305669448433</v>
      </c>
      <c r="G226" s="31">
        <v>0.97711227382489918</v>
      </c>
      <c r="H226" s="32">
        <v>8556.257983754007</v>
      </c>
      <c r="I226" s="31">
        <v>0.74115729241528649</v>
      </c>
      <c r="J226" s="32">
        <v>1510.1511228072186</v>
      </c>
      <c r="L226" s="43">
        <f t="shared" si="24"/>
        <v>-8752.4563191601555</v>
      </c>
      <c r="M226" s="43">
        <f t="shared" si="25"/>
        <v>2059.5558951315893</v>
      </c>
      <c r="N226" s="43">
        <f t="shared" si="26"/>
        <v>-3670.6966146295108</v>
      </c>
      <c r="O226" s="43">
        <f t="shared" si="27"/>
        <v>2195.635339269214</v>
      </c>
      <c r="Q226" s="42">
        <f t="shared" si="28"/>
        <v>0</v>
      </c>
      <c r="R226" s="42">
        <f t="shared" si="29"/>
        <v>0</v>
      </c>
      <c r="S226" s="42">
        <f t="shared" si="30"/>
        <v>0</v>
      </c>
      <c r="T226" s="42">
        <f t="shared" si="31"/>
        <v>1</v>
      </c>
    </row>
    <row r="227" spans="1:20" x14ac:dyDescent="0.2">
      <c r="A227" s="30">
        <v>220</v>
      </c>
      <c r="C227" s="31">
        <v>0.99535613896155528</v>
      </c>
      <c r="D227" s="32">
        <v>15170.104545136519</v>
      </c>
      <c r="E227" s="31">
        <v>0.95750460759466183</v>
      </c>
      <c r="F227" s="32">
        <v>4995.9254117758883</v>
      </c>
      <c r="G227" s="31">
        <v>0.94356460161422406</v>
      </c>
      <c r="H227" s="32">
        <v>8858.7364987096717</v>
      </c>
      <c r="I227" s="31">
        <v>0.94356460161422406</v>
      </c>
      <c r="J227" s="32">
        <v>4638.3005197110915</v>
      </c>
      <c r="L227" s="43">
        <f t="shared" si="24"/>
        <v>-10193.323850328743</v>
      </c>
      <c r="M227" s="43">
        <f t="shared" si="25"/>
        <v>-208.40237380257895</v>
      </c>
      <c r="N227" s="43">
        <f t="shared" si="26"/>
        <v>-4140.9134906385516</v>
      </c>
      <c r="O227" s="43">
        <f t="shared" si="27"/>
        <v>79.522488360028547</v>
      </c>
      <c r="Q227" s="42">
        <f t="shared" si="28"/>
        <v>0</v>
      </c>
      <c r="R227" s="42">
        <f t="shared" si="29"/>
        <v>0</v>
      </c>
      <c r="S227" s="42">
        <f t="shared" si="30"/>
        <v>0</v>
      </c>
      <c r="T227" s="42">
        <f t="shared" si="31"/>
        <v>1</v>
      </c>
    </row>
    <row r="228" spans="1:20" x14ac:dyDescent="0.2">
      <c r="A228" s="30">
        <v>221</v>
      </c>
      <c r="C228" s="31">
        <v>0.98768674410269364</v>
      </c>
      <c r="D228" s="32">
        <v>16104.289590638607</v>
      </c>
      <c r="E228" s="31">
        <v>0.81226399096987156</v>
      </c>
      <c r="F228" s="32">
        <v>4296.8209720410669</v>
      </c>
      <c r="G228" s="31">
        <v>0.9401000429624663</v>
      </c>
      <c r="H228" s="32">
        <v>9369.2208918870929</v>
      </c>
      <c r="I228" s="31">
        <v>0.80745709996767645</v>
      </c>
      <c r="J228" s="32">
        <v>3536.3525301657578</v>
      </c>
      <c r="L228" s="43">
        <f t="shared" si="24"/>
        <v>-11165.855870125139</v>
      </c>
      <c r="M228" s="43">
        <f t="shared" si="25"/>
        <v>-235.50101719170925</v>
      </c>
      <c r="N228" s="43">
        <f t="shared" si="26"/>
        <v>-4668.7206770747616</v>
      </c>
      <c r="O228" s="43">
        <f t="shared" si="27"/>
        <v>500.93296967262449</v>
      </c>
      <c r="Q228" s="42">
        <f t="shared" si="28"/>
        <v>0</v>
      </c>
      <c r="R228" s="42">
        <f t="shared" si="29"/>
        <v>0</v>
      </c>
      <c r="S228" s="42">
        <f t="shared" si="30"/>
        <v>0</v>
      </c>
      <c r="T228" s="42">
        <f t="shared" si="31"/>
        <v>1</v>
      </c>
    </row>
    <row r="229" spans="1:20" x14ac:dyDescent="0.2">
      <c r="A229" s="30">
        <v>222</v>
      </c>
      <c r="C229" s="31">
        <v>0.93927417842065464</v>
      </c>
      <c r="D229" s="32">
        <v>15630.776008987787</v>
      </c>
      <c r="E229" s="31">
        <v>0.87339097743930072</v>
      </c>
      <c r="F229" s="32">
        <v>6357.9763028658381</v>
      </c>
      <c r="G229" s="31">
        <v>0.93047407148813743</v>
      </c>
      <c r="H229" s="32">
        <v>9731.0334021682083</v>
      </c>
      <c r="I229" s="31">
        <v>0.87339097743930072</v>
      </c>
      <c r="J229" s="32">
        <v>5273.88442180931</v>
      </c>
      <c r="L229" s="43">
        <f t="shared" si="24"/>
        <v>-10934.405116884514</v>
      </c>
      <c r="M229" s="43">
        <f t="shared" si="25"/>
        <v>-1991.0214156693346</v>
      </c>
      <c r="N229" s="43">
        <f t="shared" si="26"/>
        <v>-5078.6630447275211</v>
      </c>
      <c r="O229" s="43">
        <f t="shared" si="27"/>
        <v>-906.92953461280649</v>
      </c>
      <c r="Q229" s="42">
        <f t="shared" si="28"/>
        <v>0</v>
      </c>
      <c r="R229" s="42">
        <f t="shared" si="29"/>
        <v>0</v>
      </c>
      <c r="S229" s="42">
        <f t="shared" si="30"/>
        <v>0</v>
      </c>
      <c r="T229" s="42">
        <f t="shared" si="31"/>
        <v>1</v>
      </c>
    </row>
    <row r="230" spans="1:20" x14ac:dyDescent="0.2">
      <c r="A230" s="30">
        <v>223</v>
      </c>
      <c r="C230" s="31">
        <v>0.97364654807094708</v>
      </c>
      <c r="D230" s="32">
        <v>16463.11126784252</v>
      </c>
      <c r="E230" s="31">
        <v>0.91245419268069061</v>
      </c>
      <c r="F230" s="32">
        <v>8918.2744261218813</v>
      </c>
      <c r="G230" s="31">
        <v>0.90599501466454724</v>
      </c>
      <c r="H230" s="32">
        <v>10062.974327831613</v>
      </c>
      <c r="I230" s="31">
        <v>0.90599501466454724</v>
      </c>
      <c r="J230" s="32">
        <v>6795.9535123244868</v>
      </c>
      <c r="L230" s="43">
        <f t="shared" si="24"/>
        <v>-11594.878527487785</v>
      </c>
      <c r="M230" s="43">
        <f t="shared" si="25"/>
        <v>-4356.0034627184286</v>
      </c>
      <c r="N230" s="43">
        <f t="shared" si="26"/>
        <v>-5532.9992545088762</v>
      </c>
      <c r="O230" s="43">
        <f t="shared" si="27"/>
        <v>-2265.9784390017503</v>
      </c>
      <c r="Q230" s="42">
        <f t="shared" si="28"/>
        <v>0</v>
      </c>
      <c r="R230" s="42">
        <f t="shared" si="29"/>
        <v>0</v>
      </c>
      <c r="S230" s="42">
        <f t="shared" si="30"/>
        <v>0</v>
      </c>
      <c r="T230" s="42">
        <f t="shared" si="31"/>
        <v>1</v>
      </c>
    </row>
    <row r="231" spans="1:20" x14ac:dyDescent="0.2">
      <c r="A231" s="30">
        <v>224</v>
      </c>
      <c r="C231" s="31">
        <v>0.99544744328790358</v>
      </c>
      <c r="D231" s="32">
        <v>12912.799129230087</v>
      </c>
      <c r="E231" s="31">
        <v>0.9573198087292194</v>
      </c>
      <c r="F231" s="32">
        <v>5409.791239254253</v>
      </c>
      <c r="G231" s="31">
        <v>0.95604167771649973</v>
      </c>
      <c r="H231" s="32">
        <v>7747.5987803479566</v>
      </c>
      <c r="I231" s="31">
        <v>0.95604167771649995</v>
      </c>
      <c r="J231" s="32">
        <v>4678.9834316105562</v>
      </c>
      <c r="L231" s="43">
        <f t="shared" si="24"/>
        <v>-7935.5619127905684</v>
      </c>
      <c r="M231" s="43">
        <f t="shared" si="25"/>
        <v>-623.192195608156</v>
      </c>
      <c r="N231" s="43">
        <f t="shared" si="26"/>
        <v>-2967.3903917654579</v>
      </c>
      <c r="O231" s="43">
        <f t="shared" si="27"/>
        <v>101.22495697194336</v>
      </c>
      <c r="Q231" s="42">
        <f t="shared" si="28"/>
        <v>0</v>
      </c>
      <c r="R231" s="42">
        <f t="shared" si="29"/>
        <v>0</v>
      </c>
      <c r="S231" s="42">
        <f t="shared" si="30"/>
        <v>0</v>
      </c>
      <c r="T231" s="42">
        <f t="shared" si="31"/>
        <v>1</v>
      </c>
    </row>
    <row r="232" spans="1:20" x14ac:dyDescent="0.2">
      <c r="A232" s="30">
        <v>225</v>
      </c>
      <c r="C232" s="31">
        <v>0.952805736662936</v>
      </c>
      <c r="D232" s="32">
        <v>18030.915911263117</v>
      </c>
      <c r="E232" s="31">
        <v>0.96124623374539897</v>
      </c>
      <c r="F232" s="32">
        <v>7086.0368155252199</v>
      </c>
      <c r="G232" s="31">
        <v>0.96040907888489713</v>
      </c>
      <c r="H232" s="32">
        <v>10743.588041972291</v>
      </c>
      <c r="I232" s="31">
        <v>0.96040907888489724</v>
      </c>
      <c r="J232" s="32">
        <v>6172.8679983770362</v>
      </c>
      <c r="L232" s="43">
        <f t="shared" si="24"/>
        <v>-13266.887227948437</v>
      </c>
      <c r="M232" s="43">
        <f t="shared" si="25"/>
        <v>-2279.8056467982251</v>
      </c>
      <c r="N232" s="43">
        <f t="shared" si="26"/>
        <v>-5941.5426475478052</v>
      </c>
      <c r="O232" s="43">
        <f t="shared" si="27"/>
        <v>-1370.8226039525498</v>
      </c>
      <c r="Q232" s="42">
        <f t="shared" si="28"/>
        <v>0</v>
      </c>
      <c r="R232" s="42">
        <f t="shared" si="29"/>
        <v>0</v>
      </c>
      <c r="S232" s="42">
        <f t="shared" si="30"/>
        <v>0</v>
      </c>
      <c r="T232" s="42">
        <f t="shared" si="31"/>
        <v>1</v>
      </c>
    </row>
    <row r="233" spans="1:20" x14ac:dyDescent="0.2">
      <c r="A233" s="30">
        <v>226</v>
      </c>
      <c r="C233" s="31">
        <v>0.98457400181686694</v>
      </c>
      <c r="D233" s="32">
        <v>16955.857371794336</v>
      </c>
      <c r="E233" s="31">
        <v>0.90184401922393698</v>
      </c>
      <c r="F233" s="32">
        <v>5130.9853977673547</v>
      </c>
      <c r="G233" s="31">
        <v>0.94047333525128474</v>
      </c>
      <c r="H233" s="32">
        <v>10368.155371865012</v>
      </c>
      <c r="I233" s="31">
        <v>0.9012984037853613</v>
      </c>
      <c r="J233" s="32">
        <v>4947.4596855686113</v>
      </c>
      <c r="L233" s="43">
        <f t="shared" si="24"/>
        <v>-12032.987362710002</v>
      </c>
      <c r="M233" s="43">
        <f t="shared" si="25"/>
        <v>-621.76530164766973</v>
      </c>
      <c r="N233" s="43">
        <f t="shared" si="26"/>
        <v>-5665.7886956085886</v>
      </c>
      <c r="O233" s="43">
        <f t="shared" si="27"/>
        <v>-440.9676666418045</v>
      </c>
      <c r="Q233" s="42">
        <f t="shared" si="28"/>
        <v>0</v>
      </c>
      <c r="R233" s="42">
        <f t="shared" si="29"/>
        <v>0</v>
      </c>
      <c r="S233" s="42">
        <f t="shared" si="30"/>
        <v>0</v>
      </c>
      <c r="T233" s="42">
        <f t="shared" si="31"/>
        <v>1</v>
      </c>
    </row>
    <row r="234" spans="1:20" x14ac:dyDescent="0.2">
      <c r="A234" s="30">
        <v>227</v>
      </c>
      <c r="C234" s="31">
        <v>0.96289683249015379</v>
      </c>
      <c r="D234" s="32">
        <v>14459.383111906776</v>
      </c>
      <c r="E234" s="31">
        <v>0.92265708915717959</v>
      </c>
      <c r="F234" s="32">
        <v>4692.0273368648241</v>
      </c>
      <c r="G234" s="31">
        <v>0.93335054064408585</v>
      </c>
      <c r="H234" s="32">
        <v>9101.4953987571207</v>
      </c>
      <c r="I234" s="31">
        <v>0.91487716398080199</v>
      </c>
      <c r="J234" s="32">
        <v>4414.4548943454183</v>
      </c>
      <c r="L234" s="43">
        <f t="shared" si="24"/>
        <v>-9644.8989494560083</v>
      </c>
      <c r="M234" s="43">
        <f t="shared" si="25"/>
        <v>-78.741891078926528</v>
      </c>
      <c r="N234" s="43">
        <f t="shared" si="26"/>
        <v>-4434.7426955366918</v>
      </c>
      <c r="O234" s="43">
        <f t="shared" si="27"/>
        <v>159.9309255585913</v>
      </c>
      <c r="Q234" s="42">
        <f t="shared" si="28"/>
        <v>0</v>
      </c>
      <c r="R234" s="42">
        <f t="shared" si="29"/>
        <v>0</v>
      </c>
      <c r="S234" s="42">
        <f t="shared" si="30"/>
        <v>0</v>
      </c>
      <c r="T234" s="42">
        <f t="shared" si="31"/>
        <v>1</v>
      </c>
    </row>
    <row r="235" spans="1:20" x14ac:dyDescent="0.2">
      <c r="A235" s="30">
        <v>228</v>
      </c>
      <c r="C235" s="31">
        <v>0.95016008270331764</v>
      </c>
      <c r="D235" s="32">
        <v>15401.175803279106</v>
      </c>
      <c r="E235" s="31">
        <v>0.82684967911903695</v>
      </c>
      <c r="F235" s="32">
        <v>4013.8469708456573</v>
      </c>
      <c r="G235" s="31">
        <v>0.91869945129903519</v>
      </c>
      <c r="H235" s="32">
        <v>9709.7726244051264</v>
      </c>
      <c r="I235" s="31">
        <v>0.82058659356490282</v>
      </c>
      <c r="J235" s="32">
        <v>3765.0737935599127</v>
      </c>
      <c r="L235" s="43">
        <f t="shared" si="24"/>
        <v>-10650.375389762517</v>
      </c>
      <c r="M235" s="43">
        <f t="shared" si="25"/>
        <v>120.40142474952745</v>
      </c>
      <c r="N235" s="43">
        <f t="shared" si="26"/>
        <v>-5116.2753679099505</v>
      </c>
      <c r="O235" s="43">
        <f t="shared" si="27"/>
        <v>337.85917426460128</v>
      </c>
      <c r="Q235" s="42">
        <f t="shared" si="28"/>
        <v>0</v>
      </c>
      <c r="R235" s="42">
        <f t="shared" si="29"/>
        <v>0</v>
      </c>
      <c r="S235" s="42">
        <f t="shared" si="30"/>
        <v>0</v>
      </c>
      <c r="T235" s="42">
        <f t="shared" si="31"/>
        <v>1</v>
      </c>
    </row>
    <row r="236" spans="1:20" x14ac:dyDescent="0.2">
      <c r="A236" s="30">
        <v>229</v>
      </c>
      <c r="C236" s="31">
        <v>0.99022173344118658</v>
      </c>
      <c r="D236" s="32">
        <v>14433.645482790536</v>
      </c>
      <c r="E236" s="31">
        <v>0.78417086759891852</v>
      </c>
      <c r="F236" s="32">
        <v>6130.3630177156156</v>
      </c>
      <c r="G236" s="31">
        <v>0.9638808647948599</v>
      </c>
      <c r="H236" s="32">
        <v>8741.7658350912625</v>
      </c>
      <c r="I236" s="31">
        <v>0.77986712945617676</v>
      </c>
      <c r="J236" s="32">
        <v>3504.7763711944103</v>
      </c>
      <c r="L236" s="43">
        <f t="shared" si="24"/>
        <v>-9482.5368155846045</v>
      </c>
      <c r="M236" s="43">
        <f t="shared" si="25"/>
        <v>-2209.5086797210229</v>
      </c>
      <c r="N236" s="43">
        <f t="shared" si="26"/>
        <v>-3922.3615111169629</v>
      </c>
      <c r="O236" s="43">
        <f t="shared" si="27"/>
        <v>394.55927608647335</v>
      </c>
      <c r="Q236" s="42">
        <f t="shared" si="28"/>
        <v>0</v>
      </c>
      <c r="R236" s="42">
        <f t="shared" si="29"/>
        <v>0</v>
      </c>
      <c r="S236" s="42">
        <f t="shared" si="30"/>
        <v>0</v>
      </c>
      <c r="T236" s="42">
        <f t="shared" si="31"/>
        <v>1</v>
      </c>
    </row>
    <row r="237" spans="1:20" x14ac:dyDescent="0.2">
      <c r="A237" s="30">
        <v>230</v>
      </c>
      <c r="C237" s="31">
        <v>0.94389801379359461</v>
      </c>
      <c r="D237" s="32">
        <v>18776.294768676187</v>
      </c>
      <c r="E237" s="31">
        <v>0.87964830491577395</v>
      </c>
      <c r="F237" s="32">
        <v>5344.6254638606033</v>
      </c>
      <c r="G237" s="31">
        <v>0.92448314320688418</v>
      </c>
      <c r="H237" s="32">
        <v>11106.160520300942</v>
      </c>
      <c r="I237" s="31">
        <v>0.87073111395910097</v>
      </c>
      <c r="J237" s="32">
        <v>5026.7152737807273</v>
      </c>
      <c r="L237" s="43">
        <f t="shared" si="24"/>
        <v>-14056.804699708213</v>
      </c>
      <c r="M237" s="43">
        <f t="shared" si="25"/>
        <v>-946.38393928173355</v>
      </c>
      <c r="N237" s="43">
        <f t="shared" si="26"/>
        <v>-6483.744804266521</v>
      </c>
      <c r="O237" s="43">
        <f t="shared" si="27"/>
        <v>-673.05970398522277</v>
      </c>
      <c r="Q237" s="42">
        <f t="shared" si="28"/>
        <v>0</v>
      </c>
      <c r="R237" s="42">
        <f t="shared" si="29"/>
        <v>0</v>
      </c>
      <c r="S237" s="42">
        <f t="shared" si="30"/>
        <v>0</v>
      </c>
      <c r="T237" s="42">
        <f t="shared" si="31"/>
        <v>1</v>
      </c>
    </row>
    <row r="238" spans="1:20" x14ac:dyDescent="0.2">
      <c r="A238" s="30">
        <v>231</v>
      </c>
      <c r="C238" s="31">
        <v>0.96252080251318051</v>
      </c>
      <c r="D238" s="32">
        <v>13711.5564917702</v>
      </c>
      <c r="E238" s="31">
        <v>0.87743120333670022</v>
      </c>
      <c r="F238" s="32">
        <v>4586.247920996967</v>
      </c>
      <c r="G238" s="31">
        <v>0.9142550327864738</v>
      </c>
      <c r="H238" s="32">
        <v>8892.8878762480235</v>
      </c>
      <c r="I238" s="31">
        <v>0.87223738552114405</v>
      </c>
      <c r="J238" s="32">
        <v>4346.6401473881024</v>
      </c>
      <c r="L238" s="43">
        <f t="shared" si="24"/>
        <v>-8898.9524792042976</v>
      </c>
      <c r="M238" s="43">
        <f t="shared" si="25"/>
        <v>-199.09190431346633</v>
      </c>
      <c r="N238" s="43">
        <f t="shared" si="26"/>
        <v>-4321.6127123156548</v>
      </c>
      <c r="O238" s="43">
        <f t="shared" si="27"/>
        <v>14.546780217618107</v>
      </c>
      <c r="Q238" s="42">
        <f t="shared" si="28"/>
        <v>0</v>
      </c>
      <c r="R238" s="42">
        <f t="shared" si="29"/>
        <v>0</v>
      </c>
      <c r="S238" s="42">
        <f t="shared" si="30"/>
        <v>0</v>
      </c>
      <c r="T238" s="42">
        <f t="shared" si="31"/>
        <v>1</v>
      </c>
    </row>
    <row r="239" spans="1:20" x14ac:dyDescent="0.2">
      <c r="A239" s="30">
        <v>232</v>
      </c>
      <c r="C239" s="31">
        <v>0.98045013002952286</v>
      </c>
      <c r="D239" s="32">
        <v>17195.649979592366</v>
      </c>
      <c r="E239" s="31">
        <v>0.80923035078913585</v>
      </c>
      <c r="F239" s="32">
        <v>3716.5426900750267</v>
      </c>
      <c r="G239" s="31">
        <v>0.93405367827715768</v>
      </c>
      <c r="H239" s="32">
        <v>10689.549523134196</v>
      </c>
      <c r="I239" s="31">
        <v>0.80750682400616003</v>
      </c>
      <c r="J239" s="32">
        <v>3534.273510236892</v>
      </c>
      <c r="L239" s="43">
        <f t="shared" si="24"/>
        <v>-12293.399329444752</v>
      </c>
      <c r="M239" s="43">
        <f t="shared" si="25"/>
        <v>329.60906387065234</v>
      </c>
      <c r="N239" s="43">
        <f t="shared" si="26"/>
        <v>-6019.2811317484075</v>
      </c>
      <c r="O239" s="43">
        <f t="shared" si="27"/>
        <v>503.26060979390832</v>
      </c>
      <c r="Q239" s="42">
        <f t="shared" si="28"/>
        <v>0</v>
      </c>
      <c r="R239" s="42">
        <f t="shared" si="29"/>
        <v>0</v>
      </c>
      <c r="S239" s="42">
        <f t="shared" si="30"/>
        <v>0</v>
      </c>
      <c r="T239" s="42">
        <f t="shared" si="31"/>
        <v>1</v>
      </c>
    </row>
    <row r="240" spans="1:20" x14ac:dyDescent="0.2">
      <c r="A240" s="30">
        <v>233</v>
      </c>
      <c r="C240" s="31">
        <v>0.99341890357652662</v>
      </c>
      <c r="D240" s="32">
        <v>16079.810635548756</v>
      </c>
      <c r="E240" s="31">
        <v>0.96872404789005417</v>
      </c>
      <c r="F240" s="32">
        <v>6286.6001722622841</v>
      </c>
      <c r="G240" s="31">
        <v>0.95918936834521751</v>
      </c>
      <c r="H240" s="32">
        <v>10124.114877845373</v>
      </c>
      <c r="I240" s="31">
        <v>0.95918936834521751</v>
      </c>
      <c r="J240" s="32">
        <v>6013.4061278116023</v>
      </c>
      <c r="L240" s="43">
        <f t="shared" si="24"/>
        <v>-11112.716117666123</v>
      </c>
      <c r="M240" s="43">
        <f t="shared" si="25"/>
        <v>-1442.9799328120134</v>
      </c>
      <c r="N240" s="43">
        <f t="shared" si="26"/>
        <v>-5328.1680361192857</v>
      </c>
      <c r="O240" s="43">
        <f t="shared" si="27"/>
        <v>-1217.4592860855146</v>
      </c>
      <c r="Q240" s="42">
        <f t="shared" si="28"/>
        <v>0</v>
      </c>
      <c r="R240" s="42">
        <f t="shared" si="29"/>
        <v>0</v>
      </c>
      <c r="S240" s="42">
        <f t="shared" si="30"/>
        <v>0</v>
      </c>
      <c r="T240" s="42">
        <f t="shared" si="31"/>
        <v>1</v>
      </c>
    </row>
    <row r="241" spans="1:20" x14ac:dyDescent="0.2">
      <c r="A241" s="30">
        <v>234</v>
      </c>
      <c r="C241" s="31">
        <v>0.99259500462537609</v>
      </c>
      <c r="D241" s="32">
        <v>13137.894695132776</v>
      </c>
      <c r="E241" s="31">
        <v>0.86979691862624464</v>
      </c>
      <c r="F241" s="32">
        <v>4119.6994234688882</v>
      </c>
      <c r="G241" s="31">
        <v>0.96087308124637627</v>
      </c>
      <c r="H241" s="32">
        <v>7775.9853398498271</v>
      </c>
      <c r="I241" s="31">
        <v>0.86761389304183412</v>
      </c>
      <c r="J241" s="32">
        <v>3500.4838772425537</v>
      </c>
      <c r="L241" s="43">
        <f t="shared" si="24"/>
        <v>-8174.9196720058953</v>
      </c>
      <c r="M241" s="43">
        <f t="shared" si="25"/>
        <v>229.28516966233474</v>
      </c>
      <c r="N241" s="43">
        <f t="shared" si="26"/>
        <v>-2971.6199336179461</v>
      </c>
      <c r="O241" s="43">
        <f t="shared" si="27"/>
        <v>837.58558796661691</v>
      </c>
      <c r="Q241" s="42">
        <f t="shared" si="28"/>
        <v>0</v>
      </c>
      <c r="R241" s="42">
        <f t="shared" si="29"/>
        <v>0</v>
      </c>
      <c r="S241" s="42">
        <f t="shared" si="30"/>
        <v>0</v>
      </c>
      <c r="T241" s="42">
        <f t="shared" si="31"/>
        <v>1</v>
      </c>
    </row>
    <row r="242" spans="1:20" x14ac:dyDescent="0.2">
      <c r="A242" s="30">
        <v>235</v>
      </c>
      <c r="C242" s="31">
        <v>0.96499297004120543</v>
      </c>
      <c r="D242" s="32">
        <v>17894.529606475557</v>
      </c>
      <c r="E242" s="31">
        <v>0.92511875011530731</v>
      </c>
      <c r="F242" s="32">
        <v>14872.294191124194</v>
      </c>
      <c r="G242" s="31">
        <v>0.91957722365157846</v>
      </c>
      <c r="H242" s="32">
        <v>11478.452101313656</v>
      </c>
      <c r="I242" s="31">
        <v>0.91957722365157846</v>
      </c>
      <c r="J242" s="32">
        <v>9999.0199557148371</v>
      </c>
      <c r="L242" s="43">
        <f t="shared" si="24"/>
        <v>-13069.56475626953</v>
      </c>
      <c r="M242" s="43">
        <f t="shared" si="25"/>
        <v>-10246.700440547658</v>
      </c>
      <c r="N242" s="43">
        <f t="shared" si="26"/>
        <v>-6880.5659830557643</v>
      </c>
      <c r="O242" s="43">
        <f t="shared" si="27"/>
        <v>-5401.133837456945</v>
      </c>
      <c r="Q242" s="42">
        <f t="shared" si="28"/>
        <v>0</v>
      </c>
      <c r="R242" s="42">
        <f t="shared" si="29"/>
        <v>0</v>
      </c>
      <c r="S242" s="42">
        <f t="shared" si="30"/>
        <v>0</v>
      </c>
      <c r="T242" s="42">
        <f t="shared" si="31"/>
        <v>1</v>
      </c>
    </row>
    <row r="243" spans="1:20" x14ac:dyDescent="0.2">
      <c r="A243" s="30">
        <v>236</v>
      </c>
      <c r="C243" s="31">
        <v>0.99457012351896323</v>
      </c>
      <c r="D243" s="32">
        <v>18947.088223523195</v>
      </c>
      <c r="E243" s="31">
        <v>0.96024801626894418</v>
      </c>
      <c r="F243" s="32">
        <v>9816.1018609174898</v>
      </c>
      <c r="G243" s="31">
        <v>0.9532063411207583</v>
      </c>
      <c r="H243" s="32">
        <v>11430.399253793557</v>
      </c>
      <c r="I243" s="31">
        <v>0.95320879299185968</v>
      </c>
      <c r="J243" s="32">
        <v>7437.7381383595484</v>
      </c>
      <c r="L243" s="43">
        <f t="shared" si="24"/>
        <v>-13974.237605928378</v>
      </c>
      <c r="M243" s="43">
        <f t="shared" si="25"/>
        <v>-5014.8617795727687</v>
      </c>
      <c r="N243" s="43">
        <f t="shared" si="26"/>
        <v>-6664.3675481897662</v>
      </c>
      <c r="O243" s="43">
        <f t="shared" si="27"/>
        <v>-2671.6941734002503</v>
      </c>
      <c r="Q243" s="42">
        <f t="shared" si="28"/>
        <v>0</v>
      </c>
      <c r="R243" s="42">
        <f t="shared" si="29"/>
        <v>0</v>
      </c>
      <c r="S243" s="42">
        <f t="shared" si="30"/>
        <v>0</v>
      </c>
      <c r="T243" s="42">
        <f t="shared" si="31"/>
        <v>1</v>
      </c>
    </row>
    <row r="244" spans="1:20" x14ac:dyDescent="0.2">
      <c r="A244" s="30">
        <v>237</v>
      </c>
      <c r="C244" s="31">
        <v>0.99881958218155975</v>
      </c>
      <c r="D244" s="32">
        <v>16743.973490031873</v>
      </c>
      <c r="E244" s="31">
        <v>0.95648651605526536</v>
      </c>
      <c r="F244" s="32">
        <v>7164.3900493448264</v>
      </c>
      <c r="G244" s="31">
        <v>0.94796889362429704</v>
      </c>
      <c r="H244" s="32">
        <v>10168.006162744081</v>
      </c>
      <c r="I244" s="31">
        <v>0.94796889362429715</v>
      </c>
      <c r="J244" s="32">
        <v>5985.3176940082512</v>
      </c>
      <c r="L244" s="43">
        <f t="shared" si="24"/>
        <v>-11749.875579124073</v>
      </c>
      <c r="M244" s="43">
        <f t="shared" si="25"/>
        <v>-2381.9574690684994</v>
      </c>
      <c r="N244" s="43">
        <f t="shared" si="26"/>
        <v>-5428.1616946225959</v>
      </c>
      <c r="O244" s="43">
        <f t="shared" si="27"/>
        <v>-1245.4732258867652</v>
      </c>
      <c r="Q244" s="42">
        <f t="shared" si="28"/>
        <v>0</v>
      </c>
      <c r="R244" s="42">
        <f t="shared" si="29"/>
        <v>0</v>
      </c>
      <c r="S244" s="42">
        <f t="shared" si="30"/>
        <v>0</v>
      </c>
      <c r="T244" s="42">
        <f t="shared" si="31"/>
        <v>1</v>
      </c>
    </row>
    <row r="245" spans="1:20" x14ac:dyDescent="0.2">
      <c r="A245" s="30">
        <v>238</v>
      </c>
      <c r="C245" s="31">
        <v>0.99460189457655135</v>
      </c>
      <c r="D245" s="32">
        <v>15341.552640214259</v>
      </c>
      <c r="E245" s="31">
        <v>0.92346569982234605</v>
      </c>
      <c r="F245" s="32">
        <v>7941.711368366271</v>
      </c>
      <c r="G245" s="31">
        <v>0.91545897828001155</v>
      </c>
      <c r="H245" s="32">
        <v>9127.6109657686557</v>
      </c>
      <c r="I245" s="31">
        <v>0.91545897828001155</v>
      </c>
      <c r="J245" s="32">
        <v>6092.3552753981567</v>
      </c>
      <c r="L245" s="43">
        <f t="shared" si="24"/>
        <v>-10368.543167331502</v>
      </c>
      <c r="M245" s="43">
        <f t="shared" si="25"/>
        <v>-3324.3828692545403</v>
      </c>
      <c r="N245" s="43">
        <f t="shared" si="26"/>
        <v>-4550.3160743685976</v>
      </c>
      <c r="O245" s="43">
        <f t="shared" si="27"/>
        <v>-1515.0603839980986</v>
      </c>
      <c r="Q245" s="42">
        <f t="shared" si="28"/>
        <v>0</v>
      </c>
      <c r="R245" s="42">
        <f t="shared" si="29"/>
        <v>0</v>
      </c>
      <c r="S245" s="42">
        <f t="shared" si="30"/>
        <v>0</v>
      </c>
      <c r="T245" s="42">
        <f t="shared" si="31"/>
        <v>1</v>
      </c>
    </row>
    <row r="246" spans="1:20" x14ac:dyDescent="0.2">
      <c r="A246" s="30">
        <v>239</v>
      </c>
      <c r="C246" s="31">
        <v>0.96035533570739329</v>
      </c>
      <c r="D246" s="32">
        <v>15229.533792860753</v>
      </c>
      <c r="E246" s="31">
        <v>0.86590944438758288</v>
      </c>
      <c r="F246" s="32">
        <v>5299.9183331266586</v>
      </c>
      <c r="G246" s="31">
        <v>0.9159769928603021</v>
      </c>
      <c r="H246" s="32">
        <v>8585.8739603183967</v>
      </c>
      <c r="I246" s="31">
        <v>0.86180262838722288</v>
      </c>
      <c r="J246" s="32">
        <v>4383.8208545345342</v>
      </c>
      <c r="L246" s="43">
        <f t="shared" si="24"/>
        <v>-10427.757114323787</v>
      </c>
      <c r="M246" s="43">
        <f t="shared" si="25"/>
        <v>-970.37111118874418</v>
      </c>
      <c r="N246" s="43">
        <f t="shared" si="26"/>
        <v>-4005.9889960168866</v>
      </c>
      <c r="O246" s="43">
        <f t="shared" si="27"/>
        <v>-74.807712598420039</v>
      </c>
      <c r="Q246" s="42">
        <f t="shared" si="28"/>
        <v>0</v>
      </c>
      <c r="R246" s="42">
        <f t="shared" si="29"/>
        <v>0</v>
      </c>
      <c r="S246" s="42">
        <f t="shared" si="30"/>
        <v>0</v>
      </c>
      <c r="T246" s="42">
        <f t="shared" si="31"/>
        <v>1</v>
      </c>
    </row>
    <row r="247" spans="1:20" x14ac:dyDescent="0.2">
      <c r="A247" s="30">
        <v>240</v>
      </c>
      <c r="C247" s="31">
        <v>0.94593162816470033</v>
      </c>
      <c r="D247" s="32">
        <v>13678.733525425157</v>
      </c>
      <c r="E247" s="31">
        <v>0.9419339703123335</v>
      </c>
      <c r="F247" s="32">
        <v>4043.8114803144031</v>
      </c>
      <c r="G247" s="31">
        <v>0.937488147563459</v>
      </c>
      <c r="H247" s="32">
        <v>8021.9836618033187</v>
      </c>
      <c r="I247" s="31">
        <v>0.937488147563459</v>
      </c>
      <c r="J247" s="32">
        <v>3870.5246174404256</v>
      </c>
      <c r="L247" s="43">
        <f t="shared" si="24"/>
        <v>-8949.075384601656</v>
      </c>
      <c r="M247" s="43">
        <f t="shared" si="25"/>
        <v>665.85837124726413</v>
      </c>
      <c r="N247" s="43">
        <f t="shared" si="26"/>
        <v>-3334.5429239860241</v>
      </c>
      <c r="O247" s="43">
        <f t="shared" si="27"/>
        <v>816.916120376869</v>
      </c>
      <c r="Q247" s="42">
        <f t="shared" si="28"/>
        <v>0</v>
      </c>
      <c r="R247" s="42">
        <f t="shared" si="29"/>
        <v>0</v>
      </c>
      <c r="S247" s="42">
        <f t="shared" si="30"/>
        <v>0</v>
      </c>
      <c r="T247" s="42">
        <f t="shared" si="31"/>
        <v>1</v>
      </c>
    </row>
    <row r="248" spans="1:20" x14ac:dyDescent="0.2">
      <c r="A248" s="30">
        <v>241</v>
      </c>
      <c r="C248" s="31">
        <v>0.98751807778583289</v>
      </c>
      <c r="D248" s="32">
        <v>13584.561167645505</v>
      </c>
      <c r="E248" s="31">
        <v>0.87001339043074388</v>
      </c>
      <c r="F248" s="32">
        <v>5761.7335957023288</v>
      </c>
      <c r="G248" s="31">
        <v>0.92499261187475046</v>
      </c>
      <c r="H248" s="32">
        <v>8724.8577001156609</v>
      </c>
      <c r="I248" s="31">
        <v>0.86614827314797971</v>
      </c>
      <c r="J248" s="32">
        <v>4679.9623225305359</v>
      </c>
      <c r="L248" s="43">
        <f t="shared" si="24"/>
        <v>-8646.9707787163388</v>
      </c>
      <c r="M248" s="43">
        <f t="shared" si="25"/>
        <v>-1411.6666435486095</v>
      </c>
      <c r="N248" s="43">
        <f t="shared" si="26"/>
        <v>-4099.8946407419089</v>
      </c>
      <c r="O248" s="43">
        <f t="shared" si="27"/>
        <v>-349.2209567906375</v>
      </c>
      <c r="Q248" s="42">
        <f t="shared" si="28"/>
        <v>0</v>
      </c>
      <c r="R248" s="42">
        <f t="shared" si="29"/>
        <v>0</v>
      </c>
      <c r="S248" s="42">
        <f t="shared" si="30"/>
        <v>0</v>
      </c>
      <c r="T248" s="42">
        <f t="shared" si="31"/>
        <v>1</v>
      </c>
    </row>
    <row r="249" spans="1:20" x14ac:dyDescent="0.2">
      <c r="A249" s="30">
        <v>242</v>
      </c>
      <c r="C249" s="31">
        <v>0.99208574672675542</v>
      </c>
      <c r="D249" s="32">
        <v>15697.395007433845</v>
      </c>
      <c r="E249" s="31">
        <v>0.94808502988877597</v>
      </c>
      <c r="F249" s="32">
        <v>5583.3995412978211</v>
      </c>
      <c r="G249" s="31">
        <v>0.93422851745264457</v>
      </c>
      <c r="H249" s="32">
        <v>9821.8226075160183</v>
      </c>
      <c r="I249" s="31">
        <v>0.93422851745265123</v>
      </c>
      <c r="J249" s="32">
        <v>5225.1307999084947</v>
      </c>
      <c r="L249" s="43">
        <f t="shared" si="24"/>
        <v>-10736.966273800066</v>
      </c>
      <c r="M249" s="43">
        <f t="shared" si="25"/>
        <v>-842.9743918539416</v>
      </c>
      <c r="N249" s="43">
        <f t="shared" si="26"/>
        <v>-5150.6800202527957</v>
      </c>
      <c r="O249" s="43">
        <f t="shared" si="27"/>
        <v>-553.98821264523849</v>
      </c>
      <c r="Q249" s="42">
        <f t="shared" si="28"/>
        <v>0</v>
      </c>
      <c r="R249" s="42">
        <f t="shared" si="29"/>
        <v>0</v>
      </c>
      <c r="S249" s="42">
        <f t="shared" si="30"/>
        <v>0</v>
      </c>
      <c r="T249" s="42">
        <f t="shared" si="31"/>
        <v>1</v>
      </c>
    </row>
    <row r="250" spans="1:20" x14ac:dyDescent="0.2">
      <c r="A250" s="30">
        <v>243</v>
      </c>
      <c r="C250" s="31">
        <v>0.98062250186154365</v>
      </c>
      <c r="D250" s="32">
        <v>13374.505993702633</v>
      </c>
      <c r="E250" s="31">
        <v>0.89813130802086438</v>
      </c>
      <c r="F250" s="32">
        <v>4930.447443843057</v>
      </c>
      <c r="G250" s="31">
        <v>0.89325538226584156</v>
      </c>
      <c r="H250" s="32">
        <v>8076.4413717676262</v>
      </c>
      <c r="I250" s="31">
        <v>0.89110725498371135</v>
      </c>
      <c r="J250" s="32">
        <v>4686.9460391904486</v>
      </c>
      <c r="L250" s="43">
        <f t="shared" si="24"/>
        <v>-8471.3934843949137</v>
      </c>
      <c r="M250" s="43">
        <f t="shared" si="25"/>
        <v>-439.79090373873532</v>
      </c>
      <c r="N250" s="43">
        <f t="shared" si="26"/>
        <v>-3610.1644604384182</v>
      </c>
      <c r="O250" s="43">
        <f t="shared" si="27"/>
        <v>-231.40976427189162</v>
      </c>
      <c r="Q250" s="42">
        <f t="shared" si="28"/>
        <v>0</v>
      </c>
      <c r="R250" s="42">
        <f t="shared" si="29"/>
        <v>0</v>
      </c>
      <c r="S250" s="42">
        <f t="shared" si="30"/>
        <v>0</v>
      </c>
      <c r="T250" s="42">
        <f t="shared" si="31"/>
        <v>1</v>
      </c>
    </row>
    <row r="251" spans="1:20" x14ac:dyDescent="0.2">
      <c r="A251" s="30">
        <v>244</v>
      </c>
      <c r="C251" s="31">
        <v>0.98519150610309481</v>
      </c>
      <c r="D251" s="32">
        <v>15192.872824735525</v>
      </c>
      <c r="E251" s="31">
        <v>0.68630402574989913</v>
      </c>
      <c r="F251" s="32">
        <v>1850.6763174600712</v>
      </c>
      <c r="G251" s="31">
        <v>0.93289875785242371</v>
      </c>
      <c r="H251" s="32">
        <v>9386.8060402930769</v>
      </c>
      <c r="I251" s="31">
        <v>0.68599022385566677</v>
      </c>
      <c r="J251" s="32">
        <v>1705.9636246829584</v>
      </c>
      <c r="L251" s="43">
        <f t="shared" si="24"/>
        <v>-10266.915294220051</v>
      </c>
      <c r="M251" s="43">
        <f t="shared" si="25"/>
        <v>1580.8438112894244</v>
      </c>
      <c r="N251" s="43">
        <f t="shared" si="26"/>
        <v>-4722.3122510309586</v>
      </c>
      <c r="O251" s="43">
        <f t="shared" si="27"/>
        <v>1723.9874945953754</v>
      </c>
      <c r="Q251" s="42">
        <f t="shared" si="28"/>
        <v>0</v>
      </c>
      <c r="R251" s="42">
        <f t="shared" si="29"/>
        <v>0</v>
      </c>
      <c r="S251" s="42">
        <f t="shared" si="30"/>
        <v>0</v>
      </c>
      <c r="T251" s="42">
        <f t="shared" si="31"/>
        <v>1</v>
      </c>
    </row>
    <row r="252" spans="1:20" x14ac:dyDescent="0.2">
      <c r="A252" s="30">
        <v>245</v>
      </c>
      <c r="C252" s="31">
        <v>0.91559523252851205</v>
      </c>
      <c r="D252" s="32">
        <v>19475.658679997283</v>
      </c>
      <c r="E252" s="31">
        <v>0.74126910011064906</v>
      </c>
      <c r="F252" s="32">
        <v>2292.111924231273</v>
      </c>
      <c r="G252" s="31">
        <v>0.92409493235016749</v>
      </c>
      <c r="H252" s="32">
        <v>11613.894862168605</v>
      </c>
      <c r="I252" s="31">
        <v>0.7388904798840048</v>
      </c>
      <c r="J252" s="32">
        <v>2083.860406124873</v>
      </c>
      <c r="L252" s="43">
        <f t="shared" si="24"/>
        <v>-14897.682517354722</v>
      </c>
      <c r="M252" s="43">
        <f t="shared" si="25"/>
        <v>1414.2335763219721</v>
      </c>
      <c r="N252" s="43">
        <f t="shared" si="26"/>
        <v>-6993.4202004177678</v>
      </c>
      <c r="O252" s="43">
        <f t="shared" si="27"/>
        <v>1610.591993295151</v>
      </c>
      <c r="Q252" s="42">
        <f t="shared" si="28"/>
        <v>0</v>
      </c>
      <c r="R252" s="42">
        <f t="shared" si="29"/>
        <v>0</v>
      </c>
      <c r="S252" s="42">
        <f t="shared" si="30"/>
        <v>0</v>
      </c>
      <c r="T252" s="42">
        <f t="shared" si="31"/>
        <v>1</v>
      </c>
    </row>
    <row r="253" spans="1:20" x14ac:dyDescent="0.2">
      <c r="A253" s="30">
        <v>246</v>
      </c>
      <c r="C253" s="31">
        <v>0.99428310941777764</v>
      </c>
      <c r="D253" s="32">
        <v>13499.004640666921</v>
      </c>
      <c r="E253" s="31">
        <v>0.98087636793131017</v>
      </c>
      <c r="F253" s="32">
        <v>4387.5345008794638</v>
      </c>
      <c r="G253" s="31">
        <v>0.97409838504239832</v>
      </c>
      <c r="H253" s="32">
        <v>7571.7617528438741</v>
      </c>
      <c r="I253" s="31">
        <v>0.97409838504239832</v>
      </c>
      <c r="J253" s="32">
        <v>4142.5770897365874</v>
      </c>
      <c r="L253" s="43">
        <f t="shared" si="24"/>
        <v>-8527.5890935780335</v>
      </c>
      <c r="M253" s="43">
        <f t="shared" si="25"/>
        <v>516.84733877708732</v>
      </c>
      <c r="N253" s="43">
        <f t="shared" si="26"/>
        <v>-2701.2698276318824</v>
      </c>
      <c r="O253" s="43">
        <f t="shared" si="27"/>
        <v>727.91483547540429</v>
      </c>
      <c r="Q253" s="42">
        <f t="shared" si="28"/>
        <v>0</v>
      </c>
      <c r="R253" s="42">
        <f t="shared" si="29"/>
        <v>0</v>
      </c>
      <c r="S253" s="42">
        <f t="shared" si="30"/>
        <v>0</v>
      </c>
      <c r="T253" s="42">
        <f t="shared" si="31"/>
        <v>1</v>
      </c>
    </row>
    <row r="254" spans="1:20" x14ac:dyDescent="0.2">
      <c r="A254" s="30">
        <v>247</v>
      </c>
      <c r="C254" s="31">
        <v>0.99911014283695243</v>
      </c>
      <c r="D254" s="32">
        <v>16235.893379908208</v>
      </c>
      <c r="E254" s="31">
        <v>0.94891250294857055</v>
      </c>
      <c r="F254" s="32">
        <v>5793.8369212068728</v>
      </c>
      <c r="G254" s="31">
        <v>0.9743329929317992</v>
      </c>
      <c r="H254" s="32">
        <v>9999.4882560191472</v>
      </c>
      <c r="I254" s="31">
        <v>0.94891250294857055</v>
      </c>
      <c r="J254" s="32">
        <v>5628.6820499385167</v>
      </c>
      <c r="L254" s="43">
        <f t="shared" si="24"/>
        <v>-11240.342665723445</v>
      </c>
      <c r="M254" s="43">
        <f t="shared" si="25"/>
        <v>-1049.2744064640201</v>
      </c>
      <c r="N254" s="43">
        <f t="shared" si="26"/>
        <v>-5127.8232913601514</v>
      </c>
      <c r="O254" s="43">
        <f t="shared" si="27"/>
        <v>-884.11953519566396</v>
      </c>
      <c r="Q254" s="42">
        <f t="shared" si="28"/>
        <v>0</v>
      </c>
      <c r="R254" s="42">
        <f t="shared" si="29"/>
        <v>0</v>
      </c>
      <c r="S254" s="42">
        <f t="shared" si="30"/>
        <v>0</v>
      </c>
      <c r="T254" s="42">
        <f t="shared" si="31"/>
        <v>1</v>
      </c>
    </row>
    <row r="255" spans="1:20" x14ac:dyDescent="0.2">
      <c r="A255" s="30">
        <v>248</v>
      </c>
      <c r="C255" s="31">
        <v>0.97177027109389236</v>
      </c>
      <c r="D255" s="32">
        <v>16143.385772047301</v>
      </c>
      <c r="E255" s="31">
        <v>0.85885006949790133</v>
      </c>
      <c r="F255" s="32">
        <v>5587.5749109306407</v>
      </c>
      <c r="G255" s="31">
        <v>0.90442196139944186</v>
      </c>
      <c r="H255" s="32">
        <v>10087.677726009533</v>
      </c>
      <c r="I255" s="31">
        <v>0.85276048917339931</v>
      </c>
      <c r="J255" s="32">
        <v>5057.8194728630569</v>
      </c>
      <c r="L255" s="43">
        <f t="shared" si="24"/>
        <v>-11284.534416577839</v>
      </c>
      <c r="M255" s="43">
        <f t="shared" si="25"/>
        <v>-1293.3245634411342</v>
      </c>
      <c r="N255" s="43">
        <f t="shared" si="26"/>
        <v>-5565.5679190123237</v>
      </c>
      <c r="O255" s="43">
        <f t="shared" si="27"/>
        <v>-794.01702699606085</v>
      </c>
      <c r="Q255" s="42">
        <f t="shared" si="28"/>
        <v>0</v>
      </c>
      <c r="R255" s="42">
        <f t="shared" si="29"/>
        <v>0</v>
      </c>
      <c r="S255" s="42">
        <f t="shared" si="30"/>
        <v>0</v>
      </c>
      <c r="T255" s="42">
        <f t="shared" si="31"/>
        <v>1</v>
      </c>
    </row>
    <row r="256" spans="1:20" x14ac:dyDescent="0.2">
      <c r="A256" s="30">
        <v>249</v>
      </c>
      <c r="C256" s="31">
        <v>0.99682674357159862</v>
      </c>
      <c r="D256" s="32">
        <v>14815.383849330816</v>
      </c>
      <c r="E256" s="31">
        <v>0.97962006003507351</v>
      </c>
      <c r="F256" s="32">
        <v>4620.9314390654172</v>
      </c>
      <c r="G256" s="31">
        <v>0.97629340009807875</v>
      </c>
      <c r="H256" s="32">
        <v>8079.4987646082882</v>
      </c>
      <c r="I256" s="31">
        <v>0.97515682652292468</v>
      </c>
      <c r="J256" s="32">
        <v>4402.4623810179637</v>
      </c>
      <c r="L256" s="43">
        <f t="shared" si="24"/>
        <v>-9831.2501314728215</v>
      </c>
      <c r="M256" s="43">
        <f t="shared" si="25"/>
        <v>277.16886110995074</v>
      </c>
      <c r="N256" s="43">
        <f t="shared" si="26"/>
        <v>-3198.0317641178945</v>
      </c>
      <c r="O256" s="43">
        <f t="shared" si="27"/>
        <v>473.32175159665985</v>
      </c>
      <c r="Q256" s="42">
        <f t="shared" si="28"/>
        <v>0</v>
      </c>
      <c r="R256" s="42">
        <f t="shared" si="29"/>
        <v>0</v>
      </c>
      <c r="S256" s="42">
        <f t="shared" si="30"/>
        <v>0</v>
      </c>
      <c r="T256" s="42">
        <f t="shared" si="31"/>
        <v>1</v>
      </c>
    </row>
    <row r="257" spans="1:20" x14ac:dyDescent="0.2">
      <c r="A257" s="30">
        <v>250</v>
      </c>
      <c r="C257" s="31">
        <v>0.93390265859029575</v>
      </c>
      <c r="D257" s="32">
        <v>15477.183651508209</v>
      </c>
      <c r="E257" s="31">
        <v>0.91754121820505241</v>
      </c>
      <c r="F257" s="32">
        <v>6819.7247753664797</v>
      </c>
      <c r="G257" s="31">
        <v>0.94384674379400657</v>
      </c>
      <c r="H257" s="32">
        <v>9542.3349897506323</v>
      </c>
      <c r="I257" s="31">
        <v>0.91754121820505263</v>
      </c>
      <c r="J257" s="32">
        <v>5659.95909355191</v>
      </c>
      <c r="L257" s="43">
        <f t="shared" si="24"/>
        <v>-10807.67035855673</v>
      </c>
      <c r="M257" s="43">
        <f t="shared" si="25"/>
        <v>-2232.0186843412175</v>
      </c>
      <c r="N257" s="43">
        <f t="shared" si="26"/>
        <v>-4823.1012707805994</v>
      </c>
      <c r="O257" s="43">
        <f t="shared" si="27"/>
        <v>-1072.2530025266469</v>
      </c>
      <c r="Q257" s="42">
        <f t="shared" si="28"/>
        <v>0</v>
      </c>
      <c r="R257" s="42">
        <f t="shared" si="29"/>
        <v>0</v>
      </c>
      <c r="S257" s="42">
        <f t="shared" si="30"/>
        <v>0</v>
      </c>
      <c r="T257" s="42">
        <f t="shared" si="31"/>
        <v>1</v>
      </c>
    </row>
    <row r="258" spans="1:20" x14ac:dyDescent="0.2">
      <c r="A258" s="30">
        <v>251</v>
      </c>
      <c r="C258" s="31">
        <v>0.99916486732789245</v>
      </c>
      <c r="D258" s="32">
        <v>18262.303760956536</v>
      </c>
      <c r="E258" s="31">
        <v>0.89809402652936443</v>
      </c>
      <c r="F258" s="32">
        <v>12561.32436492874</v>
      </c>
      <c r="G258" s="31">
        <v>0.91839442204763277</v>
      </c>
      <c r="H258" s="32">
        <v>11788.971228015678</v>
      </c>
      <c r="I258" s="31">
        <v>0.89216160865490091</v>
      </c>
      <c r="J258" s="32">
        <v>8822.0008763819933</v>
      </c>
      <c r="L258" s="43">
        <f t="shared" si="24"/>
        <v>-13266.479424317073</v>
      </c>
      <c r="M258" s="43">
        <f t="shared" si="25"/>
        <v>-8070.8542322819176</v>
      </c>
      <c r="N258" s="43">
        <f t="shared" si="26"/>
        <v>-7196.9991177775146</v>
      </c>
      <c r="O258" s="43">
        <f t="shared" si="27"/>
        <v>-4361.1928331074887</v>
      </c>
      <c r="Q258" s="42">
        <f t="shared" si="28"/>
        <v>0</v>
      </c>
      <c r="R258" s="42">
        <f t="shared" si="29"/>
        <v>0</v>
      </c>
      <c r="S258" s="42">
        <f t="shared" si="30"/>
        <v>0</v>
      </c>
      <c r="T258" s="42">
        <f t="shared" si="31"/>
        <v>1</v>
      </c>
    </row>
    <row r="259" spans="1:20" x14ac:dyDescent="0.2">
      <c r="A259" s="30">
        <v>252</v>
      </c>
      <c r="C259" s="31">
        <v>0.98701133472515235</v>
      </c>
      <c r="D259" s="32">
        <v>17863.666693418545</v>
      </c>
      <c r="E259" s="31">
        <v>0.97849644184362372</v>
      </c>
      <c r="F259" s="32">
        <v>6471.5149613519852</v>
      </c>
      <c r="G259" s="31">
        <v>0.9713294821336742</v>
      </c>
      <c r="H259" s="32">
        <v>10317.023265086094</v>
      </c>
      <c r="I259" s="31">
        <v>0.97132948213367432</v>
      </c>
      <c r="J259" s="32">
        <v>6187.7984683595505</v>
      </c>
      <c r="L259" s="43">
        <f t="shared" si="24"/>
        <v>-12928.610019792784</v>
      </c>
      <c r="M259" s="43">
        <f t="shared" si="25"/>
        <v>-1579.0327521338668</v>
      </c>
      <c r="N259" s="43">
        <f t="shared" si="26"/>
        <v>-5460.3758544177235</v>
      </c>
      <c r="O259" s="43">
        <f t="shared" si="27"/>
        <v>-1331.1510576911787</v>
      </c>
      <c r="Q259" s="42">
        <f t="shared" si="28"/>
        <v>0</v>
      </c>
      <c r="R259" s="42">
        <f t="shared" si="29"/>
        <v>0</v>
      </c>
      <c r="S259" s="42">
        <f t="shared" si="30"/>
        <v>0</v>
      </c>
      <c r="T259" s="42">
        <f t="shared" si="31"/>
        <v>1</v>
      </c>
    </row>
    <row r="260" spans="1:20" x14ac:dyDescent="0.2">
      <c r="A260" s="30">
        <v>253</v>
      </c>
      <c r="C260" s="31">
        <v>0.96047200890967155</v>
      </c>
      <c r="D260" s="32">
        <v>18069.023472371056</v>
      </c>
      <c r="E260" s="31">
        <v>0.8773406599677851</v>
      </c>
      <c r="F260" s="32">
        <v>5833.1205556479654</v>
      </c>
      <c r="G260" s="31">
        <v>0.90210891029573315</v>
      </c>
      <c r="H260" s="32">
        <v>10772.769622821901</v>
      </c>
      <c r="I260" s="31">
        <v>0.87734065996778487</v>
      </c>
      <c r="J260" s="32">
        <v>5684.1241669867359</v>
      </c>
      <c r="L260" s="43">
        <f t="shared" si="24"/>
        <v>-13266.663427822699</v>
      </c>
      <c r="M260" s="43">
        <f t="shared" si="25"/>
        <v>-1446.4172558090395</v>
      </c>
      <c r="N260" s="43">
        <f t="shared" si="26"/>
        <v>-6262.225071343235</v>
      </c>
      <c r="O260" s="43">
        <f t="shared" si="27"/>
        <v>-1297.4208671478118</v>
      </c>
      <c r="Q260" s="42">
        <f t="shared" si="28"/>
        <v>0</v>
      </c>
      <c r="R260" s="42">
        <f t="shared" si="29"/>
        <v>0</v>
      </c>
      <c r="S260" s="42">
        <f t="shared" si="30"/>
        <v>0</v>
      </c>
      <c r="T260" s="42">
        <f t="shared" si="31"/>
        <v>1</v>
      </c>
    </row>
    <row r="261" spans="1:20" x14ac:dyDescent="0.2">
      <c r="A261" s="30">
        <v>254</v>
      </c>
      <c r="C261" s="31">
        <v>0.99790096588864896</v>
      </c>
      <c r="D261" s="32">
        <v>15469.858300001524</v>
      </c>
      <c r="E261" s="31">
        <v>0.79728482661136169</v>
      </c>
      <c r="F261" s="32">
        <v>7548.4234678789353</v>
      </c>
      <c r="G261" s="31">
        <v>0.8960917007343514</v>
      </c>
      <c r="H261" s="32">
        <v>9569.1101066952288</v>
      </c>
      <c r="I261" s="31">
        <v>0.79728482661136169</v>
      </c>
      <c r="J261" s="32">
        <v>5351.663046046544</v>
      </c>
      <c r="L261" s="43">
        <f t="shared" si="24"/>
        <v>-10480.353470558279</v>
      </c>
      <c r="M261" s="43">
        <f t="shared" si="25"/>
        <v>-3561.9993348221269</v>
      </c>
      <c r="N261" s="43">
        <f t="shared" si="26"/>
        <v>-5088.6516030234716</v>
      </c>
      <c r="O261" s="43">
        <f t="shared" si="27"/>
        <v>-1365.2389129897356</v>
      </c>
      <c r="Q261" s="42">
        <f t="shared" si="28"/>
        <v>0</v>
      </c>
      <c r="R261" s="42">
        <f t="shared" si="29"/>
        <v>0</v>
      </c>
      <c r="S261" s="42">
        <f t="shared" si="30"/>
        <v>0</v>
      </c>
      <c r="T261" s="42">
        <f t="shared" si="31"/>
        <v>1</v>
      </c>
    </row>
    <row r="262" spans="1:20" x14ac:dyDescent="0.2">
      <c r="A262" s="30">
        <v>255</v>
      </c>
      <c r="C262" s="31">
        <v>0.99558095808685709</v>
      </c>
      <c r="D262" s="32">
        <v>17121.030308641024</v>
      </c>
      <c r="E262" s="31">
        <v>0.82699322027819155</v>
      </c>
      <c r="F262" s="32">
        <v>4980.0034731691476</v>
      </c>
      <c r="G262" s="31">
        <v>0.93505586189875856</v>
      </c>
      <c r="H262" s="32">
        <v>10716.062982223219</v>
      </c>
      <c r="I262" s="31">
        <v>0.82699322027819144</v>
      </c>
      <c r="J262" s="32">
        <v>4383.5966932887286</v>
      </c>
      <c r="L262" s="43">
        <f t="shared" si="24"/>
        <v>-12143.12551820674</v>
      </c>
      <c r="M262" s="43">
        <f t="shared" si="25"/>
        <v>-845.03737177818948</v>
      </c>
      <c r="N262" s="43">
        <f t="shared" si="26"/>
        <v>-6040.7836727294261</v>
      </c>
      <c r="O262" s="43">
        <f t="shared" si="27"/>
        <v>-248.63059189777141</v>
      </c>
      <c r="Q262" s="42">
        <f t="shared" si="28"/>
        <v>0</v>
      </c>
      <c r="R262" s="42">
        <f t="shared" si="29"/>
        <v>0</v>
      </c>
      <c r="S262" s="42">
        <f t="shared" si="30"/>
        <v>0</v>
      </c>
      <c r="T262" s="42">
        <f t="shared" si="31"/>
        <v>1</v>
      </c>
    </row>
    <row r="263" spans="1:20" x14ac:dyDescent="0.2">
      <c r="A263" s="30">
        <v>256</v>
      </c>
      <c r="C263" s="31">
        <v>0.99436712346442779</v>
      </c>
      <c r="D263" s="32">
        <v>14281.361733216283</v>
      </c>
      <c r="E263" s="31">
        <v>0.81648916491143186</v>
      </c>
      <c r="F263" s="32">
        <v>4655.4037039460045</v>
      </c>
      <c r="G263" s="31">
        <v>0.97674287009366645</v>
      </c>
      <c r="H263" s="32">
        <v>9015.9475034627903</v>
      </c>
      <c r="I263" s="31">
        <v>0.81648916491143186</v>
      </c>
      <c r="J263" s="32">
        <v>3447.4794963136828</v>
      </c>
      <c r="L263" s="43">
        <f t="shared" si="24"/>
        <v>-9309.526115894143</v>
      </c>
      <c r="M263" s="43">
        <f t="shared" si="25"/>
        <v>-572.95787938884496</v>
      </c>
      <c r="N263" s="43">
        <f t="shared" si="26"/>
        <v>-4132.2331529944577</v>
      </c>
      <c r="O263" s="43">
        <f t="shared" si="27"/>
        <v>634.96632824347671</v>
      </c>
      <c r="Q263" s="42">
        <f t="shared" si="28"/>
        <v>0</v>
      </c>
      <c r="R263" s="42">
        <f t="shared" si="29"/>
        <v>0</v>
      </c>
      <c r="S263" s="42">
        <f t="shared" si="30"/>
        <v>0</v>
      </c>
      <c r="T263" s="42">
        <f t="shared" si="31"/>
        <v>1</v>
      </c>
    </row>
    <row r="264" spans="1:20" x14ac:dyDescent="0.2">
      <c r="A264" s="30">
        <v>257</v>
      </c>
      <c r="C264" s="31">
        <v>0.98132605895996072</v>
      </c>
      <c r="D264" s="32">
        <v>11950.160902403508</v>
      </c>
      <c r="E264" s="31">
        <v>0.94540391697805359</v>
      </c>
      <c r="F264" s="32">
        <v>3946.2035233030047</v>
      </c>
      <c r="G264" s="31">
        <v>0.95313750279725395</v>
      </c>
      <c r="H264" s="32">
        <v>7257.7561041826102</v>
      </c>
      <c r="I264" s="31">
        <v>0.9427382734204266</v>
      </c>
      <c r="J264" s="32">
        <v>3768.5875892421409</v>
      </c>
      <c r="L264" s="43">
        <f t="shared" ref="L264:L327" si="32">C264*Rc_-D264</f>
        <v>-7043.5306076037041</v>
      </c>
      <c r="M264" s="43">
        <f t="shared" ref="M264:M327" si="33">E264*Rc_-F264</f>
        <v>780.81606158726299</v>
      </c>
      <c r="N264" s="43">
        <f t="shared" ref="N264:N327" si="34">G264*Rc_-H264</f>
        <v>-2492.0685901963407</v>
      </c>
      <c r="O264" s="43">
        <f t="shared" ref="O264:O327" si="35">I264*Rc_-J264</f>
        <v>945.10377785999208</v>
      </c>
      <c r="Q264" s="42">
        <f t="shared" si="28"/>
        <v>0</v>
      </c>
      <c r="R264" s="42">
        <f t="shared" si="29"/>
        <v>0</v>
      </c>
      <c r="S264" s="42">
        <f t="shared" si="30"/>
        <v>0</v>
      </c>
      <c r="T264" s="42">
        <f t="shared" si="31"/>
        <v>1</v>
      </c>
    </row>
    <row r="265" spans="1:20" x14ac:dyDescent="0.2">
      <c r="A265" s="30">
        <v>258</v>
      </c>
      <c r="C265" s="31">
        <v>0.99714409406338367</v>
      </c>
      <c r="D265" s="32">
        <v>16157.932510182774</v>
      </c>
      <c r="E265" s="31">
        <v>0.63079642083563348</v>
      </c>
      <c r="F265" s="32">
        <v>7132.4927052417243</v>
      </c>
      <c r="G265" s="31">
        <v>0.91576065740642665</v>
      </c>
      <c r="H265" s="32">
        <v>9548.4243401857166</v>
      </c>
      <c r="I265" s="31">
        <v>0.62984176416387916</v>
      </c>
      <c r="J265" s="32">
        <v>3148.9855436080561</v>
      </c>
      <c r="L265" s="43">
        <f t="shared" si="32"/>
        <v>-11172.212039865855</v>
      </c>
      <c r="M265" s="43">
        <f t="shared" si="33"/>
        <v>-3978.5106010635568</v>
      </c>
      <c r="N265" s="43">
        <f t="shared" si="34"/>
        <v>-4969.6210531535835</v>
      </c>
      <c r="O265" s="43">
        <f t="shared" si="35"/>
        <v>0.22327721133979139</v>
      </c>
      <c r="Q265" s="42">
        <f t="shared" ref="Q265:Q328" si="36">IF(L265&gt;$M265,IF(L265&gt;$N265,IF(L265&gt;$O265,1,0),0),0)</f>
        <v>0</v>
      </c>
      <c r="R265" s="42">
        <f t="shared" ref="R265:R328" si="37">IF(M265&gt;$L265,IF(M265&gt;$N265,IF(M265&gt;$O265,1,0),0),0)</f>
        <v>0</v>
      </c>
      <c r="S265" s="42">
        <f t="shared" ref="S265:S328" si="38">IF(N265&gt;$M265,IF(N265&gt;$L265,IF(N265&gt;$O265,1,0),0),0)</f>
        <v>0</v>
      </c>
      <c r="T265" s="42">
        <f t="shared" ref="T265:T328" si="39">IF(O265&gt;$M265,IF(O265&gt;$N265,IF(O265&gt;$L265,1,0),0),0)</f>
        <v>1</v>
      </c>
    </row>
    <row r="266" spans="1:20" x14ac:dyDescent="0.2">
      <c r="A266" s="30">
        <v>259</v>
      </c>
      <c r="C266" s="31">
        <v>0.98030356211340852</v>
      </c>
      <c r="D266" s="32">
        <v>13999.400235737516</v>
      </c>
      <c r="E266" s="31">
        <v>0.92602551087127072</v>
      </c>
      <c r="F266" s="32">
        <v>6014.0928238956458</v>
      </c>
      <c r="G266" s="31">
        <v>0.95124699446493333</v>
      </c>
      <c r="H266" s="32">
        <v>8791.7896629110674</v>
      </c>
      <c r="I266" s="31">
        <v>0.9204953516928539</v>
      </c>
      <c r="J266" s="32">
        <v>5040.7511958119903</v>
      </c>
      <c r="L266" s="43">
        <f t="shared" si="32"/>
        <v>-9097.8824251704718</v>
      </c>
      <c r="M266" s="43">
        <f t="shared" si="33"/>
        <v>-1383.9652695392924</v>
      </c>
      <c r="N266" s="43">
        <f t="shared" si="34"/>
        <v>-4035.5546905864003</v>
      </c>
      <c r="O266" s="43">
        <f t="shared" si="35"/>
        <v>-438.27443734772078</v>
      </c>
      <c r="Q266" s="42">
        <f t="shared" si="36"/>
        <v>0</v>
      </c>
      <c r="R266" s="42">
        <f t="shared" si="37"/>
        <v>0</v>
      </c>
      <c r="S266" s="42">
        <f t="shared" si="38"/>
        <v>0</v>
      </c>
      <c r="T266" s="42">
        <f t="shared" si="39"/>
        <v>1</v>
      </c>
    </row>
    <row r="267" spans="1:20" x14ac:dyDescent="0.2">
      <c r="A267" s="30">
        <v>260</v>
      </c>
      <c r="C267" s="31">
        <v>0.99097542445780951</v>
      </c>
      <c r="D267" s="32">
        <v>15508.726847812875</v>
      </c>
      <c r="E267" s="31">
        <v>0.91585780181625753</v>
      </c>
      <c r="F267" s="32">
        <v>4489.9958719348078</v>
      </c>
      <c r="G267" s="31">
        <v>0.96672467862187095</v>
      </c>
      <c r="H267" s="32">
        <v>9253.1525873690916</v>
      </c>
      <c r="I267" s="31">
        <v>0.90910720010407808</v>
      </c>
      <c r="J267" s="32">
        <v>4258.510757878772</v>
      </c>
      <c r="L267" s="43">
        <f t="shared" si="32"/>
        <v>-10553.849725523829</v>
      </c>
      <c r="M267" s="43">
        <f t="shared" si="33"/>
        <v>89.293137146480149</v>
      </c>
      <c r="N267" s="43">
        <f t="shared" si="34"/>
        <v>-4419.5291942597369</v>
      </c>
      <c r="O267" s="43">
        <f t="shared" si="35"/>
        <v>287.02524264161821</v>
      </c>
      <c r="Q267" s="42">
        <f t="shared" si="36"/>
        <v>0</v>
      </c>
      <c r="R267" s="42">
        <f t="shared" si="37"/>
        <v>0</v>
      </c>
      <c r="S267" s="42">
        <f t="shared" si="38"/>
        <v>0</v>
      </c>
      <c r="T267" s="42">
        <f t="shared" si="39"/>
        <v>1</v>
      </c>
    </row>
    <row r="268" spans="1:20" x14ac:dyDescent="0.2">
      <c r="A268" s="30">
        <v>261</v>
      </c>
      <c r="C268" s="31">
        <v>0.98172584602347746</v>
      </c>
      <c r="D268" s="32">
        <v>18407.316618361383</v>
      </c>
      <c r="E268" s="31">
        <v>0.97268451719466742</v>
      </c>
      <c r="F268" s="32">
        <v>9762.4457272508371</v>
      </c>
      <c r="G268" s="31">
        <v>0.96569424248505265</v>
      </c>
      <c r="H268" s="32">
        <v>10963.503928712165</v>
      </c>
      <c r="I268" s="31">
        <v>0.96569424248505265</v>
      </c>
      <c r="J268" s="32">
        <v>7323.2497025083321</v>
      </c>
      <c r="L268" s="43">
        <f t="shared" si="32"/>
        <v>-13498.687388243996</v>
      </c>
      <c r="M268" s="43">
        <f t="shared" si="33"/>
        <v>-4899.0231412775001</v>
      </c>
      <c r="N268" s="43">
        <f t="shared" si="34"/>
        <v>-6135.0327162869025</v>
      </c>
      <c r="O268" s="43">
        <f t="shared" si="35"/>
        <v>-2494.7784900830693</v>
      </c>
      <c r="Q268" s="42">
        <f t="shared" si="36"/>
        <v>0</v>
      </c>
      <c r="R268" s="42">
        <f t="shared" si="37"/>
        <v>0</v>
      </c>
      <c r="S268" s="42">
        <f t="shared" si="38"/>
        <v>0</v>
      </c>
      <c r="T268" s="42">
        <f t="shared" si="39"/>
        <v>1</v>
      </c>
    </row>
    <row r="269" spans="1:20" x14ac:dyDescent="0.2">
      <c r="A269" s="30">
        <v>262</v>
      </c>
      <c r="C269" s="31">
        <v>0.98845585979407746</v>
      </c>
      <c r="D269" s="32">
        <v>20378.1759416153</v>
      </c>
      <c r="E269" s="31">
        <v>0.72497660936501451</v>
      </c>
      <c r="F269" s="32">
        <v>3932.6357307558992</v>
      </c>
      <c r="G269" s="31">
        <v>0.86394912236558896</v>
      </c>
      <c r="H269" s="32">
        <v>12744.380133633096</v>
      </c>
      <c r="I269" s="31">
        <v>0.7213375079230897</v>
      </c>
      <c r="J269" s="32">
        <v>3746.66633647044</v>
      </c>
      <c r="L269" s="43">
        <f t="shared" si="32"/>
        <v>-15435.896642644911</v>
      </c>
      <c r="M269" s="43">
        <f t="shared" si="33"/>
        <v>-307.75268393082661</v>
      </c>
      <c r="N269" s="43">
        <f t="shared" si="34"/>
        <v>-8424.6345218051501</v>
      </c>
      <c r="O269" s="43">
        <f t="shared" si="35"/>
        <v>-139.97879685499129</v>
      </c>
      <c r="Q269" s="42">
        <f t="shared" si="36"/>
        <v>0</v>
      </c>
      <c r="R269" s="42">
        <f t="shared" si="37"/>
        <v>0</v>
      </c>
      <c r="S269" s="42">
        <f t="shared" si="38"/>
        <v>0</v>
      </c>
      <c r="T269" s="42">
        <f t="shared" si="39"/>
        <v>1</v>
      </c>
    </row>
    <row r="270" spans="1:20" x14ac:dyDescent="0.2">
      <c r="A270" s="30">
        <v>263</v>
      </c>
      <c r="C270" s="31">
        <v>0.98517033223863038</v>
      </c>
      <c r="D270" s="32">
        <v>15902.24321481717</v>
      </c>
      <c r="E270" s="31">
        <v>0.82673359831165938</v>
      </c>
      <c r="F270" s="32">
        <v>7637.7121750473552</v>
      </c>
      <c r="G270" s="31">
        <v>0.93519474599408758</v>
      </c>
      <c r="H270" s="32">
        <v>9850.1948064333046</v>
      </c>
      <c r="I270" s="31">
        <v>0.82491713104588738</v>
      </c>
      <c r="J270" s="32">
        <v>5315.4759679324334</v>
      </c>
      <c r="L270" s="43">
        <f t="shared" si="32"/>
        <v>-10976.391553624018</v>
      </c>
      <c r="M270" s="43">
        <f t="shared" si="33"/>
        <v>-3504.044183489058</v>
      </c>
      <c r="N270" s="43">
        <f t="shared" si="34"/>
        <v>-5174.2210764628671</v>
      </c>
      <c r="O270" s="43">
        <f t="shared" si="35"/>
        <v>-1190.8903127029962</v>
      </c>
      <c r="Q270" s="42">
        <f t="shared" si="36"/>
        <v>0</v>
      </c>
      <c r="R270" s="42">
        <f t="shared" si="37"/>
        <v>0</v>
      </c>
      <c r="S270" s="42">
        <f t="shared" si="38"/>
        <v>0</v>
      </c>
      <c r="T270" s="42">
        <f t="shared" si="39"/>
        <v>1</v>
      </c>
    </row>
    <row r="271" spans="1:20" x14ac:dyDescent="0.2">
      <c r="A271" s="30">
        <v>264</v>
      </c>
      <c r="C271" s="31">
        <v>0.99438822909164981</v>
      </c>
      <c r="D271" s="32">
        <v>10915.559248997424</v>
      </c>
      <c r="E271" s="31">
        <v>0.97455680548287271</v>
      </c>
      <c r="F271" s="32">
        <v>6144.8362030712678</v>
      </c>
      <c r="G271" s="31">
        <v>0.96804253837026133</v>
      </c>
      <c r="H271" s="32">
        <v>6658.5860641725194</v>
      </c>
      <c r="I271" s="31">
        <v>0.96804253837026133</v>
      </c>
      <c r="J271" s="32">
        <v>4615.2558954740243</v>
      </c>
      <c r="L271" s="43">
        <f t="shared" si="32"/>
        <v>-5943.6181035391755</v>
      </c>
      <c r="M271" s="43">
        <f t="shared" si="33"/>
        <v>-1272.0521756569042</v>
      </c>
      <c r="N271" s="43">
        <f t="shared" si="34"/>
        <v>-1818.3733723212126</v>
      </c>
      <c r="O271" s="43">
        <f t="shared" si="35"/>
        <v>224.95679637728244</v>
      </c>
      <c r="Q271" s="42">
        <f t="shared" si="36"/>
        <v>0</v>
      </c>
      <c r="R271" s="42">
        <f t="shared" si="37"/>
        <v>0</v>
      </c>
      <c r="S271" s="42">
        <f t="shared" si="38"/>
        <v>0</v>
      </c>
      <c r="T271" s="42">
        <f t="shared" si="39"/>
        <v>1</v>
      </c>
    </row>
    <row r="272" spans="1:20" x14ac:dyDescent="0.2">
      <c r="A272" s="30">
        <v>265</v>
      </c>
      <c r="C272" s="31">
        <v>0.97683071153030832</v>
      </c>
      <c r="D272" s="32">
        <v>14124.392887648728</v>
      </c>
      <c r="E272" s="31">
        <v>0.91587196920107505</v>
      </c>
      <c r="F272" s="32">
        <v>5658.2687423574007</v>
      </c>
      <c r="G272" s="31">
        <v>0.90308478007655091</v>
      </c>
      <c r="H272" s="32">
        <v>8923.128339407509</v>
      </c>
      <c r="I272" s="31">
        <v>0.90308478007655091</v>
      </c>
      <c r="J272" s="32">
        <v>5359.2664513999052</v>
      </c>
      <c r="L272" s="43">
        <f t="shared" si="32"/>
        <v>-9240.2393299971864</v>
      </c>
      <c r="M272" s="43">
        <f t="shared" si="33"/>
        <v>-1078.9088963520253</v>
      </c>
      <c r="N272" s="43">
        <f t="shared" si="34"/>
        <v>-4407.7044390247547</v>
      </c>
      <c r="O272" s="43">
        <f t="shared" si="35"/>
        <v>-843.84255101715098</v>
      </c>
      <c r="Q272" s="42">
        <f t="shared" si="36"/>
        <v>0</v>
      </c>
      <c r="R272" s="42">
        <f t="shared" si="37"/>
        <v>0</v>
      </c>
      <c r="S272" s="42">
        <f t="shared" si="38"/>
        <v>0</v>
      </c>
      <c r="T272" s="42">
        <f t="shared" si="39"/>
        <v>1</v>
      </c>
    </row>
    <row r="273" spans="1:20" x14ac:dyDescent="0.2">
      <c r="A273" s="30">
        <v>266</v>
      </c>
      <c r="C273" s="31">
        <v>0.99686823434616456</v>
      </c>
      <c r="D273" s="32">
        <v>17509.815917016473</v>
      </c>
      <c r="E273" s="31">
        <v>0.8182671098143971</v>
      </c>
      <c r="F273" s="32">
        <v>3134.6153910378885</v>
      </c>
      <c r="G273" s="31">
        <v>0.94999733721325186</v>
      </c>
      <c r="H273" s="32">
        <v>10258.581102236394</v>
      </c>
      <c r="I273" s="31">
        <v>0.81630018277895167</v>
      </c>
      <c r="J273" s="32">
        <v>2966.0953187855885</v>
      </c>
      <c r="L273" s="43">
        <f t="shared" si="32"/>
        <v>-12525.47474528565</v>
      </c>
      <c r="M273" s="43">
        <f t="shared" si="33"/>
        <v>956.72015803409704</v>
      </c>
      <c r="N273" s="43">
        <f t="shared" si="34"/>
        <v>-5508.5944161701345</v>
      </c>
      <c r="O273" s="43">
        <f t="shared" si="35"/>
        <v>1115.40559510917</v>
      </c>
      <c r="Q273" s="42">
        <f t="shared" si="36"/>
        <v>0</v>
      </c>
      <c r="R273" s="42">
        <f t="shared" si="37"/>
        <v>0</v>
      </c>
      <c r="S273" s="42">
        <f t="shared" si="38"/>
        <v>0</v>
      </c>
      <c r="T273" s="42">
        <f t="shared" si="39"/>
        <v>1</v>
      </c>
    </row>
    <row r="274" spans="1:20" x14ac:dyDescent="0.2">
      <c r="A274" s="30">
        <v>267</v>
      </c>
      <c r="C274" s="31">
        <v>0.99157632918348737</v>
      </c>
      <c r="D274" s="32">
        <v>18476.642046904748</v>
      </c>
      <c r="E274" s="31">
        <v>0.96924541605794468</v>
      </c>
      <c r="F274" s="32">
        <v>5701.0041163582446</v>
      </c>
      <c r="G274" s="31">
        <v>0.97819145156842269</v>
      </c>
      <c r="H274" s="32">
        <v>10676.370645484954</v>
      </c>
      <c r="I274" s="31">
        <v>0.96287645653107656</v>
      </c>
      <c r="J274" s="32">
        <v>5415.0527298908164</v>
      </c>
      <c r="L274" s="43">
        <f t="shared" si="32"/>
        <v>-13518.76040098731</v>
      </c>
      <c r="M274" s="43">
        <f t="shared" si="33"/>
        <v>-854.77703606852083</v>
      </c>
      <c r="N274" s="43">
        <f t="shared" si="34"/>
        <v>-5785.4133876428414</v>
      </c>
      <c r="O274" s="43">
        <f t="shared" si="35"/>
        <v>-600.67044723543404</v>
      </c>
      <c r="Q274" s="42">
        <f t="shared" si="36"/>
        <v>0</v>
      </c>
      <c r="R274" s="42">
        <f t="shared" si="37"/>
        <v>0</v>
      </c>
      <c r="S274" s="42">
        <f t="shared" si="38"/>
        <v>0</v>
      </c>
      <c r="T274" s="42">
        <f t="shared" si="39"/>
        <v>1</v>
      </c>
    </row>
    <row r="275" spans="1:20" x14ac:dyDescent="0.2">
      <c r="A275" s="30">
        <v>268</v>
      </c>
      <c r="C275" s="31">
        <v>0.99980643413610548</v>
      </c>
      <c r="D275" s="32">
        <v>14247.312781906719</v>
      </c>
      <c r="E275" s="31">
        <v>0.98223427961515508</v>
      </c>
      <c r="F275" s="32">
        <v>5826.5595617143854</v>
      </c>
      <c r="G275" s="31">
        <v>0.97481289996442522</v>
      </c>
      <c r="H275" s="32">
        <v>8910.7299171604282</v>
      </c>
      <c r="I275" s="31">
        <v>0.97481289996442522</v>
      </c>
      <c r="J275" s="32">
        <v>5033.1919239300078</v>
      </c>
      <c r="L275" s="43">
        <f t="shared" si="32"/>
        <v>-9248.2806112261933</v>
      </c>
      <c r="M275" s="43">
        <f t="shared" si="33"/>
        <v>-915.38816363861042</v>
      </c>
      <c r="N275" s="43">
        <f t="shared" si="34"/>
        <v>-4036.6654173383022</v>
      </c>
      <c r="O275" s="43">
        <f t="shared" si="35"/>
        <v>-159.12742410788178</v>
      </c>
      <c r="Q275" s="42">
        <f t="shared" si="36"/>
        <v>0</v>
      </c>
      <c r="R275" s="42">
        <f t="shared" si="37"/>
        <v>0</v>
      </c>
      <c r="S275" s="42">
        <f t="shared" si="38"/>
        <v>0</v>
      </c>
      <c r="T275" s="42">
        <f t="shared" si="39"/>
        <v>1</v>
      </c>
    </row>
    <row r="276" spans="1:20" x14ac:dyDescent="0.2">
      <c r="A276" s="30">
        <v>269</v>
      </c>
      <c r="C276" s="31">
        <v>0.96964533607777825</v>
      </c>
      <c r="D276" s="32">
        <v>12945.246662882468</v>
      </c>
      <c r="E276" s="31">
        <v>0.83892136710912446</v>
      </c>
      <c r="F276" s="32">
        <v>2577.134494097199</v>
      </c>
      <c r="G276" s="31">
        <v>0.96011335872458747</v>
      </c>
      <c r="H276" s="32">
        <v>7544.8535171421627</v>
      </c>
      <c r="I276" s="31">
        <v>0.83534119975436416</v>
      </c>
      <c r="J276" s="32">
        <v>2388.1915646263169</v>
      </c>
      <c r="L276" s="43">
        <f t="shared" si="32"/>
        <v>-8097.0199824935762</v>
      </c>
      <c r="M276" s="43">
        <f t="shared" si="33"/>
        <v>1617.4723414484238</v>
      </c>
      <c r="N276" s="43">
        <f t="shared" si="34"/>
        <v>-2744.2867235192252</v>
      </c>
      <c r="O276" s="43">
        <f t="shared" si="35"/>
        <v>1788.5144341455043</v>
      </c>
      <c r="Q276" s="42">
        <f t="shared" si="36"/>
        <v>0</v>
      </c>
      <c r="R276" s="42">
        <f t="shared" si="37"/>
        <v>0</v>
      </c>
      <c r="S276" s="42">
        <f t="shared" si="38"/>
        <v>0</v>
      </c>
      <c r="T276" s="42">
        <f t="shared" si="39"/>
        <v>1</v>
      </c>
    </row>
    <row r="277" spans="1:20" x14ac:dyDescent="0.2">
      <c r="A277" s="30">
        <v>270</v>
      </c>
      <c r="C277" s="31">
        <v>0.99445521838406603</v>
      </c>
      <c r="D277" s="32">
        <v>13567.731278118792</v>
      </c>
      <c r="E277" s="31">
        <v>0.72985000607387662</v>
      </c>
      <c r="F277" s="32">
        <v>3790.6571897779704</v>
      </c>
      <c r="G277" s="31">
        <v>0.94465283779534559</v>
      </c>
      <c r="H277" s="32">
        <v>8111.2465674765926</v>
      </c>
      <c r="I277" s="31">
        <v>0.72729231644390668</v>
      </c>
      <c r="J277" s="32">
        <v>2443.0869284951245</v>
      </c>
      <c r="L277" s="43">
        <f t="shared" si="32"/>
        <v>-8595.4551861984619</v>
      </c>
      <c r="M277" s="43">
        <f t="shared" si="33"/>
        <v>-141.40715940858718</v>
      </c>
      <c r="N277" s="43">
        <f t="shared" si="34"/>
        <v>-3387.9823784998644</v>
      </c>
      <c r="O277" s="43">
        <f t="shared" si="35"/>
        <v>1193.3746537244087</v>
      </c>
      <c r="Q277" s="42">
        <f t="shared" si="36"/>
        <v>0</v>
      </c>
      <c r="R277" s="42">
        <f t="shared" si="37"/>
        <v>0</v>
      </c>
      <c r="S277" s="42">
        <f t="shared" si="38"/>
        <v>0</v>
      </c>
      <c r="T277" s="42">
        <f t="shared" si="39"/>
        <v>1</v>
      </c>
    </row>
    <row r="278" spans="1:20" x14ac:dyDescent="0.2">
      <c r="A278" s="30">
        <v>271</v>
      </c>
      <c r="C278" s="31">
        <v>0.97898515624541793</v>
      </c>
      <c r="D278" s="32">
        <v>16302.795364896336</v>
      </c>
      <c r="E278" s="31">
        <v>0.75247103933842963</v>
      </c>
      <c r="F278" s="32">
        <v>1519.938404428121</v>
      </c>
      <c r="G278" s="31">
        <v>0.96526009613873498</v>
      </c>
      <c r="H278" s="32">
        <v>9828.1907501149908</v>
      </c>
      <c r="I278" s="31">
        <v>0.75187973103441563</v>
      </c>
      <c r="J278" s="32">
        <v>1321.4532199109387</v>
      </c>
      <c r="L278" s="43">
        <f t="shared" si="32"/>
        <v>-11407.869583669246</v>
      </c>
      <c r="M278" s="43">
        <f t="shared" si="33"/>
        <v>2242.4167922640272</v>
      </c>
      <c r="N278" s="43">
        <f t="shared" si="34"/>
        <v>-5001.8902694213157</v>
      </c>
      <c r="O278" s="43">
        <f t="shared" si="35"/>
        <v>2437.9454352611392</v>
      </c>
      <c r="Q278" s="42">
        <f t="shared" si="36"/>
        <v>0</v>
      </c>
      <c r="R278" s="42">
        <f t="shared" si="37"/>
        <v>0</v>
      </c>
      <c r="S278" s="42">
        <f t="shared" si="38"/>
        <v>0</v>
      </c>
      <c r="T278" s="42">
        <f t="shared" si="39"/>
        <v>1</v>
      </c>
    </row>
    <row r="279" spans="1:20" x14ac:dyDescent="0.2">
      <c r="A279" s="30">
        <v>272</v>
      </c>
      <c r="C279" s="31">
        <v>0.99477851034799003</v>
      </c>
      <c r="D279" s="32">
        <v>13169.31021539177</v>
      </c>
      <c r="E279" s="31">
        <v>0.85249000297007105</v>
      </c>
      <c r="F279" s="32">
        <v>5363.9849384859417</v>
      </c>
      <c r="G279" s="31">
        <v>0.95167072792994034</v>
      </c>
      <c r="H279" s="32">
        <v>8349.897330721753</v>
      </c>
      <c r="I279" s="31">
        <v>0.85249000297007105</v>
      </c>
      <c r="J279" s="32">
        <v>4056.5405521377297</v>
      </c>
      <c r="L279" s="43">
        <f t="shared" si="32"/>
        <v>-8195.4176636518205</v>
      </c>
      <c r="M279" s="43">
        <f t="shared" si="33"/>
        <v>-1101.5349236355869</v>
      </c>
      <c r="N279" s="43">
        <f t="shared" si="34"/>
        <v>-3591.5436910720509</v>
      </c>
      <c r="O279" s="43">
        <f t="shared" si="35"/>
        <v>205.9094627126251</v>
      </c>
      <c r="Q279" s="42">
        <f t="shared" si="36"/>
        <v>0</v>
      </c>
      <c r="R279" s="42">
        <f t="shared" si="37"/>
        <v>0</v>
      </c>
      <c r="S279" s="42">
        <f t="shared" si="38"/>
        <v>0</v>
      </c>
      <c r="T279" s="42">
        <f t="shared" si="39"/>
        <v>1</v>
      </c>
    </row>
    <row r="280" spans="1:20" x14ac:dyDescent="0.2">
      <c r="A280" s="30">
        <v>273</v>
      </c>
      <c r="C280" s="31">
        <v>0.99138311141732938</v>
      </c>
      <c r="D280" s="32">
        <v>14556.607347727359</v>
      </c>
      <c r="E280" s="31">
        <v>0.94024341539913558</v>
      </c>
      <c r="F280" s="32">
        <v>7558.982882405272</v>
      </c>
      <c r="G280" s="31">
        <v>0.93566967005598667</v>
      </c>
      <c r="H280" s="32">
        <v>9231.5001649109417</v>
      </c>
      <c r="I280" s="31">
        <v>0.93566967005646373</v>
      </c>
      <c r="J280" s="32">
        <v>6309.7297668103547</v>
      </c>
      <c r="L280" s="43">
        <f t="shared" si="32"/>
        <v>-9599.6917906407107</v>
      </c>
      <c r="M280" s="43">
        <f t="shared" si="33"/>
        <v>-2857.7658054095937</v>
      </c>
      <c r="N280" s="43">
        <f t="shared" si="34"/>
        <v>-4553.1518146310082</v>
      </c>
      <c r="O280" s="43">
        <f t="shared" si="35"/>
        <v>-1631.3814165280364</v>
      </c>
      <c r="Q280" s="42">
        <f t="shared" si="36"/>
        <v>0</v>
      </c>
      <c r="R280" s="42">
        <f t="shared" si="37"/>
        <v>0</v>
      </c>
      <c r="S280" s="42">
        <f t="shared" si="38"/>
        <v>0</v>
      </c>
      <c r="T280" s="42">
        <f t="shared" si="39"/>
        <v>1</v>
      </c>
    </row>
    <row r="281" spans="1:20" x14ac:dyDescent="0.2">
      <c r="A281" s="30">
        <v>274</v>
      </c>
      <c r="C281" s="31">
        <v>0.98989545550829305</v>
      </c>
      <c r="D281" s="32">
        <v>14955.604045372334</v>
      </c>
      <c r="E281" s="31">
        <v>0.90749391852464678</v>
      </c>
      <c r="F281" s="32">
        <v>4440.2010604474053</v>
      </c>
      <c r="G281" s="31">
        <v>0.9440868381607519</v>
      </c>
      <c r="H281" s="32">
        <v>8787.8175923936506</v>
      </c>
      <c r="I281" s="31">
        <v>0.89974978301602282</v>
      </c>
      <c r="J281" s="32">
        <v>4180.6701642122744</v>
      </c>
      <c r="L281" s="43">
        <f t="shared" si="32"/>
        <v>-10006.126767830869</v>
      </c>
      <c r="M281" s="43">
        <f t="shared" si="33"/>
        <v>97.268532175829023</v>
      </c>
      <c r="N281" s="43">
        <f t="shared" si="34"/>
        <v>-4067.383401589891</v>
      </c>
      <c r="O281" s="43">
        <f t="shared" si="35"/>
        <v>318.07875086783952</v>
      </c>
      <c r="Q281" s="42">
        <f t="shared" si="36"/>
        <v>0</v>
      </c>
      <c r="R281" s="42">
        <f t="shared" si="37"/>
        <v>0</v>
      </c>
      <c r="S281" s="42">
        <f t="shared" si="38"/>
        <v>0</v>
      </c>
      <c r="T281" s="42">
        <f t="shared" si="39"/>
        <v>1</v>
      </c>
    </row>
    <row r="282" spans="1:20" x14ac:dyDescent="0.2">
      <c r="A282" s="30">
        <v>275</v>
      </c>
      <c r="C282" s="31">
        <v>0.98043187683295452</v>
      </c>
      <c r="D282" s="32">
        <v>15108.71828015047</v>
      </c>
      <c r="E282" s="31">
        <v>0.75748122588720135</v>
      </c>
      <c r="F282" s="32">
        <v>9126.4409029510207</v>
      </c>
      <c r="G282" s="31">
        <v>0.94240377309069512</v>
      </c>
      <c r="H282" s="32">
        <v>9205.0503548380202</v>
      </c>
      <c r="I282" s="31">
        <v>0.75611033371752856</v>
      </c>
      <c r="J282" s="32">
        <v>4963.3302034626513</v>
      </c>
      <c r="L282" s="43">
        <f t="shared" si="32"/>
        <v>-10206.558895985698</v>
      </c>
      <c r="M282" s="43">
        <f t="shared" si="33"/>
        <v>-5339.0347735150135</v>
      </c>
      <c r="N282" s="43">
        <f t="shared" si="34"/>
        <v>-4493.0314893845443</v>
      </c>
      <c r="O282" s="43">
        <f t="shared" si="35"/>
        <v>-1182.7785348750085</v>
      </c>
      <c r="Q282" s="42">
        <f t="shared" si="36"/>
        <v>0</v>
      </c>
      <c r="R282" s="42">
        <f t="shared" si="37"/>
        <v>0</v>
      </c>
      <c r="S282" s="42">
        <f t="shared" si="38"/>
        <v>0</v>
      </c>
      <c r="T282" s="42">
        <f t="shared" si="39"/>
        <v>1</v>
      </c>
    </row>
    <row r="283" spans="1:20" x14ac:dyDescent="0.2">
      <c r="A283" s="30">
        <v>276</v>
      </c>
      <c r="C283" s="31">
        <v>0.98361260272523365</v>
      </c>
      <c r="D283" s="32">
        <v>14313.35431974417</v>
      </c>
      <c r="E283" s="31">
        <v>0.8581389587368109</v>
      </c>
      <c r="F283" s="32">
        <v>4041.6957506707636</v>
      </c>
      <c r="G283" s="31">
        <v>0.94821100609442921</v>
      </c>
      <c r="H283" s="32">
        <v>8367.633096333213</v>
      </c>
      <c r="I283" s="31">
        <v>0.85367106283963579</v>
      </c>
      <c r="J283" s="32">
        <v>3588.8736964709415</v>
      </c>
      <c r="L283" s="43">
        <f t="shared" si="32"/>
        <v>-9395.2913061180025</v>
      </c>
      <c r="M283" s="43">
        <f t="shared" si="33"/>
        <v>248.9990430132907</v>
      </c>
      <c r="N283" s="43">
        <f t="shared" si="34"/>
        <v>-3626.5780658610665</v>
      </c>
      <c r="O283" s="43">
        <f t="shared" si="35"/>
        <v>679.48161772723779</v>
      </c>
      <c r="Q283" s="42">
        <f t="shared" si="36"/>
        <v>0</v>
      </c>
      <c r="R283" s="42">
        <f t="shared" si="37"/>
        <v>0</v>
      </c>
      <c r="S283" s="42">
        <f t="shared" si="38"/>
        <v>0</v>
      </c>
      <c r="T283" s="42">
        <f t="shared" si="39"/>
        <v>1</v>
      </c>
    </row>
    <row r="284" spans="1:20" x14ac:dyDescent="0.2">
      <c r="A284" s="30">
        <v>277</v>
      </c>
      <c r="C284" s="31">
        <v>0.98486288383693188</v>
      </c>
      <c r="D284" s="32">
        <v>15595.838174498886</v>
      </c>
      <c r="E284" s="31">
        <v>0.82979374467779743</v>
      </c>
      <c r="F284" s="32">
        <v>6928.8630757514647</v>
      </c>
      <c r="G284" s="31">
        <v>0.95660054033985165</v>
      </c>
      <c r="H284" s="32">
        <v>9405.0547005150311</v>
      </c>
      <c r="I284" s="31">
        <v>0.82965089246499235</v>
      </c>
      <c r="J284" s="32">
        <v>4452.8637407780388</v>
      </c>
      <c r="L284" s="43">
        <f t="shared" si="32"/>
        <v>-10671.523755314225</v>
      </c>
      <c r="M284" s="43">
        <f t="shared" si="33"/>
        <v>-2779.8943523624775</v>
      </c>
      <c r="N284" s="43">
        <f t="shared" si="34"/>
        <v>-4622.051998815773</v>
      </c>
      <c r="O284" s="43">
        <f t="shared" si="35"/>
        <v>-304.60927845307742</v>
      </c>
      <c r="Q284" s="42">
        <f t="shared" si="36"/>
        <v>0</v>
      </c>
      <c r="R284" s="42">
        <f t="shared" si="37"/>
        <v>0</v>
      </c>
      <c r="S284" s="42">
        <f t="shared" si="38"/>
        <v>0</v>
      </c>
      <c r="T284" s="42">
        <f t="shared" si="39"/>
        <v>1</v>
      </c>
    </row>
    <row r="285" spans="1:20" x14ac:dyDescent="0.2">
      <c r="A285" s="30">
        <v>278</v>
      </c>
      <c r="C285" s="31">
        <v>0.98051380153879175</v>
      </c>
      <c r="D285" s="32">
        <v>14227.230053964407</v>
      </c>
      <c r="E285" s="31">
        <v>0.85956654665427745</v>
      </c>
      <c r="F285" s="32">
        <v>5331.2333028487856</v>
      </c>
      <c r="G285" s="31">
        <v>0.94250687643708952</v>
      </c>
      <c r="H285" s="32">
        <v>8490.0990277222336</v>
      </c>
      <c r="I285" s="31">
        <v>0.85956654665427745</v>
      </c>
      <c r="J285" s="32">
        <v>4236.8054706560479</v>
      </c>
      <c r="L285" s="43">
        <f t="shared" si="32"/>
        <v>-9324.6610462704484</v>
      </c>
      <c r="M285" s="43">
        <f t="shared" si="33"/>
        <v>-1033.4005695773985</v>
      </c>
      <c r="N285" s="43">
        <f t="shared" si="34"/>
        <v>-3777.564645536786</v>
      </c>
      <c r="O285" s="43">
        <f t="shared" si="35"/>
        <v>61.027262615339168</v>
      </c>
      <c r="Q285" s="42">
        <f t="shared" si="36"/>
        <v>0</v>
      </c>
      <c r="R285" s="42">
        <f t="shared" si="37"/>
        <v>0</v>
      </c>
      <c r="S285" s="42">
        <f t="shared" si="38"/>
        <v>0</v>
      </c>
      <c r="T285" s="42">
        <f t="shared" si="39"/>
        <v>1</v>
      </c>
    </row>
    <row r="286" spans="1:20" x14ac:dyDescent="0.2">
      <c r="A286" s="30">
        <v>279</v>
      </c>
      <c r="C286" s="31">
        <v>0.99441701174456243</v>
      </c>
      <c r="D286" s="32">
        <v>14717.460261124819</v>
      </c>
      <c r="E286" s="31">
        <v>0.92232508462223894</v>
      </c>
      <c r="F286" s="32">
        <v>6760.8388793976901</v>
      </c>
      <c r="G286" s="31">
        <v>0.96110566420037591</v>
      </c>
      <c r="H286" s="32">
        <v>9190.7086790813737</v>
      </c>
      <c r="I286" s="31">
        <v>0.91638138534418156</v>
      </c>
      <c r="J286" s="32">
        <v>5232.1716458223636</v>
      </c>
      <c r="L286" s="43">
        <f t="shared" si="32"/>
        <v>-9745.3752024020068</v>
      </c>
      <c r="M286" s="43">
        <f t="shared" si="33"/>
        <v>-2149.2134562864958</v>
      </c>
      <c r="N286" s="43">
        <f t="shared" si="34"/>
        <v>-4385.180358079494</v>
      </c>
      <c r="O286" s="43">
        <f t="shared" si="35"/>
        <v>-650.26471910145574</v>
      </c>
      <c r="Q286" s="42">
        <f t="shared" si="36"/>
        <v>0</v>
      </c>
      <c r="R286" s="42">
        <f t="shared" si="37"/>
        <v>0</v>
      </c>
      <c r="S286" s="42">
        <f t="shared" si="38"/>
        <v>0</v>
      </c>
      <c r="T286" s="42">
        <f t="shared" si="39"/>
        <v>1</v>
      </c>
    </row>
    <row r="287" spans="1:20" x14ac:dyDescent="0.2">
      <c r="A287" s="30">
        <v>280</v>
      </c>
      <c r="C287" s="31">
        <v>0.9643428850303214</v>
      </c>
      <c r="D287" s="32">
        <v>13283.465664163305</v>
      </c>
      <c r="E287" s="31">
        <v>0.73782034157707921</v>
      </c>
      <c r="F287" s="32">
        <v>1596.3122646978127</v>
      </c>
      <c r="G287" s="31">
        <v>0.9646415156716952</v>
      </c>
      <c r="H287" s="32">
        <v>7920.1204460542685</v>
      </c>
      <c r="I287" s="31">
        <v>0.7377552978618217</v>
      </c>
      <c r="J287" s="32">
        <v>1462.7150838248347</v>
      </c>
      <c r="L287" s="43">
        <f t="shared" si="32"/>
        <v>-8461.7512390116972</v>
      </c>
      <c r="M287" s="43">
        <f t="shared" si="33"/>
        <v>2092.7894431875834</v>
      </c>
      <c r="N287" s="43">
        <f t="shared" si="34"/>
        <v>-3096.9128676957926</v>
      </c>
      <c r="O287" s="43">
        <f t="shared" si="35"/>
        <v>2226.0614054842736</v>
      </c>
      <c r="Q287" s="42">
        <f t="shared" si="36"/>
        <v>0</v>
      </c>
      <c r="R287" s="42">
        <f t="shared" si="37"/>
        <v>0</v>
      </c>
      <c r="S287" s="42">
        <f t="shared" si="38"/>
        <v>0</v>
      </c>
      <c r="T287" s="42">
        <f t="shared" si="39"/>
        <v>1</v>
      </c>
    </row>
    <row r="288" spans="1:20" x14ac:dyDescent="0.2">
      <c r="A288" s="30">
        <v>281</v>
      </c>
      <c r="C288" s="31">
        <v>0.94629272855832169</v>
      </c>
      <c r="D288" s="32">
        <v>14235.363999318843</v>
      </c>
      <c r="E288" s="31">
        <v>0.79984914117160999</v>
      </c>
      <c r="F288" s="32">
        <v>2666.0580113313722</v>
      </c>
      <c r="G288" s="31">
        <v>0.94285187954768201</v>
      </c>
      <c r="H288" s="32">
        <v>8185.516602053156</v>
      </c>
      <c r="I288" s="31">
        <v>0.7944602968666572</v>
      </c>
      <c r="J288" s="32">
        <v>2402.3085664188943</v>
      </c>
      <c r="L288" s="43">
        <f t="shared" si="32"/>
        <v>-9503.9003565272342</v>
      </c>
      <c r="M288" s="43">
        <f t="shared" si="33"/>
        <v>1333.1876945266777</v>
      </c>
      <c r="N288" s="43">
        <f t="shared" si="34"/>
        <v>-3471.2572043147456</v>
      </c>
      <c r="O288" s="43">
        <f t="shared" si="35"/>
        <v>1569.9929179143919</v>
      </c>
      <c r="Q288" s="42">
        <f t="shared" si="36"/>
        <v>0</v>
      </c>
      <c r="R288" s="42">
        <f t="shared" si="37"/>
        <v>0</v>
      </c>
      <c r="S288" s="42">
        <f t="shared" si="38"/>
        <v>0</v>
      </c>
      <c r="T288" s="42">
        <f t="shared" si="39"/>
        <v>1</v>
      </c>
    </row>
    <row r="289" spans="1:20" x14ac:dyDescent="0.2">
      <c r="A289" s="30">
        <v>282</v>
      </c>
      <c r="C289" s="31">
        <v>0.96673220316127439</v>
      </c>
      <c r="D289" s="32">
        <v>13841.017671027095</v>
      </c>
      <c r="E289" s="31">
        <v>0.82777074039566045</v>
      </c>
      <c r="F289" s="32">
        <v>6318.2184703785815</v>
      </c>
      <c r="G289" s="31">
        <v>0.95370769812407108</v>
      </c>
      <c r="H289" s="32">
        <v>8355.6251200771349</v>
      </c>
      <c r="I289" s="31">
        <v>0.82411223850448212</v>
      </c>
      <c r="J289" s="32">
        <v>4026.9006268367693</v>
      </c>
      <c r="L289" s="43">
        <f t="shared" si="32"/>
        <v>-9007.356655220723</v>
      </c>
      <c r="M289" s="43">
        <f t="shared" si="33"/>
        <v>-2179.364768400279</v>
      </c>
      <c r="N289" s="43">
        <f t="shared" si="34"/>
        <v>-3587.0866294567795</v>
      </c>
      <c r="O289" s="43">
        <f t="shared" si="35"/>
        <v>93.660565685640904</v>
      </c>
      <c r="Q289" s="42">
        <f t="shared" si="36"/>
        <v>0</v>
      </c>
      <c r="R289" s="42">
        <f t="shared" si="37"/>
        <v>0</v>
      </c>
      <c r="S289" s="42">
        <f t="shared" si="38"/>
        <v>0</v>
      </c>
      <c r="T289" s="42">
        <f t="shared" si="39"/>
        <v>1</v>
      </c>
    </row>
    <row r="290" spans="1:20" x14ac:dyDescent="0.2">
      <c r="A290" s="30">
        <v>283</v>
      </c>
      <c r="C290" s="31">
        <v>0.96832426405581784</v>
      </c>
      <c r="D290" s="32">
        <v>17008.811454020222</v>
      </c>
      <c r="E290" s="31">
        <v>0.91424481478470598</v>
      </c>
      <c r="F290" s="32">
        <v>6427.4105749840455</v>
      </c>
      <c r="G290" s="31">
        <v>0.95175495303789603</v>
      </c>
      <c r="H290" s="32">
        <v>10043.030466855967</v>
      </c>
      <c r="I290" s="31">
        <v>0.91424481478470587</v>
      </c>
      <c r="J290" s="32">
        <v>5325.5771377152851</v>
      </c>
      <c r="L290" s="43">
        <f t="shared" si="32"/>
        <v>-12167.190133741133</v>
      </c>
      <c r="M290" s="43">
        <f t="shared" si="33"/>
        <v>-1856.1865010605152</v>
      </c>
      <c r="N290" s="43">
        <f t="shared" si="34"/>
        <v>-5284.2557016664869</v>
      </c>
      <c r="O290" s="43">
        <f t="shared" si="35"/>
        <v>-754.35306379175563</v>
      </c>
      <c r="Q290" s="42">
        <f t="shared" si="36"/>
        <v>0</v>
      </c>
      <c r="R290" s="42">
        <f t="shared" si="37"/>
        <v>0</v>
      </c>
      <c r="S290" s="42">
        <f t="shared" si="38"/>
        <v>0</v>
      </c>
      <c r="T290" s="42">
        <f t="shared" si="39"/>
        <v>1</v>
      </c>
    </row>
    <row r="291" spans="1:20" x14ac:dyDescent="0.2">
      <c r="A291" s="30">
        <v>284</v>
      </c>
      <c r="C291" s="31">
        <v>0.98953019469377479</v>
      </c>
      <c r="D291" s="32">
        <v>16682.510085566573</v>
      </c>
      <c r="E291" s="31">
        <v>0.90391457001923248</v>
      </c>
      <c r="F291" s="32">
        <v>4869.0016832569681</v>
      </c>
      <c r="G291" s="31">
        <v>0.9296679025532737</v>
      </c>
      <c r="H291" s="32">
        <v>10314.748677848427</v>
      </c>
      <c r="I291" s="31">
        <v>0.90176219486502562</v>
      </c>
      <c r="J291" s="32">
        <v>4700.1587216892522</v>
      </c>
      <c r="L291" s="43">
        <f t="shared" si="32"/>
        <v>-11734.8591120977</v>
      </c>
      <c r="M291" s="43">
        <f t="shared" si="33"/>
        <v>-349.42883316080588</v>
      </c>
      <c r="N291" s="43">
        <f t="shared" si="34"/>
        <v>-5666.4091650820583</v>
      </c>
      <c r="O291" s="43">
        <f t="shared" si="35"/>
        <v>-191.34774736412419</v>
      </c>
      <c r="Q291" s="42">
        <f t="shared" si="36"/>
        <v>0</v>
      </c>
      <c r="R291" s="42">
        <f t="shared" si="37"/>
        <v>0</v>
      </c>
      <c r="S291" s="42">
        <f t="shared" si="38"/>
        <v>0</v>
      </c>
      <c r="T291" s="42">
        <f t="shared" si="39"/>
        <v>1</v>
      </c>
    </row>
    <row r="292" spans="1:20" x14ac:dyDescent="0.2">
      <c r="A292" s="30">
        <v>285</v>
      </c>
      <c r="C292" s="31">
        <v>0.97031418052857898</v>
      </c>
      <c r="D292" s="32">
        <v>15141.373683640237</v>
      </c>
      <c r="E292" s="31">
        <v>0.80485822899336923</v>
      </c>
      <c r="F292" s="32">
        <v>3897.8828356892559</v>
      </c>
      <c r="G292" s="31">
        <v>0.9159095754222486</v>
      </c>
      <c r="H292" s="32">
        <v>9707.9488603411501</v>
      </c>
      <c r="I292" s="31">
        <v>0.80156619836306242</v>
      </c>
      <c r="J292" s="32">
        <v>3730.4812668312134</v>
      </c>
      <c r="L292" s="43">
        <f t="shared" si="32"/>
        <v>-10289.802780997343</v>
      </c>
      <c r="M292" s="43">
        <f t="shared" si="33"/>
        <v>126.40830927759043</v>
      </c>
      <c r="N292" s="43">
        <f t="shared" si="34"/>
        <v>-5128.4009832299071</v>
      </c>
      <c r="O292" s="43">
        <f t="shared" si="35"/>
        <v>277.34972498409888</v>
      </c>
      <c r="Q292" s="42">
        <f t="shared" si="36"/>
        <v>0</v>
      </c>
      <c r="R292" s="42">
        <f t="shared" si="37"/>
        <v>0</v>
      </c>
      <c r="S292" s="42">
        <f t="shared" si="38"/>
        <v>0</v>
      </c>
      <c r="T292" s="42">
        <f t="shared" si="39"/>
        <v>1</v>
      </c>
    </row>
    <row r="293" spans="1:20" x14ac:dyDescent="0.2">
      <c r="A293" s="30">
        <v>286</v>
      </c>
      <c r="C293" s="31">
        <v>0.99963504758107113</v>
      </c>
      <c r="D293" s="32">
        <v>17877.427185545206</v>
      </c>
      <c r="E293" s="31">
        <v>0.94328141419701228</v>
      </c>
      <c r="F293" s="32">
        <v>10158.162892421189</v>
      </c>
      <c r="G293" s="31">
        <v>0.93873059523662272</v>
      </c>
      <c r="H293" s="32">
        <v>11103.208874555525</v>
      </c>
      <c r="I293" s="31">
        <v>0.93873059523662283</v>
      </c>
      <c r="J293" s="32">
        <v>7670.8898074088565</v>
      </c>
      <c r="L293" s="43">
        <f t="shared" si="32"/>
        <v>-12879.25194763985</v>
      </c>
      <c r="M293" s="43">
        <f t="shared" si="33"/>
        <v>-5441.7558214361279</v>
      </c>
      <c r="N293" s="43">
        <f t="shared" si="34"/>
        <v>-6409.5558983724113</v>
      </c>
      <c r="O293" s="43">
        <f t="shared" si="35"/>
        <v>-2977.2368312257422</v>
      </c>
      <c r="Q293" s="42">
        <f t="shared" si="36"/>
        <v>0</v>
      </c>
      <c r="R293" s="42">
        <f t="shared" si="37"/>
        <v>0</v>
      </c>
      <c r="S293" s="42">
        <f t="shared" si="38"/>
        <v>0</v>
      </c>
      <c r="T293" s="42">
        <f t="shared" si="39"/>
        <v>1</v>
      </c>
    </row>
    <row r="294" spans="1:20" x14ac:dyDescent="0.2">
      <c r="A294" s="30">
        <v>287</v>
      </c>
      <c r="C294" s="31">
        <v>0.98156104075138229</v>
      </c>
      <c r="D294" s="32">
        <v>17300.743998347312</v>
      </c>
      <c r="E294" s="31">
        <v>0.86899998494356745</v>
      </c>
      <c r="F294" s="32">
        <v>5172.5218335834297</v>
      </c>
      <c r="G294" s="31">
        <v>0.95368245099769489</v>
      </c>
      <c r="H294" s="32">
        <v>10397.237745084387</v>
      </c>
      <c r="I294" s="31">
        <v>0.86416709435242489</v>
      </c>
      <c r="J294" s="32">
        <v>4951.386164636705</v>
      </c>
      <c r="L294" s="43">
        <f t="shared" si="32"/>
        <v>-12392.938794590402</v>
      </c>
      <c r="M294" s="43">
        <f t="shared" si="33"/>
        <v>-827.5219088655922</v>
      </c>
      <c r="N294" s="43">
        <f t="shared" si="34"/>
        <v>-5628.8254900959128</v>
      </c>
      <c r="O294" s="43">
        <f t="shared" si="35"/>
        <v>-630.55069287458082</v>
      </c>
      <c r="Q294" s="42">
        <f t="shared" si="36"/>
        <v>0</v>
      </c>
      <c r="R294" s="42">
        <f t="shared" si="37"/>
        <v>0</v>
      </c>
      <c r="S294" s="42">
        <f t="shared" si="38"/>
        <v>0</v>
      </c>
      <c r="T294" s="42">
        <f t="shared" si="39"/>
        <v>1</v>
      </c>
    </row>
    <row r="295" spans="1:20" x14ac:dyDescent="0.2">
      <c r="A295" s="30">
        <v>288</v>
      </c>
      <c r="C295" s="31">
        <v>0.98369956164805095</v>
      </c>
      <c r="D295" s="32">
        <v>15189.951896520375</v>
      </c>
      <c r="E295" s="31">
        <v>0.94440409078233944</v>
      </c>
      <c r="F295" s="32">
        <v>8411.8084421827607</v>
      </c>
      <c r="G295" s="31">
        <v>0.94377738489481222</v>
      </c>
      <c r="H295" s="32">
        <v>9316.2718457797982</v>
      </c>
      <c r="I295" s="31">
        <v>0.94377738489481222</v>
      </c>
      <c r="J295" s="32">
        <v>6389.975903730483</v>
      </c>
      <c r="L295" s="43">
        <f t="shared" si="32"/>
        <v>-10271.454088280119</v>
      </c>
      <c r="M295" s="43">
        <f t="shared" si="33"/>
        <v>-3689.7879882710631</v>
      </c>
      <c r="N295" s="43">
        <f t="shared" si="34"/>
        <v>-4597.3849213057374</v>
      </c>
      <c r="O295" s="43">
        <f t="shared" si="35"/>
        <v>-1671.0889792564221</v>
      </c>
      <c r="Q295" s="42">
        <f t="shared" si="36"/>
        <v>0</v>
      </c>
      <c r="R295" s="42">
        <f t="shared" si="37"/>
        <v>0</v>
      </c>
      <c r="S295" s="42">
        <f t="shared" si="38"/>
        <v>0</v>
      </c>
      <c r="T295" s="42">
        <f t="shared" si="39"/>
        <v>1</v>
      </c>
    </row>
    <row r="296" spans="1:20" x14ac:dyDescent="0.2">
      <c r="A296" s="30">
        <v>289</v>
      </c>
      <c r="C296" s="31">
        <v>0.99850797025307259</v>
      </c>
      <c r="D296" s="32">
        <v>15924.170189216054</v>
      </c>
      <c r="E296" s="31">
        <v>0.9202291028163947</v>
      </c>
      <c r="F296" s="32">
        <v>4849.9351421893007</v>
      </c>
      <c r="G296" s="31">
        <v>0.95902043481999932</v>
      </c>
      <c r="H296" s="32">
        <v>10117.893029105331</v>
      </c>
      <c r="I296" s="31">
        <v>0.91528538802677306</v>
      </c>
      <c r="J296" s="32">
        <v>4640.1932813264912</v>
      </c>
      <c r="L296" s="43">
        <f t="shared" si="32"/>
        <v>-10931.630337950692</v>
      </c>
      <c r="M296" s="43">
        <f t="shared" si="33"/>
        <v>-248.78962810732719</v>
      </c>
      <c r="N296" s="43">
        <f t="shared" si="34"/>
        <v>-5322.7908550053344</v>
      </c>
      <c r="O296" s="43">
        <f t="shared" si="35"/>
        <v>-63.766341192625987</v>
      </c>
      <c r="Q296" s="42">
        <f t="shared" si="36"/>
        <v>0</v>
      </c>
      <c r="R296" s="42">
        <f t="shared" si="37"/>
        <v>0</v>
      </c>
      <c r="S296" s="42">
        <f t="shared" si="38"/>
        <v>0</v>
      </c>
      <c r="T296" s="42">
        <f t="shared" si="39"/>
        <v>1</v>
      </c>
    </row>
    <row r="297" spans="1:20" x14ac:dyDescent="0.2">
      <c r="A297" s="30">
        <v>290</v>
      </c>
      <c r="C297" s="31">
        <v>0.95906570756187848</v>
      </c>
      <c r="D297" s="32">
        <v>16149.082430757995</v>
      </c>
      <c r="E297" s="31">
        <v>0.95762963730598893</v>
      </c>
      <c r="F297" s="32">
        <v>9242.6665594312926</v>
      </c>
      <c r="G297" s="31">
        <v>0.95473607531337723</v>
      </c>
      <c r="H297" s="32">
        <v>9497.9201612071247</v>
      </c>
      <c r="I297" s="31">
        <v>0.95473607531337723</v>
      </c>
      <c r="J297" s="32">
        <v>6920.4162515949156</v>
      </c>
      <c r="L297" s="43">
        <f t="shared" si="32"/>
        <v>-11353.753892948604</v>
      </c>
      <c r="M297" s="43">
        <f t="shared" si="33"/>
        <v>-4454.5183729013479</v>
      </c>
      <c r="N297" s="43">
        <f t="shared" si="34"/>
        <v>-4724.2397846402382</v>
      </c>
      <c r="O297" s="43">
        <f t="shared" si="35"/>
        <v>-2146.7358750280291</v>
      </c>
      <c r="Q297" s="42">
        <f t="shared" si="36"/>
        <v>0</v>
      </c>
      <c r="R297" s="42">
        <f t="shared" si="37"/>
        <v>0</v>
      </c>
      <c r="S297" s="42">
        <f t="shared" si="38"/>
        <v>0</v>
      </c>
      <c r="T297" s="42">
        <f t="shared" si="39"/>
        <v>1</v>
      </c>
    </row>
    <row r="298" spans="1:20" x14ac:dyDescent="0.2">
      <c r="A298" s="30">
        <v>291</v>
      </c>
      <c r="C298" s="31">
        <v>0.99999299500998107</v>
      </c>
      <c r="D298" s="32">
        <v>15917.364645201651</v>
      </c>
      <c r="E298" s="31">
        <v>0.93297169707842298</v>
      </c>
      <c r="F298" s="32">
        <v>8951.5845368351002</v>
      </c>
      <c r="G298" s="31">
        <v>0.93271024232965005</v>
      </c>
      <c r="H298" s="32">
        <v>9911.9560381035717</v>
      </c>
      <c r="I298" s="31">
        <v>0.93271024232965005</v>
      </c>
      <c r="J298" s="32">
        <v>6910.0721402646141</v>
      </c>
      <c r="L298" s="43">
        <f t="shared" si="32"/>
        <v>-10917.399670151746</v>
      </c>
      <c r="M298" s="43">
        <f t="shared" si="33"/>
        <v>-4286.7260514429854</v>
      </c>
      <c r="N298" s="43">
        <f t="shared" si="34"/>
        <v>-5248.4048264553212</v>
      </c>
      <c r="O298" s="43">
        <f t="shared" si="35"/>
        <v>-2246.5209286163636</v>
      </c>
      <c r="Q298" s="42">
        <f t="shared" si="36"/>
        <v>0</v>
      </c>
      <c r="R298" s="42">
        <f t="shared" si="37"/>
        <v>0</v>
      </c>
      <c r="S298" s="42">
        <f t="shared" si="38"/>
        <v>0</v>
      </c>
      <c r="T298" s="42">
        <f t="shared" si="39"/>
        <v>1</v>
      </c>
    </row>
    <row r="299" spans="1:20" x14ac:dyDescent="0.2">
      <c r="A299" s="30">
        <v>292</v>
      </c>
      <c r="C299" s="31">
        <v>0.99761974433532619</v>
      </c>
      <c r="D299" s="32">
        <v>18469.691165994209</v>
      </c>
      <c r="E299" s="31">
        <v>0.93648920899093246</v>
      </c>
      <c r="F299" s="32">
        <v>7386.1088341023069</v>
      </c>
      <c r="G299" s="31">
        <v>0.93566401531813348</v>
      </c>
      <c r="H299" s="32">
        <v>10578.578925297745</v>
      </c>
      <c r="I299" s="31">
        <v>0.93566401531813348</v>
      </c>
      <c r="J299" s="32">
        <v>7163.3093426165296</v>
      </c>
      <c r="L299" s="43">
        <f t="shared" si="32"/>
        <v>-13481.592444317579</v>
      </c>
      <c r="M299" s="43">
        <f t="shared" si="33"/>
        <v>-2703.6627891476446</v>
      </c>
      <c r="N299" s="43">
        <f t="shared" si="34"/>
        <v>-5900.258848707077</v>
      </c>
      <c r="O299" s="43">
        <f t="shared" si="35"/>
        <v>-2484.989266025862</v>
      </c>
      <c r="Q299" s="42">
        <f t="shared" si="36"/>
        <v>0</v>
      </c>
      <c r="R299" s="42">
        <f t="shared" si="37"/>
        <v>0</v>
      </c>
      <c r="S299" s="42">
        <f t="shared" si="38"/>
        <v>0</v>
      </c>
      <c r="T299" s="42">
        <f t="shared" si="39"/>
        <v>1</v>
      </c>
    </row>
    <row r="300" spans="1:20" x14ac:dyDescent="0.2">
      <c r="A300" s="30">
        <v>293</v>
      </c>
      <c r="C300" s="31">
        <v>0.98801992739722633</v>
      </c>
      <c r="D300" s="32">
        <v>15495.084441146873</v>
      </c>
      <c r="E300" s="31">
        <v>0.9119628635781345</v>
      </c>
      <c r="F300" s="32">
        <v>10012.339578279374</v>
      </c>
      <c r="G300" s="31">
        <v>0.91189824130059782</v>
      </c>
      <c r="H300" s="32">
        <v>9307.3753876361934</v>
      </c>
      <c r="I300" s="31">
        <v>0.91189824130059793</v>
      </c>
      <c r="J300" s="32">
        <v>6933.1463948662768</v>
      </c>
      <c r="L300" s="43">
        <f t="shared" si="32"/>
        <v>-10554.984804160742</v>
      </c>
      <c r="M300" s="43">
        <f t="shared" si="33"/>
        <v>-5452.525260388702</v>
      </c>
      <c r="N300" s="43">
        <f t="shared" si="34"/>
        <v>-4747.884181133204</v>
      </c>
      <c r="O300" s="43">
        <f t="shared" si="35"/>
        <v>-2373.6551883632874</v>
      </c>
      <c r="Q300" s="42">
        <f t="shared" si="36"/>
        <v>0</v>
      </c>
      <c r="R300" s="42">
        <f t="shared" si="37"/>
        <v>0</v>
      </c>
      <c r="S300" s="42">
        <f t="shared" si="38"/>
        <v>0</v>
      </c>
      <c r="T300" s="42">
        <f t="shared" si="39"/>
        <v>1</v>
      </c>
    </row>
    <row r="301" spans="1:20" x14ac:dyDescent="0.2">
      <c r="A301" s="30">
        <v>294</v>
      </c>
      <c r="C301" s="31">
        <v>0.97657089209989978</v>
      </c>
      <c r="D301" s="32">
        <v>13330.286669167273</v>
      </c>
      <c r="E301" s="31">
        <v>0.77797187524027578</v>
      </c>
      <c r="F301" s="32">
        <v>1670.1357333285516</v>
      </c>
      <c r="G301" s="31">
        <v>0.93850425071216859</v>
      </c>
      <c r="H301" s="32">
        <v>7932.1740276476858</v>
      </c>
      <c r="I301" s="31">
        <v>0.77584894108883895</v>
      </c>
      <c r="J301" s="32">
        <v>1514.1851265148846</v>
      </c>
      <c r="L301" s="43">
        <f t="shared" si="32"/>
        <v>-8447.4322086677748</v>
      </c>
      <c r="M301" s="43">
        <f t="shared" si="33"/>
        <v>2219.7236428728274</v>
      </c>
      <c r="N301" s="43">
        <f t="shared" si="34"/>
        <v>-3239.6527740868432</v>
      </c>
      <c r="O301" s="43">
        <f t="shared" si="35"/>
        <v>2365.0595789293102</v>
      </c>
      <c r="Q301" s="42">
        <f t="shared" si="36"/>
        <v>0</v>
      </c>
      <c r="R301" s="42">
        <f t="shared" si="37"/>
        <v>0</v>
      </c>
      <c r="S301" s="42">
        <f t="shared" si="38"/>
        <v>0</v>
      </c>
      <c r="T301" s="42">
        <f t="shared" si="39"/>
        <v>1</v>
      </c>
    </row>
    <row r="302" spans="1:20" x14ac:dyDescent="0.2">
      <c r="A302" s="30">
        <v>295</v>
      </c>
      <c r="C302" s="31">
        <v>0.96585409590873761</v>
      </c>
      <c r="D302" s="32">
        <v>19390.717736863371</v>
      </c>
      <c r="E302" s="31">
        <v>0.85897283971247829</v>
      </c>
      <c r="F302" s="32">
        <v>5583.4296931571098</v>
      </c>
      <c r="G302" s="31">
        <v>0.94693820153929065</v>
      </c>
      <c r="H302" s="32">
        <v>12052.025273001569</v>
      </c>
      <c r="I302" s="31">
        <v>0.85651669528755547</v>
      </c>
      <c r="J302" s="32">
        <v>5422.2617569966515</v>
      </c>
      <c r="L302" s="43">
        <f t="shared" si="32"/>
        <v>-14561.447257319684</v>
      </c>
      <c r="M302" s="43">
        <f t="shared" si="33"/>
        <v>-1288.5654945947181</v>
      </c>
      <c r="N302" s="43">
        <f t="shared" si="34"/>
        <v>-7317.3342653051159</v>
      </c>
      <c r="O302" s="43">
        <f t="shared" si="35"/>
        <v>-1139.6782805588737</v>
      </c>
      <c r="Q302" s="42">
        <f t="shared" si="36"/>
        <v>0</v>
      </c>
      <c r="R302" s="42">
        <f t="shared" si="37"/>
        <v>0</v>
      </c>
      <c r="S302" s="42">
        <f t="shared" si="38"/>
        <v>0</v>
      </c>
      <c r="T302" s="42">
        <f t="shared" si="39"/>
        <v>1</v>
      </c>
    </row>
    <row r="303" spans="1:20" x14ac:dyDescent="0.2">
      <c r="A303" s="30">
        <v>296</v>
      </c>
      <c r="C303" s="31">
        <v>0.97509504692595916</v>
      </c>
      <c r="D303" s="32">
        <v>14434.900649341145</v>
      </c>
      <c r="E303" s="31">
        <v>0.91505643606851228</v>
      </c>
      <c r="F303" s="32">
        <v>6240.3207507922789</v>
      </c>
      <c r="G303" s="31">
        <v>0.91117104527255577</v>
      </c>
      <c r="H303" s="32">
        <v>8809.2461092275171</v>
      </c>
      <c r="I303" s="31">
        <v>0.91117104527255599</v>
      </c>
      <c r="J303" s="32">
        <v>5250.6960969711372</v>
      </c>
      <c r="L303" s="43">
        <f t="shared" si="32"/>
        <v>-9559.4254147113497</v>
      </c>
      <c r="M303" s="43">
        <f t="shared" si="33"/>
        <v>-1665.0385704497176</v>
      </c>
      <c r="N303" s="43">
        <f t="shared" si="34"/>
        <v>-4253.3908828647382</v>
      </c>
      <c r="O303" s="43">
        <f t="shared" si="35"/>
        <v>-694.84087060835736</v>
      </c>
      <c r="Q303" s="42">
        <f t="shared" si="36"/>
        <v>0</v>
      </c>
      <c r="R303" s="42">
        <f t="shared" si="37"/>
        <v>0</v>
      </c>
      <c r="S303" s="42">
        <f t="shared" si="38"/>
        <v>0</v>
      </c>
      <c r="T303" s="42">
        <f t="shared" si="39"/>
        <v>1</v>
      </c>
    </row>
    <row r="304" spans="1:20" x14ac:dyDescent="0.2">
      <c r="A304" s="30">
        <v>297</v>
      </c>
      <c r="C304" s="31">
        <v>0.98684195776554606</v>
      </c>
      <c r="D304" s="32">
        <v>15521.391718980305</v>
      </c>
      <c r="E304" s="31">
        <v>0.88631421665138266</v>
      </c>
      <c r="F304" s="32">
        <v>5891.072131358771</v>
      </c>
      <c r="G304" s="31">
        <v>0.91868819540633728</v>
      </c>
      <c r="H304" s="32">
        <v>9276.4674554253652</v>
      </c>
      <c r="I304" s="31">
        <v>0.88168179781097211</v>
      </c>
      <c r="J304" s="32">
        <v>4901.6555823698991</v>
      </c>
      <c r="L304" s="43">
        <f t="shared" si="32"/>
        <v>-10587.181930152576</v>
      </c>
      <c r="M304" s="43">
        <f t="shared" si="33"/>
        <v>-1459.501048101858</v>
      </c>
      <c r="N304" s="43">
        <f t="shared" si="34"/>
        <v>-4683.0264783936791</v>
      </c>
      <c r="O304" s="43">
        <f t="shared" si="35"/>
        <v>-493.24659331503881</v>
      </c>
      <c r="Q304" s="42">
        <f t="shared" si="36"/>
        <v>0</v>
      </c>
      <c r="R304" s="42">
        <f t="shared" si="37"/>
        <v>0</v>
      </c>
      <c r="S304" s="42">
        <f t="shared" si="38"/>
        <v>0</v>
      </c>
      <c r="T304" s="42">
        <f t="shared" si="39"/>
        <v>1</v>
      </c>
    </row>
    <row r="305" spans="1:20" x14ac:dyDescent="0.2">
      <c r="A305" s="30">
        <v>298</v>
      </c>
      <c r="C305" s="31">
        <v>0.96061376840204149</v>
      </c>
      <c r="D305" s="32">
        <v>14005.117162967143</v>
      </c>
      <c r="E305" s="31">
        <v>0.86428717768873686</v>
      </c>
      <c r="F305" s="32">
        <v>3924.9948735401204</v>
      </c>
      <c r="G305" s="31">
        <v>0.94507715660478198</v>
      </c>
      <c r="H305" s="32">
        <v>8989.8652581975457</v>
      </c>
      <c r="I305" s="31">
        <v>0.86278609486076263</v>
      </c>
      <c r="J305" s="32">
        <v>3792.7686348623643</v>
      </c>
      <c r="L305" s="43">
        <f t="shared" si="32"/>
        <v>-9202.0483209569356</v>
      </c>
      <c r="M305" s="43">
        <f t="shared" si="33"/>
        <v>396.44101490356388</v>
      </c>
      <c r="N305" s="43">
        <f t="shared" si="34"/>
        <v>-4264.4794751736354</v>
      </c>
      <c r="O305" s="43">
        <f t="shared" si="35"/>
        <v>521.16183944144859</v>
      </c>
      <c r="Q305" s="42">
        <f t="shared" si="36"/>
        <v>0</v>
      </c>
      <c r="R305" s="42">
        <f t="shared" si="37"/>
        <v>0</v>
      </c>
      <c r="S305" s="42">
        <f t="shared" si="38"/>
        <v>0</v>
      </c>
      <c r="T305" s="42">
        <f t="shared" si="39"/>
        <v>1</v>
      </c>
    </row>
    <row r="306" spans="1:20" x14ac:dyDescent="0.2">
      <c r="A306" s="30">
        <v>299</v>
      </c>
      <c r="C306" s="31">
        <v>0.98410602832745098</v>
      </c>
      <c r="D306" s="32">
        <v>17179.456254414461</v>
      </c>
      <c r="E306" s="31">
        <v>0.90389239443146874</v>
      </c>
      <c r="F306" s="32">
        <v>5589.0363396428438</v>
      </c>
      <c r="G306" s="31">
        <v>0.90079379661038572</v>
      </c>
      <c r="H306" s="32">
        <v>9878.2600996107649</v>
      </c>
      <c r="I306" s="31">
        <v>0.90079379661038583</v>
      </c>
      <c r="J306" s="32">
        <v>5378.0456066376073</v>
      </c>
      <c r="L306" s="43">
        <f t="shared" si="32"/>
        <v>-12258.926112777206</v>
      </c>
      <c r="M306" s="43">
        <f t="shared" si="33"/>
        <v>-1069.5743674855003</v>
      </c>
      <c r="N306" s="43">
        <f t="shared" si="34"/>
        <v>-5374.2911165588366</v>
      </c>
      <c r="O306" s="43">
        <f t="shared" si="35"/>
        <v>-874.07662358567813</v>
      </c>
      <c r="Q306" s="42">
        <f t="shared" si="36"/>
        <v>0</v>
      </c>
      <c r="R306" s="42">
        <f t="shared" si="37"/>
        <v>0</v>
      </c>
      <c r="S306" s="42">
        <f t="shared" si="38"/>
        <v>0</v>
      </c>
      <c r="T306" s="42">
        <f t="shared" si="39"/>
        <v>1</v>
      </c>
    </row>
    <row r="307" spans="1:20" x14ac:dyDescent="0.2">
      <c r="A307" s="30">
        <v>300</v>
      </c>
      <c r="C307" s="31">
        <v>0.98124450488701165</v>
      </c>
      <c r="D307" s="32">
        <v>17266.881591436668</v>
      </c>
      <c r="E307" s="31">
        <v>0.79805689590924567</v>
      </c>
      <c r="F307" s="32">
        <v>3682.2178560554648</v>
      </c>
      <c r="G307" s="31">
        <v>0.94039059563377692</v>
      </c>
      <c r="H307" s="32">
        <v>10113.92870231953</v>
      </c>
      <c r="I307" s="31">
        <v>0.79520156947509812</v>
      </c>
      <c r="J307" s="32">
        <v>3464.9381615500151</v>
      </c>
      <c r="L307" s="43">
        <f t="shared" si="32"/>
        <v>-12360.659067001608</v>
      </c>
      <c r="M307" s="43">
        <f t="shared" si="33"/>
        <v>308.0666234907635</v>
      </c>
      <c r="N307" s="43">
        <f t="shared" si="34"/>
        <v>-5411.9757241506459</v>
      </c>
      <c r="O307" s="43">
        <f t="shared" si="35"/>
        <v>511.06968582547552</v>
      </c>
      <c r="Q307" s="42">
        <f t="shared" si="36"/>
        <v>0</v>
      </c>
      <c r="R307" s="42">
        <f t="shared" si="37"/>
        <v>0</v>
      </c>
      <c r="S307" s="42">
        <f t="shared" si="38"/>
        <v>0</v>
      </c>
      <c r="T307" s="42">
        <f t="shared" si="39"/>
        <v>1</v>
      </c>
    </row>
    <row r="308" spans="1:20" x14ac:dyDescent="0.2">
      <c r="A308" s="30">
        <v>301</v>
      </c>
      <c r="C308" s="31">
        <v>0.99824261226323385</v>
      </c>
      <c r="D308" s="32">
        <v>16837.856481708812</v>
      </c>
      <c r="E308" s="31">
        <v>0.77024134015042423</v>
      </c>
      <c r="F308" s="32">
        <v>6392.7694521320864</v>
      </c>
      <c r="G308" s="31">
        <v>0.95228184158619289</v>
      </c>
      <c r="H308" s="32">
        <v>9759.8326467438237</v>
      </c>
      <c r="I308" s="31">
        <v>0.76716603680667173</v>
      </c>
      <c r="J308" s="32">
        <v>3605.1381493476374</v>
      </c>
      <c r="L308" s="43">
        <f t="shared" si="32"/>
        <v>-11846.643420392644</v>
      </c>
      <c r="M308" s="43">
        <f t="shared" si="33"/>
        <v>-2541.5627513799654</v>
      </c>
      <c r="N308" s="43">
        <f t="shared" si="34"/>
        <v>-4998.4234388128589</v>
      </c>
      <c r="O308" s="43">
        <f t="shared" si="35"/>
        <v>230.69203468572141</v>
      </c>
      <c r="Q308" s="42">
        <f t="shared" si="36"/>
        <v>0</v>
      </c>
      <c r="R308" s="42">
        <f t="shared" si="37"/>
        <v>0</v>
      </c>
      <c r="S308" s="42">
        <f t="shared" si="38"/>
        <v>0</v>
      </c>
      <c r="T308" s="42">
        <f t="shared" si="39"/>
        <v>1</v>
      </c>
    </row>
    <row r="309" spans="1:20" x14ac:dyDescent="0.2">
      <c r="A309" s="30">
        <v>302</v>
      </c>
      <c r="C309" s="31">
        <v>0.98666261173845893</v>
      </c>
      <c r="D309" s="32">
        <v>14739.452762881645</v>
      </c>
      <c r="E309" s="31">
        <v>0.68876342772663213</v>
      </c>
      <c r="F309" s="32">
        <v>2970.4833608113495</v>
      </c>
      <c r="G309" s="31">
        <v>0.95495543395357108</v>
      </c>
      <c r="H309" s="32">
        <v>9096.0110116739288</v>
      </c>
      <c r="I309" s="31">
        <v>0.68733388067089518</v>
      </c>
      <c r="J309" s="32">
        <v>1752.1105918519261</v>
      </c>
      <c r="L309" s="43">
        <f t="shared" si="32"/>
        <v>-9806.1397041893506</v>
      </c>
      <c r="M309" s="43">
        <f t="shared" si="33"/>
        <v>473.33377782181105</v>
      </c>
      <c r="N309" s="43">
        <f t="shared" si="34"/>
        <v>-4321.2338419060734</v>
      </c>
      <c r="O309" s="43">
        <f t="shared" si="35"/>
        <v>1684.5588115025498</v>
      </c>
      <c r="Q309" s="42">
        <f t="shared" si="36"/>
        <v>0</v>
      </c>
      <c r="R309" s="42">
        <f t="shared" si="37"/>
        <v>0</v>
      </c>
      <c r="S309" s="42">
        <f t="shared" si="38"/>
        <v>0</v>
      </c>
      <c r="T309" s="42">
        <f t="shared" si="39"/>
        <v>1</v>
      </c>
    </row>
    <row r="310" spans="1:20" x14ac:dyDescent="0.2">
      <c r="A310" s="30">
        <v>303</v>
      </c>
      <c r="C310" s="31">
        <v>0.9917565707800059</v>
      </c>
      <c r="D310" s="32">
        <v>16928.074694561266</v>
      </c>
      <c r="E310" s="31">
        <v>0.82858977097222142</v>
      </c>
      <c r="F310" s="32">
        <v>4039.5950850578547</v>
      </c>
      <c r="G310" s="31">
        <v>0.95427525488814591</v>
      </c>
      <c r="H310" s="32">
        <v>10538.696966210491</v>
      </c>
      <c r="I310" s="31">
        <v>0.8271726180329082</v>
      </c>
      <c r="J310" s="32">
        <v>3901.659981754296</v>
      </c>
      <c r="L310" s="43">
        <f t="shared" si="32"/>
        <v>-11969.291840661237</v>
      </c>
      <c r="M310" s="43">
        <f t="shared" si="33"/>
        <v>103.35376980325236</v>
      </c>
      <c r="N310" s="43">
        <f t="shared" si="34"/>
        <v>-5767.3206917697617</v>
      </c>
      <c r="O310" s="43">
        <f t="shared" si="35"/>
        <v>234.20310841024502</v>
      </c>
      <c r="Q310" s="42">
        <f t="shared" si="36"/>
        <v>0</v>
      </c>
      <c r="R310" s="42">
        <f t="shared" si="37"/>
        <v>0</v>
      </c>
      <c r="S310" s="42">
        <f t="shared" si="38"/>
        <v>0</v>
      </c>
      <c r="T310" s="42">
        <f t="shared" si="39"/>
        <v>1</v>
      </c>
    </row>
    <row r="311" spans="1:20" x14ac:dyDescent="0.2">
      <c r="A311" s="30">
        <v>304</v>
      </c>
      <c r="C311" s="31">
        <v>0.99036162130415295</v>
      </c>
      <c r="D311" s="32">
        <v>14915.751040336201</v>
      </c>
      <c r="E311" s="31">
        <v>0.93685578698755445</v>
      </c>
      <c r="F311" s="32">
        <v>5209.9209813291909</v>
      </c>
      <c r="G311" s="31">
        <v>0.93259897639074985</v>
      </c>
      <c r="H311" s="32">
        <v>9111.8102819939195</v>
      </c>
      <c r="I311" s="31">
        <v>0.93259897639074985</v>
      </c>
      <c r="J311" s="32">
        <v>5014.1627647805471</v>
      </c>
      <c r="L311" s="43">
        <f t="shared" si="32"/>
        <v>-9963.9429338154368</v>
      </c>
      <c r="M311" s="43">
        <f t="shared" si="33"/>
        <v>-525.64204639141826</v>
      </c>
      <c r="N311" s="43">
        <f t="shared" si="34"/>
        <v>-4448.8154000401701</v>
      </c>
      <c r="O311" s="43">
        <f t="shared" si="35"/>
        <v>-351.16788282679772</v>
      </c>
      <c r="Q311" s="42">
        <f t="shared" si="36"/>
        <v>0</v>
      </c>
      <c r="R311" s="42">
        <f t="shared" si="37"/>
        <v>0</v>
      </c>
      <c r="S311" s="42">
        <f t="shared" si="38"/>
        <v>0</v>
      </c>
      <c r="T311" s="42">
        <f t="shared" si="39"/>
        <v>1</v>
      </c>
    </row>
    <row r="312" spans="1:20" x14ac:dyDescent="0.2">
      <c r="A312" s="30">
        <v>305</v>
      </c>
      <c r="C312" s="31">
        <v>0.98920438679863287</v>
      </c>
      <c r="D312" s="32">
        <v>16853.844583788221</v>
      </c>
      <c r="E312" s="31">
        <v>0.90224054632653594</v>
      </c>
      <c r="F312" s="32">
        <v>11571.957856865243</v>
      </c>
      <c r="G312" s="31">
        <v>0.94289075835554681</v>
      </c>
      <c r="H312" s="32">
        <v>10355.796231997558</v>
      </c>
      <c r="I312" s="31">
        <v>0.90224054632653594</v>
      </c>
      <c r="J312" s="32">
        <v>7517.6897828673937</v>
      </c>
      <c r="L312" s="43">
        <f t="shared" si="32"/>
        <v>-11907.822649795056</v>
      </c>
      <c r="M312" s="43">
        <f t="shared" si="33"/>
        <v>-7060.7551252325638</v>
      </c>
      <c r="N312" s="43">
        <f t="shared" si="34"/>
        <v>-5641.3424402198234</v>
      </c>
      <c r="O312" s="43">
        <f t="shared" si="35"/>
        <v>-3006.4870512347143</v>
      </c>
      <c r="Q312" s="42">
        <f t="shared" si="36"/>
        <v>0</v>
      </c>
      <c r="R312" s="42">
        <f t="shared" si="37"/>
        <v>0</v>
      </c>
      <c r="S312" s="42">
        <f t="shared" si="38"/>
        <v>0</v>
      </c>
      <c r="T312" s="42">
        <f t="shared" si="39"/>
        <v>1</v>
      </c>
    </row>
    <row r="313" spans="1:20" x14ac:dyDescent="0.2">
      <c r="A313" s="30">
        <v>306</v>
      </c>
      <c r="C313" s="31">
        <v>0.96264945899258136</v>
      </c>
      <c r="D313" s="32">
        <v>15146.447489326831</v>
      </c>
      <c r="E313" s="31">
        <v>0.94901636592875938</v>
      </c>
      <c r="F313" s="32">
        <v>6654.0963407700474</v>
      </c>
      <c r="G313" s="31">
        <v>0.9437427701713248</v>
      </c>
      <c r="H313" s="32">
        <v>8966.5504190382726</v>
      </c>
      <c r="I313" s="31">
        <v>0.94374277017132502</v>
      </c>
      <c r="J313" s="32">
        <v>5504.2175902294084</v>
      </c>
      <c r="L313" s="43">
        <f t="shared" si="32"/>
        <v>-10333.200194363924</v>
      </c>
      <c r="M313" s="43">
        <f t="shared" si="33"/>
        <v>-1909.0145111262509</v>
      </c>
      <c r="N313" s="43">
        <f t="shared" si="34"/>
        <v>-4247.8365681816485</v>
      </c>
      <c r="O313" s="43">
        <f t="shared" si="35"/>
        <v>-785.50373937278346</v>
      </c>
      <c r="Q313" s="42">
        <f t="shared" si="36"/>
        <v>0</v>
      </c>
      <c r="R313" s="42">
        <f t="shared" si="37"/>
        <v>0</v>
      </c>
      <c r="S313" s="42">
        <f t="shared" si="38"/>
        <v>0</v>
      </c>
      <c r="T313" s="42">
        <f t="shared" si="39"/>
        <v>1</v>
      </c>
    </row>
    <row r="314" spans="1:20" x14ac:dyDescent="0.2">
      <c r="A314" s="30">
        <v>307</v>
      </c>
      <c r="C314" s="31">
        <v>0.97122512889658141</v>
      </c>
      <c r="D314" s="32">
        <v>16222.498974524669</v>
      </c>
      <c r="E314" s="31">
        <v>0.78553070111097567</v>
      </c>
      <c r="F314" s="32">
        <v>2489.4684141409789</v>
      </c>
      <c r="G314" s="31">
        <v>0.94297537781639251</v>
      </c>
      <c r="H314" s="32">
        <v>9627.0230986452916</v>
      </c>
      <c r="I314" s="31">
        <v>0.78371733665032539</v>
      </c>
      <c r="J314" s="32">
        <v>2296.8655241244228</v>
      </c>
      <c r="L314" s="43">
        <f t="shared" si="32"/>
        <v>-11366.373330041763</v>
      </c>
      <c r="M314" s="43">
        <f t="shared" si="33"/>
        <v>1438.1850914138995</v>
      </c>
      <c r="N314" s="43">
        <f t="shared" si="34"/>
        <v>-4912.1462095633287</v>
      </c>
      <c r="O314" s="43">
        <f t="shared" si="35"/>
        <v>1621.7211591272044</v>
      </c>
      <c r="Q314" s="42">
        <f t="shared" si="36"/>
        <v>0</v>
      </c>
      <c r="R314" s="42">
        <f t="shared" si="37"/>
        <v>0</v>
      </c>
      <c r="S314" s="42">
        <f t="shared" si="38"/>
        <v>0</v>
      </c>
      <c r="T314" s="42">
        <f t="shared" si="39"/>
        <v>1</v>
      </c>
    </row>
    <row r="315" spans="1:20" x14ac:dyDescent="0.2">
      <c r="A315" s="30">
        <v>308</v>
      </c>
      <c r="C315" s="31">
        <v>0.97088222321879936</v>
      </c>
      <c r="D315" s="32">
        <v>13369.749801808439</v>
      </c>
      <c r="E315" s="31">
        <v>0.96557792799118736</v>
      </c>
      <c r="F315" s="32">
        <v>4552.2997360383024</v>
      </c>
      <c r="G315" s="31">
        <v>0.96242620395145462</v>
      </c>
      <c r="H315" s="32">
        <v>7924.8430923084215</v>
      </c>
      <c r="I315" s="31">
        <v>0.96242620395145462</v>
      </c>
      <c r="J315" s="32">
        <v>4376.2719813290187</v>
      </c>
      <c r="L315" s="43">
        <f t="shared" si="32"/>
        <v>-8515.3386857144433</v>
      </c>
      <c r="M315" s="43">
        <f t="shared" si="33"/>
        <v>275.58990391763473</v>
      </c>
      <c r="N315" s="43">
        <f t="shared" si="34"/>
        <v>-3112.7120725511486</v>
      </c>
      <c r="O315" s="43">
        <f t="shared" si="35"/>
        <v>435.85903842825428</v>
      </c>
      <c r="Q315" s="42">
        <f t="shared" si="36"/>
        <v>0</v>
      </c>
      <c r="R315" s="42">
        <f t="shared" si="37"/>
        <v>0</v>
      </c>
      <c r="S315" s="42">
        <f t="shared" si="38"/>
        <v>0</v>
      </c>
      <c r="T315" s="42">
        <f t="shared" si="39"/>
        <v>1</v>
      </c>
    </row>
    <row r="316" spans="1:20" x14ac:dyDescent="0.2">
      <c r="A316" s="30">
        <v>309</v>
      </c>
      <c r="C316" s="31">
        <v>0.99289815082889143</v>
      </c>
      <c r="D316" s="32">
        <v>17855.01699835691</v>
      </c>
      <c r="E316" s="31">
        <v>0.96117339151061598</v>
      </c>
      <c r="F316" s="32">
        <v>10098.517716055432</v>
      </c>
      <c r="G316" s="31">
        <v>0.96117339151061587</v>
      </c>
      <c r="H316" s="32">
        <v>10778.812117417225</v>
      </c>
      <c r="I316" s="31">
        <v>0.96117339151061598</v>
      </c>
      <c r="J316" s="32">
        <v>7586.9933394683458</v>
      </c>
      <c r="L316" s="43">
        <f t="shared" si="32"/>
        <v>-12890.526244212453</v>
      </c>
      <c r="M316" s="43">
        <f t="shared" si="33"/>
        <v>-5292.6507585023519</v>
      </c>
      <c r="N316" s="43">
        <f t="shared" si="34"/>
        <v>-5972.9451598641454</v>
      </c>
      <c r="O316" s="43">
        <f t="shared" si="35"/>
        <v>-2781.1263819152655</v>
      </c>
      <c r="Q316" s="42">
        <f t="shared" si="36"/>
        <v>0</v>
      </c>
      <c r="R316" s="42">
        <f t="shared" si="37"/>
        <v>0</v>
      </c>
      <c r="S316" s="42">
        <f t="shared" si="38"/>
        <v>0</v>
      </c>
      <c r="T316" s="42">
        <f t="shared" si="39"/>
        <v>1</v>
      </c>
    </row>
    <row r="317" spans="1:20" x14ac:dyDescent="0.2">
      <c r="A317" s="30">
        <v>310</v>
      </c>
      <c r="C317" s="31">
        <v>0.98475542764276447</v>
      </c>
      <c r="D317" s="32">
        <v>16987.118357254192</v>
      </c>
      <c r="E317" s="31">
        <v>0.88203178719452691</v>
      </c>
      <c r="F317" s="32">
        <v>3444.1570475951171</v>
      </c>
      <c r="G317" s="31">
        <v>0.97816921535111168</v>
      </c>
      <c r="H317" s="32">
        <v>10290.843021707164</v>
      </c>
      <c r="I317" s="31">
        <v>0.87995724682222354</v>
      </c>
      <c r="J317" s="32">
        <v>3275.4624534846293</v>
      </c>
      <c r="L317" s="43">
        <f t="shared" si="32"/>
        <v>-12063.341219040369</v>
      </c>
      <c r="M317" s="43">
        <f t="shared" si="33"/>
        <v>966.00188837751784</v>
      </c>
      <c r="N317" s="43">
        <f t="shared" si="34"/>
        <v>-5399.9969449516057</v>
      </c>
      <c r="O317" s="43">
        <f t="shared" si="35"/>
        <v>1124.3237806264883</v>
      </c>
      <c r="Q317" s="42">
        <f t="shared" si="36"/>
        <v>0</v>
      </c>
      <c r="R317" s="42">
        <f t="shared" si="37"/>
        <v>0</v>
      </c>
      <c r="S317" s="42">
        <f t="shared" si="38"/>
        <v>0</v>
      </c>
      <c r="T317" s="42">
        <f t="shared" si="39"/>
        <v>1</v>
      </c>
    </row>
    <row r="318" spans="1:20" x14ac:dyDescent="0.2">
      <c r="A318" s="30">
        <v>311</v>
      </c>
      <c r="C318" s="31">
        <v>0.99179884861632794</v>
      </c>
      <c r="D318" s="32">
        <v>16705.752535546831</v>
      </c>
      <c r="E318" s="31">
        <v>0.73841953589788012</v>
      </c>
      <c r="F318" s="32">
        <v>1803.4976148769881</v>
      </c>
      <c r="G318" s="31">
        <v>0.94895034541950629</v>
      </c>
      <c r="H318" s="32">
        <v>9348.4293343530389</v>
      </c>
      <c r="I318" s="31">
        <v>0.73640837465088638</v>
      </c>
      <c r="J318" s="32">
        <v>1613.1346533742126</v>
      </c>
      <c r="L318" s="43">
        <f t="shared" si="32"/>
        <v>-11746.758292465191</v>
      </c>
      <c r="M318" s="43">
        <f t="shared" si="33"/>
        <v>1888.6000646124123</v>
      </c>
      <c r="N318" s="43">
        <f t="shared" si="34"/>
        <v>-4603.6776072555076</v>
      </c>
      <c r="O318" s="43">
        <f t="shared" si="35"/>
        <v>2068.9072198802191</v>
      </c>
      <c r="Q318" s="42">
        <f t="shared" si="36"/>
        <v>0</v>
      </c>
      <c r="R318" s="42">
        <f t="shared" si="37"/>
        <v>0</v>
      </c>
      <c r="S318" s="42">
        <f t="shared" si="38"/>
        <v>0</v>
      </c>
      <c r="T318" s="42">
        <f t="shared" si="39"/>
        <v>1</v>
      </c>
    </row>
    <row r="319" spans="1:20" x14ac:dyDescent="0.2">
      <c r="A319" s="30">
        <v>312</v>
      </c>
      <c r="C319" s="31">
        <v>0.99515473804120769</v>
      </c>
      <c r="D319" s="32">
        <v>15541.790867238677</v>
      </c>
      <c r="E319" s="31">
        <v>0.78626996220362244</v>
      </c>
      <c r="F319" s="32">
        <v>3384.5495819000853</v>
      </c>
      <c r="G319" s="31">
        <v>0.93284548898712027</v>
      </c>
      <c r="H319" s="32">
        <v>9604.8719900788128</v>
      </c>
      <c r="I319" s="31">
        <v>0.78209739097112441</v>
      </c>
      <c r="J319" s="32">
        <v>3175.80720824015</v>
      </c>
      <c r="L319" s="43">
        <f t="shared" si="32"/>
        <v>-10566.017177032638</v>
      </c>
      <c r="M319" s="43">
        <f t="shared" si="33"/>
        <v>546.80022911802689</v>
      </c>
      <c r="N319" s="43">
        <f t="shared" si="34"/>
        <v>-4940.6445451432119</v>
      </c>
      <c r="O319" s="43">
        <f t="shared" si="35"/>
        <v>734.67974661547214</v>
      </c>
      <c r="Q319" s="42">
        <f t="shared" si="36"/>
        <v>0</v>
      </c>
      <c r="R319" s="42">
        <f t="shared" si="37"/>
        <v>0</v>
      </c>
      <c r="S319" s="42">
        <f t="shared" si="38"/>
        <v>0</v>
      </c>
      <c r="T319" s="42">
        <f t="shared" si="39"/>
        <v>1</v>
      </c>
    </row>
    <row r="320" spans="1:20" x14ac:dyDescent="0.2">
      <c r="A320" s="30">
        <v>313</v>
      </c>
      <c r="C320" s="31">
        <v>0.90622655181395162</v>
      </c>
      <c r="D320" s="32">
        <v>15776.867337999747</v>
      </c>
      <c r="E320" s="31">
        <v>0.92554808475289874</v>
      </c>
      <c r="F320" s="32">
        <v>5252.2318526710842</v>
      </c>
      <c r="G320" s="31">
        <v>0.92056174011280556</v>
      </c>
      <c r="H320" s="32">
        <v>9328.8043445255134</v>
      </c>
      <c r="I320" s="31">
        <v>0.92056174011280567</v>
      </c>
      <c r="J320" s="32">
        <v>5026.6987874937968</v>
      </c>
      <c r="L320" s="43">
        <f t="shared" si="32"/>
        <v>-11245.734578929989</v>
      </c>
      <c r="M320" s="43">
        <f t="shared" si="33"/>
        <v>-624.49142890659095</v>
      </c>
      <c r="N320" s="43">
        <f t="shared" si="34"/>
        <v>-4725.9956439614853</v>
      </c>
      <c r="O320" s="43">
        <f t="shared" si="35"/>
        <v>-423.89008692976859</v>
      </c>
      <c r="Q320" s="42">
        <f t="shared" si="36"/>
        <v>0</v>
      </c>
      <c r="R320" s="42">
        <f t="shared" si="37"/>
        <v>0</v>
      </c>
      <c r="S320" s="42">
        <f t="shared" si="38"/>
        <v>0</v>
      </c>
      <c r="T320" s="42">
        <f t="shared" si="39"/>
        <v>1</v>
      </c>
    </row>
    <row r="321" spans="1:20" x14ac:dyDescent="0.2">
      <c r="A321" s="30">
        <v>314</v>
      </c>
      <c r="C321" s="31">
        <v>0.98989247563567184</v>
      </c>
      <c r="D321" s="32">
        <v>18611.573349156719</v>
      </c>
      <c r="E321" s="31">
        <v>0.75391502604825378</v>
      </c>
      <c r="F321" s="32">
        <v>2306.1233511625164</v>
      </c>
      <c r="G321" s="31">
        <v>0.92739815577022222</v>
      </c>
      <c r="H321" s="32">
        <v>11751.846763486717</v>
      </c>
      <c r="I321" s="31">
        <v>0.75078689987537928</v>
      </c>
      <c r="J321" s="32">
        <v>2134.6128580817262</v>
      </c>
      <c r="L321" s="43">
        <f t="shared" si="32"/>
        <v>-13662.11097097836</v>
      </c>
      <c r="M321" s="43">
        <f t="shared" si="33"/>
        <v>1463.4517790787527</v>
      </c>
      <c r="N321" s="43">
        <f t="shared" si="34"/>
        <v>-7114.8559846356065</v>
      </c>
      <c r="O321" s="43">
        <f t="shared" si="35"/>
        <v>1619.3216412951701</v>
      </c>
      <c r="Q321" s="42">
        <f t="shared" si="36"/>
        <v>0</v>
      </c>
      <c r="R321" s="42">
        <f t="shared" si="37"/>
        <v>0</v>
      </c>
      <c r="S321" s="42">
        <f t="shared" si="38"/>
        <v>0</v>
      </c>
      <c r="T321" s="42">
        <f t="shared" si="39"/>
        <v>1</v>
      </c>
    </row>
    <row r="322" spans="1:20" x14ac:dyDescent="0.2">
      <c r="A322" s="30">
        <v>315</v>
      </c>
      <c r="C322" s="31">
        <v>0.98670395873872385</v>
      </c>
      <c r="D322" s="32">
        <v>13657.253707803249</v>
      </c>
      <c r="E322" s="31">
        <v>0.9242410054711967</v>
      </c>
      <c r="F322" s="32">
        <v>7021.8105471003873</v>
      </c>
      <c r="G322" s="31">
        <v>0.92206650888977126</v>
      </c>
      <c r="H322" s="32">
        <v>8347.4276745460302</v>
      </c>
      <c r="I322" s="31">
        <v>0.92206650888977149</v>
      </c>
      <c r="J322" s="32">
        <v>5653.4700107333238</v>
      </c>
      <c r="L322" s="43">
        <f t="shared" si="32"/>
        <v>-8723.7339141096309</v>
      </c>
      <c r="M322" s="43">
        <f t="shared" si="33"/>
        <v>-2400.6055197444039</v>
      </c>
      <c r="N322" s="43">
        <f t="shared" si="34"/>
        <v>-3737.0951300971738</v>
      </c>
      <c r="O322" s="43">
        <f t="shared" si="35"/>
        <v>-1043.1374662844664</v>
      </c>
      <c r="Q322" s="42">
        <f t="shared" si="36"/>
        <v>0</v>
      </c>
      <c r="R322" s="42">
        <f t="shared" si="37"/>
        <v>0</v>
      </c>
      <c r="S322" s="42">
        <f t="shared" si="38"/>
        <v>0</v>
      </c>
      <c r="T322" s="42">
        <f t="shared" si="39"/>
        <v>1</v>
      </c>
    </row>
    <row r="323" spans="1:20" x14ac:dyDescent="0.2">
      <c r="A323" s="30">
        <v>316</v>
      </c>
      <c r="C323" s="31">
        <v>0.99924202447576105</v>
      </c>
      <c r="D323" s="32">
        <v>14218.198282563853</v>
      </c>
      <c r="E323" s="31">
        <v>0.99087523637363173</v>
      </c>
      <c r="F323" s="32">
        <v>4869.3791330075992</v>
      </c>
      <c r="G323" s="31">
        <v>0.98703552995802779</v>
      </c>
      <c r="H323" s="32">
        <v>8315.3731093059378</v>
      </c>
      <c r="I323" s="31">
        <v>0.98703552995802779</v>
      </c>
      <c r="J323" s="32">
        <v>4664.7539809358259</v>
      </c>
      <c r="L323" s="43">
        <f t="shared" si="32"/>
        <v>-9221.9881601850484</v>
      </c>
      <c r="M323" s="43">
        <f t="shared" si="33"/>
        <v>84.997048860559516</v>
      </c>
      <c r="N323" s="43">
        <f t="shared" si="34"/>
        <v>-3380.1954595157986</v>
      </c>
      <c r="O323" s="43">
        <f t="shared" si="35"/>
        <v>270.42366885431329</v>
      </c>
      <c r="Q323" s="42">
        <f t="shared" si="36"/>
        <v>0</v>
      </c>
      <c r="R323" s="42">
        <f t="shared" si="37"/>
        <v>0</v>
      </c>
      <c r="S323" s="42">
        <f t="shared" si="38"/>
        <v>0</v>
      </c>
      <c r="T323" s="42">
        <f t="shared" si="39"/>
        <v>1</v>
      </c>
    </row>
    <row r="324" spans="1:20" x14ac:dyDescent="0.2">
      <c r="A324" s="30">
        <v>317</v>
      </c>
      <c r="C324" s="31">
        <v>0.99075398119903013</v>
      </c>
      <c r="D324" s="32">
        <v>15793.059679925285</v>
      </c>
      <c r="E324" s="31">
        <v>0.76745495631471128</v>
      </c>
      <c r="F324" s="32">
        <v>8895.7611406173964</v>
      </c>
      <c r="G324" s="31">
        <v>0.9733022656997945</v>
      </c>
      <c r="H324" s="32">
        <v>9332.4002054371649</v>
      </c>
      <c r="I324" s="31">
        <v>0.76422814174131526</v>
      </c>
      <c r="J324" s="32">
        <v>4419.7337623844969</v>
      </c>
      <c r="L324" s="43">
        <f t="shared" si="32"/>
        <v>-10839.289773930133</v>
      </c>
      <c r="M324" s="43">
        <f t="shared" si="33"/>
        <v>-5058.4863590438399</v>
      </c>
      <c r="N324" s="43">
        <f t="shared" si="34"/>
        <v>-4465.888876938192</v>
      </c>
      <c r="O324" s="43">
        <f t="shared" si="35"/>
        <v>-598.59305367792058</v>
      </c>
      <c r="Q324" s="42">
        <f t="shared" si="36"/>
        <v>0</v>
      </c>
      <c r="R324" s="42">
        <f t="shared" si="37"/>
        <v>0</v>
      </c>
      <c r="S324" s="42">
        <f t="shared" si="38"/>
        <v>0</v>
      </c>
      <c r="T324" s="42">
        <f t="shared" si="39"/>
        <v>1</v>
      </c>
    </row>
    <row r="325" spans="1:20" x14ac:dyDescent="0.2">
      <c r="A325" s="30">
        <v>318</v>
      </c>
      <c r="C325" s="31">
        <v>0.98715870836956443</v>
      </c>
      <c r="D325" s="32">
        <v>16795.168344637972</v>
      </c>
      <c r="E325" s="31">
        <v>0.9352574268429138</v>
      </c>
      <c r="F325" s="32">
        <v>5561.2275009156401</v>
      </c>
      <c r="G325" s="31">
        <v>0.93196803454572097</v>
      </c>
      <c r="H325" s="32">
        <v>9940.9684233972348</v>
      </c>
      <c r="I325" s="31">
        <v>0.93197111966760726</v>
      </c>
      <c r="J325" s="32">
        <v>5372.9533133709792</v>
      </c>
      <c r="L325" s="43">
        <f t="shared" si="32"/>
        <v>-11859.374802790149</v>
      </c>
      <c r="M325" s="43">
        <f t="shared" si="33"/>
        <v>-884.94036670107107</v>
      </c>
      <c r="N325" s="43">
        <f t="shared" si="34"/>
        <v>-5281.1282506686302</v>
      </c>
      <c r="O325" s="43">
        <f t="shared" si="35"/>
        <v>-713.09771503294269</v>
      </c>
      <c r="Q325" s="42">
        <f t="shared" si="36"/>
        <v>0</v>
      </c>
      <c r="R325" s="42">
        <f t="shared" si="37"/>
        <v>0</v>
      </c>
      <c r="S325" s="42">
        <f t="shared" si="38"/>
        <v>0</v>
      </c>
      <c r="T325" s="42">
        <f t="shared" si="39"/>
        <v>1</v>
      </c>
    </row>
    <row r="326" spans="1:20" x14ac:dyDescent="0.2">
      <c r="A326" s="30">
        <v>319</v>
      </c>
      <c r="C326" s="31">
        <v>0.98341233348039214</v>
      </c>
      <c r="D326" s="32">
        <v>17828.018201144401</v>
      </c>
      <c r="E326" s="31">
        <v>0.97104257865847743</v>
      </c>
      <c r="F326" s="32">
        <v>6702.2532776821618</v>
      </c>
      <c r="G326" s="31">
        <v>0.96900062518065755</v>
      </c>
      <c r="H326" s="32">
        <v>10964.347838293063</v>
      </c>
      <c r="I326" s="31">
        <v>0.96900062518065777</v>
      </c>
      <c r="J326" s="32">
        <v>6504.6107642903326</v>
      </c>
      <c r="L326" s="43">
        <f t="shared" si="32"/>
        <v>-12910.956533742439</v>
      </c>
      <c r="M326" s="43">
        <f t="shared" si="33"/>
        <v>-1847.0403843897748</v>
      </c>
      <c r="N326" s="43">
        <f t="shared" si="34"/>
        <v>-6119.3447123897749</v>
      </c>
      <c r="O326" s="43">
        <f t="shared" si="35"/>
        <v>-1659.6076383870441</v>
      </c>
      <c r="Q326" s="42">
        <f t="shared" si="36"/>
        <v>0</v>
      </c>
      <c r="R326" s="42">
        <f t="shared" si="37"/>
        <v>0</v>
      </c>
      <c r="S326" s="42">
        <f t="shared" si="38"/>
        <v>0</v>
      </c>
      <c r="T326" s="42">
        <f t="shared" si="39"/>
        <v>1</v>
      </c>
    </row>
    <row r="327" spans="1:20" x14ac:dyDescent="0.2">
      <c r="A327" s="30">
        <v>320</v>
      </c>
      <c r="C327" s="31">
        <v>0.98540544743827552</v>
      </c>
      <c r="D327" s="32">
        <v>18127.079386092104</v>
      </c>
      <c r="E327" s="31">
        <v>0.9693738490475764</v>
      </c>
      <c r="F327" s="32">
        <v>6452.1746605658009</v>
      </c>
      <c r="G327" s="31">
        <v>0.9679738350977265</v>
      </c>
      <c r="H327" s="32">
        <v>11017.665480194879</v>
      </c>
      <c r="I327" s="31">
        <v>0.9679738350977265</v>
      </c>
      <c r="J327" s="32">
        <v>6302.2852122841805</v>
      </c>
      <c r="L327" s="43">
        <f t="shared" si="32"/>
        <v>-13200.052148900726</v>
      </c>
      <c r="M327" s="43">
        <f t="shared" si="33"/>
        <v>-1605.305415327919</v>
      </c>
      <c r="N327" s="43">
        <f t="shared" si="34"/>
        <v>-6177.7963047062467</v>
      </c>
      <c r="O327" s="43">
        <f t="shared" si="35"/>
        <v>-1462.4160367955483</v>
      </c>
      <c r="Q327" s="42">
        <f t="shared" si="36"/>
        <v>0</v>
      </c>
      <c r="R327" s="42">
        <f t="shared" si="37"/>
        <v>0</v>
      </c>
      <c r="S327" s="42">
        <f t="shared" si="38"/>
        <v>0</v>
      </c>
      <c r="T327" s="42">
        <f t="shared" si="39"/>
        <v>1</v>
      </c>
    </row>
    <row r="328" spans="1:20" x14ac:dyDescent="0.2">
      <c r="A328" s="30">
        <v>321</v>
      </c>
      <c r="C328" s="31">
        <v>0.9782321860376112</v>
      </c>
      <c r="D328" s="32">
        <v>18281.837355943633</v>
      </c>
      <c r="E328" s="31">
        <v>0.95676289289259775</v>
      </c>
      <c r="F328" s="32">
        <v>6600.5527549326607</v>
      </c>
      <c r="G328" s="31">
        <v>0.9440509180417388</v>
      </c>
      <c r="H328" s="32">
        <v>10541.134997674359</v>
      </c>
      <c r="I328" s="31">
        <v>0.9440537046193247</v>
      </c>
      <c r="J328" s="32">
        <v>6196.8579520991825</v>
      </c>
      <c r="L328" s="43">
        <f t="shared" ref="L328:L391" si="40">C328*Rc_-D328</f>
        <v>-13390.676425755577</v>
      </c>
      <c r="M328" s="43">
        <f t="shared" ref="M328:M391" si="41">E328*Rc_-F328</f>
        <v>-1816.7382904696724</v>
      </c>
      <c r="N328" s="43">
        <f t="shared" ref="N328:N391" si="42">G328*Rc_-H328</f>
        <v>-5820.8804074656646</v>
      </c>
      <c r="O328" s="43">
        <f t="shared" ref="O328:O391" si="43">I328*Rc_-J328</f>
        <v>-1476.589429002559</v>
      </c>
      <c r="Q328" s="42">
        <f t="shared" si="36"/>
        <v>0</v>
      </c>
      <c r="R328" s="42">
        <f t="shared" si="37"/>
        <v>0</v>
      </c>
      <c r="S328" s="42">
        <f t="shared" si="38"/>
        <v>0</v>
      </c>
      <c r="T328" s="42">
        <f t="shared" si="39"/>
        <v>1</v>
      </c>
    </row>
    <row r="329" spans="1:20" x14ac:dyDescent="0.2">
      <c r="A329" s="30">
        <v>322</v>
      </c>
      <c r="C329" s="31">
        <v>0.99495137477364803</v>
      </c>
      <c r="D329" s="32">
        <v>15507.551990103497</v>
      </c>
      <c r="E329" s="31">
        <v>0.74782384029603222</v>
      </c>
      <c r="F329" s="32">
        <v>2792.40293081143</v>
      </c>
      <c r="G329" s="31">
        <v>0.92730772688387675</v>
      </c>
      <c r="H329" s="32">
        <v>10155.448207585403</v>
      </c>
      <c r="I329" s="31">
        <v>0.74584283127988771</v>
      </c>
      <c r="J329" s="32">
        <v>2626.8213940785463</v>
      </c>
      <c r="L329" s="43">
        <f t="shared" si="40"/>
        <v>-10532.795116235257</v>
      </c>
      <c r="M329" s="43">
        <f t="shared" si="41"/>
        <v>946.71627066873089</v>
      </c>
      <c r="N329" s="43">
        <f t="shared" si="42"/>
        <v>-5518.9095731660191</v>
      </c>
      <c r="O329" s="43">
        <f t="shared" si="43"/>
        <v>1102.3927623208924</v>
      </c>
      <c r="Q329" s="42">
        <f t="shared" ref="Q329:Q392" si="44">IF(L329&gt;$M329,IF(L329&gt;$N329,IF(L329&gt;$O329,1,0),0),0)</f>
        <v>0</v>
      </c>
      <c r="R329" s="42">
        <f t="shared" ref="R329:R392" si="45">IF(M329&gt;$L329,IF(M329&gt;$N329,IF(M329&gt;$O329,1,0),0),0)</f>
        <v>0</v>
      </c>
      <c r="S329" s="42">
        <f t="shared" ref="S329:S392" si="46">IF(N329&gt;$M329,IF(N329&gt;$L329,IF(N329&gt;$O329,1,0),0),0)</f>
        <v>0</v>
      </c>
      <c r="T329" s="42">
        <f t="shared" ref="T329:T392" si="47">IF(O329&gt;$M329,IF(O329&gt;$N329,IF(O329&gt;$L329,1,0),0),0)</f>
        <v>1</v>
      </c>
    </row>
    <row r="330" spans="1:20" x14ac:dyDescent="0.2">
      <c r="A330" s="30">
        <v>323</v>
      </c>
      <c r="C330" s="31">
        <v>0.99186363955155044</v>
      </c>
      <c r="D330" s="32">
        <v>14628.970590019657</v>
      </c>
      <c r="E330" s="31">
        <v>0.85115210589823009</v>
      </c>
      <c r="F330" s="32">
        <v>7009.829925185004</v>
      </c>
      <c r="G330" s="31">
        <v>0.96183042877435665</v>
      </c>
      <c r="H330" s="32">
        <v>8895.2794747818771</v>
      </c>
      <c r="I330" s="31">
        <v>0.84278752012535563</v>
      </c>
      <c r="J330" s="32">
        <v>4684.1106822597058</v>
      </c>
      <c r="L330" s="43">
        <f t="shared" si="40"/>
        <v>-9669.6523922619053</v>
      </c>
      <c r="M330" s="43">
        <f t="shared" si="41"/>
        <v>-2754.069395693853</v>
      </c>
      <c r="N330" s="43">
        <f t="shared" si="42"/>
        <v>-4086.1273309100934</v>
      </c>
      <c r="O330" s="43">
        <f t="shared" si="43"/>
        <v>-470.17308163292728</v>
      </c>
      <c r="Q330" s="42">
        <f t="shared" si="44"/>
        <v>0</v>
      </c>
      <c r="R330" s="42">
        <f t="shared" si="45"/>
        <v>0</v>
      </c>
      <c r="S330" s="42">
        <f t="shared" si="46"/>
        <v>0</v>
      </c>
      <c r="T330" s="42">
        <f t="shared" si="47"/>
        <v>1</v>
      </c>
    </row>
    <row r="331" spans="1:20" x14ac:dyDescent="0.2">
      <c r="A331" s="30">
        <v>324</v>
      </c>
      <c r="C331" s="31">
        <v>0.96174924937288175</v>
      </c>
      <c r="D331" s="32">
        <v>15117.811325001778</v>
      </c>
      <c r="E331" s="31">
        <v>0.91904066433644815</v>
      </c>
      <c r="F331" s="32">
        <v>5537.3743705414718</v>
      </c>
      <c r="G331" s="31">
        <v>0.96009681977820738</v>
      </c>
      <c r="H331" s="32">
        <v>9100.7366122198091</v>
      </c>
      <c r="I331" s="31">
        <v>0.91611760604037951</v>
      </c>
      <c r="J331" s="32">
        <v>4602.3980272094777</v>
      </c>
      <c r="L331" s="43">
        <f t="shared" si="40"/>
        <v>-10309.06507813737</v>
      </c>
      <c r="M331" s="43">
        <f t="shared" si="41"/>
        <v>-942.17104885923072</v>
      </c>
      <c r="N331" s="43">
        <f t="shared" si="42"/>
        <v>-4300.2525133287718</v>
      </c>
      <c r="O331" s="43">
        <f t="shared" si="43"/>
        <v>-21.809997007580023</v>
      </c>
      <c r="Q331" s="42">
        <f t="shared" si="44"/>
        <v>0</v>
      </c>
      <c r="R331" s="42">
        <f t="shared" si="45"/>
        <v>0</v>
      </c>
      <c r="S331" s="42">
        <f t="shared" si="46"/>
        <v>0</v>
      </c>
      <c r="T331" s="42">
        <f t="shared" si="47"/>
        <v>1</v>
      </c>
    </row>
    <row r="332" spans="1:20" x14ac:dyDescent="0.2">
      <c r="A332" s="30">
        <v>325</v>
      </c>
      <c r="C332" s="31">
        <v>0.99161740993764802</v>
      </c>
      <c r="D332" s="32">
        <v>14295.433591348143</v>
      </c>
      <c r="E332" s="31">
        <v>0.87303016006712086</v>
      </c>
      <c r="F332" s="32">
        <v>4582.1241735200429</v>
      </c>
      <c r="G332" s="31">
        <v>0.91952520598299392</v>
      </c>
      <c r="H332" s="32">
        <v>8883.8488125107106</v>
      </c>
      <c r="I332" s="31">
        <v>0.87054579607347415</v>
      </c>
      <c r="J332" s="32">
        <v>4396.4146737027122</v>
      </c>
      <c r="L332" s="43">
        <f t="shared" si="40"/>
        <v>-9337.3465416599029</v>
      </c>
      <c r="M332" s="43">
        <f t="shared" si="41"/>
        <v>-216.97337318443897</v>
      </c>
      <c r="N332" s="43">
        <f t="shared" si="42"/>
        <v>-4286.2227825957407</v>
      </c>
      <c r="O332" s="43">
        <f t="shared" si="43"/>
        <v>-43.685693335341057</v>
      </c>
      <c r="Q332" s="42">
        <f t="shared" si="44"/>
        <v>0</v>
      </c>
      <c r="R332" s="42">
        <f t="shared" si="45"/>
        <v>0</v>
      </c>
      <c r="S332" s="42">
        <f t="shared" si="46"/>
        <v>0</v>
      </c>
      <c r="T332" s="42">
        <f t="shared" si="47"/>
        <v>1</v>
      </c>
    </row>
    <row r="333" spans="1:20" x14ac:dyDescent="0.2">
      <c r="A333" s="30">
        <v>326</v>
      </c>
      <c r="C333" s="31">
        <v>0.98467783997999325</v>
      </c>
      <c r="D333" s="32">
        <v>13676.170960196461</v>
      </c>
      <c r="E333" s="31">
        <v>0.77001528253170215</v>
      </c>
      <c r="F333" s="32">
        <v>2007.3172997045285</v>
      </c>
      <c r="G333" s="31">
        <v>0.94590361256833633</v>
      </c>
      <c r="H333" s="32">
        <v>8596.5695107173851</v>
      </c>
      <c r="I333" s="31">
        <v>0.76500005256703341</v>
      </c>
      <c r="J333" s="32">
        <v>1806.1971744809223</v>
      </c>
      <c r="L333" s="43">
        <f t="shared" si="40"/>
        <v>-8752.7817602964951</v>
      </c>
      <c r="M333" s="43">
        <f t="shared" si="41"/>
        <v>1842.7591129539824</v>
      </c>
      <c r="N333" s="43">
        <f t="shared" si="42"/>
        <v>-3867.0514478757032</v>
      </c>
      <c r="O333" s="43">
        <f t="shared" si="43"/>
        <v>2018.8030883542449</v>
      </c>
      <c r="Q333" s="42">
        <f t="shared" si="44"/>
        <v>0</v>
      </c>
      <c r="R333" s="42">
        <f t="shared" si="45"/>
        <v>0</v>
      </c>
      <c r="S333" s="42">
        <f t="shared" si="46"/>
        <v>0</v>
      </c>
      <c r="T333" s="42">
        <f t="shared" si="47"/>
        <v>1</v>
      </c>
    </row>
    <row r="334" spans="1:20" x14ac:dyDescent="0.2">
      <c r="A334" s="30">
        <v>327</v>
      </c>
      <c r="C334" s="31">
        <v>0.99626375101359321</v>
      </c>
      <c r="D334" s="32">
        <v>10126.106620999521</v>
      </c>
      <c r="E334" s="31">
        <v>0.75691648509071263</v>
      </c>
      <c r="F334" s="32">
        <v>2442.4326046754722</v>
      </c>
      <c r="G334" s="31">
        <v>0.95464847524415963</v>
      </c>
      <c r="H334" s="32">
        <v>6572.5955962785411</v>
      </c>
      <c r="I334" s="31">
        <v>0.75691695398147529</v>
      </c>
      <c r="J334" s="32">
        <v>1935.0326007214576</v>
      </c>
      <c r="L334" s="43">
        <f t="shared" si="40"/>
        <v>-5144.7878659315547</v>
      </c>
      <c r="M334" s="43">
        <f t="shared" si="41"/>
        <v>1342.149820778091</v>
      </c>
      <c r="N334" s="43">
        <f t="shared" si="42"/>
        <v>-1799.3532200577429</v>
      </c>
      <c r="O334" s="43">
        <f t="shared" si="43"/>
        <v>1849.552169185919</v>
      </c>
      <c r="Q334" s="42">
        <f t="shared" si="44"/>
        <v>0</v>
      </c>
      <c r="R334" s="42">
        <f t="shared" si="45"/>
        <v>0</v>
      </c>
      <c r="S334" s="42">
        <f t="shared" si="46"/>
        <v>0</v>
      </c>
      <c r="T334" s="42">
        <f t="shared" si="47"/>
        <v>1</v>
      </c>
    </row>
    <row r="335" spans="1:20" x14ac:dyDescent="0.2">
      <c r="A335" s="30">
        <v>328</v>
      </c>
      <c r="C335" s="31">
        <v>0.99540528148433238</v>
      </c>
      <c r="D335" s="32">
        <v>14437.766493352807</v>
      </c>
      <c r="E335" s="31">
        <v>0.97252314949574648</v>
      </c>
      <c r="F335" s="32">
        <v>4478.8206239490046</v>
      </c>
      <c r="G335" s="31">
        <v>0.96525162824169475</v>
      </c>
      <c r="H335" s="32">
        <v>8374.0800525966988</v>
      </c>
      <c r="I335" s="31">
        <v>0.96525162824169486</v>
      </c>
      <c r="J335" s="32">
        <v>4244.9489232104088</v>
      </c>
      <c r="L335" s="43">
        <f t="shared" si="40"/>
        <v>-9460.7400859311456</v>
      </c>
      <c r="M335" s="43">
        <f t="shared" si="41"/>
        <v>383.79512352972779</v>
      </c>
      <c r="N335" s="43">
        <f t="shared" si="42"/>
        <v>-3547.8219113882251</v>
      </c>
      <c r="O335" s="43">
        <f t="shared" si="43"/>
        <v>581.30921799806583</v>
      </c>
      <c r="Q335" s="42">
        <f t="shared" si="44"/>
        <v>0</v>
      </c>
      <c r="R335" s="42">
        <f t="shared" si="45"/>
        <v>0</v>
      </c>
      <c r="S335" s="42">
        <f t="shared" si="46"/>
        <v>0</v>
      </c>
      <c r="T335" s="42">
        <f t="shared" si="47"/>
        <v>1</v>
      </c>
    </row>
    <row r="336" spans="1:20" x14ac:dyDescent="0.2">
      <c r="A336" s="30">
        <v>329</v>
      </c>
      <c r="C336" s="31">
        <v>0.99212375759462579</v>
      </c>
      <c r="D336" s="32">
        <v>17446.469853624545</v>
      </c>
      <c r="E336" s="31">
        <v>0.94345279061318199</v>
      </c>
      <c r="F336" s="32">
        <v>8124.1705173373166</v>
      </c>
      <c r="G336" s="31">
        <v>0.93578505315050331</v>
      </c>
      <c r="H336" s="32">
        <v>10401.607085071437</v>
      </c>
      <c r="I336" s="31">
        <v>0.93578505315050331</v>
      </c>
      <c r="J336" s="32">
        <v>6900.1715971984659</v>
      </c>
      <c r="L336" s="43">
        <f t="shared" si="40"/>
        <v>-12485.851065651415</v>
      </c>
      <c r="M336" s="43">
        <f t="shared" si="41"/>
        <v>-3406.9065642714068</v>
      </c>
      <c r="N336" s="43">
        <f t="shared" si="42"/>
        <v>-5722.6818193189201</v>
      </c>
      <c r="O336" s="43">
        <f t="shared" si="43"/>
        <v>-2221.2463314459492</v>
      </c>
      <c r="Q336" s="42">
        <f t="shared" si="44"/>
        <v>0</v>
      </c>
      <c r="R336" s="42">
        <f t="shared" si="45"/>
        <v>0</v>
      </c>
      <c r="S336" s="42">
        <f t="shared" si="46"/>
        <v>0</v>
      </c>
      <c r="T336" s="42">
        <f t="shared" si="47"/>
        <v>1</v>
      </c>
    </row>
    <row r="337" spans="1:20" x14ac:dyDescent="0.2">
      <c r="A337" s="30">
        <v>330</v>
      </c>
      <c r="C337" s="31">
        <v>0.99441405568690067</v>
      </c>
      <c r="D337" s="32">
        <v>18820.548943564438</v>
      </c>
      <c r="E337" s="31">
        <v>0.95341513934457489</v>
      </c>
      <c r="F337" s="32">
        <v>7268.5667682496205</v>
      </c>
      <c r="G337" s="31">
        <v>0.95285195932867239</v>
      </c>
      <c r="H337" s="32">
        <v>10200.394908788479</v>
      </c>
      <c r="I337" s="31">
        <v>0.94868379127195346</v>
      </c>
      <c r="J337" s="32">
        <v>6209.2917996351534</v>
      </c>
      <c r="L337" s="43">
        <f t="shared" si="40"/>
        <v>-13848.478665129935</v>
      </c>
      <c r="M337" s="43">
        <f t="shared" si="41"/>
        <v>-2501.4910715267461</v>
      </c>
      <c r="N337" s="43">
        <f t="shared" si="42"/>
        <v>-5436.1351121451171</v>
      </c>
      <c r="O337" s="43">
        <f t="shared" si="43"/>
        <v>-1465.872843275386</v>
      </c>
      <c r="Q337" s="42">
        <f t="shared" si="44"/>
        <v>0</v>
      </c>
      <c r="R337" s="42">
        <f t="shared" si="45"/>
        <v>0</v>
      </c>
      <c r="S337" s="42">
        <f t="shared" si="46"/>
        <v>0</v>
      </c>
      <c r="T337" s="42">
        <f t="shared" si="47"/>
        <v>1</v>
      </c>
    </row>
    <row r="338" spans="1:20" x14ac:dyDescent="0.2">
      <c r="A338" s="30">
        <v>331</v>
      </c>
      <c r="C338" s="31">
        <v>0.97621524179741281</v>
      </c>
      <c r="D338" s="32">
        <v>14871.987402338778</v>
      </c>
      <c r="E338" s="31">
        <v>0.93922148105371139</v>
      </c>
      <c r="F338" s="32">
        <v>5255.1513268601648</v>
      </c>
      <c r="G338" s="31">
        <v>0.93346502055789626</v>
      </c>
      <c r="H338" s="32">
        <v>9155.6850906678192</v>
      </c>
      <c r="I338" s="31">
        <v>0.93346502055789649</v>
      </c>
      <c r="J338" s="32">
        <v>5025.954024987409</v>
      </c>
      <c r="L338" s="43">
        <f t="shared" si="40"/>
        <v>-9990.9111933517142</v>
      </c>
      <c r="M338" s="43">
        <f t="shared" si="41"/>
        <v>-559.04392159160761</v>
      </c>
      <c r="N338" s="43">
        <f t="shared" si="42"/>
        <v>-4488.359987878338</v>
      </c>
      <c r="O338" s="43">
        <f t="shared" si="43"/>
        <v>-358.62892219792684</v>
      </c>
      <c r="Q338" s="42">
        <f t="shared" si="44"/>
        <v>0</v>
      </c>
      <c r="R338" s="42">
        <f t="shared" si="45"/>
        <v>0</v>
      </c>
      <c r="S338" s="42">
        <f t="shared" si="46"/>
        <v>0</v>
      </c>
      <c r="T338" s="42">
        <f t="shared" si="47"/>
        <v>1</v>
      </c>
    </row>
    <row r="339" spans="1:20" x14ac:dyDescent="0.2">
      <c r="A339" s="30">
        <v>332</v>
      </c>
      <c r="C339" s="31">
        <v>0.97979880448446832</v>
      </c>
      <c r="D339" s="32">
        <v>17023.010006688608</v>
      </c>
      <c r="E339" s="31">
        <v>0.9361954259956089</v>
      </c>
      <c r="F339" s="32">
        <v>6291.7544237065922</v>
      </c>
      <c r="G339" s="31">
        <v>0.9361954259956089</v>
      </c>
      <c r="H339" s="32">
        <v>10497.313358146199</v>
      </c>
      <c r="I339" s="31">
        <v>0.9361954259956089</v>
      </c>
      <c r="J339" s="32">
        <v>5937.8793248542743</v>
      </c>
      <c r="L339" s="43">
        <f t="shared" si="40"/>
        <v>-12124.015984266265</v>
      </c>
      <c r="M339" s="43">
        <f t="shared" si="41"/>
        <v>-1610.7772937285481</v>
      </c>
      <c r="N339" s="43">
        <f t="shared" si="42"/>
        <v>-5816.3362281681548</v>
      </c>
      <c r="O339" s="43">
        <f t="shared" si="43"/>
        <v>-1256.9021948762302</v>
      </c>
      <c r="Q339" s="42">
        <f t="shared" si="44"/>
        <v>0</v>
      </c>
      <c r="R339" s="42">
        <f t="shared" si="45"/>
        <v>0</v>
      </c>
      <c r="S339" s="42">
        <f t="shared" si="46"/>
        <v>0</v>
      </c>
      <c r="T339" s="42">
        <f t="shared" si="47"/>
        <v>1</v>
      </c>
    </row>
    <row r="340" spans="1:20" x14ac:dyDescent="0.2">
      <c r="A340" s="30">
        <v>333</v>
      </c>
      <c r="C340" s="31">
        <v>0.94447517040173989</v>
      </c>
      <c r="D340" s="32">
        <v>13858.78360203052</v>
      </c>
      <c r="E340" s="31">
        <v>0.67659179899136568</v>
      </c>
      <c r="F340" s="32">
        <v>2062.7331658377529</v>
      </c>
      <c r="G340" s="31">
        <v>0.90709983873958822</v>
      </c>
      <c r="H340" s="32">
        <v>8587.1782871103533</v>
      </c>
      <c r="I340" s="31">
        <v>0.67467169786646952</v>
      </c>
      <c r="J340" s="32">
        <v>1889.4604297929673</v>
      </c>
      <c r="L340" s="43">
        <f t="shared" si="40"/>
        <v>-9136.4077500218209</v>
      </c>
      <c r="M340" s="43">
        <f t="shared" si="41"/>
        <v>1320.2258291190756</v>
      </c>
      <c r="N340" s="43">
        <f t="shared" si="42"/>
        <v>-4051.6790934124119</v>
      </c>
      <c r="O340" s="43">
        <f t="shared" si="43"/>
        <v>1483.8980595393805</v>
      </c>
      <c r="Q340" s="42">
        <f t="shared" si="44"/>
        <v>0</v>
      </c>
      <c r="R340" s="42">
        <f t="shared" si="45"/>
        <v>0</v>
      </c>
      <c r="S340" s="42">
        <f t="shared" si="46"/>
        <v>0</v>
      </c>
      <c r="T340" s="42">
        <f t="shared" si="47"/>
        <v>1</v>
      </c>
    </row>
    <row r="341" spans="1:20" x14ac:dyDescent="0.2">
      <c r="A341" s="30">
        <v>334</v>
      </c>
      <c r="C341" s="31">
        <v>0.9937422249801765</v>
      </c>
      <c r="D341" s="32">
        <v>12128.755370308256</v>
      </c>
      <c r="E341" s="31">
        <v>0.83233971196985002</v>
      </c>
      <c r="F341" s="32">
        <v>3242.5285864998859</v>
      </c>
      <c r="G341" s="31">
        <v>0.93520555949163042</v>
      </c>
      <c r="H341" s="32">
        <v>7597.2862477182407</v>
      </c>
      <c r="I341" s="31">
        <v>0.8241998478158522</v>
      </c>
      <c r="J341" s="32">
        <v>3004.8711234293974</v>
      </c>
      <c r="L341" s="43">
        <f t="shared" si="40"/>
        <v>-7160.0442454073736</v>
      </c>
      <c r="M341" s="43">
        <f t="shared" si="41"/>
        <v>919.16997334936423</v>
      </c>
      <c r="N341" s="43">
        <f t="shared" si="42"/>
        <v>-2921.2584502600885</v>
      </c>
      <c r="O341" s="43">
        <f t="shared" si="43"/>
        <v>1116.128115649864</v>
      </c>
      <c r="Q341" s="42">
        <f t="shared" si="44"/>
        <v>0</v>
      </c>
      <c r="R341" s="42">
        <f t="shared" si="45"/>
        <v>0</v>
      </c>
      <c r="S341" s="42">
        <f t="shared" si="46"/>
        <v>0</v>
      </c>
      <c r="T341" s="42">
        <f t="shared" si="47"/>
        <v>1</v>
      </c>
    </row>
    <row r="342" spans="1:20" x14ac:dyDescent="0.2">
      <c r="A342" s="30">
        <v>335</v>
      </c>
      <c r="C342" s="31">
        <v>0.9632328064638529</v>
      </c>
      <c r="D342" s="32">
        <v>14696.343506001622</v>
      </c>
      <c r="E342" s="31">
        <v>0.79703868310334958</v>
      </c>
      <c r="F342" s="32">
        <v>4392.9846169342163</v>
      </c>
      <c r="G342" s="31">
        <v>0.93284649297532063</v>
      </c>
      <c r="H342" s="32">
        <v>8960.5332814199046</v>
      </c>
      <c r="I342" s="31">
        <v>0.79703868310334935</v>
      </c>
      <c r="J342" s="32">
        <v>3464.9997693316291</v>
      </c>
      <c r="L342" s="43">
        <f t="shared" si="40"/>
        <v>-9880.1794736823576</v>
      </c>
      <c r="M342" s="43">
        <f t="shared" si="41"/>
        <v>-407.79120141746853</v>
      </c>
      <c r="N342" s="43">
        <f t="shared" si="42"/>
        <v>-4296.3008165433012</v>
      </c>
      <c r="O342" s="43">
        <f t="shared" si="43"/>
        <v>520.19364618511781</v>
      </c>
      <c r="Q342" s="42">
        <f t="shared" si="44"/>
        <v>0</v>
      </c>
      <c r="R342" s="42">
        <f t="shared" si="45"/>
        <v>0</v>
      </c>
      <c r="S342" s="42">
        <f t="shared" si="46"/>
        <v>0</v>
      </c>
      <c r="T342" s="42">
        <f t="shared" si="47"/>
        <v>1</v>
      </c>
    </row>
    <row r="343" spans="1:20" x14ac:dyDescent="0.2">
      <c r="A343" s="30">
        <v>336</v>
      </c>
      <c r="C343" s="31">
        <v>0.99271279675046309</v>
      </c>
      <c r="D343" s="32">
        <v>17786.866648007468</v>
      </c>
      <c r="E343" s="31">
        <v>0.9396841402237941</v>
      </c>
      <c r="F343" s="32">
        <v>6213.7068519401655</v>
      </c>
      <c r="G343" s="31">
        <v>0.93968414022379421</v>
      </c>
      <c r="H343" s="32">
        <v>10432.682496443353</v>
      </c>
      <c r="I343" s="31">
        <v>0.93968414022379421</v>
      </c>
      <c r="J343" s="32">
        <v>6044.0109129917173</v>
      </c>
      <c r="L343" s="43">
        <f t="shared" si="40"/>
        <v>-12823.302664255152</v>
      </c>
      <c r="M343" s="43">
        <f t="shared" si="41"/>
        <v>-1515.2861508211954</v>
      </c>
      <c r="N343" s="43">
        <f t="shared" si="42"/>
        <v>-5734.2617953243816</v>
      </c>
      <c r="O343" s="43">
        <f t="shared" si="43"/>
        <v>-1345.5902118727463</v>
      </c>
      <c r="Q343" s="42">
        <f t="shared" si="44"/>
        <v>0</v>
      </c>
      <c r="R343" s="42">
        <f t="shared" si="45"/>
        <v>0</v>
      </c>
      <c r="S343" s="42">
        <f t="shared" si="46"/>
        <v>0</v>
      </c>
      <c r="T343" s="42">
        <f t="shared" si="47"/>
        <v>1</v>
      </c>
    </row>
    <row r="344" spans="1:20" x14ac:dyDescent="0.2">
      <c r="A344" s="30">
        <v>337</v>
      </c>
      <c r="C344" s="31">
        <v>0.97955525303130075</v>
      </c>
      <c r="D344" s="32">
        <v>14492.582025076556</v>
      </c>
      <c r="E344" s="31">
        <v>0.95965809296315108</v>
      </c>
      <c r="F344" s="32">
        <v>4740.3280462469475</v>
      </c>
      <c r="G344" s="31">
        <v>0.96125296452079811</v>
      </c>
      <c r="H344" s="32">
        <v>8687.0278228145198</v>
      </c>
      <c r="I344" s="31">
        <v>0.95511327673883084</v>
      </c>
      <c r="J344" s="32">
        <v>4509.5770902477361</v>
      </c>
      <c r="L344" s="43">
        <f t="shared" si="40"/>
        <v>-9594.8057599200511</v>
      </c>
      <c r="M344" s="43">
        <f t="shared" si="41"/>
        <v>57.962418568808062</v>
      </c>
      <c r="N344" s="43">
        <f t="shared" si="42"/>
        <v>-3880.7630002105288</v>
      </c>
      <c r="O344" s="43">
        <f t="shared" si="43"/>
        <v>265.98929344641783</v>
      </c>
      <c r="Q344" s="42">
        <f t="shared" si="44"/>
        <v>0</v>
      </c>
      <c r="R344" s="42">
        <f t="shared" si="45"/>
        <v>0</v>
      </c>
      <c r="S344" s="42">
        <f t="shared" si="46"/>
        <v>0</v>
      </c>
      <c r="T344" s="42">
        <f t="shared" si="47"/>
        <v>1</v>
      </c>
    </row>
    <row r="345" spans="1:20" x14ac:dyDescent="0.2">
      <c r="A345" s="30">
        <v>338</v>
      </c>
      <c r="C345" s="31">
        <v>0.91806514728264033</v>
      </c>
      <c r="D345" s="32">
        <v>16104.478982424567</v>
      </c>
      <c r="E345" s="31">
        <v>0.93832809806552342</v>
      </c>
      <c r="F345" s="32">
        <v>9536.3315963018485</v>
      </c>
      <c r="G345" s="31">
        <v>0.93829744817559035</v>
      </c>
      <c r="H345" s="32">
        <v>9992.2985751192318</v>
      </c>
      <c r="I345" s="31">
        <v>0.93829744817559035</v>
      </c>
      <c r="J345" s="32">
        <v>7286.6811728444027</v>
      </c>
      <c r="L345" s="43">
        <f t="shared" si="40"/>
        <v>-11514.153246011367</v>
      </c>
      <c r="M345" s="43">
        <f t="shared" si="41"/>
        <v>-4844.6911059742315</v>
      </c>
      <c r="N345" s="43">
        <f t="shared" si="42"/>
        <v>-5300.8113342412798</v>
      </c>
      <c r="O345" s="43">
        <f t="shared" si="43"/>
        <v>-2595.1939319664507</v>
      </c>
      <c r="Q345" s="42">
        <f t="shared" si="44"/>
        <v>0</v>
      </c>
      <c r="R345" s="42">
        <f t="shared" si="45"/>
        <v>0</v>
      </c>
      <c r="S345" s="42">
        <f t="shared" si="46"/>
        <v>0</v>
      </c>
      <c r="T345" s="42">
        <f t="shared" si="47"/>
        <v>1</v>
      </c>
    </row>
    <row r="346" spans="1:20" x14ac:dyDescent="0.2">
      <c r="A346" s="30">
        <v>339</v>
      </c>
      <c r="C346" s="31">
        <v>0.98639573548850712</v>
      </c>
      <c r="D346" s="32">
        <v>13354.749827637128</v>
      </c>
      <c r="E346" s="31">
        <v>0.95262446917305232</v>
      </c>
      <c r="F346" s="32">
        <v>7268.3185259653537</v>
      </c>
      <c r="G346" s="31">
        <v>0.95122154785395696</v>
      </c>
      <c r="H346" s="32">
        <v>8209.0672201333928</v>
      </c>
      <c r="I346" s="31">
        <v>0.95122154785395696</v>
      </c>
      <c r="J346" s="32">
        <v>5775.3699371256262</v>
      </c>
      <c r="L346" s="43">
        <f t="shared" si="40"/>
        <v>-8422.7711501945923</v>
      </c>
      <c r="M346" s="43">
        <f t="shared" si="41"/>
        <v>-2505.1961801000925</v>
      </c>
      <c r="N346" s="43">
        <f t="shared" si="42"/>
        <v>-3452.9594808636084</v>
      </c>
      <c r="O346" s="43">
        <f t="shared" si="43"/>
        <v>-1019.2621978558418</v>
      </c>
      <c r="Q346" s="42">
        <f t="shared" si="44"/>
        <v>0</v>
      </c>
      <c r="R346" s="42">
        <f t="shared" si="45"/>
        <v>0</v>
      </c>
      <c r="S346" s="42">
        <f t="shared" si="46"/>
        <v>0</v>
      </c>
      <c r="T346" s="42">
        <f t="shared" si="47"/>
        <v>1</v>
      </c>
    </row>
    <row r="347" spans="1:20" x14ac:dyDescent="0.2">
      <c r="A347" s="30">
        <v>340</v>
      </c>
      <c r="C347" s="31">
        <v>0.9980399757620505</v>
      </c>
      <c r="D347" s="32">
        <v>16603.770767172042</v>
      </c>
      <c r="E347" s="31">
        <v>0.8327320463598904</v>
      </c>
      <c r="F347" s="32">
        <v>4240.7617663791143</v>
      </c>
      <c r="G347" s="31">
        <v>0.95103478654913409</v>
      </c>
      <c r="H347" s="32">
        <v>10414.349357932821</v>
      </c>
      <c r="I347" s="31">
        <v>0.83108634082347366</v>
      </c>
      <c r="J347" s="32">
        <v>3801.7677812836455</v>
      </c>
      <c r="L347" s="43">
        <f t="shared" si="40"/>
        <v>-11613.570888361788</v>
      </c>
      <c r="M347" s="43">
        <f t="shared" si="41"/>
        <v>-77.101534579662257</v>
      </c>
      <c r="N347" s="43">
        <f t="shared" si="42"/>
        <v>-5659.1754251871498</v>
      </c>
      <c r="O347" s="43">
        <f t="shared" si="43"/>
        <v>353.66392283372261</v>
      </c>
      <c r="Q347" s="42">
        <f t="shared" si="44"/>
        <v>0</v>
      </c>
      <c r="R347" s="42">
        <f t="shared" si="45"/>
        <v>0</v>
      </c>
      <c r="S347" s="42">
        <f t="shared" si="46"/>
        <v>0</v>
      </c>
      <c r="T347" s="42">
        <f t="shared" si="47"/>
        <v>1</v>
      </c>
    </row>
    <row r="348" spans="1:20" x14ac:dyDescent="0.2">
      <c r="A348" s="30">
        <v>341</v>
      </c>
      <c r="C348" s="31">
        <v>0.99680951133826423</v>
      </c>
      <c r="D348" s="32">
        <v>15929.861791375308</v>
      </c>
      <c r="E348" s="31">
        <v>0.96782788400719222</v>
      </c>
      <c r="F348" s="32">
        <v>8705.0344115455573</v>
      </c>
      <c r="G348" s="31">
        <v>0.96233994931052402</v>
      </c>
      <c r="H348" s="32">
        <v>9330.2018493259384</v>
      </c>
      <c r="I348" s="31">
        <v>0.96233994931052402</v>
      </c>
      <c r="J348" s="32">
        <v>6462.2226909768242</v>
      </c>
      <c r="L348" s="43">
        <f t="shared" si="40"/>
        <v>-10945.814234683987</v>
      </c>
      <c r="M348" s="43">
        <f t="shared" si="41"/>
        <v>-3865.8949915095964</v>
      </c>
      <c r="N348" s="43">
        <f t="shared" si="42"/>
        <v>-4518.5021027733183</v>
      </c>
      <c r="O348" s="43">
        <f t="shared" si="43"/>
        <v>-1650.5229444242041</v>
      </c>
      <c r="Q348" s="42">
        <f t="shared" si="44"/>
        <v>0</v>
      </c>
      <c r="R348" s="42">
        <f t="shared" si="45"/>
        <v>0</v>
      </c>
      <c r="S348" s="42">
        <f t="shared" si="46"/>
        <v>0</v>
      </c>
      <c r="T348" s="42">
        <f t="shared" si="47"/>
        <v>1</v>
      </c>
    </row>
    <row r="349" spans="1:20" x14ac:dyDescent="0.2">
      <c r="A349" s="30">
        <v>342</v>
      </c>
      <c r="C349" s="31">
        <v>0.99641479908306274</v>
      </c>
      <c r="D349" s="32">
        <v>13519.303565586426</v>
      </c>
      <c r="E349" s="31">
        <v>0.90286209335263823</v>
      </c>
      <c r="F349" s="32">
        <v>9695.234734788748</v>
      </c>
      <c r="G349" s="31">
        <v>0.91676863044789147</v>
      </c>
      <c r="H349" s="32">
        <v>8103.1067590410048</v>
      </c>
      <c r="I349" s="31">
        <v>0.89109045832177536</v>
      </c>
      <c r="J349" s="32">
        <v>6223.9110319640713</v>
      </c>
      <c r="L349" s="43">
        <f t="shared" si="40"/>
        <v>-8537.2295701711118</v>
      </c>
      <c r="M349" s="43">
        <f t="shared" si="41"/>
        <v>-5180.9242680255566</v>
      </c>
      <c r="N349" s="43">
        <f t="shared" si="42"/>
        <v>-3519.2636068015472</v>
      </c>
      <c r="O349" s="43">
        <f t="shared" si="43"/>
        <v>-1768.4587403551941</v>
      </c>
      <c r="Q349" s="42">
        <f t="shared" si="44"/>
        <v>0</v>
      </c>
      <c r="R349" s="42">
        <f t="shared" si="45"/>
        <v>0</v>
      </c>
      <c r="S349" s="42">
        <f t="shared" si="46"/>
        <v>0</v>
      </c>
      <c r="T349" s="42">
        <f t="shared" si="47"/>
        <v>1</v>
      </c>
    </row>
    <row r="350" spans="1:20" x14ac:dyDescent="0.2">
      <c r="A350" s="30">
        <v>343</v>
      </c>
      <c r="C350" s="31">
        <v>0.89814062457019683</v>
      </c>
      <c r="D350" s="32">
        <v>16882.975573528489</v>
      </c>
      <c r="E350" s="31">
        <v>0.87096948926483064</v>
      </c>
      <c r="F350" s="32">
        <v>7996.8525199063697</v>
      </c>
      <c r="G350" s="31">
        <v>0.91556777494587571</v>
      </c>
      <c r="H350" s="32">
        <v>10154.840470526146</v>
      </c>
      <c r="I350" s="31">
        <v>0.86766820324854654</v>
      </c>
      <c r="J350" s="32">
        <v>6349.3210243450039</v>
      </c>
      <c r="L350" s="43">
        <f t="shared" si="40"/>
        <v>-12392.272450677505</v>
      </c>
      <c r="M350" s="43">
        <f t="shared" si="41"/>
        <v>-3642.0050735822169</v>
      </c>
      <c r="N350" s="43">
        <f t="shared" si="42"/>
        <v>-5577.0015957967671</v>
      </c>
      <c r="O350" s="43">
        <f t="shared" si="43"/>
        <v>-2010.9800081022713</v>
      </c>
      <c r="Q350" s="42">
        <f t="shared" si="44"/>
        <v>0</v>
      </c>
      <c r="R350" s="42">
        <f t="shared" si="45"/>
        <v>0</v>
      </c>
      <c r="S350" s="42">
        <f t="shared" si="46"/>
        <v>0</v>
      </c>
      <c r="T350" s="42">
        <f t="shared" si="47"/>
        <v>1</v>
      </c>
    </row>
    <row r="351" spans="1:20" x14ac:dyDescent="0.2">
      <c r="A351" s="30">
        <v>344</v>
      </c>
      <c r="C351" s="31">
        <v>0.99607052395765572</v>
      </c>
      <c r="D351" s="32">
        <v>14814.263574276285</v>
      </c>
      <c r="E351" s="31">
        <v>0.95256464613457847</v>
      </c>
      <c r="F351" s="32">
        <v>8481.2720493944489</v>
      </c>
      <c r="G351" s="31">
        <v>0.95256464613457859</v>
      </c>
      <c r="H351" s="32">
        <v>9004.0593536268279</v>
      </c>
      <c r="I351" s="31">
        <v>0.95256464613457859</v>
      </c>
      <c r="J351" s="32">
        <v>6616.1659476263912</v>
      </c>
      <c r="L351" s="43">
        <f t="shared" si="40"/>
        <v>-9833.9109544880066</v>
      </c>
      <c r="M351" s="43">
        <f t="shared" si="41"/>
        <v>-3718.4488187215566</v>
      </c>
      <c r="N351" s="43">
        <f t="shared" si="42"/>
        <v>-4241.2361229539347</v>
      </c>
      <c r="O351" s="43">
        <f t="shared" si="43"/>
        <v>-1853.342716953498</v>
      </c>
      <c r="Q351" s="42">
        <f t="shared" si="44"/>
        <v>0</v>
      </c>
      <c r="R351" s="42">
        <f t="shared" si="45"/>
        <v>0</v>
      </c>
      <c r="S351" s="42">
        <f t="shared" si="46"/>
        <v>0</v>
      </c>
      <c r="T351" s="42">
        <f t="shared" si="47"/>
        <v>1</v>
      </c>
    </row>
    <row r="352" spans="1:20" x14ac:dyDescent="0.2">
      <c r="A352" s="30">
        <v>345</v>
      </c>
      <c r="C352" s="31">
        <v>0.99249823001719706</v>
      </c>
      <c r="D352" s="32">
        <v>13587.080552120005</v>
      </c>
      <c r="E352" s="31">
        <v>0.95539774188987381</v>
      </c>
      <c r="F352" s="32">
        <v>7396.5771253775902</v>
      </c>
      <c r="G352" s="31">
        <v>0.95134829434715973</v>
      </c>
      <c r="H352" s="32">
        <v>8511.4486472404969</v>
      </c>
      <c r="I352" s="31">
        <v>0.95134829434715973</v>
      </c>
      <c r="J352" s="32">
        <v>5852.9995511440839</v>
      </c>
      <c r="L352" s="43">
        <f t="shared" si="40"/>
        <v>-8624.5894020340202</v>
      </c>
      <c r="M352" s="43">
        <f t="shared" si="41"/>
        <v>-2619.5884159282214</v>
      </c>
      <c r="N352" s="43">
        <f t="shared" si="42"/>
        <v>-3754.7071755046982</v>
      </c>
      <c r="O352" s="43">
        <f t="shared" si="43"/>
        <v>-1096.2580794082851</v>
      </c>
      <c r="Q352" s="42">
        <f t="shared" si="44"/>
        <v>0</v>
      </c>
      <c r="R352" s="42">
        <f t="shared" si="45"/>
        <v>0</v>
      </c>
      <c r="S352" s="42">
        <f t="shared" si="46"/>
        <v>0</v>
      </c>
      <c r="T352" s="42">
        <f t="shared" si="47"/>
        <v>1</v>
      </c>
    </row>
    <row r="353" spans="1:20" x14ac:dyDescent="0.2">
      <c r="A353" s="30">
        <v>346</v>
      </c>
      <c r="C353" s="31">
        <v>0.98709974312669324</v>
      </c>
      <c r="D353" s="32">
        <v>17512.069993633319</v>
      </c>
      <c r="E353" s="31">
        <v>0.72787950289195502</v>
      </c>
      <c r="F353" s="32">
        <v>1770.9834451180827</v>
      </c>
      <c r="G353" s="31">
        <v>0.97234886393665065</v>
      </c>
      <c r="H353" s="32">
        <v>10370.350130681345</v>
      </c>
      <c r="I353" s="31">
        <v>0.7270302759996552</v>
      </c>
      <c r="J353" s="32">
        <v>1619.800276658422</v>
      </c>
      <c r="L353" s="43">
        <f t="shared" si="40"/>
        <v>-12576.571277999852</v>
      </c>
      <c r="M353" s="43">
        <f t="shared" si="41"/>
        <v>1868.4140693416925</v>
      </c>
      <c r="N353" s="43">
        <f t="shared" si="42"/>
        <v>-5508.6058109980913</v>
      </c>
      <c r="O353" s="43">
        <f t="shared" si="43"/>
        <v>2015.3511033398538</v>
      </c>
      <c r="Q353" s="42">
        <f t="shared" si="44"/>
        <v>0</v>
      </c>
      <c r="R353" s="42">
        <f t="shared" si="45"/>
        <v>0</v>
      </c>
      <c r="S353" s="42">
        <f t="shared" si="46"/>
        <v>0</v>
      </c>
      <c r="T353" s="42">
        <f t="shared" si="47"/>
        <v>1</v>
      </c>
    </row>
    <row r="354" spans="1:20" x14ac:dyDescent="0.2">
      <c r="A354" s="30">
        <v>347</v>
      </c>
      <c r="C354" s="31">
        <v>0.9901676204414388</v>
      </c>
      <c r="D354" s="32">
        <v>13232.909277682138</v>
      </c>
      <c r="E354" s="31">
        <v>0.8608170395399134</v>
      </c>
      <c r="F354" s="32">
        <v>3615.8643532212118</v>
      </c>
      <c r="G354" s="31">
        <v>0.94088343096433769</v>
      </c>
      <c r="H354" s="32">
        <v>8382.8378831191822</v>
      </c>
      <c r="I354" s="31">
        <v>0.86081703953991351</v>
      </c>
      <c r="J354" s="32">
        <v>3506.8422841350193</v>
      </c>
      <c r="L354" s="43">
        <f t="shared" si="40"/>
        <v>-8282.0711754749427</v>
      </c>
      <c r="M354" s="43">
        <f t="shared" si="41"/>
        <v>688.2208444783555</v>
      </c>
      <c r="N354" s="43">
        <f t="shared" si="42"/>
        <v>-3678.420728297494</v>
      </c>
      <c r="O354" s="43">
        <f t="shared" si="43"/>
        <v>797.24291356454796</v>
      </c>
      <c r="Q354" s="42">
        <f t="shared" si="44"/>
        <v>0</v>
      </c>
      <c r="R354" s="42">
        <f t="shared" si="45"/>
        <v>0</v>
      </c>
      <c r="S354" s="42">
        <f t="shared" si="46"/>
        <v>0</v>
      </c>
      <c r="T354" s="42">
        <f t="shared" si="47"/>
        <v>1</v>
      </c>
    </row>
    <row r="355" spans="1:20" x14ac:dyDescent="0.2">
      <c r="A355" s="30">
        <v>348</v>
      </c>
      <c r="C355" s="31">
        <v>0.95202695301852469</v>
      </c>
      <c r="D355" s="32">
        <v>15696.124677968432</v>
      </c>
      <c r="E355" s="31">
        <v>0.77366963119203913</v>
      </c>
      <c r="F355" s="32">
        <v>2749.5422515813125</v>
      </c>
      <c r="G355" s="31">
        <v>0.95300633749276331</v>
      </c>
      <c r="H355" s="32">
        <v>9411.8640603725798</v>
      </c>
      <c r="I355" s="31">
        <v>0.77162871453160964</v>
      </c>
      <c r="J355" s="32">
        <v>2547.1103531297013</v>
      </c>
      <c r="L355" s="43">
        <f t="shared" si="40"/>
        <v>-10935.989912875808</v>
      </c>
      <c r="M355" s="43">
        <f t="shared" si="41"/>
        <v>1118.805904378883</v>
      </c>
      <c r="N355" s="43">
        <f t="shared" si="42"/>
        <v>-4646.8323729087633</v>
      </c>
      <c r="O355" s="43">
        <f t="shared" si="43"/>
        <v>1311.0332195283468</v>
      </c>
      <c r="Q355" s="42">
        <f t="shared" si="44"/>
        <v>0</v>
      </c>
      <c r="R355" s="42">
        <f t="shared" si="45"/>
        <v>0</v>
      </c>
      <c r="S355" s="42">
        <f t="shared" si="46"/>
        <v>0</v>
      </c>
      <c r="T355" s="42">
        <f t="shared" si="47"/>
        <v>1</v>
      </c>
    </row>
    <row r="356" spans="1:20" x14ac:dyDescent="0.2">
      <c r="A356" s="30">
        <v>349</v>
      </c>
      <c r="C356" s="31">
        <v>0.99478520441315443</v>
      </c>
      <c r="D356" s="32">
        <v>16214.637938589109</v>
      </c>
      <c r="E356" s="31">
        <v>0.95520644536437249</v>
      </c>
      <c r="F356" s="32">
        <v>6792.7947191926714</v>
      </c>
      <c r="G356" s="31">
        <v>0.9457684283849257</v>
      </c>
      <c r="H356" s="32">
        <v>9909.7679822484934</v>
      </c>
      <c r="I356" s="31">
        <v>0.94576842838499076</v>
      </c>
      <c r="J356" s="32">
        <v>5897.5618129621198</v>
      </c>
      <c r="L356" s="43">
        <f t="shared" si="40"/>
        <v>-11240.711916523336</v>
      </c>
      <c r="M356" s="43">
        <f t="shared" si="41"/>
        <v>-2016.762492370809</v>
      </c>
      <c r="N356" s="43">
        <f t="shared" si="42"/>
        <v>-5180.9258403238646</v>
      </c>
      <c r="O356" s="43">
        <f t="shared" si="43"/>
        <v>-1168.7196710371663</v>
      </c>
      <c r="Q356" s="42">
        <f t="shared" si="44"/>
        <v>0</v>
      </c>
      <c r="R356" s="42">
        <f t="shared" si="45"/>
        <v>0</v>
      </c>
      <c r="S356" s="42">
        <f t="shared" si="46"/>
        <v>0</v>
      </c>
      <c r="T356" s="42">
        <f t="shared" si="47"/>
        <v>1</v>
      </c>
    </row>
    <row r="357" spans="1:20" x14ac:dyDescent="0.2">
      <c r="A357" s="30">
        <v>350</v>
      </c>
      <c r="C357" s="31">
        <v>0.99754816486334974</v>
      </c>
      <c r="D357" s="32">
        <v>12476.543955180703</v>
      </c>
      <c r="E357" s="31">
        <v>0.81896693784718577</v>
      </c>
      <c r="F357" s="32">
        <v>5793.1433163202964</v>
      </c>
      <c r="G357" s="31">
        <v>0.92782370488445065</v>
      </c>
      <c r="H357" s="32">
        <v>7146.2602220217277</v>
      </c>
      <c r="I357" s="31">
        <v>0.81637347476209565</v>
      </c>
      <c r="J357" s="32">
        <v>3813.9668841705356</v>
      </c>
      <c r="L357" s="43">
        <f t="shared" si="40"/>
        <v>-7488.8031308639547</v>
      </c>
      <c r="M357" s="43">
        <f t="shared" si="41"/>
        <v>-1698.3086270843678</v>
      </c>
      <c r="N357" s="43">
        <f t="shared" si="42"/>
        <v>-2507.1416975994744</v>
      </c>
      <c r="O357" s="43">
        <f t="shared" si="43"/>
        <v>267.90048963994241</v>
      </c>
      <c r="Q357" s="42">
        <f t="shared" si="44"/>
        <v>0</v>
      </c>
      <c r="R357" s="42">
        <f t="shared" si="45"/>
        <v>0</v>
      </c>
      <c r="S357" s="42">
        <f t="shared" si="46"/>
        <v>0</v>
      </c>
      <c r="T357" s="42">
        <f t="shared" si="47"/>
        <v>1</v>
      </c>
    </row>
    <row r="358" spans="1:20" x14ac:dyDescent="0.2">
      <c r="A358" s="30">
        <v>351</v>
      </c>
      <c r="C358" s="31">
        <v>0.9292531543929724</v>
      </c>
      <c r="D358" s="32">
        <v>16122.504395948998</v>
      </c>
      <c r="E358" s="31">
        <v>0.86167147232280894</v>
      </c>
      <c r="F358" s="32">
        <v>7047.6232406986046</v>
      </c>
      <c r="G358" s="31">
        <v>0.88198828707761923</v>
      </c>
      <c r="H358" s="32">
        <v>9372.8234495993966</v>
      </c>
      <c r="I358" s="31">
        <v>0.85964284514742428</v>
      </c>
      <c r="J358" s="32">
        <v>5641.3029058988986</v>
      </c>
      <c r="L358" s="43">
        <f t="shared" si="40"/>
        <v>-11476.238623984136</v>
      </c>
      <c r="M358" s="43">
        <f t="shared" si="41"/>
        <v>-2739.2658790845599</v>
      </c>
      <c r="N358" s="43">
        <f t="shared" si="42"/>
        <v>-4962.8820142113</v>
      </c>
      <c r="O358" s="43">
        <f t="shared" si="43"/>
        <v>-1343.0886801617771</v>
      </c>
      <c r="Q358" s="42">
        <f t="shared" si="44"/>
        <v>0</v>
      </c>
      <c r="R358" s="42">
        <f t="shared" si="45"/>
        <v>0</v>
      </c>
      <c r="S358" s="42">
        <f t="shared" si="46"/>
        <v>0</v>
      </c>
      <c r="T358" s="42">
        <f t="shared" si="47"/>
        <v>1</v>
      </c>
    </row>
    <row r="359" spans="1:20" x14ac:dyDescent="0.2">
      <c r="A359" s="30">
        <v>352</v>
      </c>
      <c r="C359" s="31">
        <v>0.99504785391541906</v>
      </c>
      <c r="D359" s="32">
        <v>15660.832294771768</v>
      </c>
      <c r="E359" s="31">
        <v>0.88851974809155942</v>
      </c>
      <c r="F359" s="32">
        <v>3893.5014740691995</v>
      </c>
      <c r="G359" s="31">
        <v>0.97938691543638434</v>
      </c>
      <c r="H359" s="32">
        <v>10193.104733615544</v>
      </c>
      <c r="I359" s="31">
        <v>0.88409729962465067</v>
      </c>
      <c r="J359" s="32">
        <v>3717.9351969140844</v>
      </c>
      <c r="L359" s="43">
        <f t="shared" si="40"/>
        <v>-10685.593025194674</v>
      </c>
      <c r="M359" s="43">
        <f t="shared" si="41"/>
        <v>549.09726638859775</v>
      </c>
      <c r="N359" s="43">
        <f t="shared" si="42"/>
        <v>-5296.1701564336227</v>
      </c>
      <c r="O359" s="43">
        <f t="shared" si="43"/>
        <v>702.55130120916874</v>
      </c>
      <c r="Q359" s="42">
        <f t="shared" si="44"/>
        <v>0</v>
      </c>
      <c r="R359" s="42">
        <f t="shared" si="45"/>
        <v>0</v>
      </c>
      <c r="S359" s="42">
        <f t="shared" si="46"/>
        <v>0</v>
      </c>
      <c r="T359" s="42">
        <f t="shared" si="47"/>
        <v>1</v>
      </c>
    </row>
    <row r="360" spans="1:20" x14ac:dyDescent="0.2">
      <c r="A360" s="30">
        <v>353</v>
      </c>
      <c r="C360" s="31">
        <v>0.99484225406207794</v>
      </c>
      <c r="D360" s="32">
        <v>15779.857366920638</v>
      </c>
      <c r="E360" s="31">
        <v>0.84717025620247677</v>
      </c>
      <c r="F360" s="32">
        <v>4023.5138514588657</v>
      </c>
      <c r="G360" s="31">
        <v>0.93438887680134908</v>
      </c>
      <c r="H360" s="32">
        <v>9861.946616348765</v>
      </c>
      <c r="I360" s="31">
        <v>0.83927815960876107</v>
      </c>
      <c r="J360" s="32">
        <v>3733.4750694526465</v>
      </c>
      <c r="L360" s="43">
        <f t="shared" si="40"/>
        <v>-10805.64609661025</v>
      </c>
      <c r="M360" s="43">
        <f t="shared" si="41"/>
        <v>212.33742955351818</v>
      </c>
      <c r="N360" s="43">
        <f t="shared" si="42"/>
        <v>-5190.0022323420199</v>
      </c>
      <c r="O360" s="43">
        <f t="shared" si="43"/>
        <v>462.91572859115877</v>
      </c>
      <c r="Q360" s="42">
        <f t="shared" si="44"/>
        <v>0</v>
      </c>
      <c r="R360" s="42">
        <f t="shared" si="45"/>
        <v>0</v>
      </c>
      <c r="S360" s="42">
        <f t="shared" si="46"/>
        <v>0</v>
      </c>
      <c r="T360" s="42">
        <f t="shared" si="47"/>
        <v>1</v>
      </c>
    </row>
    <row r="361" spans="1:20" x14ac:dyDescent="0.2">
      <c r="A361" s="30">
        <v>354</v>
      </c>
      <c r="C361" s="31">
        <v>0.95986544051223699</v>
      </c>
      <c r="D361" s="32">
        <v>16205.105991379305</v>
      </c>
      <c r="E361" s="31">
        <v>0.74187847169526777</v>
      </c>
      <c r="F361" s="32">
        <v>1976.3208438422619</v>
      </c>
      <c r="G361" s="31">
        <v>0.93671431714028364</v>
      </c>
      <c r="H361" s="32">
        <v>8595.9108819892808</v>
      </c>
      <c r="I361" s="31">
        <v>0.73967127569695945</v>
      </c>
      <c r="J361" s="32">
        <v>1801.5067765671317</v>
      </c>
      <c r="L361" s="43">
        <f t="shared" si="40"/>
        <v>-11405.778788818119</v>
      </c>
      <c r="M361" s="43">
        <f t="shared" si="41"/>
        <v>1733.0715146340769</v>
      </c>
      <c r="N361" s="43">
        <f t="shared" si="42"/>
        <v>-3912.3392962878625</v>
      </c>
      <c r="O361" s="43">
        <f t="shared" si="43"/>
        <v>1896.8496019176657</v>
      </c>
      <c r="Q361" s="42">
        <f t="shared" si="44"/>
        <v>0</v>
      </c>
      <c r="R361" s="42">
        <f t="shared" si="45"/>
        <v>0</v>
      </c>
      <c r="S361" s="42">
        <f t="shared" si="46"/>
        <v>0</v>
      </c>
      <c r="T361" s="42">
        <f t="shared" si="47"/>
        <v>1</v>
      </c>
    </row>
    <row r="362" spans="1:20" x14ac:dyDescent="0.2">
      <c r="A362" s="30">
        <v>355</v>
      </c>
      <c r="C362" s="31">
        <v>0.98987473058093522</v>
      </c>
      <c r="D362" s="32">
        <v>11979.929978013573</v>
      </c>
      <c r="E362" s="31">
        <v>0.96766879696486585</v>
      </c>
      <c r="F362" s="32">
        <v>4495.9630889298105</v>
      </c>
      <c r="G362" s="31">
        <v>0.96766879696486574</v>
      </c>
      <c r="H362" s="32">
        <v>6686.9606077272538</v>
      </c>
      <c r="I362" s="31">
        <v>0.96766879696486574</v>
      </c>
      <c r="J362" s="32">
        <v>3813.933240233654</v>
      </c>
      <c r="L362" s="43">
        <f t="shared" si="40"/>
        <v>-7030.556325108897</v>
      </c>
      <c r="M362" s="43">
        <f t="shared" si="41"/>
        <v>342.3808958945192</v>
      </c>
      <c r="N362" s="43">
        <f t="shared" si="42"/>
        <v>-1848.616622902925</v>
      </c>
      <c r="O362" s="43">
        <f t="shared" si="43"/>
        <v>1024.4107445906748</v>
      </c>
      <c r="Q362" s="42">
        <f t="shared" si="44"/>
        <v>0</v>
      </c>
      <c r="R362" s="42">
        <f t="shared" si="45"/>
        <v>0</v>
      </c>
      <c r="S362" s="42">
        <f t="shared" si="46"/>
        <v>0</v>
      </c>
      <c r="T362" s="42">
        <f t="shared" si="47"/>
        <v>1</v>
      </c>
    </row>
    <row r="363" spans="1:20" x14ac:dyDescent="0.2">
      <c r="A363" s="30">
        <v>356</v>
      </c>
      <c r="C363" s="31">
        <v>0.94402596872499045</v>
      </c>
      <c r="D363" s="32">
        <v>17961.033722328993</v>
      </c>
      <c r="E363" s="31">
        <v>0.85678924379443133</v>
      </c>
      <c r="F363" s="32">
        <v>11079.815971553191</v>
      </c>
      <c r="G363" s="31">
        <v>0.86953979873562037</v>
      </c>
      <c r="H363" s="32">
        <v>11315.551156502897</v>
      </c>
      <c r="I363" s="31">
        <v>0.85092410476842018</v>
      </c>
      <c r="J363" s="32">
        <v>7811.7425421470434</v>
      </c>
      <c r="L363" s="43">
        <f t="shared" si="40"/>
        <v>-13240.903878704041</v>
      </c>
      <c r="M363" s="43">
        <f t="shared" si="41"/>
        <v>-6795.8697525810339</v>
      </c>
      <c r="N363" s="43">
        <f t="shared" si="42"/>
        <v>-6967.8521628247954</v>
      </c>
      <c r="O363" s="43">
        <f t="shared" si="43"/>
        <v>-3557.1220183049427</v>
      </c>
      <c r="Q363" s="42">
        <f t="shared" si="44"/>
        <v>0</v>
      </c>
      <c r="R363" s="42">
        <f t="shared" si="45"/>
        <v>0</v>
      </c>
      <c r="S363" s="42">
        <f t="shared" si="46"/>
        <v>0</v>
      </c>
      <c r="T363" s="42">
        <f t="shared" si="47"/>
        <v>1</v>
      </c>
    </row>
    <row r="364" spans="1:20" x14ac:dyDescent="0.2">
      <c r="A364" s="30">
        <v>357</v>
      </c>
      <c r="C364" s="31">
        <v>0.99806043992546678</v>
      </c>
      <c r="D364" s="32">
        <v>12074.52374275136</v>
      </c>
      <c r="E364" s="31">
        <v>0.9704261899357105</v>
      </c>
      <c r="F364" s="32">
        <v>4468.6863991045957</v>
      </c>
      <c r="G364" s="31">
        <v>0.96584027117156523</v>
      </c>
      <c r="H364" s="32">
        <v>7270.8258624841392</v>
      </c>
      <c r="I364" s="31">
        <v>0.96584027117156523</v>
      </c>
      <c r="J364" s="32">
        <v>4045.572527561133</v>
      </c>
      <c r="L364" s="43">
        <f t="shared" si="40"/>
        <v>-7084.2215431240265</v>
      </c>
      <c r="M364" s="43">
        <f t="shared" si="41"/>
        <v>383.4445505739568</v>
      </c>
      <c r="N364" s="43">
        <f t="shared" si="42"/>
        <v>-2441.6245066263127</v>
      </c>
      <c r="O364" s="43">
        <f t="shared" si="43"/>
        <v>783.62882829669343</v>
      </c>
      <c r="Q364" s="42">
        <f t="shared" si="44"/>
        <v>0</v>
      </c>
      <c r="R364" s="42">
        <f t="shared" si="45"/>
        <v>0</v>
      </c>
      <c r="S364" s="42">
        <f t="shared" si="46"/>
        <v>0</v>
      </c>
      <c r="T364" s="42">
        <f t="shared" si="47"/>
        <v>1</v>
      </c>
    </row>
    <row r="365" spans="1:20" x14ac:dyDescent="0.2">
      <c r="A365" s="30">
        <v>358</v>
      </c>
      <c r="C365" s="31">
        <v>0.99088286965209427</v>
      </c>
      <c r="D365" s="32">
        <v>16757.678401762932</v>
      </c>
      <c r="E365" s="31">
        <v>0.95619168228701323</v>
      </c>
      <c r="F365" s="32">
        <v>6450.4003027753142</v>
      </c>
      <c r="G365" s="31">
        <v>0.94578486589134503</v>
      </c>
      <c r="H365" s="32">
        <v>9896.5982790021171</v>
      </c>
      <c r="I365" s="31">
        <v>0.94578486589134614</v>
      </c>
      <c r="J365" s="32">
        <v>6127.315966645896</v>
      </c>
      <c r="L365" s="43">
        <f t="shared" si="40"/>
        <v>-11803.264053502462</v>
      </c>
      <c r="M365" s="43">
        <f t="shared" si="41"/>
        <v>-1669.4418913402478</v>
      </c>
      <c r="N365" s="43">
        <f t="shared" si="42"/>
        <v>-5167.6739495453921</v>
      </c>
      <c r="O365" s="43">
        <f t="shared" si="43"/>
        <v>-1398.3916371891655</v>
      </c>
      <c r="Q365" s="42">
        <f t="shared" si="44"/>
        <v>0</v>
      </c>
      <c r="R365" s="42">
        <f t="shared" si="45"/>
        <v>0</v>
      </c>
      <c r="S365" s="42">
        <f t="shared" si="46"/>
        <v>0</v>
      </c>
      <c r="T365" s="42">
        <f t="shared" si="47"/>
        <v>1</v>
      </c>
    </row>
    <row r="366" spans="1:20" x14ac:dyDescent="0.2">
      <c r="A366" s="30">
        <v>359</v>
      </c>
      <c r="C366" s="31">
        <v>0.98450778613742873</v>
      </c>
      <c r="D366" s="32">
        <v>16491.281905038995</v>
      </c>
      <c r="E366" s="31">
        <v>0.86130489863127746</v>
      </c>
      <c r="F366" s="32">
        <v>8499.3208120233685</v>
      </c>
      <c r="G366" s="31">
        <v>0.95616286540356821</v>
      </c>
      <c r="H366" s="32">
        <v>10135.484421171874</v>
      </c>
      <c r="I366" s="31">
        <v>0.85830619017899912</v>
      </c>
      <c r="J366" s="32">
        <v>5724.1087499754758</v>
      </c>
      <c r="L366" s="43">
        <f t="shared" si="40"/>
        <v>-11568.742974351851</v>
      </c>
      <c r="M366" s="43">
        <f t="shared" si="41"/>
        <v>-4192.796318866981</v>
      </c>
      <c r="N366" s="43">
        <f t="shared" si="42"/>
        <v>-5354.670094154033</v>
      </c>
      <c r="O366" s="43">
        <f t="shared" si="43"/>
        <v>-1432.57779908048</v>
      </c>
      <c r="Q366" s="42">
        <f t="shared" si="44"/>
        <v>0</v>
      </c>
      <c r="R366" s="42">
        <f t="shared" si="45"/>
        <v>0</v>
      </c>
      <c r="S366" s="42">
        <f t="shared" si="46"/>
        <v>0</v>
      </c>
      <c r="T366" s="42">
        <f t="shared" si="47"/>
        <v>1</v>
      </c>
    </row>
    <row r="367" spans="1:20" x14ac:dyDescent="0.2">
      <c r="A367" s="30">
        <v>360</v>
      </c>
      <c r="C367" s="31">
        <v>0.914920506788791</v>
      </c>
      <c r="D367" s="32">
        <v>14432.276393406441</v>
      </c>
      <c r="E367" s="31">
        <v>0.82172394163888152</v>
      </c>
      <c r="F367" s="32">
        <v>3443.5532356739855</v>
      </c>
      <c r="G367" s="31">
        <v>0.90123166389798093</v>
      </c>
      <c r="H367" s="32">
        <v>8369.4282908472778</v>
      </c>
      <c r="I367" s="31">
        <v>0.81500612735171751</v>
      </c>
      <c r="J367" s="32">
        <v>3150.6139893417694</v>
      </c>
      <c r="L367" s="43">
        <f t="shared" si="40"/>
        <v>-9857.6738594624858</v>
      </c>
      <c r="M367" s="43">
        <f t="shared" si="41"/>
        <v>665.06647252042194</v>
      </c>
      <c r="N367" s="43">
        <f t="shared" si="42"/>
        <v>-3863.2699713573729</v>
      </c>
      <c r="O367" s="43">
        <f t="shared" si="43"/>
        <v>924.41664741681825</v>
      </c>
      <c r="Q367" s="42">
        <f t="shared" si="44"/>
        <v>0</v>
      </c>
      <c r="R367" s="42">
        <f t="shared" si="45"/>
        <v>0</v>
      </c>
      <c r="S367" s="42">
        <f t="shared" si="46"/>
        <v>0</v>
      </c>
      <c r="T367" s="42">
        <f t="shared" si="47"/>
        <v>1</v>
      </c>
    </row>
    <row r="368" spans="1:20" x14ac:dyDescent="0.2">
      <c r="A368" s="30">
        <v>361</v>
      </c>
      <c r="C368" s="31">
        <v>0.9944925873614715</v>
      </c>
      <c r="D368" s="32">
        <v>14959.053081798593</v>
      </c>
      <c r="E368" s="31">
        <v>0.80452583344227913</v>
      </c>
      <c r="F368" s="32">
        <v>2975.761756530881</v>
      </c>
      <c r="G368" s="31">
        <v>0.94447023669059216</v>
      </c>
      <c r="H368" s="32">
        <v>8681.2610268701028</v>
      </c>
      <c r="I368" s="31">
        <v>0.80187438737800742</v>
      </c>
      <c r="J368" s="32">
        <v>2597.1590710529472</v>
      </c>
      <c r="L368" s="43">
        <f t="shared" si="40"/>
        <v>-9986.5901449912344</v>
      </c>
      <c r="M368" s="43">
        <f t="shared" si="41"/>
        <v>1046.8674106805147</v>
      </c>
      <c r="N368" s="43">
        <f t="shared" si="42"/>
        <v>-3958.9098434171419</v>
      </c>
      <c r="O368" s="43">
        <f t="shared" si="43"/>
        <v>1412.2128658370898</v>
      </c>
      <c r="Q368" s="42">
        <f t="shared" si="44"/>
        <v>0</v>
      </c>
      <c r="R368" s="42">
        <f t="shared" si="45"/>
        <v>0</v>
      </c>
      <c r="S368" s="42">
        <f t="shared" si="46"/>
        <v>0</v>
      </c>
      <c r="T368" s="42">
        <f t="shared" si="47"/>
        <v>1</v>
      </c>
    </row>
    <row r="369" spans="1:20" x14ac:dyDescent="0.2">
      <c r="A369" s="30">
        <v>362</v>
      </c>
      <c r="C369" s="31">
        <v>0.99876382565043031</v>
      </c>
      <c r="D369" s="32">
        <v>14007.944074234669</v>
      </c>
      <c r="E369" s="31">
        <v>0.92841451803711883</v>
      </c>
      <c r="F369" s="32">
        <v>4991.090652259466</v>
      </c>
      <c r="G369" s="31">
        <v>0.94210189999502725</v>
      </c>
      <c r="H369" s="32">
        <v>8264.7513185542903</v>
      </c>
      <c r="I369" s="31">
        <v>0.92841451803711883</v>
      </c>
      <c r="J369" s="32">
        <v>4814.6940989972863</v>
      </c>
      <c r="L369" s="43">
        <f t="shared" si="40"/>
        <v>-9014.1249459825176</v>
      </c>
      <c r="M369" s="43">
        <f t="shared" si="41"/>
        <v>-349.01806207387199</v>
      </c>
      <c r="N369" s="43">
        <f t="shared" si="42"/>
        <v>-3554.2418185791539</v>
      </c>
      <c r="O369" s="43">
        <f t="shared" si="43"/>
        <v>-172.62150881169237</v>
      </c>
      <c r="Q369" s="42">
        <f t="shared" si="44"/>
        <v>0</v>
      </c>
      <c r="R369" s="42">
        <f t="shared" si="45"/>
        <v>0</v>
      </c>
      <c r="S369" s="42">
        <f t="shared" si="46"/>
        <v>0</v>
      </c>
      <c r="T369" s="42">
        <f t="shared" si="47"/>
        <v>1</v>
      </c>
    </row>
    <row r="370" spans="1:20" x14ac:dyDescent="0.2">
      <c r="A370" s="30">
        <v>363</v>
      </c>
      <c r="C370" s="31">
        <v>0.97433643987922458</v>
      </c>
      <c r="D370" s="32">
        <v>13038.968298957827</v>
      </c>
      <c r="E370" s="31">
        <v>0.88452812224560762</v>
      </c>
      <c r="F370" s="32">
        <v>4506.5708791059678</v>
      </c>
      <c r="G370" s="31">
        <v>0.88199938368488162</v>
      </c>
      <c r="H370" s="32">
        <v>8180.0508135188611</v>
      </c>
      <c r="I370" s="31">
        <v>0.88199938484212059</v>
      </c>
      <c r="J370" s="32">
        <v>4343.126855040854</v>
      </c>
      <c r="L370" s="43">
        <f t="shared" si="40"/>
        <v>-8167.2860995617038</v>
      </c>
      <c r="M370" s="43">
        <f t="shared" si="41"/>
        <v>-83.930267877929509</v>
      </c>
      <c r="N370" s="43">
        <f t="shared" si="42"/>
        <v>-3770.0538950944529</v>
      </c>
      <c r="O370" s="43">
        <f t="shared" si="43"/>
        <v>66.870069169748604</v>
      </c>
      <c r="Q370" s="42">
        <f t="shared" si="44"/>
        <v>0</v>
      </c>
      <c r="R370" s="42">
        <f t="shared" si="45"/>
        <v>0</v>
      </c>
      <c r="S370" s="42">
        <f t="shared" si="46"/>
        <v>0</v>
      </c>
      <c r="T370" s="42">
        <f t="shared" si="47"/>
        <v>1</v>
      </c>
    </row>
    <row r="371" spans="1:20" x14ac:dyDescent="0.2">
      <c r="A371" s="30">
        <v>364</v>
      </c>
      <c r="C371" s="31">
        <v>0.99842153593218463</v>
      </c>
      <c r="D371" s="32">
        <v>17439.651071087941</v>
      </c>
      <c r="E371" s="31">
        <v>0.77289548871772384</v>
      </c>
      <c r="F371" s="32">
        <v>3637.0314942643813</v>
      </c>
      <c r="G371" s="31">
        <v>0.89818799790375314</v>
      </c>
      <c r="H371" s="32">
        <v>10683.355809449726</v>
      </c>
      <c r="I371" s="31">
        <v>0.77289548871772384</v>
      </c>
      <c r="J371" s="32">
        <v>3493.1311138226197</v>
      </c>
      <c r="L371" s="43">
        <f t="shared" si="40"/>
        <v>-12447.543391427018</v>
      </c>
      <c r="M371" s="43">
        <f t="shared" si="41"/>
        <v>227.44594932423797</v>
      </c>
      <c r="N371" s="43">
        <f t="shared" si="42"/>
        <v>-6192.4158199309604</v>
      </c>
      <c r="O371" s="43">
        <f t="shared" si="43"/>
        <v>371.3463297659996</v>
      </c>
      <c r="Q371" s="42">
        <f t="shared" si="44"/>
        <v>0</v>
      </c>
      <c r="R371" s="42">
        <f t="shared" si="45"/>
        <v>0</v>
      </c>
      <c r="S371" s="42">
        <f t="shared" si="46"/>
        <v>0</v>
      </c>
      <c r="T371" s="42">
        <f t="shared" si="47"/>
        <v>1</v>
      </c>
    </row>
    <row r="372" spans="1:20" x14ac:dyDescent="0.2">
      <c r="A372" s="30">
        <v>365</v>
      </c>
      <c r="C372" s="31">
        <v>0.98188745217442153</v>
      </c>
      <c r="D372" s="32">
        <v>14081.781939659621</v>
      </c>
      <c r="E372" s="31">
        <v>0.75912967430891654</v>
      </c>
      <c r="F372" s="32">
        <v>2602.8182826993498</v>
      </c>
      <c r="G372" s="31">
        <v>0.95377905984535616</v>
      </c>
      <c r="H372" s="32">
        <v>8649.5795877173459</v>
      </c>
      <c r="I372" s="31">
        <v>0.75854485891671364</v>
      </c>
      <c r="J372" s="32">
        <v>2489.9393930676274</v>
      </c>
      <c r="L372" s="43">
        <f t="shared" si="40"/>
        <v>-9172.3446787875127</v>
      </c>
      <c r="M372" s="43">
        <f t="shared" si="41"/>
        <v>1192.8300888452327</v>
      </c>
      <c r="N372" s="43">
        <f t="shared" si="42"/>
        <v>-3880.6842884905655</v>
      </c>
      <c r="O372" s="43">
        <f t="shared" si="43"/>
        <v>1302.7849015159409</v>
      </c>
      <c r="Q372" s="42">
        <f t="shared" si="44"/>
        <v>0</v>
      </c>
      <c r="R372" s="42">
        <f t="shared" si="45"/>
        <v>0</v>
      </c>
      <c r="S372" s="42">
        <f t="shared" si="46"/>
        <v>0</v>
      </c>
      <c r="T372" s="42">
        <f t="shared" si="47"/>
        <v>1</v>
      </c>
    </row>
    <row r="373" spans="1:20" x14ac:dyDescent="0.2">
      <c r="A373" s="30">
        <v>366</v>
      </c>
      <c r="C373" s="31">
        <v>0.97304716992369666</v>
      </c>
      <c r="D373" s="32">
        <v>12586.843920793939</v>
      </c>
      <c r="E373" s="31">
        <v>0.78428479619363423</v>
      </c>
      <c r="F373" s="32">
        <v>3305.7744630807756</v>
      </c>
      <c r="G373" s="31">
        <v>0.93323002848740233</v>
      </c>
      <c r="H373" s="32">
        <v>7420.1310221279</v>
      </c>
      <c r="I373" s="31">
        <v>0.78222021984771939</v>
      </c>
      <c r="J373" s="32">
        <v>2546.3818533405743</v>
      </c>
      <c r="L373" s="43">
        <f t="shared" si="40"/>
        <v>-7721.6080711754557</v>
      </c>
      <c r="M373" s="43">
        <f t="shared" si="41"/>
        <v>615.64951788739563</v>
      </c>
      <c r="N373" s="43">
        <f t="shared" si="42"/>
        <v>-2753.9808796908883</v>
      </c>
      <c r="O373" s="43">
        <f t="shared" si="43"/>
        <v>1364.7192458980226</v>
      </c>
      <c r="Q373" s="42">
        <f t="shared" si="44"/>
        <v>0</v>
      </c>
      <c r="R373" s="42">
        <f t="shared" si="45"/>
        <v>0</v>
      </c>
      <c r="S373" s="42">
        <f t="shared" si="46"/>
        <v>0</v>
      </c>
      <c r="T373" s="42">
        <f t="shared" si="47"/>
        <v>1</v>
      </c>
    </row>
    <row r="374" spans="1:20" x14ac:dyDescent="0.2">
      <c r="A374" s="30">
        <v>367</v>
      </c>
      <c r="C374" s="31">
        <v>0.99976600476656785</v>
      </c>
      <c r="D374" s="32">
        <v>13995.457764800742</v>
      </c>
      <c r="E374" s="31">
        <v>0.96934102086860252</v>
      </c>
      <c r="F374" s="32">
        <v>6201.6852877220063</v>
      </c>
      <c r="G374" s="31">
        <v>0.96252040009597961</v>
      </c>
      <c r="H374" s="32">
        <v>9100.1798160488797</v>
      </c>
      <c r="I374" s="31">
        <v>0.96252040009597961</v>
      </c>
      <c r="J374" s="32">
        <v>5686.3544821206733</v>
      </c>
      <c r="L374" s="43">
        <f t="shared" si="40"/>
        <v>-8996.6277409679024</v>
      </c>
      <c r="M374" s="43">
        <f t="shared" si="41"/>
        <v>-1354.9801833789934</v>
      </c>
      <c r="N374" s="43">
        <f t="shared" si="42"/>
        <v>-4287.5778155689814</v>
      </c>
      <c r="O374" s="43">
        <f t="shared" si="43"/>
        <v>-873.75248164077493</v>
      </c>
      <c r="Q374" s="42">
        <f t="shared" si="44"/>
        <v>0</v>
      </c>
      <c r="R374" s="42">
        <f t="shared" si="45"/>
        <v>0</v>
      </c>
      <c r="S374" s="42">
        <f t="shared" si="46"/>
        <v>0</v>
      </c>
      <c r="T374" s="42">
        <f t="shared" si="47"/>
        <v>1</v>
      </c>
    </row>
    <row r="375" spans="1:20" x14ac:dyDescent="0.2">
      <c r="A375" s="30">
        <v>368</v>
      </c>
      <c r="C375" s="31">
        <v>0.99046714745025666</v>
      </c>
      <c r="D375" s="32">
        <v>18530.954827553214</v>
      </c>
      <c r="E375" s="31">
        <v>0.92303000397011559</v>
      </c>
      <c r="F375" s="32">
        <v>11324.777539378691</v>
      </c>
      <c r="G375" s="31">
        <v>0.91855054353548926</v>
      </c>
      <c r="H375" s="32">
        <v>11703.823824733072</v>
      </c>
      <c r="I375" s="31">
        <v>0.91855054353548948</v>
      </c>
      <c r="J375" s="32">
        <v>8608.9358395013915</v>
      </c>
      <c r="L375" s="43">
        <f t="shared" si="40"/>
        <v>-13578.619090301931</v>
      </c>
      <c r="M375" s="43">
        <f t="shared" si="41"/>
        <v>-6709.6275195281123</v>
      </c>
      <c r="N375" s="43">
        <f t="shared" si="42"/>
        <v>-7111.0711070556254</v>
      </c>
      <c r="O375" s="43">
        <f t="shared" si="43"/>
        <v>-4016.183121823944</v>
      </c>
      <c r="Q375" s="42">
        <f t="shared" si="44"/>
        <v>0</v>
      </c>
      <c r="R375" s="42">
        <f t="shared" si="45"/>
        <v>0</v>
      </c>
      <c r="S375" s="42">
        <f t="shared" si="46"/>
        <v>0</v>
      </c>
      <c r="T375" s="42">
        <f t="shared" si="47"/>
        <v>1</v>
      </c>
    </row>
    <row r="376" spans="1:20" x14ac:dyDescent="0.2">
      <c r="A376" s="30">
        <v>369</v>
      </c>
      <c r="C376" s="31">
        <v>0.98822454582786645</v>
      </c>
      <c r="D376" s="32">
        <v>15424.218080859728</v>
      </c>
      <c r="E376" s="31">
        <v>0.93629941019248086</v>
      </c>
      <c r="F376" s="32">
        <v>5356.5691519482598</v>
      </c>
      <c r="G376" s="31">
        <v>0.93179301063061493</v>
      </c>
      <c r="H376" s="32">
        <v>8835.6763744906548</v>
      </c>
      <c r="I376" s="31">
        <v>0.93179301063061504</v>
      </c>
      <c r="J376" s="32">
        <v>5124.8864970950654</v>
      </c>
      <c r="L376" s="43">
        <f t="shared" si="40"/>
        <v>-10483.095351720396</v>
      </c>
      <c r="M376" s="43">
        <f t="shared" si="41"/>
        <v>-675.07210098585529</v>
      </c>
      <c r="N376" s="43">
        <f t="shared" si="42"/>
        <v>-4176.7113213375806</v>
      </c>
      <c r="O376" s="43">
        <f t="shared" si="43"/>
        <v>-465.92144394199022</v>
      </c>
      <c r="Q376" s="42">
        <f t="shared" si="44"/>
        <v>0</v>
      </c>
      <c r="R376" s="42">
        <f t="shared" si="45"/>
        <v>0</v>
      </c>
      <c r="S376" s="42">
        <f t="shared" si="46"/>
        <v>0</v>
      </c>
      <c r="T376" s="42">
        <f t="shared" si="47"/>
        <v>1</v>
      </c>
    </row>
    <row r="377" spans="1:20" x14ac:dyDescent="0.2">
      <c r="A377" s="30">
        <v>370</v>
      </c>
      <c r="C377" s="31">
        <v>0.97114643948271795</v>
      </c>
      <c r="D377" s="32">
        <v>13785.149929878411</v>
      </c>
      <c r="E377" s="31">
        <v>0.87580647381946797</v>
      </c>
      <c r="F377" s="32">
        <v>4430.6762936640434</v>
      </c>
      <c r="G377" s="31">
        <v>0.92410578614181538</v>
      </c>
      <c r="H377" s="32">
        <v>8032.8509821536018</v>
      </c>
      <c r="I377" s="31">
        <v>0.86886885685382254</v>
      </c>
      <c r="J377" s="32">
        <v>4063.4418491845172</v>
      </c>
      <c r="L377" s="43">
        <f t="shared" si="40"/>
        <v>-8929.4177324648226</v>
      </c>
      <c r="M377" s="43">
        <f t="shared" si="41"/>
        <v>-51.64392456670339</v>
      </c>
      <c r="N377" s="43">
        <f t="shared" si="42"/>
        <v>-3412.3220514445247</v>
      </c>
      <c r="O377" s="43">
        <f t="shared" si="43"/>
        <v>280.90243508459571</v>
      </c>
      <c r="Q377" s="42">
        <f t="shared" si="44"/>
        <v>0</v>
      </c>
      <c r="R377" s="42">
        <f t="shared" si="45"/>
        <v>0</v>
      </c>
      <c r="S377" s="42">
        <f t="shared" si="46"/>
        <v>0</v>
      </c>
      <c r="T377" s="42">
        <f t="shared" si="47"/>
        <v>1</v>
      </c>
    </row>
    <row r="378" spans="1:20" x14ac:dyDescent="0.2">
      <c r="A378" s="30">
        <v>371</v>
      </c>
      <c r="C378" s="31">
        <v>0.98987634604660468</v>
      </c>
      <c r="D378" s="32">
        <v>17877.745498852943</v>
      </c>
      <c r="E378" s="31">
        <v>0.96387845898451729</v>
      </c>
      <c r="F378" s="32">
        <v>9651.4926880416842</v>
      </c>
      <c r="G378" s="31">
        <v>0.95691645794642299</v>
      </c>
      <c r="H378" s="32">
        <v>9652.7297265045909</v>
      </c>
      <c r="I378" s="31">
        <v>0.95691645794642299</v>
      </c>
      <c r="J378" s="32">
        <v>6614.0050174491225</v>
      </c>
      <c r="L378" s="43">
        <f t="shared" si="40"/>
        <v>-12928.363768619918</v>
      </c>
      <c r="M378" s="43">
        <f t="shared" si="41"/>
        <v>-4832.100393119098</v>
      </c>
      <c r="N378" s="43">
        <f t="shared" si="42"/>
        <v>-4868.1474367724759</v>
      </c>
      <c r="O378" s="43">
        <f t="shared" si="43"/>
        <v>-1829.4227277170075</v>
      </c>
      <c r="Q378" s="42">
        <f t="shared" si="44"/>
        <v>0</v>
      </c>
      <c r="R378" s="42">
        <f t="shared" si="45"/>
        <v>0</v>
      </c>
      <c r="S378" s="42">
        <f t="shared" si="46"/>
        <v>0</v>
      </c>
      <c r="T378" s="42">
        <f t="shared" si="47"/>
        <v>1</v>
      </c>
    </row>
    <row r="379" spans="1:20" x14ac:dyDescent="0.2">
      <c r="A379" s="30">
        <v>372</v>
      </c>
      <c r="C379" s="31">
        <v>0.97476610465900382</v>
      </c>
      <c r="D379" s="32">
        <v>14359.026514587176</v>
      </c>
      <c r="E379" s="31">
        <v>0.7248669962205313</v>
      </c>
      <c r="F379" s="32">
        <v>3772.4539198699667</v>
      </c>
      <c r="G379" s="31">
        <v>0.94061613644201503</v>
      </c>
      <c r="H379" s="32">
        <v>8478.0948958784156</v>
      </c>
      <c r="I379" s="31">
        <v>0.72201125319508641</v>
      </c>
      <c r="J379" s="32">
        <v>2238.1073080395445</v>
      </c>
      <c r="L379" s="43">
        <f t="shared" si="40"/>
        <v>-9485.1959912921575</v>
      </c>
      <c r="M379" s="43">
        <f t="shared" si="41"/>
        <v>-148.11893876731028</v>
      </c>
      <c r="N379" s="43">
        <f t="shared" si="42"/>
        <v>-3775.0142136683407</v>
      </c>
      <c r="O379" s="43">
        <f t="shared" si="43"/>
        <v>1371.9489579358874</v>
      </c>
      <c r="Q379" s="42">
        <f t="shared" si="44"/>
        <v>0</v>
      </c>
      <c r="R379" s="42">
        <f t="shared" si="45"/>
        <v>0</v>
      </c>
      <c r="S379" s="42">
        <f t="shared" si="46"/>
        <v>0</v>
      </c>
      <c r="T379" s="42">
        <f t="shared" si="47"/>
        <v>1</v>
      </c>
    </row>
    <row r="380" spans="1:20" x14ac:dyDescent="0.2">
      <c r="A380" s="30">
        <v>373</v>
      </c>
      <c r="C380" s="31">
        <v>0.98897121418433698</v>
      </c>
      <c r="D380" s="32">
        <v>14793.442037590403</v>
      </c>
      <c r="E380" s="31">
        <v>0.84844076616038333</v>
      </c>
      <c r="F380" s="32">
        <v>3260.3757047674703</v>
      </c>
      <c r="G380" s="31">
        <v>0.94745473730375918</v>
      </c>
      <c r="H380" s="32">
        <v>8390.8407385452374</v>
      </c>
      <c r="I380" s="31">
        <v>0.8465149361064388</v>
      </c>
      <c r="J380" s="32">
        <v>3110.1821402513083</v>
      </c>
      <c r="L380" s="43">
        <f t="shared" si="40"/>
        <v>-9848.5859666687174</v>
      </c>
      <c r="M380" s="43">
        <f t="shared" si="41"/>
        <v>981.82812603444609</v>
      </c>
      <c r="N380" s="43">
        <f t="shared" si="42"/>
        <v>-3653.5670520264412</v>
      </c>
      <c r="O380" s="43">
        <f t="shared" si="43"/>
        <v>1122.3925402808859</v>
      </c>
      <c r="Q380" s="42">
        <f t="shared" si="44"/>
        <v>0</v>
      </c>
      <c r="R380" s="42">
        <f t="shared" si="45"/>
        <v>0</v>
      </c>
      <c r="S380" s="42">
        <f t="shared" si="46"/>
        <v>0</v>
      </c>
      <c r="T380" s="42">
        <f t="shared" si="47"/>
        <v>1</v>
      </c>
    </row>
    <row r="381" spans="1:20" x14ac:dyDescent="0.2">
      <c r="A381" s="30">
        <v>374</v>
      </c>
      <c r="C381" s="31">
        <v>0.99523569405948309</v>
      </c>
      <c r="D381" s="32">
        <v>14994.690308543202</v>
      </c>
      <c r="E381" s="31">
        <v>0.97734597498332887</v>
      </c>
      <c r="F381" s="32">
        <v>9603.9415230357499</v>
      </c>
      <c r="G381" s="31">
        <v>0.97734597498332876</v>
      </c>
      <c r="H381" s="32">
        <v>9733.1735714450751</v>
      </c>
      <c r="I381" s="31">
        <v>0.97734597498332898</v>
      </c>
      <c r="J381" s="32">
        <v>7311.572754013313</v>
      </c>
      <c r="L381" s="43">
        <f t="shared" si="40"/>
        <v>-10018.511838245788</v>
      </c>
      <c r="M381" s="43">
        <f t="shared" si="41"/>
        <v>-4717.211648119106</v>
      </c>
      <c r="N381" s="43">
        <f t="shared" si="42"/>
        <v>-4846.4436965284312</v>
      </c>
      <c r="O381" s="43">
        <f t="shared" si="43"/>
        <v>-2424.8428790966682</v>
      </c>
      <c r="Q381" s="42">
        <f t="shared" si="44"/>
        <v>0</v>
      </c>
      <c r="R381" s="42">
        <f t="shared" si="45"/>
        <v>0</v>
      </c>
      <c r="S381" s="42">
        <f t="shared" si="46"/>
        <v>0</v>
      </c>
      <c r="T381" s="42">
        <f t="shared" si="47"/>
        <v>1</v>
      </c>
    </row>
    <row r="382" spans="1:20" x14ac:dyDescent="0.2">
      <c r="A382" s="30">
        <v>375</v>
      </c>
      <c r="C382" s="31">
        <v>0.99835591833222692</v>
      </c>
      <c r="D382" s="32">
        <v>11819.561232592238</v>
      </c>
      <c r="E382" s="31">
        <v>0.90677694828362077</v>
      </c>
      <c r="F382" s="32">
        <v>4537.748386085409</v>
      </c>
      <c r="G382" s="31">
        <v>0.92506043844487007</v>
      </c>
      <c r="H382" s="32">
        <v>7114.7828878930022</v>
      </c>
      <c r="I382" s="31">
        <v>0.90107148522440139</v>
      </c>
      <c r="J382" s="32">
        <v>4063.0902617143338</v>
      </c>
      <c r="L382" s="43">
        <f t="shared" si="40"/>
        <v>-6827.7816409311026</v>
      </c>
      <c r="M382" s="43">
        <f t="shared" si="41"/>
        <v>-3.8636446673053797</v>
      </c>
      <c r="N382" s="43">
        <f t="shared" si="42"/>
        <v>-2489.4806956686516</v>
      </c>
      <c r="O382" s="43">
        <f t="shared" si="43"/>
        <v>442.26716440767359</v>
      </c>
      <c r="Q382" s="42">
        <f t="shared" si="44"/>
        <v>0</v>
      </c>
      <c r="R382" s="42">
        <f t="shared" si="45"/>
        <v>0</v>
      </c>
      <c r="S382" s="42">
        <f t="shared" si="46"/>
        <v>0</v>
      </c>
      <c r="T382" s="42">
        <f t="shared" si="47"/>
        <v>1</v>
      </c>
    </row>
    <row r="383" spans="1:20" x14ac:dyDescent="0.2">
      <c r="A383" s="30">
        <v>376</v>
      </c>
      <c r="C383" s="31">
        <v>0.99703601010563325</v>
      </c>
      <c r="D383" s="32">
        <v>19548.020801564926</v>
      </c>
      <c r="E383" s="31">
        <v>0.93398270830390828</v>
      </c>
      <c r="F383" s="32">
        <v>6937.8015358356179</v>
      </c>
      <c r="G383" s="31">
        <v>0.94128929000818928</v>
      </c>
      <c r="H383" s="32">
        <v>12659.284611038031</v>
      </c>
      <c r="I383" s="31">
        <v>0.93398270830390828</v>
      </c>
      <c r="J383" s="32">
        <v>6839.5768648297553</v>
      </c>
      <c r="L383" s="43">
        <f t="shared" si="40"/>
        <v>-14562.84075103676</v>
      </c>
      <c r="M383" s="43">
        <f t="shared" si="41"/>
        <v>-2267.8879943160764</v>
      </c>
      <c r="N383" s="43">
        <f t="shared" si="42"/>
        <v>-7952.8381609970838</v>
      </c>
      <c r="O383" s="43">
        <f t="shared" si="43"/>
        <v>-2169.6633233102139</v>
      </c>
      <c r="Q383" s="42">
        <f t="shared" si="44"/>
        <v>0</v>
      </c>
      <c r="R383" s="42">
        <f t="shared" si="45"/>
        <v>0</v>
      </c>
      <c r="S383" s="42">
        <f t="shared" si="46"/>
        <v>0</v>
      </c>
      <c r="T383" s="42">
        <f t="shared" si="47"/>
        <v>1</v>
      </c>
    </row>
    <row r="384" spans="1:20" x14ac:dyDescent="0.2">
      <c r="A384" s="30">
        <v>377</v>
      </c>
      <c r="C384" s="31">
        <v>0.99518545709763917</v>
      </c>
      <c r="D384" s="32">
        <v>18675.976102500405</v>
      </c>
      <c r="E384" s="31">
        <v>0.61876985766709269</v>
      </c>
      <c r="F384" s="32">
        <v>-300.69325885449786</v>
      </c>
      <c r="G384" s="31">
        <v>0.95684865038302669</v>
      </c>
      <c r="H384" s="32">
        <v>11557.494666544595</v>
      </c>
      <c r="I384" s="31">
        <v>0.61876985766709258</v>
      </c>
      <c r="J384" s="32">
        <v>-427.15135899128882</v>
      </c>
      <c r="L384" s="43">
        <f t="shared" si="40"/>
        <v>-13700.048817012208</v>
      </c>
      <c r="M384" s="43">
        <f t="shared" si="41"/>
        <v>3394.5425471899612</v>
      </c>
      <c r="N384" s="43">
        <f t="shared" si="42"/>
        <v>-6773.2514146294616</v>
      </c>
      <c r="O384" s="43">
        <f t="shared" si="43"/>
        <v>3521.0006473267517</v>
      </c>
      <c r="Q384" s="42">
        <f t="shared" si="44"/>
        <v>0</v>
      </c>
      <c r="R384" s="42">
        <f t="shared" si="45"/>
        <v>0</v>
      </c>
      <c r="S384" s="42">
        <f t="shared" si="46"/>
        <v>0</v>
      </c>
      <c r="T384" s="42">
        <f t="shared" si="47"/>
        <v>1</v>
      </c>
    </row>
    <row r="385" spans="1:20" x14ac:dyDescent="0.2">
      <c r="A385" s="30">
        <v>378</v>
      </c>
      <c r="C385" s="31">
        <v>0.99769516009333048</v>
      </c>
      <c r="D385" s="32">
        <v>15854.029624319279</v>
      </c>
      <c r="E385" s="31">
        <v>0.93317352641775131</v>
      </c>
      <c r="F385" s="32">
        <v>5069.1944594251363</v>
      </c>
      <c r="G385" s="31">
        <v>0.9331735264177512</v>
      </c>
      <c r="H385" s="32">
        <v>9833.2317385775823</v>
      </c>
      <c r="I385" s="31">
        <v>0.9331735264177512</v>
      </c>
      <c r="J385" s="32">
        <v>4940.9040753961481</v>
      </c>
      <c r="L385" s="43">
        <f t="shared" si="40"/>
        <v>-10865.553823852626</v>
      </c>
      <c r="M385" s="43">
        <f t="shared" si="41"/>
        <v>-403.32682733638012</v>
      </c>
      <c r="N385" s="43">
        <f t="shared" si="42"/>
        <v>-5167.3641064888261</v>
      </c>
      <c r="O385" s="43">
        <f t="shared" si="43"/>
        <v>-275.03644330739189</v>
      </c>
      <c r="Q385" s="42">
        <f t="shared" si="44"/>
        <v>0</v>
      </c>
      <c r="R385" s="42">
        <f t="shared" si="45"/>
        <v>0</v>
      </c>
      <c r="S385" s="42">
        <f t="shared" si="46"/>
        <v>0</v>
      </c>
      <c r="T385" s="42">
        <f t="shared" si="47"/>
        <v>1</v>
      </c>
    </row>
    <row r="386" spans="1:20" x14ac:dyDescent="0.2">
      <c r="A386" s="30">
        <v>379</v>
      </c>
      <c r="C386" s="31">
        <v>0.97439950401336606</v>
      </c>
      <c r="D386" s="32">
        <v>14273.554802703691</v>
      </c>
      <c r="E386" s="31">
        <v>0.85493189332592578</v>
      </c>
      <c r="F386" s="32">
        <v>3499.7265021497174</v>
      </c>
      <c r="G386" s="31">
        <v>0.92405783006241937</v>
      </c>
      <c r="H386" s="32">
        <v>7963.9742401422709</v>
      </c>
      <c r="I386" s="31">
        <v>0.85493189332592578</v>
      </c>
      <c r="J386" s="32">
        <v>3300.6710662448363</v>
      </c>
      <c r="L386" s="43">
        <f t="shared" si="40"/>
        <v>-9401.5572826368607</v>
      </c>
      <c r="M386" s="43">
        <f t="shared" si="41"/>
        <v>774.93296447991133</v>
      </c>
      <c r="N386" s="43">
        <f t="shared" si="42"/>
        <v>-3343.6850898301736</v>
      </c>
      <c r="O386" s="43">
        <f t="shared" si="43"/>
        <v>973.98840038479239</v>
      </c>
      <c r="Q386" s="42">
        <f t="shared" si="44"/>
        <v>0</v>
      </c>
      <c r="R386" s="42">
        <f t="shared" si="45"/>
        <v>0</v>
      </c>
      <c r="S386" s="42">
        <f t="shared" si="46"/>
        <v>0</v>
      </c>
      <c r="T386" s="42">
        <f t="shared" si="47"/>
        <v>1</v>
      </c>
    </row>
    <row r="387" spans="1:20" x14ac:dyDescent="0.2">
      <c r="A387" s="30">
        <v>380</v>
      </c>
      <c r="C387" s="31">
        <v>0.98388447610564633</v>
      </c>
      <c r="D387" s="32">
        <v>13363.570263757321</v>
      </c>
      <c r="E387" s="31">
        <v>0.8928700059491832</v>
      </c>
      <c r="F387" s="32">
        <v>6293.4041990157702</v>
      </c>
      <c r="G387" s="31">
        <v>0.9408664767962861</v>
      </c>
      <c r="H387" s="32">
        <v>8052.420866855462</v>
      </c>
      <c r="I387" s="31">
        <v>0.8928700059491832</v>
      </c>
      <c r="J387" s="32">
        <v>4681.8541262717554</v>
      </c>
      <c r="L387" s="43">
        <f t="shared" si="40"/>
        <v>-8444.1478832290886</v>
      </c>
      <c r="M387" s="43">
        <f t="shared" si="41"/>
        <v>-1829.0541692698544</v>
      </c>
      <c r="N387" s="43">
        <f t="shared" si="42"/>
        <v>-3348.0884828740318</v>
      </c>
      <c r="O387" s="43">
        <f t="shared" si="43"/>
        <v>-217.50409652583949</v>
      </c>
      <c r="Q387" s="42">
        <f t="shared" si="44"/>
        <v>0</v>
      </c>
      <c r="R387" s="42">
        <f t="shared" si="45"/>
        <v>0</v>
      </c>
      <c r="S387" s="42">
        <f t="shared" si="46"/>
        <v>0</v>
      </c>
      <c r="T387" s="42">
        <f t="shared" si="47"/>
        <v>1</v>
      </c>
    </row>
    <row r="388" spans="1:20" x14ac:dyDescent="0.2">
      <c r="A388" s="30">
        <v>381</v>
      </c>
      <c r="C388" s="31">
        <v>0.98052631490603015</v>
      </c>
      <c r="D388" s="32">
        <v>14095.248553553394</v>
      </c>
      <c r="E388" s="31">
        <v>0.91694008925696646</v>
      </c>
      <c r="F388" s="32">
        <v>6947.4744613423118</v>
      </c>
      <c r="G388" s="31">
        <v>0.97199035822602831</v>
      </c>
      <c r="H388" s="32">
        <v>8603.2744851709704</v>
      </c>
      <c r="I388" s="31">
        <v>0.91694008925696657</v>
      </c>
      <c r="J388" s="32">
        <v>5224.3797420423198</v>
      </c>
      <c r="L388" s="43">
        <f t="shared" si="40"/>
        <v>-9192.6169790232434</v>
      </c>
      <c r="M388" s="43">
        <f t="shared" si="41"/>
        <v>-2362.7740150574791</v>
      </c>
      <c r="N388" s="43">
        <f t="shared" si="42"/>
        <v>-3743.3226940408285</v>
      </c>
      <c r="O388" s="43">
        <f t="shared" si="43"/>
        <v>-639.67929575748713</v>
      </c>
      <c r="Q388" s="42">
        <f t="shared" si="44"/>
        <v>0</v>
      </c>
      <c r="R388" s="42">
        <f t="shared" si="45"/>
        <v>0</v>
      </c>
      <c r="S388" s="42">
        <f t="shared" si="46"/>
        <v>0</v>
      </c>
      <c r="T388" s="42">
        <f t="shared" si="47"/>
        <v>1</v>
      </c>
    </row>
    <row r="389" spans="1:20" x14ac:dyDescent="0.2">
      <c r="A389" s="30">
        <v>382</v>
      </c>
      <c r="C389" s="31">
        <v>0.98720377109585011</v>
      </c>
      <c r="D389" s="32">
        <v>16499.636120108877</v>
      </c>
      <c r="E389" s="31">
        <v>0.8606157218253625</v>
      </c>
      <c r="F389" s="32">
        <v>6085.4261424382958</v>
      </c>
      <c r="G389" s="31">
        <v>0.93690659829866707</v>
      </c>
      <c r="H389" s="32">
        <v>10820.35008804461</v>
      </c>
      <c r="I389" s="31">
        <v>0.85129221983388037</v>
      </c>
      <c r="J389" s="32">
        <v>5462.6407117431245</v>
      </c>
      <c r="L389" s="43">
        <f t="shared" si="40"/>
        <v>-11563.617264629625</v>
      </c>
      <c r="M389" s="43">
        <f t="shared" si="41"/>
        <v>-1782.3475333114829</v>
      </c>
      <c r="N389" s="43">
        <f t="shared" si="42"/>
        <v>-6135.8170965512745</v>
      </c>
      <c r="O389" s="43">
        <f t="shared" si="43"/>
        <v>-1206.1796125737228</v>
      </c>
      <c r="Q389" s="42">
        <f t="shared" si="44"/>
        <v>0</v>
      </c>
      <c r="R389" s="42">
        <f t="shared" si="45"/>
        <v>0</v>
      </c>
      <c r="S389" s="42">
        <f t="shared" si="46"/>
        <v>0</v>
      </c>
      <c r="T389" s="42">
        <f t="shared" si="47"/>
        <v>1</v>
      </c>
    </row>
    <row r="390" spans="1:20" x14ac:dyDescent="0.2">
      <c r="A390" s="30">
        <v>383</v>
      </c>
      <c r="C390" s="31">
        <v>0.96836446686377808</v>
      </c>
      <c r="D390" s="32">
        <v>18008.095836000928</v>
      </c>
      <c r="E390" s="31">
        <v>0.82032637161656841</v>
      </c>
      <c r="F390" s="32">
        <v>3916.6651361938552</v>
      </c>
      <c r="G390" s="31">
        <v>0.92084442183997928</v>
      </c>
      <c r="H390" s="32">
        <v>10970.967619967121</v>
      </c>
      <c r="I390" s="31">
        <v>0.81656505300581517</v>
      </c>
      <c r="J390" s="32">
        <v>3696.8682263602873</v>
      </c>
      <c r="L390" s="43">
        <f t="shared" si="40"/>
        <v>-13166.273501682037</v>
      </c>
      <c r="M390" s="43">
        <f t="shared" si="41"/>
        <v>184.96672188898674</v>
      </c>
      <c r="N390" s="43">
        <f t="shared" si="42"/>
        <v>-6366.7455107672249</v>
      </c>
      <c r="O390" s="43">
        <f t="shared" si="43"/>
        <v>385.95703866878875</v>
      </c>
      <c r="Q390" s="42">
        <f t="shared" si="44"/>
        <v>0</v>
      </c>
      <c r="R390" s="42">
        <f t="shared" si="45"/>
        <v>0</v>
      </c>
      <c r="S390" s="42">
        <f t="shared" si="46"/>
        <v>0</v>
      </c>
      <c r="T390" s="42">
        <f t="shared" si="47"/>
        <v>1</v>
      </c>
    </row>
    <row r="391" spans="1:20" x14ac:dyDescent="0.2">
      <c r="A391" s="30">
        <v>384</v>
      </c>
      <c r="C391" s="31">
        <v>0.94865093381417498</v>
      </c>
      <c r="D391" s="32">
        <v>15253.518821612413</v>
      </c>
      <c r="E391" s="31">
        <v>0.8484306457071511</v>
      </c>
      <c r="F391" s="32">
        <v>4820.0448909884963</v>
      </c>
      <c r="G391" s="31">
        <v>0.91161505366909223</v>
      </c>
      <c r="H391" s="32">
        <v>9968.1677804408318</v>
      </c>
      <c r="I391" s="31">
        <v>0.84246183083064863</v>
      </c>
      <c r="J391" s="32">
        <v>4587.14441554724</v>
      </c>
      <c r="L391" s="43">
        <f t="shared" si="40"/>
        <v>-10510.264152541538</v>
      </c>
      <c r="M391" s="43">
        <f t="shared" si="41"/>
        <v>-577.891662452741</v>
      </c>
      <c r="N391" s="43">
        <f t="shared" si="42"/>
        <v>-5410.0925120953707</v>
      </c>
      <c r="O391" s="43">
        <f t="shared" si="43"/>
        <v>-374.83526139399692</v>
      </c>
      <c r="Q391" s="42">
        <f t="shared" si="44"/>
        <v>0</v>
      </c>
      <c r="R391" s="42">
        <f t="shared" si="45"/>
        <v>0</v>
      </c>
      <c r="S391" s="42">
        <f t="shared" si="46"/>
        <v>0</v>
      </c>
      <c r="T391" s="42">
        <f t="shared" si="47"/>
        <v>1</v>
      </c>
    </row>
    <row r="392" spans="1:20" x14ac:dyDescent="0.2">
      <c r="A392" s="30">
        <v>385</v>
      </c>
      <c r="C392" s="31">
        <v>0.99258906586592943</v>
      </c>
      <c r="D392" s="32">
        <v>15907.913518764319</v>
      </c>
      <c r="E392" s="31">
        <v>0.84813119432113682</v>
      </c>
      <c r="F392" s="32">
        <v>4632.7022480336946</v>
      </c>
      <c r="G392" s="31">
        <v>0.8836735451840716</v>
      </c>
      <c r="H392" s="32">
        <v>9490.0172297571753</v>
      </c>
      <c r="I392" s="31">
        <v>0.84364182971238577</v>
      </c>
      <c r="J392" s="32">
        <v>4419.3383933182495</v>
      </c>
      <c r="L392" s="43">
        <f t="shared" ref="L392:L455" si="48">C392*Rc_-D392</f>
        <v>-10944.968189434672</v>
      </c>
      <c r="M392" s="43">
        <f t="shared" ref="M392:M455" si="49">E392*Rc_-F392</f>
        <v>-392.04627642801006</v>
      </c>
      <c r="N392" s="43">
        <f t="shared" ref="N392:N455" si="50">G392*Rc_-H392</f>
        <v>-5071.6495038368175</v>
      </c>
      <c r="O392" s="43">
        <f t="shared" ref="O392:O455" si="51">I392*Rc_-J392</f>
        <v>-201.12924475632099</v>
      </c>
      <c r="Q392" s="42">
        <f t="shared" si="44"/>
        <v>0</v>
      </c>
      <c r="R392" s="42">
        <f t="shared" si="45"/>
        <v>0</v>
      </c>
      <c r="S392" s="42">
        <f t="shared" si="46"/>
        <v>0</v>
      </c>
      <c r="T392" s="42">
        <f t="shared" si="47"/>
        <v>1</v>
      </c>
    </row>
    <row r="393" spans="1:20" x14ac:dyDescent="0.2">
      <c r="A393" s="30">
        <v>386</v>
      </c>
      <c r="C393" s="31">
        <v>0.97163084889928375</v>
      </c>
      <c r="D393" s="32">
        <v>13150.452200791691</v>
      </c>
      <c r="E393" s="31">
        <v>0.96529668374546307</v>
      </c>
      <c r="F393" s="32">
        <v>6580.1558422081634</v>
      </c>
      <c r="G393" s="31">
        <v>0.96075178236489878</v>
      </c>
      <c r="H393" s="32">
        <v>8577.1387219648659</v>
      </c>
      <c r="I393" s="31">
        <v>0.96075178236489889</v>
      </c>
      <c r="J393" s="32">
        <v>5696.0241200654154</v>
      </c>
      <c r="L393" s="43">
        <f t="shared" si="48"/>
        <v>-8292.2979562952714</v>
      </c>
      <c r="M393" s="43">
        <f t="shared" si="49"/>
        <v>-1753.672423480848</v>
      </c>
      <c r="N393" s="43">
        <f t="shared" si="50"/>
        <v>-3773.3798101403718</v>
      </c>
      <c r="O393" s="43">
        <f t="shared" si="51"/>
        <v>-892.26520824092131</v>
      </c>
      <c r="Q393" s="42">
        <f t="shared" ref="Q393:Q456" si="52">IF(L393&gt;$M393,IF(L393&gt;$N393,IF(L393&gt;$O393,1,0),0),0)</f>
        <v>0</v>
      </c>
      <c r="R393" s="42">
        <f t="shared" ref="R393:R456" si="53">IF(M393&gt;$L393,IF(M393&gt;$N393,IF(M393&gt;$O393,1,0),0),0)</f>
        <v>0</v>
      </c>
      <c r="S393" s="42">
        <f t="shared" ref="S393:S456" si="54">IF(N393&gt;$M393,IF(N393&gt;$L393,IF(N393&gt;$O393,1,0),0),0)</f>
        <v>0</v>
      </c>
      <c r="T393" s="42">
        <f t="shared" ref="T393:T456" si="55">IF(O393&gt;$M393,IF(O393&gt;$N393,IF(O393&gt;$L393,1,0),0),0)</f>
        <v>1</v>
      </c>
    </row>
    <row r="394" spans="1:20" x14ac:dyDescent="0.2">
      <c r="A394" s="30">
        <v>387</v>
      </c>
      <c r="C394" s="31">
        <v>0.99929915433027461</v>
      </c>
      <c r="D394" s="32">
        <v>16454.144945687931</v>
      </c>
      <c r="E394" s="31">
        <v>0.85943040371393575</v>
      </c>
      <c r="F394" s="32">
        <v>5225.1912688083858</v>
      </c>
      <c r="G394" s="31">
        <v>0.95736680331147661</v>
      </c>
      <c r="H394" s="32">
        <v>10141.454461240004</v>
      </c>
      <c r="I394" s="31">
        <v>0.85943040371393575</v>
      </c>
      <c r="J394" s="32">
        <v>4345.3866588688979</v>
      </c>
      <c r="L394" s="43">
        <f t="shared" si="48"/>
        <v>-11457.649174036558</v>
      </c>
      <c r="M394" s="43">
        <f t="shared" si="49"/>
        <v>-928.0392502387067</v>
      </c>
      <c r="N394" s="43">
        <f t="shared" si="50"/>
        <v>-5354.6204446826214</v>
      </c>
      <c r="O394" s="43">
        <f t="shared" si="51"/>
        <v>-48.234640299218881</v>
      </c>
      <c r="Q394" s="42">
        <f t="shared" si="52"/>
        <v>0</v>
      </c>
      <c r="R394" s="42">
        <f t="shared" si="53"/>
        <v>0</v>
      </c>
      <c r="S394" s="42">
        <f t="shared" si="54"/>
        <v>0</v>
      </c>
      <c r="T394" s="42">
        <f t="shared" si="55"/>
        <v>1</v>
      </c>
    </row>
    <row r="395" spans="1:20" x14ac:dyDescent="0.2">
      <c r="A395" s="30">
        <v>388</v>
      </c>
      <c r="C395" s="31">
        <v>0.9569469616697579</v>
      </c>
      <c r="D395" s="32">
        <v>17653.068328383255</v>
      </c>
      <c r="E395" s="31">
        <v>0.74970510322428341</v>
      </c>
      <c r="F395" s="32">
        <v>5958.6087302375736</v>
      </c>
      <c r="G395" s="31">
        <v>0.94620442699968899</v>
      </c>
      <c r="H395" s="32">
        <v>10770.020216326264</v>
      </c>
      <c r="I395" s="31">
        <v>0.74852531865418825</v>
      </c>
      <c r="J395" s="32">
        <v>3991.4000573563189</v>
      </c>
      <c r="L395" s="43">
        <f t="shared" si="48"/>
        <v>-12868.333520034466</v>
      </c>
      <c r="M395" s="43">
        <f t="shared" si="49"/>
        <v>-2210.0832141161563</v>
      </c>
      <c r="N395" s="43">
        <f t="shared" si="50"/>
        <v>-6038.9980813278189</v>
      </c>
      <c r="O395" s="43">
        <f t="shared" si="51"/>
        <v>-248.77346408537778</v>
      </c>
      <c r="Q395" s="42">
        <f t="shared" si="52"/>
        <v>0</v>
      </c>
      <c r="R395" s="42">
        <f t="shared" si="53"/>
        <v>0</v>
      </c>
      <c r="S395" s="42">
        <f t="shared" si="54"/>
        <v>0</v>
      </c>
      <c r="T395" s="42">
        <f t="shared" si="55"/>
        <v>1</v>
      </c>
    </row>
    <row r="396" spans="1:20" x14ac:dyDescent="0.2">
      <c r="A396" s="30">
        <v>389</v>
      </c>
      <c r="C396" s="31">
        <v>0.99929881094621487</v>
      </c>
      <c r="D396" s="32">
        <v>17270.172609618101</v>
      </c>
      <c r="E396" s="31">
        <v>0.89786769764262508</v>
      </c>
      <c r="F396" s="32">
        <v>5673.9650600427167</v>
      </c>
      <c r="G396" s="31">
        <v>0.96258359639594138</v>
      </c>
      <c r="H396" s="32">
        <v>10067.6097143974</v>
      </c>
      <c r="I396" s="31">
        <v>0.8886080688844824</v>
      </c>
      <c r="J396" s="32">
        <v>4746.0277882489036</v>
      </c>
      <c r="L396" s="43">
        <f t="shared" si="48"/>
        <v>-12273.678554887027</v>
      </c>
      <c r="M396" s="43">
        <f t="shared" si="49"/>
        <v>-1184.6265718295908</v>
      </c>
      <c r="N396" s="43">
        <f t="shared" si="50"/>
        <v>-5254.6917324176929</v>
      </c>
      <c r="O396" s="43">
        <f t="shared" si="51"/>
        <v>-302.98744382649147</v>
      </c>
      <c r="Q396" s="42">
        <f t="shared" si="52"/>
        <v>0</v>
      </c>
      <c r="R396" s="42">
        <f t="shared" si="53"/>
        <v>0</v>
      </c>
      <c r="S396" s="42">
        <f t="shared" si="54"/>
        <v>0</v>
      </c>
      <c r="T396" s="42">
        <f t="shared" si="55"/>
        <v>1</v>
      </c>
    </row>
    <row r="397" spans="1:20" x14ac:dyDescent="0.2">
      <c r="A397" s="30">
        <v>390</v>
      </c>
      <c r="C397" s="31">
        <v>0.99133011044735786</v>
      </c>
      <c r="D397" s="32">
        <v>13733.246449841268</v>
      </c>
      <c r="E397" s="31">
        <v>0.91435594641688034</v>
      </c>
      <c r="F397" s="32">
        <v>4311.924579283952</v>
      </c>
      <c r="G397" s="31">
        <v>0.90692944899117089</v>
      </c>
      <c r="H397" s="32">
        <v>7803.0187143263183</v>
      </c>
      <c r="I397" s="31">
        <v>0.90227400691603565</v>
      </c>
      <c r="J397" s="32">
        <v>3997.1888549753417</v>
      </c>
      <c r="L397" s="43">
        <f t="shared" si="48"/>
        <v>-8776.5958976044785</v>
      </c>
      <c r="M397" s="43">
        <f t="shared" si="49"/>
        <v>259.85515280045001</v>
      </c>
      <c r="N397" s="43">
        <f t="shared" si="50"/>
        <v>-3268.3714693704642</v>
      </c>
      <c r="O397" s="43">
        <f t="shared" si="51"/>
        <v>514.18117960483642</v>
      </c>
      <c r="Q397" s="42">
        <f t="shared" si="52"/>
        <v>0</v>
      </c>
      <c r="R397" s="42">
        <f t="shared" si="53"/>
        <v>0</v>
      </c>
      <c r="S397" s="42">
        <f t="shared" si="54"/>
        <v>0</v>
      </c>
      <c r="T397" s="42">
        <f t="shared" si="55"/>
        <v>1</v>
      </c>
    </row>
    <row r="398" spans="1:20" x14ac:dyDescent="0.2">
      <c r="A398" s="30">
        <v>391</v>
      </c>
      <c r="C398" s="31">
        <v>0.99930543383683479</v>
      </c>
      <c r="D398" s="32">
        <v>15548.625440213993</v>
      </c>
      <c r="E398" s="31">
        <v>0.85031732719694464</v>
      </c>
      <c r="F398" s="32">
        <v>3530.0838233163945</v>
      </c>
      <c r="G398" s="31">
        <v>0.95773762198789825</v>
      </c>
      <c r="H398" s="32">
        <v>9080.554697208896</v>
      </c>
      <c r="I398" s="31">
        <v>0.84370135766216681</v>
      </c>
      <c r="J398" s="32">
        <v>3263.308620136962</v>
      </c>
      <c r="L398" s="43">
        <f t="shared" si="48"/>
        <v>-10552.098271029819</v>
      </c>
      <c r="M398" s="43">
        <f t="shared" si="49"/>
        <v>721.50281266832872</v>
      </c>
      <c r="N398" s="43">
        <f t="shared" si="50"/>
        <v>-4291.8665872694046</v>
      </c>
      <c r="O398" s="43">
        <f t="shared" si="51"/>
        <v>955.19816817387209</v>
      </c>
      <c r="Q398" s="42">
        <f t="shared" si="52"/>
        <v>0</v>
      </c>
      <c r="R398" s="42">
        <f t="shared" si="53"/>
        <v>0</v>
      </c>
      <c r="S398" s="42">
        <f t="shared" si="54"/>
        <v>0</v>
      </c>
      <c r="T398" s="42">
        <f t="shared" si="55"/>
        <v>1</v>
      </c>
    </row>
    <row r="399" spans="1:20" x14ac:dyDescent="0.2">
      <c r="A399" s="30">
        <v>392</v>
      </c>
      <c r="C399" s="31">
        <v>0.99773289569797874</v>
      </c>
      <c r="D399" s="32">
        <v>14312.283813062619</v>
      </c>
      <c r="E399" s="31">
        <v>0.97449856641359422</v>
      </c>
      <c r="F399" s="32">
        <v>6173.4376775117862</v>
      </c>
      <c r="G399" s="31">
        <v>0.96592622595737199</v>
      </c>
      <c r="H399" s="32">
        <v>8879.5118685181933</v>
      </c>
      <c r="I399" s="31">
        <v>0.96592622595737199</v>
      </c>
      <c r="J399" s="32">
        <v>5556.8726493564154</v>
      </c>
      <c r="L399" s="43">
        <f t="shared" si="48"/>
        <v>-9323.6193345727261</v>
      </c>
      <c r="M399" s="43">
        <f t="shared" si="49"/>
        <v>-1300.9448454438152</v>
      </c>
      <c r="N399" s="43">
        <f t="shared" si="50"/>
        <v>-4049.8807387313336</v>
      </c>
      <c r="O399" s="43">
        <f t="shared" si="51"/>
        <v>-727.24151956955575</v>
      </c>
      <c r="Q399" s="42">
        <f t="shared" si="52"/>
        <v>0</v>
      </c>
      <c r="R399" s="42">
        <f t="shared" si="53"/>
        <v>0</v>
      </c>
      <c r="S399" s="42">
        <f t="shared" si="54"/>
        <v>0</v>
      </c>
      <c r="T399" s="42">
        <f t="shared" si="55"/>
        <v>1</v>
      </c>
    </row>
    <row r="400" spans="1:20" x14ac:dyDescent="0.2">
      <c r="A400" s="30">
        <v>393</v>
      </c>
      <c r="C400" s="31">
        <v>0.986503364410802</v>
      </c>
      <c r="D400" s="32">
        <v>13039.268357045401</v>
      </c>
      <c r="E400" s="31">
        <v>0.93694902265197344</v>
      </c>
      <c r="F400" s="32">
        <v>7765.2901787186911</v>
      </c>
      <c r="G400" s="31">
        <v>0.93408232630193755</v>
      </c>
      <c r="H400" s="32">
        <v>7719.4934768039921</v>
      </c>
      <c r="I400" s="31">
        <v>0.93408420889389254</v>
      </c>
      <c r="J400" s="32">
        <v>5511.481692538694</v>
      </c>
      <c r="L400" s="43">
        <f t="shared" si="48"/>
        <v>-8106.7515349913911</v>
      </c>
      <c r="M400" s="43">
        <f t="shared" si="49"/>
        <v>-3080.545065458824</v>
      </c>
      <c r="N400" s="43">
        <f t="shared" si="50"/>
        <v>-3049.081845294304</v>
      </c>
      <c r="O400" s="43">
        <f t="shared" si="51"/>
        <v>-841.06064806923132</v>
      </c>
      <c r="Q400" s="42">
        <f t="shared" si="52"/>
        <v>0</v>
      </c>
      <c r="R400" s="42">
        <f t="shared" si="53"/>
        <v>0</v>
      </c>
      <c r="S400" s="42">
        <f t="shared" si="54"/>
        <v>0</v>
      </c>
      <c r="T400" s="42">
        <f t="shared" si="55"/>
        <v>1</v>
      </c>
    </row>
    <row r="401" spans="1:20" x14ac:dyDescent="0.2">
      <c r="A401" s="30">
        <v>394</v>
      </c>
      <c r="C401" s="31">
        <v>0.9981870111081077</v>
      </c>
      <c r="D401" s="32">
        <v>16988.108634167053</v>
      </c>
      <c r="E401" s="31">
        <v>0.95476546022368747</v>
      </c>
      <c r="F401" s="32">
        <v>8162.1405990636931</v>
      </c>
      <c r="G401" s="31">
        <v>0.94836407548220691</v>
      </c>
      <c r="H401" s="32">
        <v>10231.554648626199</v>
      </c>
      <c r="I401" s="31">
        <v>0.94836407548220736</v>
      </c>
      <c r="J401" s="32">
        <v>6605.523870222597</v>
      </c>
      <c r="L401" s="43">
        <f t="shared" si="48"/>
        <v>-11997.173578626514</v>
      </c>
      <c r="M401" s="43">
        <f t="shared" si="49"/>
        <v>-3388.3132979452557</v>
      </c>
      <c r="N401" s="43">
        <f t="shared" si="50"/>
        <v>-5489.7342712151649</v>
      </c>
      <c r="O401" s="43">
        <f t="shared" si="51"/>
        <v>-1863.70349281156</v>
      </c>
      <c r="Q401" s="42">
        <f t="shared" si="52"/>
        <v>0</v>
      </c>
      <c r="R401" s="42">
        <f t="shared" si="53"/>
        <v>0</v>
      </c>
      <c r="S401" s="42">
        <f t="shared" si="54"/>
        <v>0</v>
      </c>
      <c r="T401" s="42">
        <f t="shared" si="55"/>
        <v>1</v>
      </c>
    </row>
    <row r="402" spans="1:20" x14ac:dyDescent="0.2">
      <c r="A402" s="30">
        <v>395</v>
      </c>
      <c r="C402" s="31">
        <v>0.96545307702848948</v>
      </c>
      <c r="D402" s="32">
        <v>17861.068594157823</v>
      </c>
      <c r="E402" s="31">
        <v>0.86569647770945901</v>
      </c>
      <c r="F402" s="32">
        <v>5054.9889914248524</v>
      </c>
      <c r="G402" s="31">
        <v>0.95698364405352609</v>
      </c>
      <c r="H402" s="32">
        <v>11305.896418299562</v>
      </c>
      <c r="I402" s="31">
        <v>0.86336207398924969</v>
      </c>
      <c r="J402" s="32">
        <v>4611.4973194640361</v>
      </c>
      <c r="L402" s="43">
        <f t="shared" si="48"/>
        <v>-13033.803209015376</v>
      </c>
      <c r="M402" s="43">
        <f t="shared" si="49"/>
        <v>-726.50660287755727</v>
      </c>
      <c r="N402" s="43">
        <f t="shared" si="50"/>
        <v>-6520.9781980319322</v>
      </c>
      <c r="O402" s="43">
        <f t="shared" si="51"/>
        <v>-294.68694951778798</v>
      </c>
      <c r="Q402" s="42">
        <f t="shared" si="52"/>
        <v>0</v>
      </c>
      <c r="R402" s="42">
        <f t="shared" si="53"/>
        <v>0</v>
      </c>
      <c r="S402" s="42">
        <f t="shared" si="54"/>
        <v>0</v>
      </c>
      <c r="T402" s="42">
        <f t="shared" si="55"/>
        <v>1</v>
      </c>
    </row>
    <row r="403" spans="1:20" x14ac:dyDescent="0.2">
      <c r="A403" s="30">
        <v>396</v>
      </c>
      <c r="C403" s="31">
        <v>0.99803278375917048</v>
      </c>
      <c r="D403" s="32">
        <v>15114.708199490311</v>
      </c>
      <c r="E403" s="31">
        <v>0.94184961735187533</v>
      </c>
      <c r="F403" s="32">
        <v>5898.3305955981468</v>
      </c>
      <c r="G403" s="31">
        <v>0.93695544658564534</v>
      </c>
      <c r="H403" s="32">
        <v>9219.7426204205458</v>
      </c>
      <c r="I403" s="31">
        <v>0.93501087593525289</v>
      </c>
      <c r="J403" s="32">
        <v>5408.7285157952165</v>
      </c>
      <c r="L403" s="43">
        <f t="shared" si="48"/>
        <v>-10124.544280694459</v>
      </c>
      <c r="M403" s="43">
        <f t="shared" si="49"/>
        <v>-1189.0825088387701</v>
      </c>
      <c r="N403" s="43">
        <f t="shared" si="50"/>
        <v>-4534.9653874923188</v>
      </c>
      <c r="O403" s="43">
        <f t="shared" si="51"/>
        <v>-733.67413611895245</v>
      </c>
      <c r="Q403" s="42">
        <f t="shared" si="52"/>
        <v>0</v>
      </c>
      <c r="R403" s="42">
        <f t="shared" si="53"/>
        <v>0</v>
      </c>
      <c r="S403" s="42">
        <f t="shared" si="54"/>
        <v>0</v>
      </c>
      <c r="T403" s="42">
        <f t="shared" si="55"/>
        <v>1</v>
      </c>
    </row>
    <row r="404" spans="1:20" x14ac:dyDescent="0.2">
      <c r="A404" s="30">
        <v>397</v>
      </c>
      <c r="C404" s="31">
        <v>0.98659761409427771</v>
      </c>
      <c r="D404" s="32">
        <v>17849.938504423524</v>
      </c>
      <c r="E404" s="31">
        <v>0.96070689311829849</v>
      </c>
      <c r="F404" s="32">
        <v>5966.1853178388446</v>
      </c>
      <c r="G404" s="31">
        <v>0.96070689311829838</v>
      </c>
      <c r="H404" s="32">
        <v>10764.289406881664</v>
      </c>
      <c r="I404" s="31">
        <v>0.96070689311829849</v>
      </c>
      <c r="J404" s="32">
        <v>5838.3116919057093</v>
      </c>
      <c r="L404" s="43">
        <f t="shared" si="48"/>
        <v>-12916.950433952135</v>
      </c>
      <c r="M404" s="43">
        <f t="shared" si="49"/>
        <v>-1162.6508522473523</v>
      </c>
      <c r="N404" s="43">
        <f t="shared" si="50"/>
        <v>-5960.7549412901717</v>
      </c>
      <c r="O404" s="43">
        <f t="shared" si="51"/>
        <v>-1034.7772263142169</v>
      </c>
      <c r="Q404" s="42">
        <f t="shared" si="52"/>
        <v>0</v>
      </c>
      <c r="R404" s="42">
        <f t="shared" si="53"/>
        <v>0</v>
      </c>
      <c r="S404" s="42">
        <f t="shared" si="54"/>
        <v>0</v>
      </c>
      <c r="T404" s="42">
        <f t="shared" si="55"/>
        <v>1</v>
      </c>
    </row>
    <row r="405" spans="1:20" x14ac:dyDescent="0.2">
      <c r="A405" s="30">
        <v>398</v>
      </c>
      <c r="C405" s="31">
        <v>0.98608165367820877</v>
      </c>
      <c r="D405" s="32">
        <v>19488.257247621867</v>
      </c>
      <c r="E405" s="31">
        <v>0.93821824184310965</v>
      </c>
      <c r="F405" s="32">
        <v>6811.5897440801818</v>
      </c>
      <c r="G405" s="31">
        <v>0.93821532514094752</v>
      </c>
      <c r="H405" s="32">
        <v>11652.253861094592</v>
      </c>
      <c r="I405" s="31">
        <v>0.93821824184310976</v>
      </c>
      <c r="J405" s="32">
        <v>6666.8766756063696</v>
      </c>
      <c r="L405" s="43">
        <f t="shared" si="48"/>
        <v>-14557.848979230823</v>
      </c>
      <c r="M405" s="43">
        <f t="shared" si="49"/>
        <v>-2120.4985348646333</v>
      </c>
      <c r="N405" s="43">
        <f t="shared" si="50"/>
        <v>-6961.1772353898541</v>
      </c>
      <c r="O405" s="43">
        <f t="shared" si="51"/>
        <v>-1975.7854663908211</v>
      </c>
      <c r="Q405" s="42">
        <f t="shared" si="52"/>
        <v>0</v>
      </c>
      <c r="R405" s="42">
        <f t="shared" si="53"/>
        <v>0</v>
      </c>
      <c r="S405" s="42">
        <f t="shared" si="54"/>
        <v>0</v>
      </c>
      <c r="T405" s="42">
        <f t="shared" si="55"/>
        <v>1</v>
      </c>
    </row>
    <row r="406" spans="1:20" x14ac:dyDescent="0.2">
      <c r="A406" s="30">
        <v>399</v>
      </c>
      <c r="C406" s="31">
        <v>0.99926569542671051</v>
      </c>
      <c r="D406" s="32">
        <v>15733.147034629048</v>
      </c>
      <c r="E406" s="31">
        <v>0.96921971209994739</v>
      </c>
      <c r="F406" s="32">
        <v>5154.4624227606464</v>
      </c>
      <c r="G406" s="31">
        <v>0.95849520824034284</v>
      </c>
      <c r="H406" s="32">
        <v>9064.0105865859568</v>
      </c>
      <c r="I406" s="31">
        <v>0.95780637209773589</v>
      </c>
      <c r="J406" s="32">
        <v>4819.8335456189025</v>
      </c>
      <c r="L406" s="43">
        <f t="shared" si="48"/>
        <v>-10736.818557495495</v>
      </c>
      <c r="M406" s="43">
        <f t="shared" si="49"/>
        <v>-308.36386226090963</v>
      </c>
      <c r="N406" s="43">
        <f t="shared" si="50"/>
        <v>-4271.5345453842428</v>
      </c>
      <c r="O406" s="43">
        <f t="shared" si="51"/>
        <v>-30.801685130222722</v>
      </c>
      <c r="Q406" s="42">
        <f t="shared" si="52"/>
        <v>0</v>
      </c>
      <c r="R406" s="42">
        <f t="shared" si="53"/>
        <v>0</v>
      </c>
      <c r="S406" s="42">
        <f t="shared" si="54"/>
        <v>0</v>
      </c>
      <c r="T406" s="42">
        <f t="shared" si="55"/>
        <v>1</v>
      </c>
    </row>
    <row r="407" spans="1:20" x14ac:dyDescent="0.2">
      <c r="A407" s="30">
        <v>400</v>
      </c>
      <c r="C407" s="31">
        <v>0.99993318286249699</v>
      </c>
      <c r="D407" s="32">
        <v>14931.405063742097</v>
      </c>
      <c r="E407" s="31">
        <v>0.96671370843625715</v>
      </c>
      <c r="F407" s="32">
        <v>8131.5702180443104</v>
      </c>
      <c r="G407" s="31">
        <v>0.95879472893939499</v>
      </c>
      <c r="H407" s="32">
        <v>9153.6842772483888</v>
      </c>
      <c r="I407" s="31">
        <v>0.95879472893939499</v>
      </c>
      <c r="J407" s="32">
        <v>6257.8483554402756</v>
      </c>
      <c r="L407" s="43">
        <f t="shared" si="48"/>
        <v>-9931.7391494296116</v>
      </c>
      <c r="M407" s="43">
        <f t="shared" si="49"/>
        <v>-3298.0016758630245</v>
      </c>
      <c r="N407" s="43">
        <f t="shared" si="50"/>
        <v>-4359.7106325514142</v>
      </c>
      <c r="O407" s="43">
        <f t="shared" si="51"/>
        <v>-1463.874710743301</v>
      </c>
      <c r="Q407" s="42">
        <f t="shared" si="52"/>
        <v>0</v>
      </c>
      <c r="R407" s="42">
        <f t="shared" si="53"/>
        <v>0</v>
      </c>
      <c r="S407" s="42">
        <f t="shared" si="54"/>
        <v>0</v>
      </c>
      <c r="T407" s="42">
        <f t="shared" si="55"/>
        <v>1</v>
      </c>
    </row>
    <row r="408" spans="1:20" x14ac:dyDescent="0.2">
      <c r="A408" s="30">
        <v>401</v>
      </c>
      <c r="C408" s="31">
        <v>0.99393654277344956</v>
      </c>
      <c r="D408" s="32">
        <v>15403.421977457969</v>
      </c>
      <c r="E408" s="31">
        <v>0.93467465119244242</v>
      </c>
      <c r="F408" s="32">
        <v>5449.8469494523806</v>
      </c>
      <c r="G408" s="31">
        <v>0.97249041136914371</v>
      </c>
      <c r="H408" s="32">
        <v>9442.7994712501713</v>
      </c>
      <c r="I408" s="31">
        <v>0.93012149903279007</v>
      </c>
      <c r="J408" s="32">
        <v>4576.8599397655162</v>
      </c>
      <c r="L408" s="43">
        <f t="shared" si="48"/>
        <v>-10433.73926359072</v>
      </c>
      <c r="M408" s="43">
        <f t="shared" si="49"/>
        <v>-776.47369349016844</v>
      </c>
      <c r="N408" s="43">
        <f t="shared" si="50"/>
        <v>-4580.347414404453</v>
      </c>
      <c r="O408" s="43">
        <f t="shared" si="51"/>
        <v>73.747555398434088</v>
      </c>
      <c r="Q408" s="42">
        <f t="shared" si="52"/>
        <v>0</v>
      </c>
      <c r="R408" s="42">
        <f t="shared" si="53"/>
        <v>0</v>
      </c>
      <c r="S408" s="42">
        <f t="shared" si="54"/>
        <v>0</v>
      </c>
      <c r="T408" s="42">
        <f t="shared" si="55"/>
        <v>1</v>
      </c>
    </row>
    <row r="409" spans="1:20" x14ac:dyDescent="0.2">
      <c r="A409" s="30">
        <v>402</v>
      </c>
      <c r="C409" s="31">
        <v>0.98891007865918534</v>
      </c>
      <c r="D409" s="32">
        <v>16543.97242441717</v>
      </c>
      <c r="E409" s="31">
        <v>0.84870723494211819</v>
      </c>
      <c r="F409" s="32">
        <v>3828.7291402670885</v>
      </c>
      <c r="G409" s="31">
        <v>0.94489302322232194</v>
      </c>
      <c r="H409" s="32">
        <v>9461.1386770738281</v>
      </c>
      <c r="I409" s="31">
        <v>0.84708009069928025</v>
      </c>
      <c r="J409" s="32">
        <v>3641.4483351488484</v>
      </c>
      <c r="L409" s="43">
        <f t="shared" si="48"/>
        <v>-11599.422031121245</v>
      </c>
      <c r="M409" s="43">
        <f t="shared" si="49"/>
        <v>414.80703444350229</v>
      </c>
      <c r="N409" s="43">
        <f t="shared" si="50"/>
        <v>-4736.6735609622183</v>
      </c>
      <c r="O409" s="43">
        <f t="shared" si="51"/>
        <v>593.9521183475531</v>
      </c>
      <c r="Q409" s="42">
        <f t="shared" si="52"/>
        <v>0</v>
      </c>
      <c r="R409" s="42">
        <f t="shared" si="53"/>
        <v>0</v>
      </c>
      <c r="S409" s="42">
        <f t="shared" si="54"/>
        <v>0</v>
      </c>
      <c r="T409" s="42">
        <f t="shared" si="55"/>
        <v>1</v>
      </c>
    </row>
    <row r="410" spans="1:20" x14ac:dyDescent="0.2">
      <c r="A410" s="30">
        <v>403</v>
      </c>
      <c r="C410" s="31">
        <v>0.97202737922719162</v>
      </c>
      <c r="D410" s="32">
        <v>15173.842813649102</v>
      </c>
      <c r="E410" s="31">
        <v>0.74226163212157137</v>
      </c>
      <c r="F410" s="32">
        <v>2914.4231804429146</v>
      </c>
      <c r="G410" s="31">
        <v>0.92180395156323236</v>
      </c>
      <c r="H410" s="32">
        <v>9146.7249434016212</v>
      </c>
      <c r="I410" s="31">
        <v>0.74164735812730487</v>
      </c>
      <c r="J410" s="32">
        <v>1995.690394185149</v>
      </c>
      <c r="L410" s="43">
        <f t="shared" si="48"/>
        <v>-10313.705917513144</v>
      </c>
      <c r="M410" s="43">
        <f t="shared" si="49"/>
        <v>796.88498016494214</v>
      </c>
      <c r="N410" s="43">
        <f t="shared" si="50"/>
        <v>-4537.7051855854597</v>
      </c>
      <c r="O410" s="43">
        <f t="shared" si="51"/>
        <v>1712.5463964513754</v>
      </c>
      <c r="Q410" s="42">
        <f t="shared" si="52"/>
        <v>0</v>
      </c>
      <c r="R410" s="42">
        <f t="shared" si="53"/>
        <v>0</v>
      </c>
      <c r="S410" s="42">
        <f t="shared" si="54"/>
        <v>0</v>
      </c>
      <c r="T410" s="42">
        <f t="shared" si="55"/>
        <v>1</v>
      </c>
    </row>
    <row r="411" spans="1:20" x14ac:dyDescent="0.2">
      <c r="A411" s="30">
        <v>404</v>
      </c>
      <c r="C411" s="31">
        <v>0.97760956012963496</v>
      </c>
      <c r="D411" s="32">
        <v>13778.936643608899</v>
      </c>
      <c r="E411" s="31">
        <v>0.78715511747421885</v>
      </c>
      <c r="F411" s="32">
        <v>2402.347191931286</v>
      </c>
      <c r="G411" s="31">
        <v>0.93751817460192055</v>
      </c>
      <c r="H411" s="32">
        <v>8199.1042108641668</v>
      </c>
      <c r="I411" s="31">
        <v>0.78693858661715221</v>
      </c>
      <c r="J411" s="32">
        <v>2310.1650336040057</v>
      </c>
      <c r="L411" s="43">
        <f t="shared" si="48"/>
        <v>-8890.888842960725</v>
      </c>
      <c r="M411" s="43">
        <f t="shared" si="49"/>
        <v>1533.4283954398084</v>
      </c>
      <c r="N411" s="43">
        <f t="shared" si="50"/>
        <v>-3511.5133378545643</v>
      </c>
      <c r="O411" s="43">
        <f t="shared" si="51"/>
        <v>1624.5278994817554</v>
      </c>
      <c r="Q411" s="42">
        <f t="shared" si="52"/>
        <v>0</v>
      </c>
      <c r="R411" s="42">
        <f t="shared" si="53"/>
        <v>0</v>
      </c>
      <c r="S411" s="42">
        <f t="shared" si="54"/>
        <v>0</v>
      </c>
      <c r="T411" s="42">
        <f t="shared" si="55"/>
        <v>1</v>
      </c>
    </row>
    <row r="412" spans="1:20" x14ac:dyDescent="0.2">
      <c r="A412" s="30">
        <v>405</v>
      </c>
      <c r="C412" s="31">
        <v>0.99685952305215686</v>
      </c>
      <c r="D412" s="32">
        <v>12864.37265652287</v>
      </c>
      <c r="E412" s="31">
        <v>0.96847419329976736</v>
      </c>
      <c r="F412" s="32">
        <v>4747.527151764375</v>
      </c>
      <c r="G412" s="31">
        <v>0.96596407269413209</v>
      </c>
      <c r="H412" s="32">
        <v>7751.6261828712086</v>
      </c>
      <c r="I412" s="31">
        <v>0.96596407269413209</v>
      </c>
      <c r="J412" s="32">
        <v>4600.3397791130374</v>
      </c>
      <c r="L412" s="43">
        <f t="shared" si="48"/>
        <v>-7880.0750412620855</v>
      </c>
      <c r="M412" s="43">
        <f t="shared" si="49"/>
        <v>94.843814734461375</v>
      </c>
      <c r="N412" s="43">
        <f t="shared" si="50"/>
        <v>-2921.805819400548</v>
      </c>
      <c r="O412" s="43">
        <f t="shared" si="51"/>
        <v>229.48058435762323</v>
      </c>
      <c r="Q412" s="42">
        <f t="shared" si="52"/>
        <v>0</v>
      </c>
      <c r="R412" s="42">
        <f t="shared" si="53"/>
        <v>0</v>
      </c>
      <c r="S412" s="42">
        <f t="shared" si="54"/>
        <v>0</v>
      </c>
      <c r="T412" s="42">
        <f t="shared" si="55"/>
        <v>1</v>
      </c>
    </row>
    <row r="413" spans="1:20" x14ac:dyDescent="0.2">
      <c r="A413" s="30">
        <v>406</v>
      </c>
      <c r="C413" s="31">
        <v>0.98690041440303755</v>
      </c>
      <c r="D413" s="32">
        <v>15855.028523078769</v>
      </c>
      <c r="E413" s="31">
        <v>0.86849081881760903</v>
      </c>
      <c r="F413" s="32">
        <v>4167.3949718486947</v>
      </c>
      <c r="G413" s="31">
        <v>0.95699601307142956</v>
      </c>
      <c r="H413" s="32">
        <v>9436.0014464583255</v>
      </c>
      <c r="I413" s="31">
        <v>0.86849081881760903</v>
      </c>
      <c r="J413" s="32">
        <v>4039.1829392559662</v>
      </c>
      <c r="L413" s="43">
        <f t="shared" si="48"/>
        <v>-10920.526451063581</v>
      </c>
      <c r="M413" s="43">
        <f t="shared" si="49"/>
        <v>175.05912223935047</v>
      </c>
      <c r="N413" s="43">
        <f t="shared" si="50"/>
        <v>-4651.0213811011781</v>
      </c>
      <c r="O413" s="43">
        <f t="shared" si="51"/>
        <v>303.27115483207899</v>
      </c>
      <c r="Q413" s="42">
        <f t="shared" si="52"/>
        <v>0</v>
      </c>
      <c r="R413" s="42">
        <f t="shared" si="53"/>
        <v>0</v>
      </c>
      <c r="S413" s="42">
        <f t="shared" si="54"/>
        <v>0</v>
      </c>
      <c r="T413" s="42">
        <f t="shared" si="55"/>
        <v>1</v>
      </c>
    </row>
    <row r="414" spans="1:20" x14ac:dyDescent="0.2">
      <c r="A414" s="30">
        <v>407</v>
      </c>
      <c r="C414" s="31">
        <v>0.99609938947606391</v>
      </c>
      <c r="D414" s="32">
        <v>15575.875393652022</v>
      </c>
      <c r="E414" s="31">
        <v>0.97472062630198386</v>
      </c>
      <c r="F414" s="32">
        <v>5728.9254838215211</v>
      </c>
      <c r="G414" s="31">
        <v>0.97162357847957015</v>
      </c>
      <c r="H414" s="32">
        <v>10189.602932910013</v>
      </c>
      <c r="I414" s="31">
        <v>0.97162357847956993</v>
      </c>
      <c r="J414" s="32">
        <v>5548.4083090286695</v>
      </c>
      <c r="L414" s="43">
        <f t="shared" si="48"/>
        <v>-10595.378446271703</v>
      </c>
      <c r="M414" s="43">
        <f t="shared" si="49"/>
        <v>-855.32235231160212</v>
      </c>
      <c r="N414" s="43">
        <f t="shared" si="50"/>
        <v>-5331.4850405121624</v>
      </c>
      <c r="O414" s="43">
        <f t="shared" si="51"/>
        <v>-690.29041663081989</v>
      </c>
      <c r="Q414" s="42">
        <f t="shared" si="52"/>
        <v>0</v>
      </c>
      <c r="R414" s="42">
        <f t="shared" si="53"/>
        <v>0</v>
      </c>
      <c r="S414" s="42">
        <f t="shared" si="54"/>
        <v>0</v>
      </c>
      <c r="T414" s="42">
        <f t="shared" si="55"/>
        <v>1</v>
      </c>
    </row>
    <row r="415" spans="1:20" x14ac:dyDescent="0.2">
      <c r="A415" s="30">
        <v>408</v>
      </c>
      <c r="C415" s="31">
        <v>0.99982150092489475</v>
      </c>
      <c r="D415" s="32">
        <v>14669.756613655383</v>
      </c>
      <c r="E415" s="31">
        <v>0.88487129397670583</v>
      </c>
      <c r="F415" s="32">
        <v>3878.7061947270954</v>
      </c>
      <c r="G415" s="31">
        <v>0.95683335522482538</v>
      </c>
      <c r="H415" s="32">
        <v>8667.8091553637987</v>
      </c>
      <c r="I415" s="31">
        <v>0.88233200789532273</v>
      </c>
      <c r="J415" s="32">
        <v>3673.0368798833729</v>
      </c>
      <c r="L415" s="43">
        <f t="shared" si="48"/>
        <v>-9670.64910903091</v>
      </c>
      <c r="M415" s="43">
        <f t="shared" si="49"/>
        <v>545.65027515643351</v>
      </c>
      <c r="N415" s="43">
        <f t="shared" si="50"/>
        <v>-3883.6423792396718</v>
      </c>
      <c r="O415" s="43">
        <f t="shared" si="51"/>
        <v>738.62315959324087</v>
      </c>
      <c r="Q415" s="42">
        <f t="shared" si="52"/>
        <v>0</v>
      </c>
      <c r="R415" s="42">
        <f t="shared" si="53"/>
        <v>0</v>
      </c>
      <c r="S415" s="42">
        <f t="shared" si="54"/>
        <v>0</v>
      </c>
      <c r="T415" s="42">
        <f t="shared" si="55"/>
        <v>1</v>
      </c>
    </row>
    <row r="416" spans="1:20" x14ac:dyDescent="0.2">
      <c r="A416" s="30">
        <v>409</v>
      </c>
      <c r="C416" s="31">
        <v>0.98477769438282892</v>
      </c>
      <c r="D416" s="32">
        <v>14316.013244047417</v>
      </c>
      <c r="E416" s="31">
        <v>0.96670136804375617</v>
      </c>
      <c r="F416" s="32">
        <v>9293.0092274796752</v>
      </c>
      <c r="G416" s="31">
        <v>0.96224955657099287</v>
      </c>
      <c r="H416" s="32">
        <v>8534.6512666403578</v>
      </c>
      <c r="I416" s="31">
        <v>0.96224955657099287</v>
      </c>
      <c r="J416" s="32">
        <v>6484.2346514452747</v>
      </c>
      <c r="L416" s="43">
        <f t="shared" si="48"/>
        <v>-9392.1247721332729</v>
      </c>
      <c r="M416" s="43">
        <f t="shared" si="49"/>
        <v>-4459.5023872608945</v>
      </c>
      <c r="N416" s="43">
        <f t="shared" si="50"/>
        <v>-3723.4034837853933</v>
      </c>
      <c r="O416" s="43">
        <f t="shared" si="51"/>
        <v>-1672.9868685903102</v>
      </c>
      <c r="Q416" s="42">
        <f t="shared" si="52"/>
        <v>0</v>
      </c>
      <c r="R416" s="42">
        <f t="shared" si="53"/>
        <v>0</v>
      </c>
      <c r="S416" s="42">
        <f t="shared" si="54"/>
        <v>0</v>
      </c>
      <c r="T416" s="42">
        <f t="shared" si="55"/>
        <v>1</v>
      </c>
    </row>
    <row r="417" spans="1:20" x14ac:dyDescent="0.2">
      <c r="A417" s="30">
        <v>410</v>
      </c>
      <c r="C417" s="31">
        <v>0.99336462367813672</v>
      </c>
      <c r="D417" s="32">
        <v>18810.307507404304</v>
      </c>
      <c r="E417" s="31">
        <v>0.89915917301696813</v>
      </c>
      <c r="F417" s="32">
        <v>6892.7255592348411</v>
      </c>
      <c r="G417" s="31">
        <v>0.89787980597087802</v>
      </c>
      <c r="H417" s="32">
        <v>11059.749845951361</v>
      </c>
      <c r="I417" s="31">
        <v>0.89787980597087802</v>
      </c>
      <c r="J417" s="32">
        <v>6741.5489759722077</v>
      </c>
      <c r="L417" s="43">
        <f t="shared" si="48"/>
        <v>-13843.484389013622</v>
      </c>
      <c r="M417" s="43">
        <f t="shared" si="49"/>
        <v>-2396.9296941500006</v>
      </c>
      <c r="N417" s="43">
        <f t="shared" si="50"/>
        <v>-6570.3508160969704</v>
      </c>
      <c r="O417" s="43">
        <f t="shared" si="51"/>
        <v>-2252.1499461178173</v>
      </c>
      <c r="Q417" s="42">
        <f t="shared" si="52"/>
        <v>0</v>
      </c>
      <c r="R417" s="42">
        <f t="shared" si="53"/>
        <v>0</v>
      </c>
      <c r="S417" s="42">
        <f t="shared" si="54"/>
        <v>0</v>
      </c>
      <c r="T417" s="42">
        <f t="shared" si="55"/>
        <v>1</v>
      </c>
    </row>
    <row r="418" spans="1:20" x14ac:dyDescent="0.2">
      <c r="A418" s="30">
        <v>411</v>
      </c>
      <c r="C418" s="31">
        <v>0.98413781070677397</v>
      </c>
      <c r="D418" s="32">
        <v>16637.184498385421</v>
      </c>
      <c r="E418" s="31">
        <v>0.74064395068866407</v>
      </c>
      <c r="F418" s="32">
        <v>9609.2065921303201</v>
      </c>
      <c r="G418" s="31">
        <v>0.92580834445856763</v>
      </c>
      <c r="H418" s="32">
        <v>10633.296755431234</v>
      </c>
      <c r="I418" s="31">
        <v>0.73740791437043607</v>
      </c>
      <c r="J418" s="32">
        <v>5577.4462558310261</v>
      </c>
      <c r="L418" s="43">
        <f t="shared" si="48"/>
        <v>-11716.495444851551</v>
      </c>
      <c r="M418" s="43">
        <f t="shared" si="49"/>
        <v>-5905.9868386870003</v>
      </c>
      <c r="N418" s="43">
        <f t="shared" si="50"/>
        <v>-6004.2550331383964</v>
      </c>
      <c r="O418" s="43">
        <f t="shared" si="51"/>
        <v>-1890.4066839788456</v>
      </c>
      <c r="Q418" s="42">
        <f t="shared" si="52"/>
        <v>0</v>
      </c>
      <c r="R418" s="42">
        <f t="shared" si="53"/>
        <v>0</v>
      </c>
      <c r="S418" s="42">
        <f t="shared" si="54"/>
        <v>0</v>
      </c>
      <c r="T418" s="42">
        <f t="shared" si="55"/>
        <v>1</v>
      </c>
    </row>
    <row r="419" spans="1:20" x14ac:dyDescent="0.2">
      <c r="A419" s="30">
        <v>412</v>
      </c>
      <c r="C419" s="31">
        <v>0.99384429488789738</v>
      </c>
      <c r="D419" s="32">
        <v>13237.200683883908</v>
      </c>
      <c r="E419" s="31">
        <v>0.90958220535735812</v>
      </c>
      <c r="F419" s="32">
        <v>4955.4415562002805</v>
      </c>
      <c r="G419" s="31">
        <v>0.94740437024704316</v>
      </c>
      <c r="H419" s="32">
        <v>8462.4093087483343</v>
      </c>
      <c r="I419" s="31">
        <v>0.90958220535735812</v>
      </c>
      <c r="J419" s="32">
        <v>4581.0803680339441</v>
      </c>
      <c r="L419" s="43">
        <f t="shared" si="48"/>
        <v>-8267.9792094444201</v>
      </c>
      <c r="M419" s="43">
        <f t="shared" si="49"/>
        <v>-407.5305294134896</v>
      </c>
      <c r="N419" s="43">
        <f t="shared" si="50"/>
        <v>-3725.3874575131185</v>
      </c>
      <c r="O419" s="43">
        <f t="shared" si="51"/>
        <v>-33.16934124715317</v>
      </c>
      <c r="Q419" s="42">
        <f t="shared" si="52"/>
        <v>0</v>
      </c>
      <c r="R419" s="42">
        <f t="shared" si="53"/>
        <v>0</v>
      </c>
      <c r="S419" s="42">
        <f t="shared" si="54"/>
        <v>0</v>
      </c>
      <c r="T419" s="42">
        <f t="shared" si="55"/>
        <v>1</v>
      </c>
    </row>
    <row r="420" spans="1:20" x14ac:dyDescent="0.2">
      <c r="A420" s="30">
        <v>413</v>
      </c>
      <c r="C420" s="31">
        <v>0.99877073733632316</v>
      </c>
      <c r="D420" s="32">
        <v>11545.65651796079</v>
      </c>
      <c r="E420" s="31">
        <v>0.83629361615395936</v>
      </c>
      <c r="F420" s="32">
        <v>3368.8006456082062</v>
      </c>
      <c r="G420" s="31">
        <v>0.88511497588653465</v>
      </c>
      <c r="H420" s="32">
        <v>7036.7767232938513</v>
      </c>
      <c r="I420" s="31">
        <v>0.83467606863897825</v>
      </c>
      <c r="J420" s="32">
        <v>3234.317374245165</v>
      </c>
      <c r="L420" s="43">
        <f t="shared" si="48"/>
        <v>-6551.8028312791739</v>
      </c>
      <c r="M420" s="43">
        <f t="shared" si="49"/>
        <v>812.66743516159067</v>
      </c>
      <c r="N420" s="43">
        <f t="shared" si="50"/>
        <v>-2611.2018438611776</v>
      </c>
      <c r="O420" s="43">
        <f t="shared" si="51"/>
        <v>939.06296894972593</v>
      </c>
      <c r="Q420" s="42">
        <f t="shared" si="52"/>
        <v>0</v>
      </c>
      <c r="R420" s="42">
        <f t="shared" si="53"/>
        <v>0</v>
      </c>
      <c r="S420" s="42">
        <f t="shared" si="54"/>
        <v>0</v>
      </c>
      <c r="T420" s="42">
        <f t="shared" si="55"/>
        <v>1</v>
      </c>
    </row>
    <row r="421" spans="1:20" x14ac:dyDescent="0.2">
      <c r="A421" s="30">
        <v>414</v>
      </c>
      <c r="C421" s="31">
        <v>0.98726628325414101</v>
      </c>
      <c r="D421" s="32">
        <v>16096.046870278729</v>
      </c>
      <c r="E421" s="31">
        <v>0.65003019195139711</v>
      </c>
      <c r="F421" s="32">
        <v>1817.3249682231699</v>
      </c>
      <c r="G421" s="31">
        <v>0.92605374453114919</v>
      </c>
      <c r="H421" s="32">
        <v>10383.392355221895</v>
      </c>
      <c r="I421" s="31">
        <v>0.6497953112594963</v>
      </c>
      <c r="J421" s="32">
        <v>1684.4735233340109</v>
      </c>
      <c r="L421" s="43">
        <f t="shared" si="48"/>
        <v>-11159.715454008025</v>
      </c>
      <c r="M421" s="43">
        <f t="shared" si="49"/>
        <v>1432.8259915338158</v>
      </c>
      <c r="N421" s="43">
        <f t="shared" si="50"/>
        <v>-5753.1236325661484</v>
      </c>
      <c r="O421" s="43">
        <f t="shared" si="51"/>
        <v>1564.5030329634708</v>
      </c>
      <c r="Q421" s="42">
        <f t="shared" si="52"/>
        <v>0</v>
      </c>
      <c r="R421" s="42">
        <f t="shared" si="53"/>
        <v>0</v>
      </c>
      <c r="S421" s="42">
        <f t="shared" si="54"/>
        <v>0</v>
      </c>
      <c r="T421" s="42">
        <f t="shared" si="55"/>
        <v>1</v>
      </c>
    </row>
    <row r="422" spans="1:20" x14ac:dyDescent="0.2">
      <c r="A422" s="30">
        <v>415</v>
      </c>
      <c r="C422" s="31">
        <v>0.99709254479669429</v>
      </c>
      <c r="D422" s="32">
        <v>14679.617186797417</v>
      </c>
      <c r="E422" s="31">
        <v>0.97315373440224051</v>
      </c>
      <c r="F422" s="32">
        <v>7907.5401638968497</v>
      </c>
      <c r="G422" s="31">
        <v>0.97122707921259011</v>
      </c>
      <c r="H422" s="32">
        <v>9206.0016021885185</v>
      </c>
      <c r="I422" s="31">
        <v>0.97122707921259022</v>
      </c>
      <c r="J422" s="32">
        <v>6255.1550706880626</v>
      </c>
      <c r="L422" s="43">
        <f t="shared" si="48"/>
        <v>-9694.1544628139454</v>
      </c>
      <c r="M422" s="43">
        <f t="shared" si="49"/>
        <v>-3041.7714918856473</v>
      </c>
      <c r="N422" s="43">
        <f t="shared" si="50"/>
        <v>-4349.8662061255682</v>
      </c>
      <c r="O422" s="43">
        <f t="shared" si="51"/>
        <v>-1399.0196746251113</v>
      </c>
      <c r="Q422" s="42">
        <f t="shared" si="52"/>
        <v>0</v>
      </c>
      <c r="R422" s="42">
        <f t="shared" si="53"/>
        <v>0</v>
      </c>
      <c r="S422" s="42">
        <f t="shared" si="54"/>
        <v>0</v>
      </c>
      <c r="T422" s="42">
        <f t="shared" si="55"/>
        <v>1</v>
      </c>
    </row>
    <row r="423" spans="1:20" x14ac:dyDescent="0.2">
      <c r="A423" s="30">
        <v>416</v>
      </c>
      <c r="C423" s="31">
        <v>0.96264131818750531</v>
      </c>
      <c r="D423" s="32">
        <v>12829.630000909885</v>
      </c>
      <c r="E423" s="31">
        <v>0.79942679040818254</v>
      </c>
      <c r="F423" s="32">
        <v>2467.5912923990504</v>
      </c>
      <c r="G423" s="31">
        <v>0.92841955753786121</v>
      </c>
      <c r="H423" s="32">
        <v>7936.7248119637461</v>
      </c>
      <c r="I423" s="31">
        <v>0.79541275867101879</v>
      </c>
      <c r="J423" s="32">
        <v>2257.1598138928389</v>
      </c>
      <c r="L423" s="43">
        <f t="shared" si="48"/>
        <v>-8016.4234099723581</v>
      </c>
      <c r="M423" s="43">
        <f t="shared" si="49"/>
        <v>1529.5426596418624</v>
      </c>
      <c r="N423" s="43">
        <f t="shared" si="50"/>
        <v>-3294.6270242744404</v>
      </c>
      <c r="O423" s="43">
        <f t="shared" si="51"/>
        <v>1719.9039794622549</v>
      </c>
      <c r="Q423" s="42">
        <f t="shared" si="52"/>
        <v>0</v>
      </c>
      <c r="R423" s="42">
        <f t="shared" si="53"/>
        <v>0</v>
      </c>
      <c r="S423" s="42">
        <f t="shared" si="54"/>
        <v>0</v>
      </c>
      <c r="T423" s="42">
        <f t="shared" si="55"/>
        <v>1</v>
      </c>
    </row>
    <row r="424" spans="1:20" x14ac:dyDescent="0.2">
      <c r="A424" s="30">
        <v>417</v>
      </c>
      <c r="C424" s="31">
        <v>0.99128347900075042</v>
      </c>
      <c r="D424" s="32">
        <v>14093.067514154161</v>
      </c>
      <c r="E424" s="31">
        <v>0.8369091872386305</v>
      </c>
      <c r="F424" s="32">
        <v>3244.859913673039</v>
      </c>
      <c r="G424" s="31">
        <v>0.91478819871180883</v>
      </c>
      <c r="H424" s="32">
        <v>8238.0855110037774</v>
      </c>
      <c r="I424" s="31">
        <v>0.83288335900060151</v>
      </c>
      <c r="J424" s="32">
        <v>3047.4143698054622</v>
      </c>
      <c r="L424" s="43">
        <f t="shared" si="48"/>
        <v>-9136.6501191504103</v>
      </c>
      <c r="M424" s="43">
        <f t="shared" si="49"/>
        <v>939.68602252011351</v>
      </c>
      <c r="N424" s="43">
        <f t="shared" si="50"/>
        <v>-3664.1445174447335</v>
      </c>
      <c r="O424" s="43">
        <f t="shared" si="51"/>
        <v>1117.0024251975456</v>
      </c>
      <c r="Q424" s="42">
        <f t="shared" si="52"/>
        <v>0</v>
      </c>
      <c r="R424" s="42">
        <f t="shared" si="53"/>
        <v>0</v>
      </c>
      <c r="S424" s="42">
        <f t="shared" si="54"/>
        <v>0</v>
      </c>
      <c r="T424" s="42">
        <f t="shared" si="55"/>
        <v>1</v>
      </c>
    </row>
    <row r="425" spans="1:20" x14ac:dyDescent="0.2">
      <c r="A425" s="30">
        <v>418</v>
      </c>
      <c r="C425" s="31">
        <v>0.97526152134792465</v>
      </c>
      <c r="D425" s="32">
        <v>9804.0785530990834</v>
      </c>
      <c r="E425" s="31">
        <v>0.89513427742231988</v>
      </c>
      <c r="F425" s="32">
        <v>3745.1336822601766</v>
      </c>
      <c r="G425" s="31">
        <v>0.88379871747363969</v>
      </c>
      <c r="H425" s="32">
        <v>6151.0660157428674</v>
      </c>
      <c r="I425" s="31">
        <v>0.88379871747363969</v>
      </c>
      <c r="J425" s="32">
        <v>3352.4938051421914</v>
      </c>
      <c r="L425" s="43">
        <f t="shared" si="48"/>
        <v>-4927.7709463594601</v>
      </c>
      <c r="M425" s="43">
        <f t="shared" si="49"/>
        <v>730.5377048514224</v>
      </c>
      <c r="N425" s="43">
        <f t="shared" si="50"/>
        <v>-1732.0724283746686</v>
      </c>
      <c r="O425" s="43">
        <f t="shared" si="51"/>
        <v>1066.4997822260075</v>
      </c>
      <c r="Q425" s="42">
        <f t="shared" si="52"/>
        <v>0</v>
      </c>
      <c r="R425" s="42">
        <f t="shared" si="53"/>
        <v>0</v>
      </c>
      <c r="S425" s="42">
        <f t="shared" si="54"/>
        <v>0</v>
      </c>
      <c r="T425" s="42">
        <f t="shared" si="55"/>
        <v>1</v>
      </c>
    </row>
    <row r="426" spans="1:20" x14ac:dyDescent="0.2">
      <c r="A426" s="30">
        <v>419</v>
      </c>
      <c r="C426" s="31">
        <v>0.98194624075311754</v>
      </c>
      <c r="D426" s="32">
        <v>17359.554771865245</v>
      </c>
      <c r="E426" s="31">
        <v>0.96315041962087777</v>
      </c>
      <c r="F426" s="32">
        <v>5835.7917393979005</v>
      </c>
      <c r="G426" s="31">
        <v>0.96474972849508167</v>
      </c>
      <c r="H426" s="32">
        <v>10790.171607123662</v>
      </c>
      <c r="I426" s="31">
        <v>0.96315041962087777</v>
      </c>
      <c r="J426" s="32">
        <v>5723.4339793192821</v>
      </c>
      <c r="L426" s="43">
        <f t="shared" si="48"/>
        <v>-12449.823568099659</v>
      </c>
      <c r="M426" s="43">
        <f t="shared" si="49"/>
        <v>-1020.0396412935115</v>
      </c>
      <c r="N426" s="43">
        <f t="shared" si="50"/>
        <v>-5966.4229646482545</v>
      </c>
      <c r="O426" s="43">
        <f t="shared" si="51"/>
        <v>-907.68188121489311</v>
      </c>
      <c r="Q426" s="42">
        <f t="shared" si="52"/>
        <v>0</v>
      </c>
      <c r="R426" s="42">
        <f t="shared" si="53"/>
        <v>0</v>
      </c>
      <c r="S426" s="42">
        <f t="shared" si="54"/>
        <v>0</v>
      </c>
      <c r="T426" s="42">
        <f t="shared" si="55"/>
        <v>1</v>
      </c>
    </row>
    <row r="427" spans="1:20" x14ac:dyDescent="0.2">
      <c r="A427" s="30">
        <v>420</v>
      </c>
      <c r="C427" s="31">
        <v>0.96308066016923632</v>
      </c>
      <c r="D427" s="32">
        <v>15257.71066135607</v>
      </c>
      <c r="E427" s="31">
        <v>0.88011688457000248</v>
      </c>
      <c r="F427" s="32">
        <v>5479.9240113677824</v>
      </c>
      <c r="G427" s="31">
        <v>0.86885658610410987</v>
      </c>
      <c r="H427" s="32">
        <v>8897.546675723248</v>
      </c>
      <c r="I427" s="31">
        <v>0.868859040594267</v>
      </c>
      <c r="J427" s="32">
        <v>5164.0486625679687</v>
      </c>
      <c r="L427" s="43">
        <f t="shared" si="48"/>
        <v>-10442.307360509887</v>
      </c>
      <c r="M427" s="43">
        <f t="shared" si="49"/>
        <v>-1079.3395885177697</v>
      </c>
      <c r="N427" s="43">
        <f t="shared" si="50"/>
        <v>-4553.2637452026984</v>
      </c>
      <c r="O427" s="43">
        <f t="shared" si="51"/>
        <v>-819.75345959663355</v>
      </c>
      <c r="Q427" s="42">
        <f t="shared" si="52"/>
        <v>0</v>
      </c>
      <c r="R427" s="42">
        <f t="shared" si="53"/>
        <v>0</v>
      </c>
      <c r="S427" s="42">
        <f t="shared" si="54"/>
        <v>0</v>
      </c>
      <c r="T427" s="42">
        <f t="shared" si="55"/>
        <v>1</v>
      </c>
    </row>
    <row r="428" spans="1:20" x14ac:dyDescent="0.2">
      <c r="A428" s="30">
        <v>421</v>
      </c>
      <c r="C428" s="31">
        <v>0.99849476108607516</v>
      </c>
      <c r="D428" s="32">
        <v>12076.209948879612</v>
      </c>
      <c r="E428" s="31">
        <v>0.95436434163892458</v>
      </c>
      <c r="F428" s="32">
        <v>5670.5177657342028</v>
      </c>
      <c r="G428" s="31">
        <v>0.94141277851458272</v>
      </c>
      <c r="H428" s="32">
        <v>8032.7708021609424</v>
      </c>
      <c r="I428" s="31">
        <v>0.94141277851458283</v>
      </c>
      <c r="J428" s="32">
        <v>5026.9087142155286</v>
      </c>
      <c r="L428" s="43">
        <f t="shared" si="48"/>
        <v>-7083.7361434492359</v>
      </c>
      <c r="M428" s="43">
        <f t="shared" si="49"/>
        <v>-898.69605753957967</v>
      </c>
      <c r="N428" s="43">
        <f t="shared" si="50"/>
        <v>-3325.7069095880288</v>
      </c>
      <c r="O428" s="43">
        <f t="shared" si="51"/>
        <v>-319.84482164261408</v>
      </c>
      <c r="Q428" s="42">
        <f t="shared" si="52"/>
        <v>0</v>
      </c>
      <c r="R428" s="42">
        <f t="shared" si="53"/>
        <v>0</v>
      </c>
      <c r="S428" s="42">
        <f t="shared" si="54"/>
        <v>0</v>
      </c>
      <c r="T428" s="42">
        <f t="shared" si="55"/>
        <v>1</v>
      </c>
    </row>
    <row r="429" spans="1:20" x14ac:dyDescent="0.2">
      <c r="A429" s="30">
        <v>422</v>
      </c>
      <c r="C429" s="31">
        <v>0.99416302417230917</v>
      </c>
      <c r="D429" s="32">
        <v>19677.088782222883</v>
      </c>
      <c r="E429" s="31">
        <v>0.94341225666780626</v>
      </c>
      <c r="F429" s="32">
        <v>6792.3281697503253</v>
      </c>
      <c r="G429" s="31">
        <v>0.94048172827810383</v>
      </c>
      <c r="H429" s="32">
        <v>11864.048063272425</v>
      </c>
      <c r="I429" s="31">
        <v>0.94048172827810395</v>
      </c>
      <c r="J429" s="32">
        <v>6620.8458608549654</v>
      </c>
      <c r="L429" s="43">
        <f t="shared" si="48"/>
        <v>-14706.273661361338</v>
      </c>
      <c r="M429" s="43">
        <f t="shared" si="49"/>
        <v>-2075.2668864112939</v>
      </c>
      <c r="N429" s="43">
        <f t="shared" si="50"/>
        <v>-7161.6394218819059</v>
      </c>
      <c r="O429" s="43">
        <f t="shared" si="51"/>
        <v>-1918.4372194644457</v>
      </c>
      <c r="Q429" s="42">
        <f t="shared" si="52"/>
        <v>0</v>
      </c>
      <c r="R429" s="42">
        <f t="shared" si="53"/>
        <v>0</v>
      </c>
      <c r="S429" s="42">
        <f t="shared" si="54"/>
        <v>0</v>
      </c>
      <c r="T429" s="42">
        <f t="shared" si="55"/>
        <v>1</v>
      </c>
    </row>
    <row r="430" spans="1:20" x14ac:dyDescent="0.2">
      <c r="A430" s="30">
        <v>423</v>
      </c>
      <c r="C430" s="31">
        <v>0.97464877508993786</v>
      </c>
      <c r="D430" s="32">
        <v>15685.4514718685</v>
      </c>
      <c r="E430" s="31">
        <v>0.95408600156819023</v>
      </c>
      <c r="F430" s="32">
        <v>5883.8998426699718</v>
      </c>
      <c r="G430" s="31">
        <v>0.95408600156819023</v>
      </c>
      <c r="H430" s="32">
        <v>9899.9952278165038</v>
      </c>
      <c r="I430" s="31">
        <v>0.95408600156819023</v>
      </c>
      <c r="J430" s="32">
        <v>5404.5126163569421</v>
      </c>
      <c r="L430" s="43">
        <f t="shared" si="48"/>
        <v>-10812.207596418812</v>
      </c>
      <c r="M430" s="43">
        <f t="shared" si="49"/>
        <v>-1113.4698348290203</v>
      </c>
      <c r="N430" s="43">
        <f t="shared" si="50"/>
        <v>-5129.5652199755523</v>
      </c>
      <c r="O430" s="43">
        <f t="shared" si="51"/>
        <v>-634.08260851599061</v>
      </c>
      <c r="Q430" s="42">
        <f t="shared" si="52"/>
        <v>0</v>
      </c>
      <c r="R430" s="42">
        <f t="shared" si="53"/>
        <v>0</v>
      </c>
      <c r="S430" s="42">
        <f t="shared" si="54"/>
        <v>0</v>
      </c>
      <c r="T430" s="42">
        <f t="shared" si="55"/>
        <v>1</v>
      </c>
    </row>
    <row r="431" spans="1:20" x14ac:dyDescent="0.2">
      <c r="A431" s="30">
        <v>424</v>
      </c>
      <c r="C431" s="31">
        <v>0.95738414494726498</v>
      </c>
      <c r="D431" s="32">
        <v>15886.739540137942</v>
      </c>
      <c r="E431" s="31">
        <v>0.71674326933255972</v>
      </c>
      <c r="F431" s="32">
        <v>4729.5244154862376</v>
      </c>
      <c r="G431" s="31">
        <v>0.92620966122536352</v>
      </c>
      <c r="H431" s="32">
        <v>9457.2641851300596</v>
      </c>
      <c r="I431" s="31">
        <v>0.71449687114518023</v>
      </c>
      <c r="J431" s="32">
        <v>2944.1136500193315</v>
      </c>
      <c r="L431" s="43">
        <f t="shared" si="48"/>
        <v>-11099.818815401617</v>
      </c>
      <c r="M431" s="43">
        <f t="shared" si="49"/>
        <v>-1145.808068823439</v>
      </c>
      <c r="N431" s="43">
        <f t="shared" si="50"/>
        <v>-4826.2158790032418</v>
      </c>
      <c r="O431" s="43">
        <f t="shared" si="51"/>
        <v>628.37070570656942</v>
      </c>
      <c r="Q431" s="42">
        <f t="shared" si="52"/>
        <v>0</v>
      </c>
      <c r="R431" s="42">
        <f t="shared" si="53"/>
        <v>0</v>
      </c>
      <c r="S431" s="42">
        <f t="shared" si="54"/>
        <v>0</v>
      </c>
      <c r="T431" s="42">
        <f t="shared" si="55"/>
        <v>1</v>
      </c>
    </row>
    <row r="432" spans="1:20" x14ac:dyDescent="0.2">
      <c r="A432" s="30">
        <v>425</v>
      </c>
      <c r="C432" s="31">
        <v>0.98866078813795277</v>
      </c>
      <c r="D432" s="32">
        <v>15468.301208418097</v>
      </c>
      <c r="E432" s="31">
        <v>0.76014838759115522</v>
      </c>
      <c r="F432" s="32">
        <v>2502.4641318451795</v>
      </c>
      <c r="G432" s="31">
        <v>0.97634666233844958</v>
      </c>
      <c r="H432" s="32">
        <v>9219.0592566804989</v>
      </c>
      <c r="I432" s="31">
        <v>0.75641859718282212</v>
      </c>
      <c r="J432" s="32">
        <v>2284.1211904262627</v>
      </c>
      <c r="L432" s="43">
        <f t="shared" si="48"/>
        <v>-10524.997267728333</v>
      </c>
      <c r="M432" s="43">
        <f t="shared" si="49"/>
        <v>1298.2778061105964</v>
      </c>
      <c r="N432" s="43">
        <f t="shared" si="50"/>
        <v>-4337.3259449882507</v>
      </c>
      <c r="O432" s="43">
        <f t="shared" si="51"/>
        <v>1497.9717954878479</v>
      </c>
      <c r="Q432" s="42">
        <f t="shared" si="52"/>
        <v>0</v>
      </c>
      <c r="R432" s="42">
        <f t="shared" si="53"/>
        <v>0</v>
      </c>
      <c r="S432" s="42">
        <f t="shared" si="54"/>
        <v>0</v>
      </c>
      <c r="T432" s="42">
        <f t="shared" si="55"/>
        <v>1</v>
      </c>
    </row>
    <row r="433" spans="1:20" x14ac:dyDescent="0.2">
      <c r="A433" s="30">
        <v>426</v>
      </c>
      <c r="C433" s="31">
        <v>0.92530118967698205</v>
      </c>
      <c r="D433" s="32">
        <v>17059.826699304434</v>
      </c>
      <c r="E433" s="31">
        <v>0.74863760389680056</v>
      </c>
      <c r="F433" s="32">
        <v>2554.1450403151407</v>
      </c>
      <c r="G433" s="31">
        <v>0.91819892823059901</v>
      </c>
      <c r="H433" s="32">
        <v>10886.22122906066</v>
      </c>
      <c r="I433" s="31">
        <v>0.74682296485336341</v>
      </c>
      <c r="J433" s="32">
        <v>2366.3699438549506</v>
      </c>
      <c r="L433" s="43">
        <f t="shared" si="48"/>
        <v>-12433.320750919524</v>
      </c>
      <c r="M433" s="43">
        <f t="shared" si="49"/>
        <v>1189.0429791688621</v>
      </c>
      <c r="N433" s="43">
        <f t="shared" si="50"/>
        <v>-6295.2265879076649</v>
      </c>
      <c r="O433" s="43">
        <f t="shared" si="51"/>
        <v>1367.7448804118662</v>
      </c>
      <c r="Q433" s="42">
        <f t="shared" si="52"/>
        <v>0</v>
      </c>
      <c r="R433" s="42">
        <f t="shared" si="53"/>
        <v>0</v>
      </c>
      <c r="S433" s="42">
        <f t="shared" si="54"/>
        <v>0</v>
      </c>
      <c r="T433" s="42">
        <f t="shared" si="55"/>
        <v>1</v>
      </c>
    </row>
    <row r="434" spans="1:20" x14ac:dyDescent="0.2">
      <c r="A434" s="30">
        <v>427</v>
      </c>
      <c r="C434" s="31">
        <v>0.98520022961306131</v>
      </c>
      <c r="D434" s="32">
        <v>17144.372570555282</v>
      </c>
      <c r="E434" s="31">
        <v>0.86166504840108216</v>
      </c>
      <c r="F434" s="32">
        <v>6743.3583810322407</v>
      </c>
      <c r="G434" s="31">
        <v>0.94181884421714757</v>
      </c>
      <c r="H434" s="32">
        <v>11371.206804965414</v>
      </c>
      <c r="I434" s="31">
        <v>0.85522041557609818</v>
      </c>
      <c r="J434" s="32">
        <v>5742.5787441666407</v>
      </c>
      <c r="L434" s="43">
        <f t="shared" si="48"/>
        <v>-12218.371422489976</v>
      </c>
      <c r="M434" s="43">
        <f t="shared" si="49"/>
        <v>-2435.0331390268302</v>
      </c>
      <c r="N434" s="43">
        <f t="shared" si="50"/>
        <v>-6662.1125838796761</v>
      </c>
      <c r="O434" s="43">
        <f t="shared" si="51"/>
        <v>-1466.4766662861502</v>
      </c>
      <c r="Q434" s="42">
        <f t="shared" si="52"/>
        <v>0</v>
      </c>
      <c r="R434" s="42">
        <f t="shared" si="53"/>
        <v>0</v>
      </c>
      <c r="S434" s="42">
        <f t="shared" si="54"/>
        <v>0</v>
      </c>
      <c r="T434" s="42">
        <f t="shared" si="55"/>
        <v>1</v>
      </c>
    </row>
    <row r="435" spans="1:20" x14ac:dyDescent="0.2">
      <c r="A435" s="30">
        <v>428</v>
      </c>
      <c r="C435" s="31">
        <v>0.99941357147315402</v>
      </c>
      <c r="D435" s="32">
        <v>17601.75866841196</v>
      </c>
      <c r="E435" s="31">
        <v>0.75836056636257909</v>
      </c>
      <c r="F435" s="32">
        <v>2435.7488933048407</v>
      </c>
      <c r="G435" s="31">
        <v>0.95307001255540846</v>
      </c>
      <c r="H435" s="32">
        <v>10626.57021514478</v>
      </c>
      <c r="I435" s="31">
        <v>0.75594539198785704</v>
      </c>
      <c r="J435" s="32">
        <v>2244.3571463483963</v>
      </c>
      <c r="L435" s="43">
        <f t="shared" si="48"/>
        <v>-12604.69081104619</v>
      </c>
      <c r="M435" s="43">
        <f t="shared" si="49"/>
        <v>1356.0539385080547</v>
      </c>
      <c r="N435" s="43">
        <f t="shared" si="50"/>
        <v>-5861.2201523677377</v>
      </c>
      <c r="O435" s="43">
        <f t="shared" si="51"/>
        <v>1535.369813590889</v>
      </c>
      <c r="Q435" s="42">
        <f t="shared" si="52"/>
        <v>0</v>
      </c>
      <c r="R435" s="42">
        <f t="shared" si="53"/>
        <v>0</v>
      </c>
      <c r="S435" s="42">
        <f t="shared" si="54"/>
        <v>0</v>
      </c>
      <c r="T435" s="42">
        <f t="shared" si="55"/>
        <v>1</v>
      </c>
    </row>
    <row r="436" spans="1:20" x14ac:dyDescent="0.2">
      <c r="A436" s="30">
        <v>429</v>
      </c>
      <c r="C436" s="31">
        <v>0.98344120289642289</v>
      </c>
      <c r="D436" s="32">
        <v>19269.257563287767</v>
      </c>
      <c r="E436" s="31">
        <v>0.8107810777200064</v>
      </c>
      <c r="F436" s="32">
        <v>4274.1961582438717</v>
      </c>
      <c r="G436" s="31">
        <v>0.95995323719026904</v>
      </c>
      <c r="H436" s="32">
        <v>11648.836006234354</v>
      </c>
      <c r="I436" s="31">
        <v>0.80993499967739035</v>
      </c>
      <c r="J436" s="32">
        <v>4153.8336272590686</v>
      </c>
      <c r="L436" s="43">
        <f t="shared" si="48"/>
        <v>-14352.051548805652</v>
      </c>
      <c r="M436" s="43">
        <f t="shared" si="49"/>
        <v>-220.29076964383967</v>
      </c>
      <c r="N436" s="43">
        <f t="shared" si="50"/>
        <v>-6849.069820283009</v>
      </c>
      <c r="O436" s="43">
        <f t="shared" si="51"/>
        <v>-104.15862887211688</v>
      </c>
      <c r="Q436" s="42">
        <f t="shared" si="52"/>
        <v>0</v>
      </c>
      <c r="R436" s="42">
        <f t="shared" si="53"/>
        <v>0</v>
      </c>
      <c r="S436" s="42">
        <f t="shared" si="54"/>
        <v>0</v>
      </c>
      <c r="T436" s="42">
        <f t="shared" si="55"/>
        <v>1</v>
      </c>
    </row>
    <row r="437" spans="1:20" x14ac:dyDescent="0.2">
      <c r="A437" s="30">
        <v>430</v>
      </c>
      <c r="C437" s="31">
        <v>0.99401149119327847</v>
      </c>
      <c r="D437" s="32">
        <v>12871.475391310692</v>
      </c>
      <c r="E437" s="31">
        <v>0.72823738922155234</v>
      </c>
      <c r="F437" s="32">
        <v>2492.2061146208475</v>
      </c>
      <c r="G437" s="31">
        <v>0.95398248482488301</v>
      </c>
      <c r="H437" s="32">
        <v>8370.0283700453801</v>
      </c>
      <c r="I437" s="31">
        <v>0.72508491433631983</v>
      </c>
      <c r="J437" s="32">
        <v>1918.2343171453792</v>
      </c>
      <c r="L437" s="43">
        <f t="shared" si="48"/>
        <v>-7901.4179353442996</v>
      </c>
      <c r="M437" s="43">
        <f t="shared" si="49"/>
        <v>1148.9808314869142</v>
      </c>
      <c r="N437" s="43">
        <f t="shared" si="50"/>
        <v>-3600.1159459209648</v>
      </c>
      <c r="O437" s="43">
        <f t="shared" si="51"/>
        <v>1707.1902545362198</v>
      </c>
      <c r="Q437" s="42">
        <f t="shared" si="52"/>
        <v>0</v>
      </c>
      <c r="R437" s="42">
        <f t="shared" si="53"/>
        <v>0</v>
      </c>
      <c r="S437" s="42">
        <f t="shared" si="54"/>
        <v>0</v>
      </c>
      <c r="T437" s="42">
        <f t="shared" si="55"/>
        <v>1</v>
      </c>
    </row>
    <row r="438" spans="1:20" x14ac:dyDescent="0.2">
      <c r="A438" s="30">
        <v>431</v>
      </c>
      <c r="C438" s="31">
        <v>0.98377726973547197</v>
      </c>
      <c r="D438" s="32">
        <v>14408.065493752718</v>
      </c>
      <c r="E438" s="31">
        <v>0.90846580205066019</v>
      </c>
      <c r="F438" s="32">
        <v>9745.2587697064791</v>
      </c>
      <c r="G438" s="31">
        <v>0.90541987554256753</v>
      </c>
      <c r="H438" s="32">
        <v>8215.5497188258942</v>
      </c>
      <c r="I438" s="31">
        <v>0.90542116216714652</v>
      </c>
      <c r="J438" s="32">
        <v>6431.4391204785616</v>
      </c>
      <c r="L438" s="43">
        <f t="shared" si="48"/>
        <v>-9489.179145075359</v>
      </c>
      <c r="M438" s="43">
        <f t="shared" si="49"/>
        <v>-5202.9297594531781</v>
      </c>
      <c r="N438" s="43">
        <f t="shared" si="50"/>
        <v>-3688.4503411130563</v>
      </c>
      <c r="O438" s="43">
        <f t="shared" si="51"/>
        <v>-1904.3333096428287</v>
      </c>
      <c r="Q438" s="42">
        <f t="shared" si="52"/>
        <v>0</v>
      </c>
      <c r="R438" s="42">
        <f t="shared" si="53"/>
        <v>0</v>
      </c>
      <c r="S438" s="42">
        <f t="shared" si="54"/>
        <v>0</v>
      </c>
      <c r="T438" s="42">
        <f t="shared" si="55"/>
        <v>1</v>
      </c>
    </row>
    <row r="439" spans="1:20" x14ac:dyDescent="0.2">
      <c r="A439" s="30">
        <v>432</v>
      </c>
      <c r="C439" s="31">
        <v>0.91922427847350163</v>
      </c>
      <c r="D439" s="32">
        <v>15927.726454967691</v>
      </c>
      <c r="E439" s="31">
        <v>0.8543995134746093</v>
      </c>
      <c r="F439" s="32">
        <v>5351.7916127076705</v>
      </c>
      <c r="G439" s="31">
        <v>0.91920776260232318</v>
      </c>
      <c r="H439" s="32">
        <v>9983.6332322948401</v>
      </c>
      <c r="I439" s="31">
        <v>0.85439951347460918</v>
      </c>
      <c r="J439" s="32">
        <v>4672.6192274526647</v>
      </c>
      <c r="L439" s="43">
        <f t="shared" si="48"/>
        <v>-11331.605062600183</v>
      </c>
      <c r="M439" s="43">
        <f t="shared" si="49"/>
        <v>-1079.7940453346237</v>
      </c>
      <c r="N439" s="43">
        <f t="shared" si="50"/>
        <v>-5387.5944192832239</v>
      </c>
      <c r="O439" s="43">
        <f t="shared" si="51"/>
        <v>-400.62166007961878</v>
      </c>
      <c r="Q439" s="42">
        <f t="shared" si="52"/>
        <v>0</v>
      </c>
      <c r="R439" s="42">
        <f t="shared" si="53"/>
        <v>0</v>
      </c>
      <c r="S439" s="42">
        <f t="shared" si="54"/>
        <v>0</v>
      </c>
      <c r="T439" s="42">
        <f t="shared" si="55"/>
        <v>1</v>
      </c>
    </row>
    <row r="440" spans="1:20" x14ac:dyDescent="0.2">
      <c r="A440" s="30">
        <v>433</v>
      </c>
      <c r="C440" s="31">
        <v>0.9163568319400881</v>
      </c>
      <c r="D440" s="32">
        <v>14028.573372802861</v>
      </c>
      <c r="E440" s="31">
        <v>0.95182702644693107</v>
      </c>
      <c r="F440" s="32">
        <v>4884.1702101680876</v>
      </c>
      <c r="G440" s="31">
        <v>0.95182702644693096</v>
      </c>
      <c r="H440" s="32">
        <v>8326.1965737929422</v>
      </c>
      <c r="I440" s="31">
        <v>0.95182702644693107</v>
      </c>
      <c r="J440" s="32">
        <v>4743.6865319567669</v>
      </c>
      <c r="L440" s="43">
        <f t="shared" si="48"/>
        <v>-9446.78921310242</v>
      </c>
      <c r="M440" s="43">
        <f t="shared" si="49"/>
        <v>-125.03507793343215</v>
      </c>
      <c r="N440" s="43">
        <f t="shared" si="50"/>
        <v>-3567.0614415582877</v>
      </c>
      <c r="O440" s="43">
        <f t="shared" si="51"/>
        <v>15.448600277888545</v>
      </c>
      <c r="Q440" s="42">
        <f t="shared" si="52"/>
        <v>0</v>
      </c>
      <c r="R440" s="42">
        <f t="shared" si="53"/>
        <v>0</v>
      </c>
      <c r="S440" s="42">
        <f t="shared" si="54"/>
        <v>0</v>
      </c>
      <c r="T440" s="42">
        <f t="shared" si="55"/>
        <v>1</v>
      </c>
    </row>
    <row r="441" spans="1:20" x14ac:dyDescent="0.2">
      <c r="A441" s="30">
        <v>434</v>
      </c>
      <c r="C441" s="31">
        <v>0.97574347421310992</v>
      </c>
      <c r="D441" s="32">
        <v>14103.440721439118</v>
      </c>
      <c r="E441" s="31">
        <v>0.86991913448135894</v>
      </c>
      <c r="F441" s="32">
        <v>4920.3112009935176</v>
      </c>
      <c r="G441" s="31">
        <v>0.91010010177507517</v>
      </c>
      <c r="H441" s="32">
        <v>8380.2853776178399</v>
      </c>
      <c r="I441" s="31">
        <v>0.86991913448135905</v>
      </c>
      <c r="J441" s="32">
        <v>4362.1248180155335</v>
      </c>
      <c r="L441" s="43">
        <f t="shared" si="48"/>
        <v>-9224.7233503735679</v>
      </c>
      <c r="M441" s="43">
        <f t="shared" si="49"/>
        <v>-570.71552858672294</v>
      </c>
      <c r="N441" s="43">
        <f t="shared" si="50"/>
        <v>-3829.7848687424639</v>
      </c>
      <c r="O441" s="43">
        <f t="shared" si="51"/>
        <v>-12.529145608737963</v>
      </c>
      <c r="Q441" s="42">
        <f t="shared" si="52"/>
        <v>0</v>
      </c>
      <c r="R441" s="42">
        <f t="shared" si="53"/>
        <v>0</v>
      </c>
      <c r="S441" s="42">
        <f t="shared" si="54"/>
        <v>0</v>
      </c>
      <c r="T441" s="42">
        <f t="shared" si="55"/>
        <v>1</v>
      </c>
    </row>
    <row r="442" spans="1:20" x14ac:dyDescent="0.2">
      <c r="A442" s="30">
        <v>435</v>
      </c>
      <c r="C442" s="31">
        <v>0.99601743276110244</v>
      </c>
      <c r="D442" s="32">
        <v>15889.422658103394</v>
      </c>
      <c r="E442" s="31">
        <v>0.72784596867157969</v>
      </c>
      <c r="F442" s="32">
        <v>2078.1796447258325</v>
      </c>
      <c r="G442" s="31">
        <v>0.94750286538359174</v>
      </c>
      <c r="H442" s="32">
        <v>9336.4890005227026</v>
      </c>
      <c r="I442" s="31">
        <v>0.72659623533953666</v>
      </c>
      <c r="J442" s="32">
        <v>1922.4486953808112</v>
      </c>
      <c r="L442" s="43">
        <f t="shared" si="48"/>
        <v>-10909.335494297882</v>
      </c>
      <c r="M442" s="43">
        <f t="shared" si="49"/>
        <v>1561.050198632066</v>
      </c>
      <c r="N442" s="43">
        <f t="shared" si="50"/>
        <v>-4598.9746736047437</v>
      </c>
      <c r="O442" s="43">
        <f t="shared" si="51"/>
        <v>1710.532481316872</v>
      </c>
      <c r="Q442" s="42">
        <f t="shared" si="52"/>
        <v>0</v>
      </c>
      <c r="R442" s="42">
        <f t="shared" si="53"/>
        <v>0</v>
      </c>
      <c r="S442" s="42">
        <f t="shared" si="54"/>
        <v>0</v>
      </c>
      <c r="T442" s="42">
        <f t="shared" si="55"/>
        <v>1</v>
      </c>
    </row>
    <row r="443" spans="1:20" x14ac:dyDescent="0.2">
      <c r="A443" s="30">
        <v>436</v>
      </c>
      <c r="C443" s="31">
        <v>0.99798661047594683</v>
      </c>
      <c r="D443" s="32">
        <v>19182.362713644306</v>
      </c>
      <c r="E443" s="31">
        <v>0.92308286335844469</v>
      </c>
      <c r="F443" s="32">
        <v>5957.1205732290964</v>
      </c>
      <c r="G443" s="31">
        <v>0.96364466536612614</v>
      </c>
      <c r="H443" s="32">
        <v>12100.903047620248</v>
      </c>
      <c r="I443" s="31">
        <v>0.91966758243561431</v>
      </c>
      <c r="J443" s="32">
        <v>5755.6254773817</v>
      </c>
      <c r="L443" s="43">
        <f t="shared" si="48"/>
        <v>-14192.429661264572</v>
      </c>
      <c r="M443" s="43">
        <f t="shared" si="49"/>
        <v>-1341.7062564368725</v>
      </c>
      <c r="N443" s="43">
        <f t="shared" si="50"/>
        <v>-7282.679720789617</v>
      </c>
      <c r="O443" s="43">
        <f t="shared" si="51"/>
        <v>-1157.2875652036282</v>
      </c>
      <c r="Q443" s="42">
        <f t="shared" si="52"/>
        <v>0</v>
      </c>
      <c r="R443" s="42">
        <f t="shared" si="53"/>
        <v>0</v>
      </c>
      <c r="S443" s="42">
        <f t="shared" si="54"/>
        <v>0</v>
      </c>
      <c r="T443" s="42">
        <f t="shared" si="55"/>
        <v>1</v>
      </c>
    </row>
    <row r="444" spans="1:20" x14ac:dyDescent="0.2">
      <c r="A444" s="30">
        <v>437</v>
      </c>
      <c r="C444" s="31">
        <v>0.99244519117900287</v>
      </c>
      <c r="D444" s="32">
        <v>18097.197029134211</v>
      </c>
      <c r="E444" s="31">
        <v>0.92029723094675464</v>
      </c>
      <c r="F444" s="32">
        <v>8547.6452573069437</v>
      </c>
      <c r="G444" s="31">
        <v>0.92019906898460113</v>
      </c>
      <c r="H444" s="32">
        <v>11561.638856838894</v>
      </c>
      <c r="I444" s="31">
        <v>0.92032481752284356</v>
      </c>
      <c r="J444" s="32">
        <v>7631.0202631627844</v>
      </c>
      <c r="L444" s="43">
        <f t="shared" si="48"/>
        <v>-13134.971073239198</v>
      </c>
      <c r="M444" s="43">
        <f t="shared" si="49"/>
        <v>-3946.1591025731705</v>
      </c>
      <c r="N444" s="43">
        <f t="shared" si="50"/>
        <v>-6960.6435119158878</v>
      </c>
      <c r="O444" s="43">
        <f t="shared" si="51"/>
        <v>-3029.396175548567</v>
      </c>
      <c r="Q444" s="42">
        <f t="shared" si="52"/>
        <v>0</v>
      </c>
      <c r="R444" s="42">
        <f t="shared" si="53"/>
        <v>0</v>
      </c>
      <c r="S444" s="42">
        <f t="shared" si="54"/>
        <v>0</v>
      </c>
      <c r="T444" s="42">
        <f t="shared" si="55"/>
        <v>1</v>
      </c>
    </row>
    <row r="445" spans="1:20" x14ac:dyDescent="0.2">
      <c r="A445" s="30">
        <v>438</v>
      </c>
      <c r="C445" s="31">
        <v>0.99221473835315976</v>
      </c>
      <c r="D445" s="32">
        <v>16843.793069398198</v>
      </c>
      <c r="E445" s="31">
        <v>0.9762330713823284</v>
      </c>
      <c r="F445" s="32">
        <v>7974.1011016101866</v>
      </c>
      <c r="G445" s="31">
        <v>0.96568504357650864</v>
      </c>
      <c r="H445" s="32">
        <v>9858.4552264885424</v>
      </c>
      <c r="I445" s="31">
        <v>0.96568764071600066</v>
      </c>
      <c r="J445" s="32">
        <v>6198.1684404202633</v>
      </c>
      <c r="L445" s="43">
        <f t="shared" si="48"/>
        <v>-11882.719377632398</v>
      </c>
      <c r="M445" s="43">
        <f t="shared" si="49"/>
        <v>-3092.9357446985441</v>
      </c>
      <c r="N445" s="43">
        <f t="shared" si="50"/>
        <v>-5030.0300086059988</v>
      </c>
      <c r="O445" s="43">
        <f t="shared" si="51"/>
        <v>-1369.7302368402597</v>
      </c>
      <c r="Q445" s="42">
        <f t="shared" si="52"/>
        <v>0</v>
      </c>
      <c r="R445" s="42">
        <f t="shared" si="53"/>
        <v>0</v>
      </c>
      <c r="S445" s="42">
        <f t="shared" si="54"/>
        <v>0</v>
      </c>
      <c r="T445" s="42">
        <f t="shared" si="55"/>
        <v>1</v>
      </c>
    </row>
    <row r="446" spans="1:20" x14ac:dyDescent="0.2">
      <c r="A446" s="30">
        <v>439</v>
      </c>
      <c r="C446" s="31">
        <v>0.99966286008847716</v>
      </c>
      <c r="D446" s="32">
        <v>16103.820385857525</v>
      </c>
      <c r="E446" s="31">
        <v>0.85924233384021442</v>
      </c>
      <c r="F446" s="32">
        <v>3666.9770873548669</v>
      </c>
      <c r="G446" s="31">
        <v>0.9688802989085652</v>
      </c>
      <c r="H446" s="32">
        <v>9243.216754435467</v>
      </c>
      <c r="I446" s="31">
        <v>0.8552739873508024</v>
      </c>
      <c r="J446" s="32">
        <v>3461.9625233846787</v>
      </c>
      <c r="L446" s="43">
        <f t="shared" si="48"/>
        <v>-11105.50608541514</v>
      </c>
      <c r="M446" s="43">
        <f t="shared" si="49"/>
        <v>629.2345818462054</v>
      </c>
      <c r="N446" s="43">
        <f t="shared" si="50"/>
        <v>-4398.8152598926408</v>
      </c>
      <c r="O446" s="43">
        <f t="shared" si="51"/>
        <v>814.40741336933343</v>
      </c>
      <c r="Q446" s="42">
        <f t="shared" si="52"/>
        <v>0</v>
      </c>
      <c r="R446" s="42">
        <f t="shared" si="53"/>
        <v>0</v>
      </c>
      <c r="S446" s="42">
        <f t="shared" si="54"/>
        <v>0</v>
      </c>
      <c r="T446" s="42">
        <f t="shared" si="55"/>
        <v>1</v>
      </c>
    </row>
    <row r="447" spans="1:20" x14ac:dyDescent="0.2">
      <c r="A447" s="30">
        <v>440</v>
      </c>
      <c r="C447" s="31">
        <v>0.99644427117268541</v>
      </c>
      <c r="D447" s="32">
        <v>14636.665866812726</v>
      </c>
      <c r="E447" s="31">
        <v>0.94438566783678324</v>
      </c>
      <c r="F447" s="32">
        <v>5291.5954340010485</v>
      </c>
      <c r="G447" s="31">
        <v>0.94506929546545915</v>
      </c>
      <c r="H447" s="32">
        <v>9233.1647068124093</v>
      </c>
      <c r="I447" s="31">
        <v>0.94438566783678324</v>
      </c>
      <c r="J447" s="32">
        <v>5175.3523166602654</v>
      </c>
      <c r="L447" s="43">
        <f t="shared" si="48"/>
        <v>-9654.444510949299</v>
      </c>
      <c r="M447" s="43">
        <f t="shared" si="49"/>
        <v>-569.66709481713224</v>
      </c>
      <c r="N447" s="43">
        <f t="shared" si="50"/>
        <v>-4507.818229485114</v>
      </c>
      <c r="O447" s="43">
        <f t="shared" si="51"/>
        <v>-453.42397747634914</v>
      </c>
      <c r="Q447" s="42">
        <f t="shared" si="52"/>
        <v>0</v>
      </c>
      <c r="R447" s="42">
        <f t="shared" si="53"/>
        <v>0</v>
      </c>
      <c r="S447" s="42">
        <f t="shared" si="54"/>
        <v>0</v>
      </c>
      <c r="T447" s="42">
        <f t="shared" si="55"/>
        <v>1</v>
      </c>
    </row>
    <row r="448" spans="1:20" x14ac:dyDescent="0.2">
      <c r="A448" s="30">
        <v>441</v>
      </c>
      <c r="C448" s="31">
        <v>0.99893080044194638</v>
      </c>
      <c r="D448" s="32">
        <v>15286.384522542518</v>
      </c>
      <c r="E448" s="31">
        <v>0.97021041411792608</v>
      </c>
      <c r="F448" s="32">
        <v>6800.613750149766</v>
      </c>
      <c r="G448" s="31">
        <v>0.97302868862199143</v>
      </c>
      <c r="H448" s="32">
        <v>9034.7904936173654</v>
      </c>
      <c r="I448" s="31">
        <v>0.96597437971447553</v>
      </c>
      <c r="J448" s="32">
        <v>5428.2465091128961</v>
      </c>
      <c r="L448" s="43">
        <f t="shared" si="48"/>
        <v>-10291.730520332785</v>
      </c>
      <c r="M448" s="43">
        <f t="shared" si="49"/>
        <v>-1949.5616795601354</v>
      </c>
      <c r="N448" s="43">
        <f t="shared" si="50"/>
        <v>-4169.6470505074085</v>
      </c>
      <c r="O448" s="43">
        <f t="shared" si="51"/>
        <v>-598.37461054051801</v>
      </c>
      <c r="Q448" s="42">
        <f t="shared" si="52"/>
        <v>0</v>
      </c>
      <c r="R448" s="42">
        <f t="shared" si="53"/>
        <v>0</v>
      </c>
      <c r="S448" s="42">
        <f t="shared" si="54"/>
        <v>0</v>
      </c>
      <c r="T448" s="42">
        <f t="shared" si="55"/>
        <v>1</v>
      </c>
    </row>
    <row r="449" spans="1:20" x14ac:dyDescent="0.2">
      <c r="A449" s="30">
        <v>442</v>
      </c>
      <c r="C449" s="31">
        <v>0.99577158572773816</v>
      </c>
      <c r="D449" s="32">
        <v>15947.056763756758</v>
      </c>
      <c r="E449" s="31">
        <v>0.86873061781652139</v>
      </c>
      <c r="F449" s="32">
        <v>4170.3524272603145</v>
      </c>
      <c r="G449" s="31">
        <v>0.94896525837922452</v>
      </c>
      <c r="H449" s="32">
        <v>9688.6488192366141</v>
      </c>
      <c r="I449" s="31">
        <v>0.86873061781652128</v>
      </c>
      <c r="J449" s="32">
        <v>4060.0432369551895</v>
      </c>
      <c r="L449" s="43">
        <f t="shared" si="48"/>
        <v>-10968.198835118066</v>
      </c>
      <c r="M449" s="43">
        <f t="shared" si="49"/>
        <v>173.30066182229257</v>
      </c>
      <c r="N449" s="43">
        <f t="shared" si="50"/>
        <v>-4943.8225273404914</v>
      </c>
      <c r="O449" s="43">
        <f t="shared" si="51"/>
        <v>283.60985212741662</v>
      </c>
      <c r="Q449" s="42">
        <f t="shared" si="52"/>
        <v>0</v>
      </c>
      <c r="R449" s="42">
        <f t="shared" si="53"/>
        <v>0</v>
      </c>
      <c r="S449" s="42">
        <f t="shared" si="54"/>
        <v>0</v>
      </c>
      <c r="T449" s="42">
        <f t="shared" si="55"/>
        <v>1</v>
      </c>
    </row>
    <row r="450" spans="1:20" x14ac:dyDescent="0.2">
      <c r="A450" s="30">
        <v>443</v>
      </c>
      <c r="C450" s="31">
        <v>0.97753287985842541</v>
      </c>
      <c r="D450" s="32">
        <v>15036.327029720758</v>
      </c>
      <c r="E450" s="31">
        <v>0.96404397700917532</v>
      </c>
      <c r="F450" s="32">
        <v>5559.6739817181897</v>
      </c>
      <c r="G450" s="31">
        <v>0.96262264973299039</v>
      </c>
      <c r="H450" s="32">
        <v>9300.1089736008453</v>
      </c>
      <c r="I450" s="31">
        <v>0.9626226497329905</v>
      </c>
      <c r="J450" s="32">
        <v>5088.9115371939115</v>
      </c>
      <c r="L450" s="43">
        <f t="shared" si="48"/>
        <v>-10148.662630428631</v>
      </c>
      <c r="M450" s="43">
        <f t="shared" si="49"/>
        <v>-739.45409667231343</v>
      </c>
      <c r="N450" s="43">
        <f t="shared" si="50"/>
        <v>-4486.9957249358931</v>
      </c>
      <c r="O450" s="43">
        <f t="shared" si="51"/>
        <v>-275.79828852895935</v>
      </c>
      <c r="Q450" s="42">
        <f t="shared" si="52"/>
        <v>0</v>
      </c>
      <c r="R450" s="42">
        <f t="shared" si="53"/>
        <v>0</v>
      </c>
      <c r="S450" s="42">
        <f t="shared" si="54"/>
        <v>0</v>
      </c>
      <c r="T450" s="42">
        <f t="shared" si="55"/>
        <v>1</v>
      </c>
    </row>
    <row r="451" spans="1:20" x14ac:dyDescent="0.2">
      <c r="A451" s="30">
        <v>444</v>
      </c>
      <c r="C451" s="31">
        <v>0.98033785048921085</v>
      </c>
      <c r="D451" s="32">
        <v>15935.451891013128</v>
      </c>
      <c r="E451" s="31">
        <v>0.94011933089768163</v>
      </c>
      <c r="F451" s="32">
        <v>5137.1431688161183</v>
      </c>
      <c r="G451" s="31">
        <v>0.94824068811175199</v>
      </c>
      <c r="H451" s="32">
        <v>9725.4840924534274</v>
      </c>
      <c r="I451" s="31">
        <v>0.93593937943799044</v>
      </c>
      <c r="J451" s="32">
        <v>4921.5750710316534</v>
      </c>
      <c r="L451" s="43">
        <f t="shared" si="48"/>
        <v>-11033.762638567074</v>
      </c>
      <c r="M451" s="43">
        <f t="shared" si="49"/>
        <v>-436.54651432771061</v>
      </c>
      <c r="N451" s="43">
        <f t="shared" si="50"/>
        <v>-4984.2806518946672</v>
      </c>
      <c r="O451" s="43">
        <f t="shared" si="51"/>
        <v>-241.87817384170103</v>
      </c>
      <c r="Q451" s="42">
        <f t="shared" si="52"/>
        <v>0</v>
      </c>
      <c r="R451" s="42">
        <f t="shared" si="53"/>
        <v>0</v>
      </c>
      <c r="S451" s="42">
        <f t="shared" si="54"/>
        <v>0</v>
      </c>
      <c r="T451" s="42">
        <f t="shared" si="55"/>
        <v>1</v>
      </c>
    </row>
    <row r="452" spans="1:20" x14ac:dyDescent="0.2">
      <c r="A452" s="30">
        <v>445</v>
      </c>
      <c r="C452" s="31">
        <v>0.98341611349187452</v>
      </c>
      <c r="D452" s="32">
        <v>19766.911925767508</v>
      </c>
      <c r="E452" s="31">
        <v>0.93391384846013903</v>
      </c>
      <c r="F452" s="32">
        <v>6693.2023007581383</v>
      </c>
      <c r="G452" s="31">
        <v>0.93357122068606424</v>
      </c>
      <c r="H452" s="32">
        <v>12102.44459210177</v>
      </c>
      <c r="I452" s="31">
        <v>0.93357122068606424</v>
      </c>
      <c r="J452" s="32">
        <v>6538.6664558574066</v>
      </c>
      <c r="L452" s="43">
        <f t="shared" si="48"/>
        <v>-14849.831358308136</v>
      </c>
      <c r="M452" s="43">
        <f t="shared" si="49"/>
        <v>-2023.6330584574434</v>
      </c>
      <c r="N452" s="43">
        <f t="shared" si="50"/>
        <v>-7434.5884886714493</v>
      </c>
      <c r="O452" s="43">
        <f t="shared" si="51"/>
        <v>-1870.8103524270855</v>
      </c>
      <c r="Q452" s="42">
        <f t="shared" si="52"/>
        <v>0</v>
      </c>
      <c r="R452" s="42">
        <f t="shared" si="53"/>
        <v>0</v>
      </c>
      <c r="S452" s="42">
        <f t="shared" si="54"/>
        <v>0</v>
      </c>
      <c r="T452" s="42">
        <f t="shared" si="55"/>
        <v>1</v>
      </c>
    </row>
    <row r="453" spans="1:20" x14ac:dyDescent="0.2">
      <c r="A453" s="30">
        <v>446</v>
      </c>
      <c r="C453" s="31">
        <v>0.99026135442620111</v>
      </c>
      <c r="D453" s="32">
        <v>17237.510558097656</v>
      </c>
      <c r="E453" s="31">
        <v>0.77212099979291871</v>
      </c>
      <c r="F453" s="32">
        <v>4054.8470250957002</v>
      </c>
      <c r="G453" s="31">
        <v>0.95251704957723138</v>
      </c>
      <c r="H453" s="32">
        <v>10069.229798131242</v>
      </c>
      <c r="I453" s="31">
        <v>0.77212099979316084</v>
      </c>
      <c r="J453" s="32">
        <v>3013.6995743712591</v>
      </c>
      <c r="L453" s="43">
        <f t="shared" si="48"/>
        <v>-12286.203785966651</v>
      </c>
      <c r="M453" s="43">
        <f t="shared" si="49"/>
        <v>-194.24202613110674</v>
      </c>
      <c r="N453" s="43">
        <f t="shared" si="50"/>
        <v>-5306.6445502450852</v>
      </c>
      <c r="O453" s="43">
        <f t="shared" si="51"/>
        <v>846.90542459454491</v>
      </c>
      <c r="Q453" s="42">
        <f t="shared" si="52"/>
        <v>0</v>
      </c>
      <c r="R453" s="42">
        <f t="shared" si="53"/>
        <v>0</v>
      </c>
      <c r="S453" s="42">
        <f t="shared" si="54"/>
        <v>0</v>
      </c>
      <c r="T453" s="42">
        <f t="shared" si="55"/>
        <v>1</v>
      </c>
    </row>
    <row r="454" spans="1:20" x14ac:dyDescent="0.2">
      <c r="A454" s="30">
        <v>447</v>
      </c>
      <c r="C454" s="31">
        <v>0.997481247947969</v>
      </c>
      <c r="D454" s="32">
        <v>13608.413423589305</v>
      </c>
      <c r="E454" s="31">
        <v>0.89995450459378257</v>
      </c>
      <c r="F454" s="32">
        <v>4681.7480668321732</v>
      </c>
      <c r="G454" s="31">
        <v>0.96909157419257208</v>
      </c>
      <c r="H454" s="32">
        <v>8590.5970194764814</v>
      </c>
      <c r="I454" s="31">
        <v>0.89995450459378257</v>
      </c>
      <c r="J454" s="32">
        <v>4129.6504125142692</v>
      </c>
      <c r="L454" s="43">
        <f t="shared" si="48"/>
        <v>-8621.0071838494605</v>
      </c>
      <c r="M454" s="43">
        <f t="shared" si="49"/>
        <v>-181.9755438632601</v>
      </c>
      <c r="N454" s="43">
        <f t="shared" si="50"/>
        <v>-3745.139148513621</v>
      </c>
      <c r="O454" s="43">
        <f t="shared" si="51"/>
        <v>370.12211045464392</v>
      </c>
      <c r="Q454" s="42">
        <f t="shared" si="52"/>
        <v>0</v>
      </c>
      <c r="R454" s="42">
        <f t="shared" si="53"/>
        <v>0</v>
      </c>
      <c r="S454" s="42">
        <f t="shared" si="54"/>
        <v>0</v>
      </c>
      <c r="T454" s="42">
        <f t="shared" si="55"/>
        <v>1</v>
      </c>
    </row>
    <row r="455" spans="1:20" x14ac:dyDescent="0.2">
      <c r="A455" s="30">
        <v>448</v>
      </c>
      <c r="C455" s="31">
        <v>0.97593962874795981</v>
      </c>
      <c r="D455" s="32">
        <v>17300.202997302582</v>
      </c>
      <c r="E455" s="31">
        <v>0.82349881637656686</v>
      </c>
      <c r="F455" s="32">
        <v>8882.2023082886735</v>
      </c>
      <c r="G455" s="31">
        <v>0.91186641022269521</v>
      </c>
      <c r="H455" s="32">
        <v>9808.8529150971899</v>
      </c>
      <c r="I455" s="31">
        <v>0.82350093374062161</v>
      </c>
      <c r="J455" s="32">
        <v>5584.0734953615001</v>
      </c>
      <c r="L455" s="43">
        <f t="shared" si="48"/>
        <v>-12420.504853562783</v>
      </c>
      <c r="M455" s="43">
        <f t="shared" si="49"/>
        <v>-4764.708226405839</v>
      </c>
      <c r="N455" s="43">
        <f t="shared" si="50"/>
        <v>-5249.5208639837138</v>
      </c>
      <c r="O455" s="43">
        <f t="shared" si="51"/>
        <v>-1466.568826658392</v>
      </c>
      <c r="Q455" s="42">
        <f t="shared" si="52"/>
        <v>0</v>
      </c>
      <c r="R455" s="42">
        <f t="shared" si="53"/>
        <v>0</v>
      </c>
      <c r="S455" s="42">
        <f t="shared" si="54"/>
        <v>0</v>
      </c>
      <c r="T455" s="42">
        <f t="shared" si="55"/>
        <v>1</v>
      </c>
    </row>
    <row r="456" spans="1:20" x14ac:dyDescent="0.2">
      <c r="A456" s="30">
        <v>449</v>
      </c>
      <c r="C456" s="31">
        <v>0.97485453342940553</v>
      </c>
      <c r="D456" s="32">
        <v>12417.393144045953</v>
      </c>
      <c r="E456" s="31">
        <v>0.92770813125388973</v>
      </c>
      <c r="F456" s="32">
        <v>6107.3823648896368</v>
      </c>
      <c r="G456" s="31">
        <v>0.94625485760877459</v>
      </c>
      <c r="H456" s="32">
        <v>7362.068671566587</v>
      </c>
      <c r="I456" s="31">
        <v>0.92770813125388973</v>
      </c>
      <c r="J456" s="32">
        <v>4679.3427516089087</v>
      </c>
      <c r="L456" s="43">
        <f t="shared" ref="L456:L519" si="56">C456*Rc_-D456</f>
        <v>-7543.1204768989255</v>
      </c>
      <c r="M456" s="43">
        <f t="shared" ref="M456:M519" si="57">E456*Rc_-F456</f>
        <v>-1468.841708620188</v>
      </c>
      <c r="N456" s="43">
        <f t="shared" ref="N456:N519" si="58">G456*Rc_-H456</f>
        <v>-2630.7943835227143</v>
      </c>
      <c r="O456" s="43">
        <f t="shared" ref="O456:O519" si="59">I456*Rc_-J456</f>
        <v>-40.802095339459811</v>
      </c>
      <c r="Q456" s="42">
        <f t="shared" si="52"/>
        <v>0</v>
      </c>
      <c r="R456" s="42">
        <f t="shared" si="53"/>
        <v>0</v>
      </c>
      <c r="S456" s="42">
        <f t="shared" si="54"/>
        <v>0</v>
      </c>
      <c r="T456" s="42">
        <f t="shared" si="55"/>
        <v>1</v>
      </c>
    </row>
    <row r="457" spans="1:20" x14ac:dyDescent="0.2">
      <c r="A457" s="30">
        <v>450</v>
      </c>
      <c r="C457" s="31">
        <v>0.9918732532832627</v>
      </c>
      <c r="D457" s="32">
        <v>15251.531350103722</v>
      </c>
      <c r="E457" s="31">
        <v>0.91178309209947939</v>
      </c>
      <c r="F457" s="32">
        <v>3661.695878804634</v>
      </c>
      <c r="G457" s="31">
        <v>0.97523472454308446</v>
      </c>
      <c r="H457" s="32">
        <v>9078.7243619865894</v>
      </c>
      <c r="I457" s="31">
        <v>0.90625749637336817</v>
      </c>
      <c r="J457" s="32">
        <v>3445.1065388304501</v>
      </c>
      <c r="L457" s="43">
        <f t="shared" si="56"/>
        <v>-10292.165083687407</v>
      </c>
      <c r="M457" s="43">
        <f t="shared" si="57"/>
        <v>897.21958169276331</v>
      </c>
      <c r="N457" s="43">
        <f t="shared" si="58"/>
        <v>-4202.550739271167</v>
      </c>
      <c r="O457" s="43">
        <f t="shared" si="59"/>
        <v>1086.1809430363905</v>
      </c>
      <c r="Q457" s="42">
        <f t="shared" ref="Q457:Q520" si="60">IF(L457&gt;$M457,IF(L457&gt;$N457,IF(L457&gt;$O457,1,0),0),0)</f>
        <v>0</v>
      </c>
      <c r="R457" s="42">
        <f t="shared" ref="R457:R520" si="61">IF(M457&gt;$L457,IF(M457&gt;$N457,IF(M457&gt;$O457,1,0),0),0)</f>
        <v>0</v>
      </c>
      <c r="S457" s="42">
        <f t="shared" ref="S457:S520" si="62">IF(N457&gt;$M457,IF(N457&gt;$L457,IF(N457&gt;$O457,1,0),0),0)</f>
        <v>0</v>
      </c>
      <c r="T457" s="42">
        <f t="shared" ref="T457:T520" si="63">IF(O457&gt;$M457,IF(O457&gt;$N457,IF(O457&gt;$L457,1,0),0),0)</f>
        <v>1</v>
      </c>
    </row>
    <row r="458" spans="1:20" x14ac:dyDescent="0.2">
      <c r="A458" s="30">
        <v>451</v>
      </c>
      <c r="C458" s="31">
        <v>0.9948513704922588</v>
      </c>
      <c r="D458" s="32">
        <v>14660.445503264591</v>
      </c>
      <c r="E458" s="31">
        <v>0.9251207484653523</v>
      </c>
      <c r="F458" s="32">
        <v>10827.31768360901</v>
      </c>
      <c r="G458" s="31">
        <v>0.91779692385719081</v>
      </c>
      <c r="H458" s="32">
        <v>8538.6827214572004</v>
      </c>
      <c r="I458" s="31">
        <v>0.91779692385719081</v>
      </c>
      <c r="J458" s="32">
        <v>6915.4159178566224</v>
      </c>
      <c r="L458" s="43">
        <f t="shared" si="56"/>
        <v>-9686.1886508032967</v>
      </c>
      <c r="M458" s="43">
        <f t="shared" si="57"/>
        <v>-6201.713941282248</v>
      </c>
      <c r="N458" s="43">
        <f t="shared" si="58"/>
        <v>-3949.6981021712463</v>
      </c>
      <c r="O458" s="43">
        <f t="shared" si="59"/>
        <v>-2326.4312985706683</v>
      </c>
      <c r="Q458" s="42">
        <f t="shared" si="60"/>
        <v>0</v>
      </c>
      <c r="R458" s="42">
        <f t="shared" si="61"/>
        <v>0</v>
      </c>
      <c r="S458" s="42">
        <f t="shared" si="62"/>
        <v>0</v>
      </c>
      <c r="T458" s="42">
        <f t="shared" si="63"/>
        <v>1</v>
      </c>
    </row>
    <row r="459" spans="1:20" x14ac:dyDescent="0.2">
      <c r="A459" s="30">
        <v>452</v>
      </c>
      <c r="C459" s="31">
        <v>0.97660070626379658</v>
      </c>
      <c r="D459" s="32">
        <v>13082.644184355908</v>
      </c>
      <c r="E459" s="31">
        <v>0.93658178471772557</v>
      </c>
      <c r="F459" s="32">
        <v>4751.8602905348198</v>
      </c>
      <c r="G459" s="31">
        <v>0.93325398228442924</v>
      </c>
      <c r="H459" s="32">
        <v>7619.8147443094203</v>
      </c>
      <c r="I459" s="31">
        <v>0.93325398228442924</v>
      </c>
      <c r="J459" s="32">
        <v>4595.2680625563671</v>
      </c>
      <c r="L459" s="43">
        <f t="shared" si="56"/>
        <v>-8199.640653036924</v>
      </c>
      <c r="M459" s="43">
        <f t="shared" si="57"/>
        <v>-68.951366946192138</v>
      </c>
      <c r="N459" s="43">
        <f t="shared" si="58"/>
        <v>-2953.5448328872744</v>
      </c>
      <c r="O459" s="43">
        <f t="shared" si="59"/>
        <v>71.001848865778811</v>
      </c>
      <c r="Q459" s="42">
        <f t="shared" si="60"/>
        <v>0</v>
      </c>
      <c r="R459" s="42">
        <f t="shared" si="61"/>
        <v>0</v>
      </c>
      <c r="S459" s="42">
        <f t="shared" si="62"/>
        <v>0</v>
      </c>
      <c r="T459" s="42">
        <f t="shared" si="63"/>
        <v>1</v>
      </c>
    </row>
    <row r="460" spans="1:20" x14ac:dyDescent="0.2">
      <c r="A460" s="30">
        <v>453</v>
      </c>
      <c r="C460" s="31">
        <v>0.97622879493496051</v>
      </c>
      <c r="D460" s="32">
        <v>15928.898075131707</v>
      </c>
      <c r="E460" s="31">
        <v>0.93649959718818798</v>
      </c>
      <c r="F460" s="32">
        <v>6745.6312013278603</v>
      </c>
      <c r="G460" s="31">
        <v>0.93168991123831846</v>
      </c>
      <c r="H460" s="32">
        <v>9175.4110307888386</v>
      </c>
      <c r="I460" s="31">
        <v>0.93168991123831846</v>
      </c>
      <c r="J460" s="32">
        <v>5737.0285320753092</v>
      </c>
      <c r="L460" s="43">
        <f t="shared" si="56"/>
        <v>-11047.754100456903</v>
      </c>
      <c r="M460" s="43">
        <f t="shared" si="57"/>
        <v>-2063.1332153869207</v>
      </c>
      <c r="N460" s="43">
        <f t="shared" si="58"/>
        <v>-4516.9614745972467</v>
      </c>
      <c r="O460" s="43">
        <f t="shared" si="59"/>
        <v>-1078.5789758837172</v>
      </c>
      <c r="Q460" s="42">
        <f t="shared" si="60"/>
        <v>0</v>
      </c>
      <c r="R460" s="42">
        <f t="shared" si="61"/>
        <v>0</v>
      </c>
      <c r="S460" s="42">
        <f t="shared" si="62"/>
        <v>0</v>
      </c>
      <c r="T460" s="42">
        <f t="shared" si="63"/>
        <v>1</v>
      </c>
    </row>
    <row r="461" spans="1:20" x14ac:dyDescent="0.2">
      <c r="A461" s="30">
        <v>454</v>
      </c>
      <c r="C461" s="31">
        <v>0.9932494944377912</v>
      </c>
      <c r="D461" s="32">
        <v>18035.937193476788</v>
      </c>
      <c r="E461" s="31">
        <v>0.92957632323395423</v>
      </c>
      <c r="F461" s="32">
        <v>7975.1163100892327</v>
      </c>
      <c r="G461" s="31">
        <v>0.92957632323395412</v>
      </c>
      <c r="H461" s="32">
        <v>11153.85337517526</v>
      </c>
      <c r="I461" s="31">
        <v>0.92957632323395423</v>
      </c>
      <c r="J461" s="32">
        <v>6911.6480076197413</v>
      </c>
      <c r="L461" s="43">
        <f t="shared" si="56"/>
        <v>-13069.689721287832</v>
      </c>
      <c r="M461" s="43">
        <f t="shared" si="57"/>
        <v>-3327.2346939194613</v>
      </c>
      <c r="N461" s="43">
        <f t="shared" si="58"/>
        <v>-6505.9717590054897</v>
      </c>
      <c r="O461" s="43">
        <f t="shared" si="59"/>
        <v>-2263.7663914499699</v>
      </c>
      <c r="Q461" s="42">
        <f t="shared" si="60"/>
        <v>0</v>
      </c>
      <c r="R461" s="42">
        <f t="shared" si="61"/>
        <v>0</v>
      </c>
      <c r="S461" s="42">
        <f t="shared" si="62"/>
        <v>0</v>
      </c>
      <c r="T461" s="42">
        <f t="shared" si="63"/>
        <v>1</v>
      </c>
    </row>
    <row r="462" spans="1:20" x14ac:dyDescent="0.2">
      <c r="A462" s="30">
        <v>455</v>
      </c>
      <c r="C462" s="31">
        <v>0.99155622187894021</v>
      </c>
      <c r="D462" s="32">
        <v>13151.052596669966</v>
      </c>
      <c r="E462" s="31">
        <v>0.86606210803127415</v>
      </c>
      <c r="F462" s="32">
        <v>2733.4863016191766</v>
      </c>
      <c r="G462" s="31">
        <v>0.98533085054703839</v>
      </c>
      <c r="H462" s="32">
        <v>7594.3048159349219</v>
      </c>
      <c r="I462" s="31">
        <v>0.86444538866321441</v>
      </c>
      <c r="J462" s="32">
        <v>2577.7407299793599</v>
      </c>
      <c r="L462" s="43">
        <f t="shared" si="56"/>
        <v>-8193.2714872752658</v>
      </c>
      <c r="M462" s="43">
        <f t="shared" si="57"/>
        <v>1596.8242385371941</v>
      </c>
      <c r="N462" s="43">
        <f t="shared" si="58"/>
        <v>-2667.6505631997297</v>
      </c>
      <c r="O462" s="43">
        <f t="shared" si="59"/>
        <v>1744.4862133367119</v>
      </c>
      <c r="Q462" s="42">
        <f t="shared" si="60"/>
        <v>0</v>
      </c>
      <c r="R462" s="42">
        <f t="shared" si="61"/>
        <v>0</v>
      </c>
      <c r="S462" s="42">
        <f t="shared" si="62"/>
        <v>0</v>
      </c>
      <c r="T462" s="42">
        <f t="shared" si="63"/>
        <v>1</v>
      </c>
    </row>
    <row r="463" spans="1:20" x14ac:dyDescent="0.2">
      <c r="A463" s="30">
        <v>456</v>
      </c>
      <c r="C463" s="31">
        <v>0.99765166508124759</v>
      </c>
      <c r="D463" s="32">
        <v>12293.255454781824</v>
      </c>
      <c r="E463" s="31">
        <v>0.94857997759475166</v>
      </c>
      <c r="F463" s="32">
        <v>6142.4365652995812</v>
      </c>
      <c r="G463" s="31">
        <v>0.96475010722603427</v>
      </c>
      <c r="H463" s="32">
        <v>7788.683138921172</v>
      </c>
      <c r="I463" s="31">
        <v>0.94857997759475188</v>
      </c>
      <c r="J463" s="32">
        <v>5012.6736430219644</v>
      </c>
      <c r="L463" s="43">
        <f t="shared" si="56"/>
        <v>-7304.9971293755852</v>
      </c>
      <c r="M463" s="43">
        <f t="shared" si="57"/>
        <v>-1399.5366773258229</v>
      </c>
      <c r="N463" s="43">
        <f t="shared" si="58"/>
        <v>-2964.932602791001</v>
      </c>
      <c r="O463" s="43">
        <f t="shared" si="59"/>
        <v>-269.7737550482052</v>
      </c>
      <c r="Q463" s="42">
        <f t="shared" si="60"/>
        <v>0</v>
      </c>
      <c r="R463" s="42">
        <f t="shared" si="61"/>
        <v>0</v>
      </c>
      <c r="S463" s="42">
        <f t="shared" si="62"/>
        <v>0</v>
      </c>
      <c r="T463" s="42">
        <f t="shared" si="63"/>
        <v>1</v>
      </c>
    </row>
    <row r="464" spans="1:20" x14ac:dyDescent="0.2">
      <c r="A464" s="30">
        <v>457</v>
      </c>
      <c r="C464" s="31">
        <v>0.99080413388938482</v>
      </c>
      <c r="D464" s="32">
        <v>16482.837292079515</v>
      </c>
      <c r="E464" s="31">
        <v>0.90335406076488645</v>
      </c>
      <c r="F464" s="32">
        <v>4577.5901741915786</v>
      </c>
      <c r="G464" s="31">
        <v>0.92513316355840658</v>
      </c>
      <c r="H464" s="32">
        <v>9920.6459096721028</v>
      </c>
      <c r="I464" s="31">
        <v>0.89536942072126235</v>
      </c>
      <c r="J464" s="32">
        <v>4330.2660348956415</v>
      </c>
      <c r="L464" s="43">
        <f t="shared" si="56"/>
        <v>-11528.816622632592</v>
      </c>
      <c r="M464" s="43">
        <f t="shared" si="57"/>
        <v>-60.819870367145995</v>
      </c>
      <c r="N464" s="43">
        <f t="shared" si="58"/>
        <v>-5294.9800918800702</v>
      </c>
      <c r="O464" s="43">
        <f t="shared" si="59"/>
        <v>146.58106871067048</v>
      </c>
      <c r="Q464" s="42">
        <f t="shared" si="60"/>
        <v>0</v>
      </c>
      <c r="R464" s="42">
        <f t="shared" si="61"/>
        <v>0</v>
      </c>
      <c r="S464" s="42">
        <f t="shared" si="62"/>
        <v>0</v>
      </c>
      <c r="T464" s="42">
        <f t="shared" si="63"/>
        <v>1</v>
      </c>
    </row>
    <row r="465" spans="1:20" x14ac:dyDescent="0.2">
      <c r="A465" s="30">
        <v>458</v>
      </c>
      <c r="C465" s="31">
        <v>0.9774855237390131</v>
      </c>
      <c r="D465" s="32">
        <v>13092.618687675644</v>
      </c>
      <c r="E465" s="31">
        <v>0.96023971859627544</v>
      </c>
      <c r="F465" s="32">
        <v>5963.4543443390294</v>
      </c>
      <c r="G465" s="31">
        <v>0.95060669510865436</v>
      </c>
      <c r="H465" s="32">
        <v>8477.9796432842086</v>
      </c>
      <c r="I465" s="31">
        <v>0.95060669510865448</v>
      </c>
      <c r="J465" s="32">
        <v>5108.6098335211709</v>
      </c>
      <c r="L465" s="43">
        <f t="shared" si="56"/>
        <v>-8205.1910689805773</v>
      </c>
      <c r="M465" s="43">
        <f t="shared" si="57"/>
        <v>-1162.2557513576521</v>
      </c>
      <c r="N465" s="43">
        <f t="shared" si="58"/>
        <v>-3724.9461677409372</v>
      </c>
      <c r="O465" s="43">
        <f t="shared" si="59"/>
        <v>-355.57635797789862</v>
      </c>
      <c r="Q465" s="42">
        <f t="shared" si="60"/>
        <v>0</v>
      </c>
      <c r="R465" s="42">
        <f t="shared" si="61"/>
        <v>0</v>
      </c>
      <c r="S465" s="42">
        <f t="shared" si="62"/>
        <v>0</v>
      </c>
      <c r="T465" s="42">
        <f t="shared" si="63"/>
        <v>1</v>
      </c>
    </row>
    <row r="466" spans="1:20" x14ac:dyDescent="0.2">
      <c r="A466" s="30">
        <v>459</v>
      </c>
      <c r="C466" s="31">
        <v>0.99424471573317819</v>
      </c>
      <c r="D466" s="32">
        <v>14881.491374373885</v>
      </c>
      <c r="E466" s="31">
        <v>0.93641545911390911</v>
      </c>
      <c r="F466" s="32">
        <v>4862.4725119427249</v>
      </c>
      <c r="G466" s="31">
        <v>0.97575441820636843</v>
      </c>
      <c r="H466" s="32">
        <v>8978.8696128377214</v>
      </c>
      <c r="I466" s="31">
        <v>0.93233793242568952</v>
      </c>
      <c r="J466" s="32">
        <v>4629.5843962313247</v>
      </c>
      <c r="L466" s="43">
        <f t="shared" si="56"/>
        <v>-9910.2677957079941</v>
      </c>
      <c r="M466" s="43">
        <f t="shared" si="57"/>
        <v>-180.39521637317921</v>
      </c>
      <c r="N466" s="43">
        <f t="shared" si="58"/>
        <v>-4100.0975218058793</v>
      </c>
      <c r="O466" s="43">
        <f t="shared" si="59"/>
        <v>32.10526589712299</v>
      </c>
      <c r="Q466" s="42">
        <f t="shared" si="60"/>
        <v>0</v>
      </c>
      <c r="R466" s="42">
        <f t="shared" si="61"/>
        <v>0</v>
      </c>
      <c r="S466" s="42">
        <f t="shared" si="62"/>
        <v>0</v>
      </c>
      <c r="T466" s="42">
        <f t="shared" si="63"/>
        <v>1</v>
      </c>
    </row>
    <row r="467" spans="1:20" x14ac:dyDescent="0.2">
      <c r="A467" s="30">
        <v>460</v>
      </c>
      <c r="C467" s="31">
        <v>0.99802980170684041</v>
      </c>
      <c r="D467" s="32">
        <v>15457.42927032065</v>
      </c>
      <c r="E467" s="31">
        <v>0.86235225635786428</v>
      </c>
      <c r="F467" s="32">
        <v>3843.4488687511994</v>
      </c>
      <c r="G467" s="31">
        <v>0.94802621863547287</v>
      </c>
      <c r="H467" s="32">
        <v>9031.1685994768268</v>
      </c>
      <c r="I467" s="31">
        <v>0.85538429084156409</v>
      </c>
      <c r="J467" s="32">
        <v>3559.8440201196649</v>
      </c>
      <c r="L467" s="43">
        <f t="shared" si="56"/>
        <v>-10467.280261786447</v>
      </c>
      <c r="M467" s="43">
        <f t="shared" si="57"/>
        <v>468.31241303812203</v>
      </c>
      <c r="N467" s="43">
        <f t="shared" si="58"/>
        <v>-4291.0375062994626</v>
      </c>
      <c r="O467" s="43">
        <f t="shared" si="59"/>
        <v>717.07743408815577</v>
      </c>
      <c r="Q467" s="42">
        <f t="shared" si="60"/>
        <v>0</v>
      </c>
      <c r="R467" s="42">
        <f t="shared" si="61"/>
        <v>0</v>
      </c>
      <c r="S467" s="42">
        <f t="shared" si="62"/>
        <v>0</v>
      </c>
      <c r="T467" s="42">
        <f t="shared" si="63"/>
        <v>1</v>
      </c>
    </row>
    <row r="468" spans="1:20" x14ac:dyDescent="0.2">
      <c r="A468" s="30">
        <v>461</v>
      </c>
      <c r="C468" s="31">
        <v>0.98331100184766596</v>
      </c>
      <c r="D468" s="32">
        <v>16269.80361991475</v>
      </c>
      <c r="E468" s="31">
        <v>0.97421435176225502</v>
      </c>
      <c r="F468" s="32">
        <v>9406.5359771895874</v>
      </c>
      <c r="G468" s="31">
        <v>0.96264818538327801</v>
      </c>
      <c r="H468" s="32">
        <v>9378.9986281932306</v>
      </c>
      <c r="I468" s="31">
        <v>0.96264818538327823</v>
      </c>
      <c r="J468" s="32">
        <v>6522.8066184314257</v>
      </c>
      <c r="L468" s="43">
        <f t="shared" si="56"/>
        <v>-11353.248610676419</v>
      </c>
      <c r="M468" s="43">
        <f t="shared" si="57"/>
        <v>-4535.4642183783126</v>
      </c>
      <c r="N468" s="43">
        <f t="shared" si="58"/>
        <v>-4565.7577012768406</v>
      </c>
      <c r="O468" s="43">
        <f t="shared" si="59"/>
        <v>-1709.5656915150348</v>
      </c>
      <c r="Q468" s="42">
        <f t="shared" si="60"/>
        <v>0</v>
      </c>
      <c r="R468" s="42">
        <f t="shared" si="61"/>
        <v>0</v>
      </c>
      <c r="S468" s="42">
        <f t="shared" si="62"/>
        <v>0</v>
      </c>
      <c r="T468" s="42">
        <f t="shared" si="63"/>
        <v>1</v>
      </c>
    </row>
    <row r="469" spans="1:20" x14ac:dyDescent="0.2">
      <c r="A469" s="30">
        <v>462</v>
      </c>
      <c r="C469" s="31">
        <v>0.98052357761354314</v>
      </c>
      <c r="D469" s="32">
        <v>18348.884197604082</v>
      </c>
      <c r="E469" s="31">
        <v>0.95237456406092447</v>
      </c>
      <c r="F469" s="32">
        <v>6454.5850722505584</v>
      </c>
      <c r="G469" s="31">
        <v>0.94812125801565483</v>
      </c>
      <c r="H469" s="32">
        <v>11010.577357430906</v>
      </c>
      <c r="I469" s="31">
        <v>0.94812125801565483</v>
      </c>
      <c r="J469" s="32">
        <v>6009.7441060981237</v>
      </c>
      <c r="L469" s="43">
        <f t="shared" si="56"/>
        <v>-13446.266309536368</v>
      </c>
      <c r="M469" s="43">
        <f t="shared" si="57"/>
        <v>-1692.7122519459363</v>
      </c>
      <c r="N469" s="43">
        <f t="shared" si="58"/>
        <v>-6269.9710673526315</v>
      </c>
      <c r="O469" s="43">
        <f t="shared" si="59"/>
        <v>-1269.1378160198492</v>
      </c>
      <c r="Q469" s="42">
        <f t="shared" si="60"/>
        <v>0</v>
      </c>
      <c r="R469" s="42">
        <f t="shared" si="61"/>
        <v>0</v>
      </c>
      <c r="S469" s="42">
        <f t="shared" si="62"/>
        <v>0</v>
      </c>
      <c r="T469" s="42">
        <f t="shared" si="63"/>
        <v>1</v>
      </c>
    </row>
    <row r="470" spans="1:20" x14ac:dyDescent="0.2">
      <c r="A470" s="30">
        <v>463</v>
      </c>
      <c r="C470" s="31">
        <v>0.9996184792764744</v>
      </c>
      <c r="D470" s="32">
        <v>13817.727493915394</v>
      </c>
      <c r="E470" s="31">
        <v>0.91864912200967708</v>
      </c>
      <c r="F470" s="32">
        <v>3992.7008162872662</v>
      </c>
      <c r="G470" s="31">
        <v>0.97820555518032226</v>
      </c>
      <c r="H470" s="32">
        <v>7822.1354204376366</v>
      </c>
      <c r="I470" s="31">
        <v>0.91864912200967708</v>
      </c>
      <c r="J470" s="32">
        <v>3816.8721991103434</v>
      </c>
      <c r="L470" s="43">
        <f t="shared" si="56"/>
        <v>-8819.6350975330224</v>
      </c>
      <c r="M470" s="43">
        <f t="shared" si="57"/>
        <v>600.54479376111885</v>
      </c>
      <c r="N470" s="43">
        <f t="shared" si="58"/>
        <v>-2931.107644536025</v>
      </c>
      <c r="O470" s="43">
        <f t="shared" si="59"/>
        <v>776.37341093804162</v>
      </c>
      <c r="Q470" s="42">
        <f t="shared" si="60"/>
        <v>0</v>
      </c>
      <c r="R470" s="42">
        <f t="shared" si="61"/>
        <v>0</v>
      </c>
      <c r="S470" s="42">
        <f t="shared" si="62"/>
        <v>0</v>
      </c>
      <c r="T470" s="42">
        <f t="shared" si="63"/>
        <v>1</v>
      </c>
    </row>
    <row r="471" spans="1:20" x14ac:dyDescent="0.2">
      <c r="A471" s="30">
        <v>464</v>
      </c>
      <c r="C471" s="31">
        <v>0.9895494624685397</v>
      </c>
      <c r="D471" s="32">
        <v>12357.79337096398</v>
      </c>
      <c r="E471" s="31">
        <v>0.94275652019311806</v>
      </c>
      <c r="F471" s="32">
        <v>4347.827620163881</v>
      </c>
      <c r="G471" s="31">
        <v>0.94370201434579937</v>
      </c>
      <c r="H471" s="32">
        <v>7609.2378443343068</v>
      </c>
      <c r="I471" s="31">
        <v>0.93354952148020087</v>
      </c>
      <c r="J471" s="32">
        <v>4101.339038299654</v>
      </c>
      <c r="L471" s="43">
        <f t="shared" si="56"/>
        <v>-7410.0460586212812</v>
      </c>
      <c r="M471" s="43">
        <f t="shared" si="57"/>
        <v>365.9549808017091</v>
      </c>
      <c r="N471" s="43">
        <f t="shared" si="58"/>
        <v>-2890.7277726053098</v>
      </c>
      <c r="O471" s="43">
        <f t="shared" si="59"/>
        <v>566.40856910135062</v>
      </c>
      <c r="Q471" s="42">
        <f t="shared" si="60"/>
        <v>0</v>
      </c>
      <c r="R471" s="42">
        <f t="shared" si="61"/>
        <v>0</v>
      </c>
      <c r="S471" s="42">
        <f t="shared" si="62"/>
        <v>0</v>
      </c>
      <c r="T471" s="42">
        <f t="shared" si="63"/>
        <v>1</v>
      </c>
    </row>
    <row r="472" spans="1:20" x14ac:dyDescent="0.2">
      <c r="A472" s="30">
        <v>465</v>
      </c>
      <c r="C472" s="31">
        <v>0.9836254362430632</v>
      </c>
      <c r="D472" s="32">
        <v>14762.720263861229</v>
      </c>
      <c r="E472" s="31">
        <v>0.96314675575139508</v>
      </c>
      <c r="F472" s="32">
        <v>5013.0996757148987</v>
      </c>
      <c r="G472" s="31">
        <v>0.95993312967214039</v>
      </c>
      <c r="H472" s="32">
        <v>8756.0917293119364</v>
      </c>
      <c r="I472" s="31">
        <v>0.95993312967214039</v>
      </c>
      <c r="J472" s="32">
        <v>4798.4396856105932</v>
      </c>
      <c r="L472" s="43">
        <f t="shared" si="56"/>
        <v>-9844.5930826459116</v>
      </c>
      <c r="M472" s="43">
        <f t="shared" si="57"/>
        <v>-197.36589695792372</v>
      </c>
      <c r="N472" s="43">
        <f t="shared" si="58"/>
        <v>-3956.4260809512343</v>
      </c>
      <c r="O472" s="43">
        <f t="shared" si="59"/>
        <v>1.2259627501089199</v>
      </c>
      <c r="Q472" s="42">
        <f t="shared" si="60"/>
        <v>0</v>
      </c>
      <c r="R472" s="42">
        <f t="shared" si="61"/>
        <v>0</v>
      </c>
      <c r="S472" s="42">
        <f t="shared" si="62"/>
        <v>0</v>
      </c>
      <c r="T472" s="42">
        <f t="shared" si="63"/>
        <v>1</v>
      </c>
    </row>
    <row r="473" spans="1:20" x14ac:dyDescent="0.2">
      <c r="A473" s="30">
        <v>466</v>
      </c>
      <c r="C473" s="31">
        <v>0.98970829013627559</v>
      </c>
      <c r="D473" s="32">
        <v>12774.080433602023</v>
      </c>
      <c r="E473" s="31">
        <v>0.97351744927919226</v>
      </c>
      <c r="F473" s="32">
        <v>8933.7109815665281</v>
      </c>
      <c r="G473" s="31">
        <v>0.96683721276441525</v>
      </c>
      <c r="H473" s="32">
        <v>8196.3037019846015</v>
      </c>
      <c r="I473" s="31">
        <v>0.96683721276441525</v>
      </c>
      <c r="J473" s="32">
        <v>6452.2186070406415</v>
      </c>
      <c r="L473" s="43">
        <f t="shared" si="56"/>
        <v>-7825.5389829206451</v>
      </c>
      <c r="M473" s="43">
        <f t="shared" si="57"/>
        <v>-4066.1237351705668</v>
      </c>
      <c r="N473" s="43">
        <f t="shared" si="58"/>
        <v>-3362.1176381625255</v>
      </c>
      <c r="O473" s="43">
        <f t="shared" si="59"/>
        <v>-1618.0325432185655</v>
      </c>
      <c r="Q473" s="42">
        <f t="shared" si="60"/>
        <v>0</v>
      </c>
      <c r="R473" s="42">
        <f t="shared" si="61"/>
        <v>0</v>
      </c>
      <c r="S473" s="42">
        <f t="shared" si="62"/>
        <v>0</v>
      </c>
      <c r="T473" s="42">
        <f t="shared" si="63"/>
        <v>1</v>
      </c>
    </row>
    <row r="474" spans="1:20" x14ac:dyDescent="0.2">
      <c r="A474" s="30">
        <v>467</v>
      </c>
      <c r="C474" s="31">
        <v>0.99302320507692787</v>
      </c>
      <c r="D474" s="32">
        <v>13972.497164932149</v>
      </c>
      <c r="E474" s="31">
        <v>0.96611474363206784</v>
      </c>
      <c r="F474" s="32">
        <v>8866.5815078329742</v>
      </c>
      <c r="G474" s="31">
        <v>0.96611474363206773</v>
      </c>
      <c r="H474" s="32">
        <v>7640.3396216860383</v>
      </c>
      <c r="I474" s="31">
        <v>0.96611474363206773</v>
      </c>
      <c r="J474" s="32">
        <v>5669.1240244525807</v>
      </c>
      <c r="L474" s="43">
        <f t="shared" si="56"/>
        <v>-9007.3811395475095</v>
      </c>
      <c r="M474" s="43">
        <f t="shared" si="57"/>
        <v>-4036.0077896726352</v>
      </c>
      <c r="N474" s="43">
        <f t="shared" si="58"/>
        <v>-2809.7659035256993</v>
      </c>
      <c r="O474" s="43">
        <f t="shared" si="59"/>
        <v>-838.55030629224166</v>
      </c>
      <c r="Q474" s="42">
        <f t="shared" si="60"/>
        <v>0</v>
      </c>
      <c r="R474" s="42">
        <f t="shared" si="61"/>
        <v>0</v>
      </c>
      <c r="S474" s="42">
        <f t="shared" si="62"/>
        <v>0</v>
      </c>
      <c r="T474" s="42">
        <f t="shared" si="63"/>
        <v>1</v>
      </c>
    </row>
    <row r="475" spans="1:20" x14ac:dyDescent="0.2">
      <c r="A475" s="30">
        <v>468</v>
      </c>
      <c r="C475" s="31">
        <v>0.99953207401338262</v>
      </c>
      <c r="D475" s="32">
        <v>14914.815073534699</v>
      </c>
      <c r="E475" s="31">
        <v>0.95164341927637675</v>
      </c>
      <c r="F475" s="32">
        <v>4950.4794296111413</v>
      </c>
      <c r="G475" s="31">
        <v>0.94774295342890857</v>
      </c>
      <c r="H475" s="32">
        <v>8012.0553398322418</v>
      </c>
      <c r="I475" s="31">
        <v>0.94774542627871838</v>
      </c>
      <c r="J475" s="32">
        <v>4728.7296490708577</v>
      </c>
      <c r="L475" s="43">
        <f t="shared" si="56"/>
        <v>-9917.154703467786</v>
      </c>
      <c r="M475" s="43">
        <f t="shared" si="57"/>
        <v>-192.26233322925782</v>
      </c>
      <c r="N475" s="43">
        <f t="shared" si="58"/>
        <v>-3273.340572687699</v>
      </c>
      <c r="O475" s="43">
        <f t="shared" si="59"/>
        <v>9.9974823227339584</v>
      </c>
      <c r="Q475" s="42">
        <f t="shared" si="60"/>
        <v>0</v>
      </c>
      <c r="R475" s="42">
        <f t="shared" si="61"/>
        <v>0</v>
      </c>
      <c r="S475" s="42">
        <f t="shared" si="62"/>
        <v>0</v>
      </c>
      <c r="T475" s="42">
        <f t="shared" si="63"/>
        <v>1</v>
      </c>
    </row>
    <row r="476" spans="1:20" x14ac:dyDescent="0.2">
      <c r="A476" s="30">
        <v>469</v>
      </c>
      <c r="C476" s="31">
        <v>0.98414912407467203</v>
      </c>
      <c r="D476" s="32">
        <v>12378.148162361078</v>
      </c>
      <c r="E476" s="31">
        <v>0.8423368181413885</v>
      </c>
      <c r="F476" s="32">
        <v>4092.7719182514124</v>
      </c>
      <c r="G476" s="31">
        <v>0.95183984889629758</v>
      </c>
      <c r="H476" s="32">
        <v>7308.9426508870665</v>
      </c>
      <c r="I476" s="31">
        <v>0.83932995433709423</v>
      </c>
      <c r="J476" s="32">
        <v>3217.5326440173999</v>
      </c>
      <c r="L476" s="43">
        <f t="shared" si="56"/>
        <v>-7457.402541987718</v>
      </c>
      <c r="M476" s="43">
        <f t="shared" si="57"/>
        <v>118.91217245553025</v>
      </c>
      <c r="N476" s="43">
        <f t="shared" si="58"/>
        <v>-2549.7434064055788</v>
      </c>
      <c r="O476" s="43">
        <f t="shared" si="59"/>
        <v>979.11712766807113</v>
      </c>
      <c r="Q476" s="42">
        <f t="shared" si="60"/>
        <v>0</v>
      </c>
      <c r="R476" s="42">
        <f t="shared" si="61"/>
        <v>0</v>
      </c>
      <c r="S476" s="42">
        <f t="shared" si="62"/>
        <v>0</v>
      </c>
      <c r="T476" s="42">
        <f t="shared" si="63"/>
        <v>1</v>
      </c>
    </row>
    <row r="477" spans="1:20" x14ac:dyDescent="0.2">
      <c r="A477" s="30">
        <v>470</v>
      </c>
      <c r="C477" s="31">
        <v>0.99863832405167907</v>
      </c>
      <c r="D477" s="32">
        <v>15564.447101609006</v>
      </c>
      <c r="E477" s="31">
        <v>0.91802214947511152</v>
      </c>
      <c r="F477" s="32">
        <v>8312.6609251275058</v>
      </c>
      <c r="G477" s="31">
        <v>0.95110110225246935</v>
      </c>
      <c r="H477" s="32">
        <v>9955.774673485741</v>
      </c>
      <c r="I477" s="31">
        <v>0.9173992591080592</v>
      </c>
      <c r="J477" s="32">
        <v>6562.5887778529659</v>
      </c>
      <c r="L477" s="43">
        <f t="shared" si="56"/>
        <v>-10571.25548135061</v>
      </c>
      <c r="M477" s="43">
        <f t="shared" si="57"/>
        <v>-3722.5501777519485</v>
      </c>
      <c r="N477" s="43">
        <f t="shared" si="58"/>
        <v>-5200.2691622233942</v>
      </c>
      <c r="O477" s="43">
        <f t="shared" si="59"/>
        <v>-1975.5924823126697</v>
      </c>
      <c r="Q477" s="42">
        <f t="shared" si="60"/>
        <v>0</v>
      </c>
      <c r="R477" s="42">
        <f t="shared" si="61"/>
        <v>0</v>
      </c>
      <c r="S477" s="42">
        <f t="shared" si="62"/>
        <v>0</v>
      </c>
      <c r="T477" s="42">
        <f t="shared" si="63"/>
        <v>1</v>
      </c>
    </row>
    <row r="478" spans="1:20" x14ac:dyDescent="0.2">
      <c r="A478" s="30">
        <v>471</v>
      </c>
      <c r="C478" s="31">
        <v>0.98616070262707212</v>
      </c>
      <c r="D478" s="32">
        <v>16214.315682758028</v>
      </c>
      <c r="E478" s="31">
        <v>0.88801139440501098</v>
      </c>
      <c r="F478" s="32">
        <v>4812.7861794227338</v>
      </c>
      <c r="G478" s="31">
        <v>0.95276867238759011</v>
      </c>
      <c r="H478" s="32">
        <v>10322.926530161052</v>
      </c>
      <c r="I478" s="31">
        <v>0.87872654067705069</v>
      </c>
      <c r="J478" s="32">
        <v>4544.191411757145</v>
      </c>
      <c r="L478" s="43">
        <f t="shared" si="56"/>
        <v>-11283.512169622667</v>
      </c>
      <c r="M478" s="43">
        <f t="shared" si="57"/>
        <v>-372.72920739767869</v>
      </c>
      <c r="N478" s="43">
        <f t="shared" si="58"/>
        <v>-5559.0831682231019</v>
      </c>
      <c r="O478" s="43">
        <f t="shared" si="59"/>
        <v>-150.55870837189195</v>
      </c>
      <c r="Q478" s="42">
        <f t="shared" si="60"/>
        <v>0</v>
      </c>
      <c r="R478" s="42">
        <f t="shared" si="61"/>
        <v>0</v>
      </c>
      <c r="S478" s="42">
        <f t="shared" si="62"/>
        <v>0</v>
      </c>
      <c r="T478" s="42">
        <f t="shared" si="63"/>
        <v>1</v>
      </c>
    </row>
    <row r="479" spans="1:20" x14ac:dyDescent="0.2">
      <c r="A479" s="30">
        <v>472</v>
      </c>
      <c r="C479" s="31">
        <v>0.99005428871045686</v>
      </c>
      <c r="D479" s="32">
        <v>16718.188132923337</v>
      </c>
      <c r="E479" s="31">
        <v>0.97657804722048103</v>
      </c>
      <c r="F479" s="32">
        <v>6198.9909990910419</v>
      </c>
      <c r="G479" s="31">
        <v>0.96560561104779441</v>
      </c>
      <c r="H479" s="32">
        <v>10134.429659087777</v>
      </c>
      <c r="I479" s="31">
        <v>0.96560869163396557</v>
      </c>
      <c r="J479" s="32">
        <v>5875.6632430818008</v>
      </c>
      <c r="L479" s="43">
        <f t="shared" si="56"/>
        <v>-11767.916689371054</v>
      </c>
      <c r="M479" s="43">
        <f t="shared" si="57"/>
        <v>-1316.1007629886371</v>
      </c>
      <c r="N479" s="43">
        <f t="shared" si="58"/>
        <v>-5306.4016038488044</v>
      </c>
      <c r="O479" s="43">
        <f t="shared" si="59"/>
        <v>-1047.6197849119726</v>
      </c>
      <c r="Q479" s="42">
        <f t="shared" si="60"/>
        <v>0</v>
      </c>
      <c r="R479" s="42">
        <f t="shared" si="61"/>
        <v>0</v>
      </c>
      <c r="S479" s="42">
        <f t="shared" si="62"/>
        <v>0</v>
      </c>
      <c r="T479" s="42">
        <f t="shared" si="63"/>
        <v>1</v>
      </c>
    </row>
    <row r="480" spans="1:20" x14ac:dyDescent="0.2">
      <c r="A480" s="30">
        <v>473</v>
      </c>
      <c r="C480" s="31">
        <v>0.999906130384976</v>
      </c>
      <c r="D480" s="32">
        <v>18278.003942475494</v>
      </c>
      <c r="E480" s="31">
        <v>0.9752732866175382</v>
      </c>
      <c r="F480" s="32">
        <v>5899.0017363239886</v>
      </c>
      <c r="G480" s="31">
        <v>0.97121897305045879</v>
      </c>
      <c r="H480" s="32">
        <v>10684.655715990775</v>
      </c>
      <c r="I480" s="31">
        <v>0.9712189730504589</v>
      </c>
      <c r="J480" s="32">
        <v>5691.6265252837766</v>
      </c>
      <c r="L480" s="43">
        <f t="shared" si="56"/>
        <v>-13278.473290550613</v>
      </c>
      <c r="M480" s="43">
        <f t="shared" si="57"/>
        <v>-1022.6353032362977</v>
      </c>
      <c r="N480" s="43">
        <f t="shared" si="58"/>
        <v>-5828.5608507384813</v>
      </c>
      <c r="O480" s="43">
        <f t="shared" si="59"/>
        <v>-835.53166003148181</v>
      </c>
      <c r="Q480" s="42">
        <f t="shared" si="60"/>
        <v>0</v>
      </c>
      <c r="R480" s="42">
        <f t="shared" si="61"/>
        <v>0</v>
      </c>
      <c r="S480" s="42">
        <f t="shared" si="62"/>
        <v>0</v>
      </c>
      <c r="T480" s="42">
        <f t="shared" si="63"/>
        <v>1</v>
      </c>
    </row>
    <row r="481" spans="1:20" x14ac:dyDescent="0.2">
      <c r="A481" s="30">
        <v>474</v>
      </c>
      <c r="C481" s="31">
        <v>0.93146689788876491</v>
      </c>
      <c r="D481" s="32">
        <v>18609.913832840943</v>
      </c>
      <c r="E481" s="31">
        <v>0.9152521661750519</v>
      </c>
      <c r="F481" s="32">
        <v>5559.5332440366874</v>
      </c>
      <c r="G481" s="31">
        <v>0.95043915479309315</v>
      </c>
      <c r="H481" s="32">
        <v>11883.536994982145</v>
      </c>
      <c r="I481" s="31">
        <v>0.91484748298256202</v>
      </c>
      <c r="J481" s="32">
        <v>5452.2461299356883</v>
      </c>
      <c r="L481" s="43">
        <f t="shared" si="56"/>
        <v>-13952.579343397119</v>
      </c>
      <c r="M481" s="43">
        <f t="shared" si="57"/>
        <v>-983.27241316142772</v>
      </c>
      <c r="N481" s="43">
        <f t="shared" si="58"/>
        <v>-7131.3412210166798</v>
      </c>
      <c r="O481" s="43">
        <f t="shared" si="59"/>
        <v>-878.00871502287828</v>
      </c>
      <c r="Q481" s="42">
        <f t="shared" si="60"/>
        <v>0</v>
      </c>
      <c r="R481" s="42">
        <f t="shared" si="61"/>
        <v>0</v>
      </c>
      <c r="S481" s="42">
        <f t="shared" si="62"/>
        <v>0</v>
      </c>
      <c r="T481" s="42">
        <f t="shared" si="63"/>
        <v>1</v>
      </c>
    </row>
    <row r="482" spans="1:20" x14ac:dyDescent="0.2">
      <c r="A482" s="30">
        <v>475</v>
      </c>
      <c r="C482" s="31">
        <v>0.9907823650398192</v>
      </c>
      <c r="D482" s="32">
        <v>13487.795974652077</v>
      </c>
      <c r="E482" s="31">
        <v>0.65935537311156034</v>
      </c>
      <c r="F482" s="32">
        <v>2033.5357273839713</v>
      </c>
      <c r="G482" s="31">
        <v>0.83938606651240399</v>
      </c>
      <c r="H482" s="32">
        <v>8031.8549958347448</v>
      </c>
      <c r="I482" s="31">
        <v>0.65676583851547754</v>
      </c>
      <c r="J482" s="32">
        <v>1869.8308028709071</v>
      </c>
      <c r="L482" s="43">
        <f t="shared" si="56"/>
        <v>-8533.8841494529806</v>
      </c>
      <c r="M482" s="43">
        <f t="shared" si="57"/>
        <v>1263.2411381738302</v>
      </c>
      <c r="N482" s="43">
        <f t="shared" si="58"/>
        <v>-3834.9246632727245</v>
      </c>
      <c r="O482" s="43">
        <f t="shared" si="59"/>
        <v>1413.9983897064808</v>
      </c>
      <c r="Q482" s="42">
        <f t="shared" si="60"/>
        <v>0</v>
      </c>
      <c r="R482" s="42">
        <f t="shared" si="61"/>
        <v>0</v>
      </c>
      <c r="S482" s="42">
        <f t="shared" si="62"/>
        <v>0</v>
      </c>
      <c r="T482" s="42">
        <f t="shared" si="63"/>
        <v>1</v>
      </c>
    </row>
    <row r="483" spans="1:20" x14ac:dyDescent="0.2">
      <c r="A483" s="30">
        <v>476</v>
      </c>
      <c r="C483" s="31">
        <v>0.9840405476309424</v>
      </c>
      <c r="D483" s="32">
        <v>15387.29500812486</v>
      </c>
      <c r="E483" s="31">
        <v>0.96138635110665571</v>
      </c>
      <c r="F483" s="32">
        <v>5941.8702760258184</v>
      </c>
      <c r="G483" s="31">
        <v>0.95898580137819323</v>
      </c>
      <c r="H483" s="32">
        <v>9725.4113625158752</v>
      </c>
      <c r="I483" s="31">
        <v>0.95898580137819334</v>
      </c>
      <c r="J483" s="32">
        <v>5615.8440257277698</v>
      </c>
      <c r="L483" s="43">
        <f t="shared" si="56"/>
        <v>-10467.092269970148</v>
      </c>
      <c r="M483" s="43">
        <f t="shared" si="57"/>
        <v>-1134.9385204925402</v>
      </c>
      <c r="N483" s="43">
        <f t="shared" si="58"/>
        <v>-4930.4823556249094</v>
      </c>
      <c r="O483" s="43">
        <f t="shared" si="59"/>
        <v>-820.91501883680303</v>
      </c>
      <c r="Q483" s="42">
        <f t="shared" si="60"/>
        <v>0</v>
      </c>
      <c r="R483" s="42">
        <f t="shared" si="61"/>
        <v>0</v>
      </c>
      <c r="S483" s="42">
        <f t="shared" si="62"/>
        <v>0</v>
      </c>
      <c r="T483" s="42">
        <f t="shared" si="63"/>
        <v>1</v>
      </c>
    </row>
    <row r="484" spans="1:20" x14ac:dyDescent="0.2">
      <c r="A484" s="30">
        <v>477</v>
      </c>
      <c r="C484" s="31">
        <v>0.98500038501531639</v>
      </c>
      <c r="D484" s="32">
        <v>15375.696636827348</v>
      </c>
      <c r="E484" s="31">
        <v>0.90234970925252389</v>
      </c>
      <c r="F484" s="32">
        <v>4661.5735742846655</v>
      </c>
      <c r="G484" s="31">
        <v>0.92275635130519462</v>
      </c>
      <c r="H484" s="32">
        <v>8949.7111988186953</v>
      </c>
      <c r="I484" s="31">
        <v>0.89694717326404438</v>
      </c>
      <c r="J484" s="32">
        <v>4323.7430664854683</v>
      </c>
      <c r="L484" s="43">
        <f t="shared" si="56"/>
        <v>-10450.694711750766</v>
      </c>
      <c r="M484" s="43">
        <f t="shared" si="57"/>
        <v>-149.82502802204635</v>
      </c>
      <c r="N484" s="43">
        <f t="shared" si="58"/>
        <v>-4335.9294422927223</v>
      </c>
      <c r="O484" s="43">
        <f t="shared" si="59"/>
        <v>160.9927998347539</v>
      </c>
      <c r="Q484" s="42">
        <f t="shared" si="60"/>
        <v>0</v>
      </c>
      <c r="R484" s="42">
        <f t="shared" si="61"/>
        <v>0</v>
      </c>
      <c r="S484" s="42">
        <f t="shared" si="62"/>
        <v>0</v>
      </c>
      <c r="T484" s="42">
        <f t="shared" si="63"/>
        <v>1</v>
      </c>
    </row>
    <row r="485" spans="1:20" x14ac:dyDescent="0.2">
      <c r="A485" s="30">
        <v>478</v>
      </c>
      <c r="C485" s="31">
        <v>0.99365129115147233</v>
      </c>
      <c r="D485" s="32">
        <v>15068.141328949518</v>
      </c>
      <c r="E485" s="31">
        <v>0.7704705074328918</v>
      </c>
      <c r="F485" s="32">
        <v>4239.5664586788225</v>
      </c>
      <c r="G485" s="31">
        <v>0.97017288095225673</v>
      </c>
      <c r="H485" s="32">
        <v>9577.8294149948251</v>
      </c>
      <c r="I485" s="31">
        <v>0.77047050743289169</v>
      </c>
      <c r="J485" s="32">
        <v>2891.9870463961543</v>
      </c>
      <c r="L485" s="43">
        <f t="shared" si="56"/>
        <v>-10099.884873192157</v>
      </c>
      <c r="M485" s="43">
        <f t="shared" si="57"/>
        <v>-387.21392151436339</v>
      </c>
      <c r="N485" s="43">
        <f t="shared" si="58"/>
        <v>-4726.9650102335418</v>
      </c>
      <c r="O485" s="43">
        <f t="shared" si="59"/>
        <v>960.36549076830443</v>
      </c>
      <c r="Q485" s="42">
        <f t="shared" si="60"/>
        <v>0</v>
      </c>
      <c r="R485" s="42">
        <f t="shared" si="61"/>
        <v>0</v>
      </c>
      <c r="S485" s="42">
        <f t="shared" si="62"/>
        <v>0</v>
      </c>
      <c r="T485" s="42">
        <f t="shared" si="63"/>
        <v>1</v>
      </c>
    </row>
    <row r="486" spans="1:20" x14ac:dyDescent="0.2">
      <c r="A486" s="30">
        <v>479</v>
      </c>
      <c r="C486" s="31">
        <v>0.99706085670527456</v>
      </c>
      <c r="D486" s="32">
        <v>12666.528416607212</v>
      </c>
      <c r="E486" s="31">
        <v>0.96234949126237335</v>
      </c>
      <c r="F486" s="32">
        <v>4842.7697495732009</v>
      </c>
      <c r="G486" s="31">
        <v>0.96234949126237312</v>
      </c>
      <c r="H486" s="32">
        <v>8076.3780795977355</v>
      </c>
      <c r="I486" s="31">
        <v>0.96234949126237335</v>
      </c>
      <c r="J486" s="32">
        <v>4694.7907857648797</v>
      </c>
      <c r="L486" s="43">
        <f t="shared" si="56"/>
        <v>-7681.2241330808392</v>
      </c>
      <c r="M486" s="43">
        <f t="shared" si="57"/>
        <v>-31.022293261334198</v>
      </c>
      <c r="N486" s="43">
        <f t="shared" si="58"/>
        <v>-3264.6306232858697</v>
      </c>
      <c r="O486" s="43">
        <f t="shared" si="59"/>
        <v>116.95667054698697</v>
      </c>
      <c r="Q486" s="42">
        <f t="shared" si="60"/>
        <v>0</v>
      </c>
      <c r="R486" s="42">
        <f t="shared" si="61"/>
        <v>0</v>
      </c>
      <c r="S486" s="42">
        <f t="shared" si="62"/>
        <v>0</v>
      </c>
      <c r="T486" s="42">
        <f t="shared" si="63"/>
        <v>1</v>
      </c>
    </row>
    <row r="487" spans="1:20" x14ac:dyDescent="0.2">
      <c r="A487" s="30">
        <v>480</v>
      </c>
      <c r="C487" s="31">
        <v>0.99356691431581146</v>
      </c>
      <c r="D487" s="32">
        <v>16740.785279168493</v>
      </c>
      <c r="E487" s="31">
        <v>0.81655100177238982</v>
      </c>
      <c r="F487" s="32">
        <v>5260.3589475581311</v>
      </c>
      <c r="G487" s="31">
        <v>0.94391490321052318</v>
      </c>
      <c r="H487" s="32">
        <v>9863.3293533719316</v>
      </c>
      <c r="I487" s="31">
        <v>0.80970278348732005</v>
      </c>
      <c r="J487" s="32">
        <v>3969.8258430340525</v>
      </c>
      <c r="L487" s="43">
        <f t="shared" si="56"/>
        <v>-11772.950707589436</v>
      </c>
      <c r="M487" s="43">
        <f t="shared" si="57"/>
        <v>-1177.603938696182</v>
      </c>
      <c r="N487" s="43">
        <f t="shared" si="58"/>
        <v>-5143.7548373193158</v>
      </c>
      <c r="O487" s="43">
        <f t="shared" si="59"/>
        <v>78.688074402547954</v>
      </c>
      <c r="Q487" s="42">
        <f t="shared" si="60"/>
        <v>0</v>
      </c>
      <c r="R487" s="42">
        <f t="shared" si="61"/>
        <v>0</v>
      </c>
      <c r="S487" s="42">
        <f t="shared" si="62"/>
        <v>0</v>
      </c>
      <c r="T487" s="42">
        <f t="shared" si="63"/>
        <v>1</v>
      </c>
    </row>
    <row r="488" spans="1:20" x14ac:dyDescent="0.2">
      <c r="A488" s="30">
        <v>481</v>
      </c>
      <c r="C488" s="31">
        <v>0.99831681757077539</v>
      </c>
      <c r="D488" s="32">
        <v>18726.316171300219</v>
      </c>
      <c r="E488" s="31">
        <v>0.94538470301158051</v>
      </c>
      <c r="F488" s="32">
        <v>6429.2177899608378</v>
      </c>
      <c r="G488" s="31">
        <v>0.94343054240633728</v>
      </c>
      <c r="H488" s="32">
        <v>11655.513146651121</v>
      </c>
      <c r="I488" s="31">
        <v>0.94343054240633728</v>
      </c>
      <c r="J488" s="32">
        <v>6267.5199551747692</v>
      </c>
      <c r="L488" s="43">
        <f t="shared" si="56"/>
        <v>-13734.732083446343</v>
      </c>
      <c r="M488" s="43">
        <f t="shared" si="57"/>
        <v>-1702.2942749029353</v>
      </c>
      <c r="N488" s="43">
        <f t="shared" si="58"/>
        <v>-6938.3604346194352</v>
      </c>
      <c r="O488" s="43">
        <f t="shared" si="59"/>
        <v>-1550.3672431430832</v>
      </c>
      <c r="Q488" s="42">
        <f t="shared" si="60"/>
        <v>0</v>
      </c>
      <c r="R488" s="42">
        <f t="shared" si="61"/>
        <v>0</v>
      </c>
      <c r="S488" s="42">
        <f t="shared" si="62"/>
        <v>0</v>
      </c>
      <c r="T488" s="42">
        <f t="shared" si="63"/>
        <v>1</v>
      </c>
    </row>
    <row r="489" spans="1:20" x14ac:dyDescent="0.2">
      <c r="A489" s="30">
        <v>482</v>
      </c>
      <c r="C489" s="31">
        <v>0.99572519345413479</v>
      </c>
      <c r="D489" s="32">
        <v>11941.155583273012</v>
      </c>
      <c r="E489" s="31">
        <v>0.85923358509069647</v>
      </c>
      <c r="F489" s="32">
        <v>4430.6414445298769</v>
      </c>
      <c r="G489" s="31">
        <v>0.95889105533574936</v>
      </c>
      <c r="H489" s="32">
        <v>7439.5564413611492</v>
      </c>
      <c r="I489" s="31">
        <v>0.85146764025541022</v>
      </c>
      <c r="J489" s="32">
        <v>3391.9068284857672</v>
      </c>
      <c r="L489" s="43">
        <f t="shared" si="56"/>
        <v>-6962.5296160023381</v>
      </c>
      <c r="M489" s="43">
        <f t="shared" si="57"/>
        <v>-134.47351907639495</v>
      </c>
      <c r="N489" s="43">
        <f t="shared" si="58"/>
        <v>-2645.1011646824027</v>
      </c>
      <c r="O489" s="43">
        <f t="shared" si="59"/>
        <v>865.43137279128359</v>
      </c>
      <c r="Q489" s="42">
        <f t="shared" si="60"/>
        <v>0</v>
      </c>
      <c r="R489" s="42">
        <f t="shared" si="61"/>
        <v>0</v>
      </c>
      <c r="S489" s="42">
        <f t="shared" si="62"/>
        <v>0</v>
      </c>
      <c r="T489" s="42">
        <f t="shared" si="63"/>
        <v>1</v>
      </c>
    </row>
    <row r="490" spans="1:20" x14ac:dyDescent="0.2">
      <c r="A490" s="30">
        <v>483</v>
      </c>
      <c r="C490" s="31">
        <v>0.97490286213746957</v>
      </c>
      <c r="D490" s="32">
        <v>13552.296956289949</v>
      </c>
      <c r="E490" s="31">
        <v>0.84907229832907749</v>
      </c>
      <c r="F490" s="32">
        <v>7398.0388348931929</v>
      </c>
      <c r="G490" s="31">
        <v>0.94553549166480966</v>
      </c>
      <c r="H490" s="32">
        <v>8147.1729625113612</v>
      </c>
      <c r="I490" s="31">
        <v>0.84765324410893761</v>
      </c>
      <c r="J490" s="32">
        <v>4695.9660810753267</v>
      </c>
      <c r="L490" s="43">
        <f t="shared" si="56"/>
        <v>-8677.7826456026014</v>
      </c>
      <c r="M490" s="43">
        <f t="shared" si="57"/>
        <v>-3152.6773432478058</v>
      </c>
      <c r="N490" s="43">
        <f t="shared" si="58"/>
        <v>-3419.4955041873127</v>
      </c>
      <c r="O490" s="43">
        <f t="shared" si="59"/>
        <v>-457.69986053063894</v>
      </c>
      <c r="Q490" s="42">
        <f t="shared" si="60"/>
        <v>0</v>
      </c>
      <c r="R490" s="42">
        <f t="shared" si="61"/>
        <v>0</v>
      </c>
      <c r="S490" s="42">
        <f t="shared" si="62"/>
        <v>0</v>
      </c>
      <c r="T490" s="42">
        <f t="shared" si="63"/>
        <v>1</v>
      </c>
    </row>
    <row r="491" spans="1:20" x14ac:dyDescent="0.2">
      <c r="A491" s="30">
        <v>484</v>
      </c>
      <c r="C491" s="31">
        <v>0.98404395510972564</v>
      </c>
      <c r="D491" s="32">
        <v>14430.218269852892</v>
      </c>
      <c r="E491" s="31">
        <v>0.92703550438858073</v>
      </c>
      <c r="F491" s="32">
        <v>4603.3973681895859</v>
      </c>
      <c r="G491" s="31">
        <v>0.95133508528069366</v>
      </c>
      <c r="H491" s="32">
        <v>8817.6254985163523</v>
      </c>
      <c r="I491" s="31">
        <v>0.92325617814973038</v>
      </c>
      <c r="J491" s="32">
        <v>4398.3652406942547</v>
      </c>
      <c r="L491" s="43">
        <f t="shared" si="56"/>
        <v>-9509.9984943042637</v>
      </c>
      <c r="M491" s="43">
        <f t="shared" si="57"/>
        <v>31.780153753317791</v>
      </c>
      <c r="N491" s="43">
        <f t="shared" si="58"/>
        <v>-4060.9500721128843</v>
      </c>
      <c r="O491" s="43">
        <f t="shared" si="59"/>
        <v>217.91565005439679</v>
      </c>
      <c r="Q491" s="42">
        <f t="shared" si="60"/>
        <v>0</v>
      </c>
      <c r="R491" s="42">
        <f t="shared" si="61"/>
        <v>0</v>
      </c>
      <c r="S491" s="42">
        <f t="shared" si="62"/>
        <v>0</v>
      </c>
      <c r="T491" s="42">
        <f t="shared" si="63"/>
        <v>1</v>
      </c>
    </row>
    <row r="492" spans="1:20" x14ac:dyDescent="0.2">
      <c r="A492" s="30">
        <v>485</v>
      </c>
      <c r="C492" s="31">
        <v>0.9783402195256099</v>
      </c>
      <c r="D492" s="32">
        <v>14225.757981996581</v>
      </c>
      <c r="E492" s="31">
        <v>0.92539449457605427</v>
      </c>
      <c r="F492" s="32">
        <v>5023.6581139961309</v>
      </c>
      <c r="G492" s="31">
        <v>0.91884103691262431</v>
      </c>
      <c r="H492" s="32">
        <v>8499.0925348637702</v>
      </c>
      <c r="I492" s="31">
        <v>0.91884103691262442</v>
      </c>
      <c r="J492" s="32">
        <v>4808.4731840633067</v>
      </c>
      <c r="L492" s="43">
        <f t="shared" si="56"/>
        <v>-9334.0568843685323</v>
      </c>
      <c r="M492" s="43">
        <f t="shared" si="57"/>
        <v>-396.68564111585965</v>
      </c>
      <c r="N492" s="43">
        <f t="shared" si="58"/>
        <v>-3904.8873503006489</v>
      </c>
      <c r="O492" s="43">
        <f t="shared" si="59"/>
        <v>-214.26799950018449</v>
      </c>
      <c r="Q492" s="42">
        <f t="shared" si="60"/>
        <v>0</v>
      </c>
      <c r="R492" s="42">
        <f t="shared" si="61"/>
        <v>0</v>
      </c>
      <c r="S492" s="42">
        <f t="shared" si="62"/>
        <v>0</v>
      </c>
      <c r="T492" s="42">
        <f t="shared" si="63"/>
        <v>1</v>
      </c>
    </row>
    <row r="493" spans="1:20" x14ac:dyDescent="0.2">
      <c r="A493" s="30">
        <v>486</v>
      </c>
      <c r="C493" s="31">
        <v>0.99247059598939436</v>
      </c>
      <c r="D493" s="32">
        <v>15825.680343184817</v>
      </c>
      <c r="E493" s="31">
        <v>0.93433332815697223</v>
      </c>
      <c r="F493" s="32">
        <v>5611.1923064175535</v>
      </c>
      <c r="G493" s="31">
        <v>0.92943770626051703</v>
      </c>
      <c r="H493" s="32">
        <v>9233.0730535456951</v>
      </c>
      <c r="I493" s="31">
        <v>0.92943770626051703</v>
      </c>
      <c r="J493" s="32">
        <v>4967.7840265578416</v>
      </c>
      <c r="L493" s="43">
        <f t="shared" si="56"/>
        <v>-10863.327363237844</v>
      </c>
      <c r="M493" s="43">
        <f t="shared" si="57"/>
        <v>-939.52566563269193</v>
      </c>
      <c r="N493" s="43">
        <f t="shared" si="58"/>
        <v>-4585.88452224311</v>
      </c>
      <c r="O493" s="43">
        <f t="shared" si="59"/>
        <v>-320.59549525525654</v>
      </c>
      <c r="Q493" s="42">
        <f t="shared" si="60"/>
        <v>0</v>
      </c>
      <c r="R493" s="42">
        <f t="shared" si="61"/>
        <v>0</v>
      </c>
      <c r="S493" s="42">
        <f t="shared" si="62"/>
        <v>0</v>
      </c>
      <c r="T493" s="42">
        <f t="shared" si="63"/>
        <v>1</v>
      </c>
    </row>
    <row r="494" spans="1:20" x14ac:dyDescent="0.2">
      <c r="A494" s="30">
        <v>487</v>
      </c>
      <c r="C494" s="31">
        <v>0.94884953006925565</v>
      </c>
      <c r="D494" s="32">
        <v>16180.190200409126</v>
      </c>
      <c r="E494" s="31">
        <v>0.88378155311943007</v>
      </c>
      <c r="F494" s="32">
        <v>3915.7563719671498</v>
      </c>
      <c r="G494" s="31">
        <v>0.961685115154438</v>
      </c>
      <c r="H494" s="32">
        <v>9651.6058184653593</v>
      </c>
      <c r="I494" s="31">
        <v>0.87837304470283384</v>
      </c>
      <c r="J494" s="32">
        <v>3670.9400695702061</v>
      </c>
      <c r="L494" s="43">
        <f t="shared" si="56"/>
        <v>-11435.942550062848</v>
      </c>
      <c r="M494" s="43">
        <f t="shared" si="57"/>
        <v>503.15139363000071</v>
      </c>
      <c r="N494" s="43">
        <f t="shared" si="58"/>
        <v>-4843.180242693169</v>
      </c>
      <c r="O494" s="43">
        <f t="shared" si="59"/>
        <v>720.92515394396287</v>
      </c>
      <c r="Q494" s="42">
        <f t="shared" si="60"/>
        <v>0</v>
      </c>
      <c r="R494" s="42">
        <f t="shared" si="61"/>
        <v>0</v>
      </c>
      <c r="S494" s="42">
        <f t="shared" si="62"/>
        <v>0</v>
      </c>
      <c r="T494" s="42">
        <f t="shared" si="63"/>
        <v>1</v>
      </c>
    </row>
    <row r="495" spans="1:20" x14ac:dyDescent="0.2">
      <c r="A495" s="30">
        <v>488</v>
      </c>
      <c r="C495" s="31">
        <v>0.98071818629426433</v>
      </c>
      <c r="D495" s="32">
        <v>16192.659532676355</v>
      </c>
      <c r="E495" s="31">
        <v>0.65256150032107285</v>
      </c>
      <c r="F495" s="32">
        <v>965.13046020683942</v>
      </c>
      <c r="G495" s="31">
        <v>0.94520342981473804</v>
      </c>
      <c r="H495" s="32">
        <v>9461.0679502592466</v>
      </c>
      <c r="I495" s="31">
        <v>0.65182274067716661</v>
      </c>
      <c r="J495" s="32">
        <v>734.38834257568112</v>
      </c>
      <c r="L495" s="43">
        <f t="shared" si="56"/>
        <v>-11289.068601205032</v>
      </c>
      <c r="M495" s="43">
        <f t="shared" si="57"/>
        <v>2297.677041398525</v>
      </c>
      <c r="N495" s="43">
        <f t="shared" si="58"/>
        <v>-4735.0508011855563</v>
      </c>
      <c r="O495" s="43">
        <f t="shared" si="59"/>
        <v>2524.7253608101519</v>
      </c>
      <c r="Q495" s="42">
        <f t="shared" si="60"/>
        <v>0</v>
      </c>
      <c r="R495" s="42">
        <f t="shared" si="61"/>
        <v>0</v>
      </c>
      <c r="S495" s="42">
        <f t="shared" si="62"/>
        <v>0</v>
      </c>
      <c r="T495" s="42">
        <f t="shared" si="63"/>
        <v>1</v>
      </c>
    </row>
    <row r="496" spans="1:20" x14ac:dyDescent="0.2">
      <c r="A496" s="30">
        <v>489</v>
      </c>
      <c r="C496" s="31">
        <v>0.95085787591178139</v>
      </c>
      <c r="D496" s="32">
        <v>15251.346470449455</v>
      </c>
      <c r="E496" s="31">
        <v>0.95009536681455498</v>
      </c>
      <c r="F496" s="32">
        <v>7169.9056261496926</v>
      </c>
      <c r="G496" s="31">
        <v>0.93902911416708368</v>
      </c>
      <c r="H496" s="32">
        <v>9129.4259251036092</v>
      </c>
      <c r="I496" s="31">
        <v>0.93903172006746571</v>
      </c>
      <c r="J496" s="32">
        <v>5654.1355101892332</v>
      </c>
      <c r="L496" s="43">
        <f t="shared" si="56"/>
        <v>-10497.057090890547</v>
      </c>
      <c r="M496" s="43">
        <f t="shared" si="57"/>
        <v>-2419.4287920769175</v>
      </c>
      <c r="N496" s="43">
        <f t="shared" si="58"/>
        <v>-4434.2803542681904</v>
      </c>
      <c r="O496" s="43">
        <f t="shared" si="59"/>
        <v>-958.97690985190457</v>
      </c>
      <c r="Q496" s="42">
        <f t="shared" si="60"/>
        <v>0</v>
      </c>
      <c r="R496" s="42">
        <f t="shared" si="61"/>
        <v>0</v>
      </c>
      <c r="S496" s="42">
        <f t="shared" si="62"/>
        <v>0</v>
      </c>
      <c r="T496" s="42">
        <f t="shared" si="63"/>
        <v>1</v>
      </c>
    </row>
    <row r="497" spans="1:20" x14ac:dyDescent="0.2">
      <c r="A497" s="30">
        <v>490</v>
      </c>
      <c r="C497" s="31">
        <v>0.96627887475837004</v>
      </c>
      <c r="D497" s="32">
        <v>16679.410042424715</v>
      </c>
      <c r="E497" s="31">
        <v>0.77038897871323941</v>
      </c>
      <c r="F497" s="32">
        <v>3061.2243535356602</v>
      </c>
      <c r="G497" s="31">
        <v>0.93817755088924737</v>
      </c>
      <c r="H497" s="32">
        <v>9318.2680527698612</v>
      </c>
      <c r="I497" s="31">
        <v>0.76726217105736061</v>
      </c>
      <c r="J497" s="32">
        <v>2466.6990546809047</v>
      </c>
      <c r="L497" s="43">
        <f t="shared" si="56"/>
        <v>-11848.015668632866</v>
      </c>
      <c r="M497" s="43">
        <f t="shared" si="57"/>
        <v>790.72054003053699</v>
      </c>
      <c r="N497" s="43">
        <f t="shared" si="58"/>
        <v>-4627.3802983236246</v>
      </c>
      <c r="O497" s="43">
        <f t="shared" si="59"/>
        <v>1369.6118006058982</v>
      </c>
      <c r="Q497" s="42">
        <f t="shared" si="60"/>
        <v>0</v>
      </c>
      <c r="R497" s="42">
        <f t="shared" si="61"/>
        <v>0</v>
      </c>
      <c r="S497" s="42">
        <f t="shared" si="62"/>
        <v>0</v>
      </c>
      <c r="T497" s="42">
        <f t="shared" si="63"/>
        <v>1</v>
      </c>
    </row>
    <row r="498" spans="1:20" x14ac:dyDescent="0.2">
      <c r="A498" s="30">
        <v>491</v>
      </c>
      <c r="C498" s="31">
        <v>0.99934309480977823</v>
      </c>
      <c r="D498" s="32">
        <v>16535.788236130495</v>
      </c>
      <c r="E498" s="31">
        <v>0.92951025628440043</v>
      </c>
      <c r="F498" s="32">
        <v>7556.908596187478</v>
      </c>
      <c r="G498" s="31">
        <v>0.94130537025765648</v>
      </c>
      <c r="H498" s="32">
        <v>9983.5849402062613</v>
      </c>
      <c r="I498" s="31">
        <v>0.92575439194479392</v>
      </c>
      <c r="J498" s="32">
        <v>6149.6273223663429</v>
      </c>
      <c r="L498" s="43">
        <f t="shared" si="56"/>
        <v>-11539.072762081603</v>
      </c>
      <c r="M498" s="43">
        <f t="shared" si="57"/>
        <v>-2909.3573147654761</v>
      </c>
      <c r="N498" s="43">
        <f t="shared" si="58"/>
        <v>-5277.0580889179791</v>
      </c>
      <c r="O498" s="43">
        <f t="shared" si="59"/>
        <v>-1520.8553626423736</v>
      </c>
      <c r="Q498" s="42">
        <f t="shared" si="60"/>
        <v>0</v>
      </c>
      <c r="R498" s="42">
        <f t="shared" si="61"/>
        <v>0</v>
      </c>
      <c r="S498" s="42">
        <f t="shared" si="62"/>
        <v>0</v>
      </c>
      <c r="T498" s="42">
        <f t="shared" si="63"/>
        <v>1</v>
      </c>
    </row>
    <row r="499" spans="1:20" x14ac:dyDescent="0.2">
      <c r="A499" s="30">
        <v>492</v>
      </c>
      <c r="C499" s="31">
        <v>0.91347365079741982</v>
      </c>
      <c r="D499" s="32">
        <v>14905.533625642993</v>
      </c>
      <c r="E499" s="31">
        <v>0.73147287255411286</v>
      </c>
      <c r="F499" s="32">
        <v>2041.8359801051163</v>
      </c>
      <c r="G499" s="31">
        <v>0.89221197698312071</v>
      </c>
      <c r="H499" s="32">
        <v>8915.8633215066893</v>
      </c>
      <c r="I499" s="31">
        <v>0.7302388133562161</v>
      </c>
      <c r="J499" s="32">
        <v>1871.6445548451341</v>
      </c>
      <c r="L499" s="43">
        <f t="shared" si="56"/>
        <v>-10338.165371655894</v>
      </c>
      <c r="M499" s="43">
        <f t="shared" si="57"/>
        <v>1615.5283826654479</v>
      </c>
      <c r="N499" s="43">
        <f t="shared" si="58"/>
        <v>-4454.8034365910853</v>
      </c>
      <c r="O499" s="43">
        <f t="shared" si="59"/>
        <v>1779.5495119359464</v>
      </c>
      <c r="Q499" s="42">
        <f t="shared" si="60"/>
        <v>0</v>
      </c>
      <c r="R499" s="42">
        <f t="shared" si="61"/>
        <v>0</v>
      </c>
      <c r="S499" s="42">
        <f t="shared" si="62"/>
        <v>0</v>
      </c>
      <c r="T499" s="42">
        <f t="shared" si="63"/>
        <v>1</v>
      </c>
    </row>
    <row r="500" spans="1:20" x14ac:dyDescent="0.2">
      <c r="A500" s="30">
        <v>493</v>
      </c>
      <c r="C500" s="31">
        <v>0.96197461103198501</v>
      </c>
      <c r="D500" s="32">
        <v>15716.319153665301</v>
      </c>
      <c r="E500" s="31">
        <v>0.94592708364705236</v>
      </c>
      <c r="F500" s="32">
        <v>5317.3800189529411</v>
      </c>
      <c r="G500" s="31">
        <v>0.9440412250956316</v>
      </c>
      <c r="H500" s="32">
        <v>9661.153412708094</v>
      </c>
      <c r="I500" s="31">
        <v>0.9440412250956316</v>
      </c>
      <c r="J500" s="32">
        <v>5117.7837599604127</v>
      </c>
      <c r="L500" s="43">
        <f t="shared" si="56"/>
        <v>-10906.446098505377</v>
      </c>
      <c r="M500" s="43">
        <f t="shared" si="57"/>
        <v>-587.74460071767953</v>
      </c>
      <c r="N500" s="43">
        <f t="shared" si="58"/>
        <v>-4940.9472872299357</v>
      </c>
      <c r="O500" s="43">
        <f t="shared" si="59"/>
        <v>-397.57763448225433</v>
      </c>
      <c r="Q500" s="42">
        <f t="shared" si="60"/>
        <v>0</v>
      </c>
      <c r="R500" s="42">
        <f t="shared" si="61"/>
        <v>0</v>
      </c>
      <c r="S500" s="42">
        <f t="shared" si="62"/>
        <v>0</v>
      </c>
      <c r="T500" s="42">
        <f t="shared" si="63"/>
        <v>1</v>
      </c>
    </row>
    <row r="501" spans="1:20" x14ac:dyDescent="0.2">
      <c r="A501" s="30">
        <v>494</v>
      </c>
      <c r="C501" s="31">
        <v>0.98825937195041513</v>
      </c>
      <c r="D501" s="32">
        <v>12192.364904910006</v>
      </c>
      <c r="E501" s="31">
        <v>0.90222249184845249</v>
      </c>
      <c r="F501" s="32">
        <v>5811.3578133033443</v>
      </c>
      <c r="G501" s="31">
        <v>0.95096075279739445</v>
      </c>
      <c r="H501" s="32">
        <v>7301.2193350539646</v>
      </c>
      <c r="I501" s="31">
        <v>0.89192215758283866</v>
      </c>
      <c r="J501" s="32">
        <v>4230.0806587039988</v>
      </c>
      <c r="L501" s="43">
        <f t="shared" si="56"/>
        <v>-7251.0680451579301</v>
      </c>
      <c r="M501" s="43">
        <f t="shared" si="57"/>
        <v>-1300.2453540610823</v>
      </c>
      <c r="N501" s="43">
        <f t="shared" si="58"/>
        <v>-2546.415571066992</v>
      </c>
      <c r="O501" s="43">
        <f t="shared" si="59"/>
        <v>229.5301292101949</v>
      </c>
      <c r="Q501" s="42">
        <f t="shared" si="60"/>
        <v>0</v>
      </c>
      <c r="R501" s="42">
        <f t="shared" si="61"/>
        <v>0</v>
      </c>
      <c r="S501" s="42">
        <f t="shared" si="62"/>
        <v>0</v>
      </c>
      <c r="T501" s="42">
        <f t="shared" si="63"/>
        <v>1</v>
      </c>
    </row>
    <row r="502" spans="1:20" x14ac:dyDescent="0.2">
      <c r="A502" s="30">
        <v>495</v>
      </c>
      <c r="C502" s="31">
        <v>0.9908661391037471</v>
      </c>
      <c r="D502" s="32">
        <v>14810.110123881199</v>
      </c>
      <c r="E502" s="31">
        <v>0.80153354436514967</v>
      </c>
      <c r="F502" s="32">
        <v>3663.383481014559</v>
      </c>
      <c r="G502" s="31">
        <v>0.94041835494075698</v>
      </c>
      <c r="H502" s="32">
        <v>9675.4743191384623</v>
      </c>
      <c r="I502" s="31">
        <v>0.79868014877082905</v>
      </c>
      <c r="J502" s="32">
        <v>3507.4831839215253</v>
      </c>
      <c r="L502" s="43">
        <f t="shared" si="56"/>
        <v>-9855.7794283624644</v>
      </c>
      <c r="M502" s="43">
        <f t="shared" si="57"/>
        <v>344.28424081118919</v>
      </c>
      <c r="N502" s="43">
        <f t="shared" si="58"/>
        <v>-4973.3825444346776</v>
      </c>
      <c r="O502" s="43">
        <f t="shared" si="59"/>
        <v>485.91755993261995</v>
      </c>
      <c r="Q502" s="42">
        <f t="shared" si="60"/>
        <v>0</v>
      </c>
      <c r="R502" s="42">
        <f t="shared" si="61"/>
        <v>0</v>
      </c>
      <c r="S502" s="42">
        <f t="shared" si="62"/>
        <v>0</v>
      </c>
      <c r="T502" s="42">
        <f t="shared" si="63"/>
        <v>1</v>
      </c>
    </row>
    <row r="503" spans="1:20" x14ac:dyDescent="0.2">
      <c r="A503" s="30">
        <v>496</v>
      </c>
      <c r="C503" s="31">
        <v>0.99149658250995665</v>
      </c>
      <c r="D503" s="32">
        <v>18226.968725205694</v>
      </c>
      <c r="E503" s="31">
        <v>0.87311382234847901</v>
      </c>
      <c r="F503" s="32">
        <v>5261.6940093839312</v>
      </c>
      <c r="G503" s="31">
        <v>0.92271973890890635</v>
      </c>
      <c r="H503" s="32">
        <v>10836.958051138272</v>
      </c>
      <c r="I503" s="31">
        <v>0.86619203575158221</v>
      </c>
      <c r="J503" s="32">
        <v>4979.4802976748215</v>
      </c>
      <c r="L503" s="43">
        <f t="shared" si="56"/>
        <v>-13269.48581265591</v>
      </c>
      <c r="M503" s="43">
        <f t="shared" si="57"/>
        <v>-896.12489764153634</v>
      </c>
      <c r="N503" s="43">
        <f t="shared" si="58"/>
        <v>-6223.3593565937399</v>
      </c>
      <c r="O503" s="43">
        <f t="shared" si="59"/>
        <v>-648.52011891691018</v>
      </c>
      <c r="Q503" s="42">
        <f t="shared" si="60"/>
        <v>0</v>
      </c>
      <c r="R503" s="42">
        <f t="shared" si="61"/>
        <v>0</v>
      </c>
      <c r="S503" s="42">
        <f t="shared" si="62"/>
        <v>0</v>
      </c>
      <c r="T503" s="42">
        <f t="shared" si="63"/>
        <v>1</v>
      </c>
    </row>
    <row r="504" spans="1:20" x14ac:dyDescent="0.2">
      <c r="A504" s="30">
        <v>497</v>
      </c>
      <c r="C504" s="31">
        <v>0.97868481946841779</v>
      </c>
      <c r="D504" s="32">
        <v>20435.422361195444</v>
      </c>
      <c r="E504" s="31">
        <v>0.92893343645265769</v>
      </c>
      <c r="F504" s="32">
        <v>5885.4667179994822</v>
      </c>
      <c r="G504" s="31">
        <v>0.96255972148070801</v>
      </c>
      <c r="H504" s="32">
        <v>12235.905590224353</v>
      </c>
      <c r="I504" s="31">
        <v>0.92214602540621859</v>
      </c>
      <c r="J504" s="32">
        <v>5601.8415821298458</v>
      </c>
      <c r="L504" s="43">
        <f t="shared" si="56"/>
        <v>-15541.998263853355</v>
      </c>
      <c r="M504" s="43">
        <f t="shared" si="57"/>
        <v>-1240.7995357361933</v>
      </c>
      <c r="N504" s="43">
        <f t="shared" si="58"/>
        <v>-7423.1069828208128</v>
      </c>
      <c r="O504" s="43">
        <f t="shared" si="59"/>
        <v>-991.11145509875314</v>
      </c>
      <c r="Q504" s="42">
        <f t="shared" si="60"/>
        <v>0</v>
      </c>
      <c r="R504" s="42">
        <f t="shared" si="61"/>
        <v>0</v>
      </c>
      <c r="S504" s="42">
        <f t="shared" si="62"/>
        <v>0</v>
      </c>
      <c r="T504" s="42">
        <f t="shared" si="63"/>
        <v>1</v>
      </c>
    </row>
    <row r="505" spans="1:20" x14ac:dyDescent="0.2">
      <c r="A505" s="30">
        <v>498</v>
      </c>
      <c r="C505" s="31">
        <v>0.9954556857056871</v>
      </c>
      <c r="D505" s="32">
        <v>17340.701753202611</v>
      </c>
      <c r="E505" s="31">
        <v>0.96669070243902633</v>
      </c>
      <c r="F505" s="32">
        <v>7328.2807499699375</v>
      </c>
      <c r="G505" s="31">
        <v>0.96074646596835922</v>
      </c>
      <c r="H505" s="32">
        <v>10239.605718445151</v>
      </c>
      <c r="I505" s="31">
        <v>0.96074646596835922</v>
      </c>
      <c r="J505" s="32">
        <v>6114.3679257432495</v>
      </c>
      <c r="L505" s="43">
        <f t="shared" si="56"/>
        <v>-12363.423324674175</v>
      </c>
      <c r="M505" s="43">
        <f t="shared" si="57"/>
        <v>-2494.8272377748062</v>
      </c>
      <c r="N505" s="43">
        <f t="shared" si="58"/>
        <v>-5435.8733886033551</v>
      </c>
      <c r="O505" s="43">
        <f t="shared" si="59"/>
        <v>-1310.6355959014536</v>
      </c>
      <c r="Q505" s="42">
        <f t="shared" si="60"/>
        <v>0</v>
      </c>
      <c r="R505" s="42">
        <f t="shared" si="61"/>
        <v>0</v>
      </c>
      <c r="S505" s="42">
        <f t="shared" si="62"/>
        <v>0</v>
      </c>
      <c r="T505" s="42">
        <f t="shared" si="63"/>
        <v>1</v>
      </c>
    </row>
    <row r="506" spans="1:20" x14ac:dyDescent="0.2">
      <c r="A506" s="30">
        <v>499</v>
      </c>
      <c r="C506" s="31">
        <v>0.99546810389635321</v>
      </c>
      <c r="D506" s="32">
        <v>15806.684065273514</v>
      </c>
      <c r="E506" s="31">
        <v>0.59236099390771513</v>
      </c>
      <c r="F506" s="32">
        <v>22.169376318388448</v>
      </c>
      <c r="G506" s="31">
        <v>0.96755843204951408</v>
      </c>
      <c r="H506" s="32">
        <v>9969.4195726930866</v>
      </c>
      <c r="I506" s="31">
        <v>0.59271555926709407</v>
      </c>
      <c r="J506" s="32">
        <v>-77.336963764942695</v>
      </c>
      <c r="L506" s="43">
        <f t="shared" si="56"/>
        <v>-10829.343545791748</v>
      </c>
      <c r="M506" s="43">
        <f t="shared" si="57"/>
        <v>2939.6355932201873</v>
      </c>
      <c r="N506" s="43">
        <f t="shared" si="58"/>
        <v>-5131.6274124455158</v>
      </c>
      <c r="O506" s="43">
        <f t="shared" si="59"/>
        <v>3040.9147601004129</v>
      </c>
      <c r="Q506" s="42">
        <f t="shared" si="60"/>
        <v>0</v>
      </c>
      <c r="R506" s="42">
        <f t="shared" si="61"/>
        <v>0</v>
      </c>
      <c r="S506" s="42">
        <f t="shared" si="62"/>
        <v>0</v>
      </c>
      <c r="T506" s="42">
        <f t="shared" si="63"/>
        <v>1</v>
      </c>
    </row>
    <row r="507" spans="1:20" x14ac:dyDescent="0.2">
      <c r="A507" s="30">
        <v>500</v>
      </c>
      <c r="C507" s="31">
        <v>0.94046123104552481</v>
      </c>
      <c r="D507" s="32">
        <v>14340.903000102655</v>
      </c>
      <c r="E507" s="31">
        <v>0.93620811635156231</v>
      </c>
      <c r="F507" s="32">
        <v>4904.658084695744</v>
      </c>
      <c r="G507" s="31">
        <v>0.93812743221667527</v>
      </c>
      <c r="H507" s="32">
        <v>8571.1058029849464</v>
      </c>
      <c r="I507" s="31">
        <v>0.9289058126811971</v>
      </c>
      <c r="J507" s="32">
        <v>4640.5405535892496</v>
      </c>
      <c r="L507" s="43">
        <f t="shared" si="56"/>
        <v>-9638.5968448750318</v>
      </c>
      <c r="M507" s="43">
        <f t="shared" si="57"/>
        <v>-223.61750293793284</v>
      </c>
      <c r="N507" s="43">
        <f t="shared" si="58"/>
        <v>-3880.4686419015698</v>
      </c>
      <c r="O507" s="43">
        <f t="shared" si="59"/>
        <v>3.9885098167360411</v>
      </c>
      <c r="Q507" s="42">
        <f t="shared" si="60"/>
        <v>0</v>
      </c>
      <c r="R507" s="42">
        <f t="shared" si="61"/>
        <v>0</v>
      </c>
      <c r="S507" s="42">
        <f t="shared" si="62"/>
        <v>0</v>
      </c>
      <c r="T507" s="42">
        <f t="shared" si="63"/>
        <v>1</v>
      </c>
    </row>
    <row r="508" spans="1:20" x14ac:dyDescent="0.2">
      <c r="A508" s="30">
        <v>501</v>
      </c>
      <c r="C508" s="31">
        <v>0.9994961262138562</v>
      </c>
      <c r="D508" s="32">
        <v>19014.121610710423</v>
      </c>
      <c r="E508" s="31">
        <v>0.96487777275282216</v>
      </c>
      <c r="F508" s="32">
        <v>6894.3706147180055</v>
      </c>
      <c r="G508" s="31">
        <v>0.96116654895448783</v>
      </c>
      <c r="H508" s="32">
        <v>11188.094256999237</v>
      </c>
      <c r="I508" s="31">
        <v>0.96116654895448783</v>
      </c>
      <c r="J508" s="32">
        <v>6671.1369762081213</v>
      </c>
      <c r="L508" s="43">
        <f t="shared" si="56"/>
        <v>-14016.640979641143</v>
      </c>
      <c r="M508" s="43">
        <f t="shared" si="57"/>
        <v>-2069.9817509538943</v>
      </c>
      <c r="N508" s="43">
        <f t="shared" si="58"/>
        <v>-6382.2615122267971</v>
      </c>
      <c r="O508" s="43">
        <f t="shared" si="59"/>
        <v>-1865.3042314356817</v>
      </c>
      <c r="Q508" s="42">
        <f t="shared" si="60"/>
        <v>0</v>
      </c>
      <c r="R508" s="42">
        <f t="shared" si="61"/>
        <v>0</v>
      </c>
      <c r="S508" s="42">
        <f t="shared" si="62"/>
        <v>0</v>
      </c>
      <c r="T508" s="42">
        <f t="shared" si="63"/>
        <v>1</v>
      </c>
    </row>
    <row r="509" spans="1:20" x14ac:dyDescent="0.2">
      <c r="A509" s="30">
        <v>502</v>
      </c>
      <c r="C509" s="31">
        <v>0.97232472624231947</v>
      </c>
      <c r="D509" s="32">
        <v>18196.557611373813</v>
      </c>
      <c r="E509" s="31">
        <v>0.85926835211299513</v>
      </c>
      <c r="F509" s="32">
        <v>4559.0711081195577</v>
      </c>
      <c r="G509" s="31">
        <v>0.95713483769816254</v>
      </c>
      <c r="H509" s="32">
        <v>11297.973173557184</v>
      </c>
      <c r="I509" s="31">
        <v>0.85665597819710881</v>
      </c>
      <c r="J509" s="32">
        <v>4385.8141923008407</v>
      </c>
      <c r="L509" s="43">
        <f t="shared" si="56"/>
        <v>-13334.933980162215</v>
      </c>
      <c r="M509" s="43">
        <f t="shared" si="57"/>
        <v>-262.72934755458209</v>
      </c>
      <c r="N509" s="43">
        <f t="shared" si="58"/>
        <v>-6512.2989850663716</v>
      </c>
      <c r="O509" s="43">
        <f t="shared" si="59"/>
        <v>-102.53430131529694</v>
      </c>
      <c r="Q509" s="42">
        <f t="shared" si="60"/>
        <v>0</v>
      </c>
      <c r="R509" s="42">
        <f t="shared" si="61"/>
        <v>0</v>
      </c>
      <c r="S509" s="42">
        <f t="shared" si="62"/>
        <v>0</v>
      </c>
      <c r="T509" s="42">
        <f t="shared" si="63"/>
        <v>1</v>
      </c>
    </row>
    <row r="510" spans="1:20" x14ac:dyDescent="0.2">
      <c r="A510" s="30">
        <v>503</v>
      </c>
      <c r="C510" s="31">
        <v>0.99326867944625363</v>
      </c>
      <c r="D510" s="32">
        <v>14443.451361652022</v>
      </c>
      <c r="E510" s="31">
        <v>0.74866261141485801</v>
      </c>
      <c r="F510" s="32">
        <v>2815.9910276910241</v>
      </c>
      <c r="G510" s="31">
        <v>0.94708844737603137</v>
      </c>
      <c r="H510" s="32">
        <v>8587.6555919334933</v>
      </c>
      <c r="I510" s="31">
        <v>0.74693202716349638</v>
      </c>
      <c r="J510" s="32">
        <v>2283.1131040742075</v>
      </c>
      <c r="L510" s="43">
        <f t="shared" si="56"/>
        <v>-9477.107964420753</v>
      </c>
      <c r="M510" s="43">
        <f t="shared" si="57"/>
        <v>927.322029383266</v>
      </c>
      <c r="N510" s="43">
        <f t="shared" si="58"/>
        <v>-3852.2133550533363</v>
      </c>
      <c r="O510" s="43">
        <f t="shared" si="59"/>
        <v>1451.5470317432746</v>
      </c>
      <c r="Q510" s="42">
        <f t="shared" si="60"/>
        <v>0</v>
      </c>
      <c r="R510" s="42">
        <f t="shared" si="61"/>
        <v>0</v>
      </c>
      <c r="S510" s="42">
        <f t="shared" si="62"/>
        <v>0</v>
      </c>
      <c r="T510" s="42">
        <f t="shared" si="63"/>
        <v>1</v>
      </c>
    </row>
    <row r="511" spans="1:20" x14ac:dyDescent="0.2">
      <c r="A511" s="30">
        <v>504</v>
      </c>
      <c r="C511" s="31">
        <v>0.99513162360058516</v>
      </c>
      <c r="D511" s="32">
        <v>12262.281636840438</v>
      </c>
      <c r="E511" s="31">
        <v>0.95250992188957195</v>
      </c>
      <c r="F511" s="32">
        <v>4222.1755790409788</v>
      </c>
      <c r="G511" s="31">
        <v>0.94833634546013412</v>
      </c>
      <c r="H511" s="32">
        <v>7078.8819586881136</v>
      </c>
      <c r="I511" s="31">
        <v>0.94833634546013412</v>
      </c>
      <c r="J511" s="32">
        <v>4021.5337245719761</v>
      </c>
      <c r="L511" s="43">
        <f t="shared" si="56"/>
        <v>-7286.6235188375122</v>
      </c>
      <c r="M511" s="43">
        <f t="shared" si="57"/>
        <v>540.37403040688059</v>
      </c>
      <c r="N511" s="43">
        <f t="shared" si="58"/>
        <v>-2337.2002313874427</v>
      </c>
      <c r="O511" s="43">
        <f t="shared" si="59"/>
        <v>720.14800272869479</v>
      </c>
      <c r="Q511" s="42">
        <f t="shared" si="60"/>
        <v>0</v>
      </c>
      <c r="R511" s="42">
        <f t="shared" si="61"/>
        <v>0</v>
      </c>
      <c r="S511" s="42">
        <f t="shared" si="62"/>
        <v>0</v>
      </c>
      <c r="T511" s="42">
        <f t="shared" si="63"/>
        <v>1</v>
      </c>
    </row>
    <row r="512" spans="1:20" x14ac:dyDescent="0.2">
      <c r="A512" s="30">
        <v>505</v>
      </c>
      <c r="C512" s="31">
        <v>0.99953468653797406</v>
      </c>
      <c r="D512" s="32">
        <v>12738.147934386288</v>
      </c>
      <c r="E512" s="31">
        <v>0.94673113293941169</v>
      </c>
      <c r="F512" s="32">
        <v>5733.5659152270609</v>
      </c>
      <c r="G512" s="31">
        <v>0.9383966939548205</v>
      </c>
      <c r="H512" s="32">
        <v>7605.7012000411924</v>
      </c>
      <c r="I512" s="31">
        <v>0.9383966939548205</v>
      </c>
      <c r="J512" s="32">
        <v>4672.4018048603339</v>
      </c>
      <c r="L512" s="43">
        <f t="shared" si="56"/>
        <v>-7740.474501696418</v>
      </c>
      <c r="M512" s="43">
        <f t="shared" si="57"/>
        <v>-999.91025053000249</v>
      </c>
      <c r="N512" s="43">
        <f t="shared" si="58"/>
        <v>-2913.7177302670898</v>
      </c>
      <c r="O512" s="43">
        <f t="shared" si="59"/>
        <v>19.581664913768691</v>
      </c>
      <c r="Q512" s="42">
        <f t="shared" si="60"/>
        <v>0</v>
      </c>
      <c r="R512" s="42">
        <f t="shared" si="61"/>
        <v>0</v>
      </c>
      <c r="S512" s="42">
        <f t="shared" si="62"/>
        <v>0</v>
      </c>
      <c r="T512" s="42">
        <f t="shared" si="63"/>
        <v>1</v>
      </c>
    </row>
    <row r="513" spans="1:20" x14ac:dyDescent="0.2">
      <c r="A513" s="30">
        <v>506</v>
      </c>
      <c r="C513" s="31">
        <v>0.98633592671424464</v>
      </c>
      <c r="D513" s="32">
        <v>19147.29326565229</v>
      </c>
      <c r="E513" s="31">
        <v>0.89870858838517309</v>
      </c>
      <c r="F513" s="32">
        <v>5745.7329138353607</v>
      </c>
      <c r="G513" s="31">
        <v>0.94763038592300819</v>
      </c>
      <c r="H513" s="32">
        <v>11155.281364822533</v>
      </c>
      <c r="I513" s="31">
        <v>0.89391828964790299</v>
      </c>
      <c r="J513" s="32">
        <v>5508.1147088978832</v>
      </c>
      <c r="L513" s="43">
        <f t="shared" si="56"/>
        <v>-14215.613632081066</v>
      </c>
      <c r="M513" s="43">
        <f t="shared" si="57"/>
        <v>-1252.1899719094954</v>
      </c>
      <c r="N513" s="43">
        <f t="shared" si="58"/>
        <v>-6417.129435207492</v>
      </c>
      <c r="O513" s="43">
        <f t="shared" si="59"/>
        <v>-1038.5232606583686</v>
      </c>
      <c r="Q513" s="42">
        <f t="shared" si="60"/>
        <v>0</v>
      </c>
      <c r="R513" s="42">
        <f t="shared" si="61"/>
        <v>0</v>
      </c>
      <c r="S513" s="42">
        <f t="shared" si="62"/>
        <v>0</v>
      </c>
      <c r="T513" s="42">
        <f t="shared" si="63"/>
        <v>1</v>
      </c>
    </row>
    <row r="514" spans="1:20" x14ac:dyDescent="0.2">
      <c r="A514" s="30">
        <v>507</v>
      </c>
      <c r="C514" s="31">
        <v>0.99648177257097981</v>
      </c>
      <c r="D514" s="32">
        <v>14714.443119838674</v>
      </c>
      <c r="E514" s="31">
        <v>0.85736976344658711</v>
      </c>
      <c r="F514" s="32">
        <v>4208.941892650907</v>
      </c>
      <c r="G514" s="31">
        <v>0.96185651875310074</v>
      </c>
      <c r="H514" s="32">
        <v>7946.3006621656568</v>
      </c>
      <c r="I514" s="31">
        <v>0.8567059714346078</v>
      </c>
      <c r="J514" s="32">
        <v>3165.0579467319858</v>
      </c>
      <c r="L514" s="43">
        <f t="shared" si="56"/>
        <v>-9732.034256983774</v>
      </c>
      <c r="M514" s="43">
        <f t="shared" si="57"/>
        <v>77.906924582028296</v>
      </c>
      <c r="N514" s="43">
        <f t="shared" si="58"/>
        <v>-3137.0180684001534</v>
      </c>
      <c r="O514" s="43">
        <f t="shared" si="59"/>
        <v>1118.4719104410533</v>
      </c>
      <c r="Q514" s="42">
        <f t="shared" si="60"/>
        <v>0</v>
      </c>
      <c r="R514" s="42">
        <f t="shared" si="61"/>
        <v>0</v>
      </c>
      <c r="S514" s="42">
        <f t="shared" si="62"/>
        <v>0</v>
      </c>
      <c r="T514" s="42">
        <f t="shared" si="63"/>
        <v>1</v>
      </c>
    </row>
    <row r="515" spans="1:20" x14ac:dyDescent="0.2">
      <c r="A515" s="30">
        <v>508</v>
      </c>
      <c r="C515" s="31">
        <v>0.95820154501555499</v>
      </c>
      <c r="D515" s="32">
        <v>14286.786429312859</v>
      </c>
      <c r="E515" s="31">
        <v>0.95390992023899279</v>
      </c>
      <c r="F515" s="32">
        <v>5250.5537876569551</v>
      </c>
      <c r="G515" s="31">
        <v>0.94200483835126492</v>
      </c>
      <c r="H515" s="32">
        <v>8705.2367020070596</v>
      </c>
      <c r="I515" s="31">
        <v>0.94200483835126481</v>
      </c>
      <c r="J515" s="32">
        <v>4947.641378877177</v>
      </c>
      <c r="L515" s="43">
        <f t="shared" si="56"/>
        <v>-9495.7787042350828</v>
      </c>
      <c r="M515" s="43">
        <f t="shared" si="57"/>
        <v>-481.00418646199159</v>
      </c>
      <c r="N515" s="43">
        <f t="shared" si="58"/>
        <v>-3995.2125102507352</v>
      </c>
      <c r="O515" s="43">
        <f t="shared" si="59"/>
        <v>-237.61718712085258</v>
      </c>
      <c r="Q515" s="42">
        <f t="shared" si="60"/>
        <v>0</v>
      </c>
      <c r="R515" s="42">
        <f t="shared" si="61"/>
        <v>0</v>
      </c>
      <c r="S515" s="42">
        <f t="shared" si="62"/>
        <v>0</v>
      </c>
      <c r="T515" s="42">
        <f t="shared" si="63"/>
        <v>1</v>
      </c>
    </row>
    <row r="516" spans="1:20" x14ac:dyDescent="0.2">
      <c r="A516" s="30">
        <v>509</v>
      </c>
      <c r="C516" s="31">
        <v>0.97239633909237455</v>
      </c>
      <c r="D516" s="32">
        <v>19008.910096713174</v>
      </c>
      <c r="E516" s="31">
        <v>0.87917151820194261</v>
      </c>
      <c r="F516" s="32">
        <v>8272.961838963136</v>
      </c>
      <c r="G516" s="31">
        <v>0.9186862391075008</v>
      </c>
      <c r="H516" s="32">
        <v>11531.693698113049</v>
      </c>
      <c r="I516" s="31">
        <v>0.86855150607145981</v>
      </c>
      <c r="J516" s="32">
        <v>6288.2858182153623</v>
      </c>
      <c r="L516" s="43">
        <f t="shared" si="56"/>
        <v>-14146.928401251302</v>
      </c>
      <c r="M516" s="43">
        <f t="shared" si="57"/>
        <v>-3877.1042479534226</v>
      </c>
      <c r="N516" s="43">
        <f t="shared" si="58"/>
        <v>-6938.2625025755451</v>
      </c>
      <c r="O516" s="43">
        <f t="shared" si="59"/>
        <v>-1945.5282878580629</v>
      </c>
      <c r="Q516" s="42">
        <f t="shared" si="60"/>
        <v>0</v>
      </c>
      <c r="R516" s="42">
        <f t="shared" si="61"/>
        <v>0</v>
      </c>
      <c r="S516" s="42">
        <f t="shared" si="62"/>
        <v>0</v>
      </c>
      <c r="T516" s="42">
        <f t="shared" si="63"/>
        <v>1</v>
      </c>
    </row>
    <row r="517" spans="1:20" x14ac:dyDescent="0.2">
      <c r="A517" s="30">
        <v>510</v>
      </c>
      <c r="C517" s="31">
        <v>0.98124400195095429</v>
      </c>
      <c r="D517" s="32">
        <v>14016.702402105842</v>
      </c>
      <c r="E517" s="31">
        <v>0.88747371457890867</v>
      </c>
      <c r="F517" s="32">
        <v>3458.3314125815191</v>
      </c>
      <c r="G517" s="31">
        <v>0.96397828001051278</v>
      </c>
      <c r="H517" s="32">
        <v>8831.5482373028735</v>
      </c>
      <c r="I517" s="31">
        <v>0.88585823926827167</v>
      </c>
      <c r="J517" s="32">
        <v>3284.6650756299459</v>
      </c>
      <c r="L517" s="43">
        <f t="shared" si="56"/>
        <v>-9110.4823923510703</v>
      </c>
      <c r="M517" s="43">
        <f t="shared" si="57"/>
        <v>979.03716031302383</v>
      </c>
      <c r="N517" s="43">
        <f t="shared" si="58"/>
        <v>-4011.6568372503098</v>
      </c>
      <c r="O517" s="43">
        <f t="shared" si="59"/>
        <v>1144.6261207114121</v>
      </c>
      <c r="Q517" s="42">
        <f t="shared" si="60"/>
        <v>0</v>
      </c>
      <c r="R517" s="42">
        <f t="shared" si="61"/>
        <v>0</v>
      </c>
      <c r="S517" s="42">
        <f t="shared" si="62"/>
        <v>0</v>
      </c>
      <c r="T517" s="42">
        <f t="shared" si="63"/>
        <v>1</v>
      </c>
    </row>
    <row r="518" spans="1:20" x14ac:dyDescent="0.2">
      <c r="A518" s="30">
        <v>511</v>
      </c>
      <c r="C518" s="31">
        <v>0.98871574500977988</v>
      </c>
      <c r="D518" s="32">
        <v>12719.75904835403</v>
      </c>
      <c r="E518" s="31">
        <v>0.85351524132865297</v>
      </c>
      <c r="F518" s="32">
        <v>3117.4004090852204</v>
      </c>
      <c r="G518" s="31">
        <v>0.97626723694829254</v>
      </c>
      <c r="H518" s="32">
        <v>7864.1542919375088</v>
      </c>
      <c r="I518" s="31">
        <v>0.85175553045157593</v>
      </c>
      <c r="J518" s="32">
        <v>2958.2658529943747</v>
      </c>
      <c r="L518" s="43">
        <f t="shared" si="56"/>
        <v>-7776.1803233051305</v>
      </c>
      <c r="M518" s="43">
        <f t="shared" si="57"/>
        <v>1150.1757975580449</v>
      </c>
      <c r="N518" s="43">
        <f t="shared" si="58"/>
        <v>-2982.8181071960462</v>
      </c>
      <c r="O518" s="43">
        <f t="shared" si="59"/>
        <v>1300.5117992635051</v>
      </c>
      <c r="Q518" s="42">
        <f t="shared" si="60"/>
        <v>0</v>
      </c>
      <c r="R518" s="42">
        <f t="shared" si="61"/>
        <v>0</v>
      </c>
      <c r="S518" s="42">
        <f t="shared" si="62"/>
        <v>0</v>
      </c>
      <c r="T518" s="42">
        <f t="shared" si="63"/>
        <v>1</v>
      </c>
    </row>
    <row r="519" spans="1:20" x14ac:dyDescent="0.2">
      <c r="A519" s="30">
        <v>512</v>
      </c>
      <c r="C519" s="31">
        <v>0.99434730250495373</v>
      </c>
      <c r="D519" s="32">
        <v>17318.19272207153</v>
      </c>
      <c r="E519" s="31">
        <v>0.65367186503672348</v>
      </c>
      <c r="F519" s="32">
        <v>4350.4842697262466</v>
      </c>
      <c r="G519" s="31">
        <v>0.88200297478154221</v>
      </c>
      <c r="H519" s="32">
        <v>9742.9678042020641</v>
      </c>
      <c r="I519" s="31">
        <v>0.65229327219505939</v>
      </c>
      <c r="J519" s="32">
        <v>2404.2459211881419</v>
      </c>
      <c r="L519" s="43">
        <f t="shared" si="56"/>
        <v>-12346.456209546761</v>
      </c>
      <c r="M519" s="43">
        <f t="shared" si="57"/>
        <v>-1082.1249445426292</v>
      </c>
      <c r="N519" s="43">
        <f t="shared" si="58"/>
        <v>-5332.9529302943529</v>
      </c>
      <c r="O519" s="43">
        <f t="shared" si="59"/>
        <v>857.2204397871551</v>
      </c>
      <c r="Q519" s="42">
        <f t="shared" si="60"/>
        <v>0</v>
      </c>
      <c r="R519" s="42">
        <f t="shared" si="61"/>
        <v>0</v>
      </c>
      <c r="S519" s="42">
        <f t="shared" si="62"/>
        <v>0</v>
      </c>
      <c r="T519" s="42">
        <f t="shared" si="63"/>
        <v>1</v>
      </c>
    </row>
    <row r="520" spans="1:20" x14ac:dyDescent="0.2">
      <c r="A520" s="30">
        <v>513</v>
      </c>
      <c r="C520" s="31">
        <v>0.98218457047257113</v>
      </c>
      <c r="D520" s="32">
        <v>14247.341402633749</v>
      </c>
      <c r="E520" s="31">
        <v>0.91311748325636743</v>
      </c>
      <c r="F520" s="32">
        <v>5091.5763594891059</v>
      </c>
      <c r="G520" s="31">
        <v>0.92062744500917648</v>
      </c>
      <c r="H520" s="32">
        <v>8660.0270094735624</v>
      </c>
      <c r="I520" s="31">
        <v>0.90403272883498809</v>
      </c>
      <c r="J520" s="32">
        <v>4807.9913341415913</v>
      </c>
      <c r="L520" s="43">
        <f t="shared" ref="L520:L583" si="64">C520*Rc_-D520</f>
        <v>-9336.4185502708933</v>
      </c>
      <c r="M520" s="43">
        <f t="shared" ref="M520:M583" si="65">E520*Rc_-F520</f>
        <v>-525.98894320726868</v>
      </c>
      <c r="N520" s="43">
        <f t="shared" ref="N520:N583" si="66">G520*Rc_-H520</f>
        <v>-4056.8897844276798</v>
      </c>
      <c r="O520" s="43">
        <f t="shared" ref="O520:O583" si="67">I520*Rc_-J520</f>
        <v>-287.82768996665072</v>
      </c>
      <c r="Q520" s="42">
        <f t="shared" si="60"/>
        <v>0</v>
      </c>
      <c r="R520" s="42">
        <f t="shared" si="61"/>
        <v>0</v>
      </c>
      <c r="S520" s="42">
        <f t="shared" si="62"/>
        <v>0</v>
      </c>
      <c r="T520" s="42">
        <f t="shared" si="63"/>
        <v>1</v>
      </c>
    </row>
    <row r="521" spans="1:20" x14ac:dyDescent="0.2">
      <c r="A521" s="30">
        <v>514</v>
      </c>
      <c r="C521" s="31">
        <v>0.99197701582150133</v>
      </c>
      <c r="D521" s="32">
        <v>15787.189536933744</v>
      </c>
      <c r="E521" s="31">
        <v>0.80371307255693392</v>
      </c>
      <c r="F521" s="32">
        <v>5376.6207926986217</v>
      </c>
      <c r="G521" s="31">
        <v>0.89942258210563231</v>
      </c>
      <c r="H521" s="32">
        <v>9904.6092462880897</v>
      </c>
      <c r="I521" s="31">
        <v>0.79557050871450485</v>
      </c>
      <c r="J521" s="32">
        <v>4407.2656113098101</v>
      </c>
      <c r="L521" s="43">
        <f t="shared" si="64"/>
        <v>-10827.304457826238</v>
      </c>
      <c r="M521" s="43">
        <f t="shared" si="65"/>
        <v>-1358.0554299139521</v>
      </c>
      <c r="N521" s="43">
        <f t="shared" si="66"/>
        <v>-5407.4963357599281</v>
      </c>
      <c r="O521" s="43">
        <f t="shared" si="67"/>
        <v>-429.41306773728593</v>
      </c>
      <c r="Q521" s="42">
        <f t="shared" ref="Q521:Q584" si="68">IF(L521&gt;$M521,IF(L521&gt;$N521,IF(L521&gt;$O521,1,0),0),0)</f>
        <v>0</v>
      </c>
      <c r="R521" s="42">
        <f t="shared" ref="R521:R584" si="69">IF(M521&gt;$L521,IF(M521&gt;$N521,IF(M521&gt;$O521,1,0),0),0)</f>
        <v>0</v>
      </c>
      <c r="S521" s="42">
        <f t="shared" ref="S521:S584" si="70">IF(N521&gt;$M521,IF(N521&gt;$L521,IF(N521&gt;$O521,1,0),0),0)</f>
        <v>0</v>
      </c>
      <c r="T521" s="42">
        <f t="shared" ref="T521:T584" si="71">IF(O521&gt;$M521,IF(O521&gt;$N521,IF(O521&gt;$L521,1,0),0),0)</f>
        <v>1</v>
      </c>
    </row>
    <row r="522" spans="1:20" x14ac:dyDescent="0.2">
      <c r="A522" s="30">
        <v>515</v>
      </c>
      <c r="C522" s="31">
        <v>0.99910876336744903</v>
      </c>
      <c r="D522" s="32">
        <v>19651.537775532794</v>
      </c>
      <c r="E522" s="31">
        <v>0.98386667670500316</v>
      </c>
      <c r="F522" s="32">
        <v>10308.459257388919</v>
      </c>
      <c r="G522" s="31">
        <v>0.97416504315217067</v>
      </c>
      <c r="H522" s="32">
        <v>12473.444927968241</v>
      </c>
      <c r="I522" s="31">
        <v>0.97416504315217067</v>
      </c>
      <c r="J522" s="32">
        <v>8165.9478248851055</v>
      </c>
      <c r="L522" s="43">
        <f t="shared" si="64"/>
        <v>-14655.993958695548</v>
      </c>
      <c r="M522" s="43">
        <f t="shared" si="65"/>
        <v>-5389.1258738639026</v>
      </c>
      <c r="N522" s="43">
        <f t="shared" si="66"/>
        <v>-7602.6197122073881</v>
      </c>
      <c r="O522" s="43">
        <f t="shared" si="67"/>
        <v>-3295.1226091242524</v>
      </c>
      <c r="Q522" s="42">
        <f t="shared" si="68"/>
        <v>0</v>
      </c>
      <c r="R522" s="42">
        <f t="shared" si="69"/>
        <v>0</v>
      </c>
      <c r="S522" s="42">
        <f t="shared" si="70"/>
        <v>0</v>
      </c>
      <c r="T522" s="42">
        <f t="shared" si="71"/>
        <v>1</v>
      </c>
    </row>
    <row r="523" spans="1:20" x14ac:dyDescent="0.2">
      <c r="A523" s="30">
        <v>516</v>
      </c>
      <c r="C523" s="31">
        <v>0.99966323876648511</v>
      </c>
      <c r="D523" s="32">
        <v>16481.735940726678</v>
      </c>
      <c r="E523" s="31">
        <v>0.96341331016071219</v>
      </c>
      <c r="F523" s="32">
        <v>6625.8331222045135</v>
      </c>
      <c r="G523" s="31">
        <v>0.96892073989382732</v>
      </c>
      <c r="H523" s="32">
        <v>10517.40119685066</v>
      </c>
      <c r="I523" s="31">
        <v>0.96157964207249214</v>
      </c>
      <c r="J523" s="32">
        <v>5743.2829544062497</v>
      </c>
      <c r="L523" s="43">
        <f t="shared" si="64"/>
        <v>-11483.419746894251</v>
      </c>
      <c r="M523" s="43">
        <f t="shared" si="65"/>
        <v>-1808.7665714009527</v>
      </c>
      <c r="N523" s="43">
        <f t="shared" si="66"/>
        <v>-5672.7974973815235</v>
      </c>
      <c r="O523" s="43">
        <f t="shared" si="67"/>
        <v>-935.3847440437894</v>
      </c>
      <c r="Q523" s="42">
        <f t="shared" si="68"/>
        <v>0</v>
      </c>
      <c r="R523" s="42">
        <f t="shared" si="69"/>
        <v>0</v>
      </c>
      <c r="S523" s="42">
        <f t="shared" si="70"/>
        <v>0</v>
      </c>
      <c r="T523" s="42">
        <f t="shared" si="71"/>
        <v>1</v>
      </c>
    </row>
    <row r="524" spans="1:20" x14ac:dyDescent="0.2">
      <c r="A524" s="30">
        <v>517</v>
      </c>
      <c r="C524" s="31">
        <v>0.97895325323307203</v>
      </c>
      <c r="D524" s="32">
        <v>19440.073525013617</v>
      </c>
      <c r="E524" s="31">
        <v>0.85807710046358965</v>
      </c>
      <c r="F524" s="32">
        <v>5574.1262960560198</v>
      </c>
      <c r="G524" s="31">
        <v>0.93067039015889197</v>
      </c>
      <c r="H524" s="32">
        <v>12259.729895393062</v>
      </c>
      <c r="I524" s="31">
        <v>0.85309984329581856</v>
      </c>
      <c r="J524" s="32">
        <v>5335.252506044334</v>
      </c>
      <c r="L524" s="43">
        <f t="shared" si="64"/>
        <v>-14545.307258848257</v>
      </c>
      <c r="M524" s="43">
        <f t="shared" si="65"/>
        <v>-1283.7407937380713</v>
      </c>
      <c r="N524" s="43">
        <f t="shared" si="66"/>
        <v>-7606.377944598602</v>
      </c>
      <c r="O524" s="43">
        <f t="shared" si="67"/>
        <v>-1069.7532895652412</v>
      </c>
      <c r="Q524" s="42">
        <f t="shared" si="68"/>
        <v>0</v>
      </c>
      <c r="R524" s="42">
        <f t="shared" si="69"/>
        <v>0</v>
      </c>
      <c r="S524" s="42">
        <f t="shared" si="70"/>
        <v>0</v>
      </c>
      <c r="T524" s="42">
        <f t="shared" si="71"/>
        <v>1</v>
      </c>
    </row>
    <row r="525" spans="1:20" x14ac:dyDescent="0.2">
      <c r="A525" s="30">
        <v>518</v>
      </c>
      <c r="C525" s="31">
        <v>0.98424211479270229</v>
      </c>
      <c r="D525" s="32">
        <v>14069.391263248155</v>
      </c>
      <c r="E525" s="31">
        <v>0.88886056822902781</v>
      </c>
      <c r="F525" s="32">
        <v>5267.0419375606816</v>
      </c>
      <c r="G525" s="31">
        <v>0.8815783597860396</v>
      </c>
      <c r="H525" s="32">
        <v>8726.7946120045326</v>
      </c>
      <c r="I525" s="31">
        <v>0.8815783597860396</v>
      </c>
      <c r="J525" s="32">
        <v>5019.3046597116299</v>
      </c>
      <c r="L525" s="43">
        <f t="shared" si="64"/>
        <v>-9148.1806892846434</v>
      </c>
      <c r="M525" s="43">
        <f t="shared" si="65"/>
        <v>-822.73909641554292</v>
      </c>
      <c r="N525" s="43">
        <f t="shared" si="66"/>
        <v>-4318.9028130743345</v>
      </c>
      <c r="O525" s="43">
        <f t="shared" si="67"/>
        <v>-611.41286078143185</v>
      </c>
      <c r="Q525" s="42">
        <f t="shared" si="68"/>
        <v>0</v>
      </c>
      <c r="R525" s="42">
        <f t="shared" si="69"/>
        <v>0</v>
      </c>
      <c r="S525" s="42">
        <f t="shared" si="70"/>
        <v>0</v>
      </c>
      <c r="T525" s="42">
        <f t="shared" si="71"/>
        <v>1</v>
      </c>
    </row>
    <row r="526" spans="1:20" x14ac:dyDescent="0.2">
      <c r="A526" s="30">
        <v>519</v>
      </c>
      <c r="C526" s="31">
        <v>0.96205273949937442</v>
      </c>
      <c r="D526" s="32">
        <v>16002.299357555703</v>
      </c>
      <c r="E526" s="31">
        <v>0.95302778957344791</v>
      </c>
      <c r="F526" s="32">
        <v>6477.6601289530581</v>
      </c>
      <c r="G526" s="31">
        <v>0.94949311790183089</v>
      </c>
      <c r="H526" s="32">
        <v>9757.4366438345187</v>
      </c>
      <c r="I526" s="31">
        <v>0.94949311790183089</v>
      </c>
      <c r="J526" s="32">
        <v>5690.672412447665</v>
      </c>
      <c r="L526" s="43">
        <f t="shared" si="64"/>
        <v>-11192.035660058831</v>
      </c>
      <c r="M526" s="43">
        <f t="shared" si="65"/>
        <v>-1712.5211810858182</v>
      </c>
      <c r="N526" s="43">
        <f t="shared" si="66"/>
        <v>-5009.9710543253641</v>
      </c>
      <c r="O526" s="43">
        <f t="shared" si="67"/>
        <v>-943.20682293851041</v>
      </c>
      <c r="Q526" s="42">
        <f t="shared" si="68"/>
        <v>0</v>
      </c>
      <c r="R526" s="42">
        <f t="shared" si="69"/>
        <v>0</v>
      </c>
      <c r="S526" s="42">
        <f t="shared" si="70"/>
        <v>0</v>
      </c>
      <c r="T526" s="42">
        <f t="shared" si="71"/>
        <v>1</v>
      </c>
    </row>
    <row r="527" spans="1:20" x14ac:dyDescent="0.2">
      <c r="A527" s="30">
        <v>520</v>
      </c>
      <c r="C527" s="31">
        <v>0.98419993018324237</v>
      </c>
      <c r="D527" s="32">
        <v>18925.571537122727</v>
      </c>
      <c r="E527" s="31">
        <v>0.91061081466544269</v>
      </c>
      <c r="F527" s="32">
        <v>6302.1588593354181</v>
      </c>
      <c r="G527" s="31">
        <v>0.90529520063210955</v>
      </c>
      <c r="H527" s="32">
        <v>11611.846739661185</v>
      </c>
      <c r="I527" s="31">
        <v>0.90529520063210978</v>
      </c>
      <c r="J527" s="32">
        <v>6029.0046358320988</v>
      </c>
      <c r="L527" s="43">
        <f t="shared" si="64"/>
        <v>-14004.571886206515</v>
      </c>
      <c r="M527" s="43">
        <f t="shared" si="65"/>
        <v>-1749.1047860082044</v>
      </c>
      <c r="N527" s="43">
        <f t="shared" si="66"/>
        <v>-7085.3707365006376</v>
      </c>
      <c r="O527" s="43">
        <f t="shared" si="67"/>
        <v>-1502.5286326715495</v>
      </c>
      <c r="Q527" s="42">
        <f t="shared" si="68"/>
        <v>0</v>
      </c>
      <c r="R527" s="42">
        <f t="shared" si="69"/>
        <v>0</v>
      </c>
      <c r="S527" s="42">
        <f t="shared" si="70"/>
        <v>0</v>
      </c>
      <c r="T527" s="42">
        <f t="shared" si="71"/>
        <v>1</v>
      </c>
    </row>
    <row r="528" spans="1:20" x14ac:dyDescent="0.2">
      <c r="A528" s="30">
        <v>521</v>
      </c>
      <c r="C528" s="31">
        <v>0.9825353303392359</v>
      </c>
      <c r="D528" s="32">
        <v>14783.588765750266</v>
      </c>
      <c r="E528" s="31">
        <v>0.9496406545643028</v>
      </c>
      <c r="F528" s="32">
        <v>4964.000333276419</v>
      </c>
      <c r="G528" s="31">
        <v>0.94523573898667312</v>
      </c>
      <c r="H528" s="32">
        <v>8376.4154713038497</v>
      </c>
      <c r="I528" s="31">
        <v>0.94523573898667301</v>
      </c>
      <c r="J528" s="32">
        <v>4703.9903466409687</v>
      </c>
      <c r="L528" s="43">
        <f t="shared" si="64"/>
        <v>-9870.9121140540865</v>
      </c>
      <c r="M528" s="43">
        <f t="shared" si="65"/>
        <v>-215.79706045490548</v>
      </c>
      <c r="N528" s="43">
        <f t="shared" si="66"/>
        <v>-3650.2367763704842</v>
      </c>
      <c r="O528" s="43">
        <f t="shared" si="67"/>
        <v>22.188348292396768</v>
      </c>
      <c r="Q528" s="42">
        <f t="shared" si="68"/>
        <v>0</v>
      </c>
      <c r="R528" s="42">
        <f t="shared" si="69"/>
        <v>0</v>
      </c>
      <c r="S528" s="42">
        <f t="shared" si="70"/>
        <v>0</v>
      </c>
      <c r="T528" s="42">
        <f t="shared" si="71"/>
        <v>1</v>
      </c>
    </row>
    <row r="529" spans="1:20" x14ac:dyDescent="0.2">
      <c r="A529" s="30">
        <v>522</v>
      </c>
      <c r="C529" s="31">
        <v>0.99319383449725784</v>
      </c>
      <c r="D529" s="32">
        <v>14153.250861115974</v>
      </c>
      <c r="E529" s="31">
        <v>0.93664867782470129</v>
      </c>
      <c r="F529" s="32">
        <v>4978.7232242010041</v>
      </c>
      <c r="G529" s="31">
        <v>0.9366486778247014</v>
      </c>
      <c r="H529" s="32">
        <v>8411.5575554236111</v>
      </c>
      <c r="I529" s="31">
        <v>0.93664867782470118</v>
      </c>
      <c r="J529" s="32">
        <v>4832.4088654101024</v>
      </c>
      <c r="L529" s="43">
        <f t="shared" si="64"/>
        <v>-9187.2816886296841</v>
      </c>
      <c r="M529" s="43">
        <f t="shared" si="65"/>
        <v>-295.47983507749723</v>
      </c>
      <c r="N529" s="43">
        <f t="shared" si="66"/>
        <v>-3728.3141663001043</v>
      </c>
      <c r="O529" s="43">
        <f t="shared" si="67"/>
        <v>-149.16547628659646</v>
      </c>
      <c r="Q529" s="42">
        <f t="shared" si="68"/>
        <v>0</v>
      </c>
      <c r="R529" s="42">
        <f t="shared" si="69"/>
        <v>0</v>
      </c>
      <c r="S529" s="42">
        <f t="shared" si="70"/>
        <v>0</v>
      </c>
      <c r="T529" s="42">
        <f t="shared" si="71"/>
        <v>1</v>
      </c>
    </row>
    <row r="530" spans="1:20" x14ac:dyDescent="0.2">
      <c r="A530" s="30">
        <v>523</v>
      </c>
      <c r="C530" s="31">
        <v>0.99616144586526412</v>
      </c>
      <c r="D530" s="32">
        <v>16202.665232408792</v>
      </c>
      <c r="E530" s="31">
        <v>0.94054626850164536</v>
      </c>
      <c r="F530" s="32">
        <v>4926.2192368044125</v>
      </c>
      <c r="G530" s="31">
        <v>0.93514913025371438</v>
      </c>
      <c r="H530" s="32">
        <v>9229.074416887368</v>
      </c>
      <c r="I530" s="31">
        <v>0.93514913025371449</v>
      </c>
      <c r="J530" s="32">
        <v>4694.6039060060466</v>
      </c>
      <c r="L530" s="43">
        <f t="shared" si="64"/>
        <v>-11221.858003082471</v>
      </c>
      <c r="M530" s="43">
        <f t="shared" si="65"/>
        <v>-223.48789429618591</v>
      </c>
      <c r="N530" s="43">
        <f t="shared" si="66"/>
        <v>-4553.3287656187958</v>
      </c>
      <c r="O530" s="43">
        <f t="shared" si="67"/>
        <v>-18.858254737474454</v>
      </c>
      <c r="Q530" s="42">
        <f t="shared" si="68"/>
        <v>0</v>
      </c>
      <c r="R530" s="42">
        <f t="shared" si="69"/>
        <v>0</v>
      </c>
      <c r="S530" s="42">
        <f t="shared" si="70"/>
        <v>0</v>
      </c>
      <c r="T530" s="42">
        <f t="shared" si="71"/>
        <v>1</v>
      </c>
    </row>
    <row r="531" spans="1:20" x14ac:dyDescent="0.2">
      <c r="A531" s="30">
        <v>524</v>
      </c>
      <c r="C531" s="31">
        <v>0.9596190744767531</v>
      </c>
      <c r="D531" s="32">
        <v>15953.433039749283</v>
      </c>
      <c r="E531" s="31">
        <v>0.70628396204405575</v>
      </c>
      <c r="F531" s="32">
        <v>2763.1194718177608</v>
      </c>
      <c r="G531" s="31">
        <v>0.86321209644969854</v>
      </c>
      <c r="H531" s="32">
        <v>9481.6143670369493</v>
      </c>
      <c r="I531" s="31">
        <v>0.70533851996630781</v>
      </c>
      <c r="J531" s="32">
        <v>2582.7692333526702</v>
      </c>
      <c r="L531" s="43">
        <f t="shared" si="64"/>
        <v>-11155.337667365518</v>
      </c>
      <c r="M531" s="43">
        <f t="shared" si="65"/>
        <v>768.30033840251781</v>
      </c>
      <c r="N531" s="43">
        <f t="shared" si="66"/>
        <v>-5165.5538847884563</v>
      </c>
      <c r="O531" s="43">
        <f t="shared" si="67"/>
        <v>943.92336647886896</v>
      </c>
      <c r="Q531" s="42">
        <f t="shared" si="68"/>
        <v>0</v>
      </c>
      <c r="R531" s="42">
        <f t="shared" si="69"/>
        <v>0</v>
      </c>
      <c r="S531" s="42">
        <f t="shared" si="70"/>
        <v>0</v>
      </c>
      <c r="T531" s="42">
        <f t="shared" si="71"/>
        <v>1</v>
      </c>
    </row>
    <row r="532" spans="1:20" x14ac:dyDescent="0.2">
      <c r="A532" s="30">
        <v>525</v>
      </c>
      <c r="C532" s="31">
        <v>0.92722605625306986</v>
      </c>
      <c r="D532" s="32">
        <v>12648.428161004045</v>
      </c>
      <c r="E532" s="31">
        <v>0.69933126069417073</v>
      </c>
      <c r="F532" s="32">
        <v>3950.9060723502225</v>
      </c>
      <c r="G532" s="31">
        <v>0.91316454404552716</v>
      </c>
      <c r="H532" s="32">
        <v>7124.8246338155759</v>
      </c>
      <c r="I532" s="31">
        <v>0.6992338768634474</v>
      </c>
      <c r="J532" s="32">
        <v>1897.201959835347</v>
      </c>
      <c r="L532" s="43">
        <f t="shared" si="64"/>
        <v>-8012.2978797386959</v>
      </c>
      <c r="M532" s="43">
        <f t="shared" si="65"/>
        <v>-454.24976887936873</v>
      </c>
      <c r="N532" s="43">
        <f t="shared" si="66"/>
        <v>-2559.0019135879402</v>
      </c>
      <c r="O532" s="43">
        <f t="shared" si="67"/>
        <v>1598.96742448189</v>
      </c>
      <c r="Q532" s="42">
        <f t="shared" si="68"/>
        <v>0</v>
      </c>
      <c r="R532" s="42">
        <f t="shared" si="69"/>
        <v>0</v>
      </c>
      <c r="S532" s="42">
        <f t="shared" si="70"/>
        <v>0</v>
      </c>
      <c r="T532" s="42">
        <f t="shared" si="71"/>
        <v>1</v>
      </c>
    </row>
    <row r="533" spans="1:20" x14ac:dyDescent="0.2">
      <c r="A533" s="30">
        <v>526</v>
      </c>
      <c r="C533" s="31">
        <v>0.99865198280539613</v>
      </c>
      <c r="D533" s="32">
        <v>18192.781146027159</v>
      </c>
      <c r="E533" s="31">
        <v>0.96176482494410787</v>
      </c>
      <c r="F533" s="32">
        <v>8903.8367735137563</v>
      </c>
      <c r="G533" s="31">
        <v>0.95988375934602532</v>
      </c>
      <c r="H533" s="32">
        <v>10786.700437060406</v>
      </c>
      <c r="I533" s="31">
        <v>0.95988375934602532</v>
      </c>
      <c r="J533" s="32">
        <v>6788.8470984690121</v>
      </c>
      <c r="L533" s="43">
        <f t="shared" si="64"/>
        <v>-13199.521232000177</v>
      </c>
      <c r="M533" s="43">
        <f t="shared" si="65"/>
        <v>-4095.0126487932166</v>
      </c>
      <c r="N533" s="43">
        <f t="shared" si="66"/>
        <v>-5987.2816403302795</v>
      </c>
      <c r="O533" s="43">
        <f t="shared" si="67"/>
        <v>-1989.4283017388852</v>
      </c>
      <c r="Q533" s="42">
        <f t="shared" si="68"/>
        <v>0</v>
      </c>
      <c r="R533" s="42">
        <f t="shared" si="69"/>
        <v>0</v>
      </c>
      <c r="S533" s="42">
        <f t="shared" si="70"/>
        <v>0</v>
      </c>
      <c r="T533" s="42">
        <f t="shared" si="71"/>
        <v>1</v>
      </c>
    </row>
    <row r="534" spans="1:20" x14ac:dyDescent="0.2">
      <c r="A534" s="30">
        <v>527</v>
      </c>
      <c r="C534" s="31">
        <v>0.99609345971636309</v>
      </c>
      <c r="D534" s="32">
        <v>13776.330140445205</v>
      </c>
      <c r="E534" s="31">
        <v>0.97002075792940445</v>
      </c>
      <c r="F534" s="32">
        <v>10075.679022349263</v>
      </c>
      <c r="G534" s="31">
        <v>0.96975524567836802</v>
      </c>
      <c r="H534" s="32">
        <v>8816.839632558087</v>
      </c>
      <c r="I534" s="31">
        <v>0.96975524567836802</v>
      </c>
      <c r="J534" s="32">
        <v>6889.5378827574814</v>
      </c>
      <c r="L534" s="43">
        <f t="shared" si="64"/>
        <v>-8795.8628418633889</v>
      </c>
      <c r="M534" s="43">
        <f t="shared" si="65"/>
        <v>-5225.5752327022401</v>
      </c>
      <c r="N534" s="43">
        <f t="shared" si="66"/>
        <v>-3968.063404166247</v>
      </c>
      <c r="O534" s="43">
        <f t="shared" si="67"/>
        <v>-2040.7616543656413</v>
      </c>
      <c r="Q534" s="42">
        <f t="shared" si="68"/>
        <v>0</v>
      </c>
      <c r="R534" s="42">
        <f t="shared" si="69"/>
        <v>0</v>
      </c>
      <c r="S534" s="42">
        <f t="shared" si="70"/>
        <v>0</v>
      </c>
      <c r="T534" s="42">
        <f t="shared" si="71"/>
        <v>1</v>
      </c>
    </row>
    <row r="535" spans="1:20" x14ac:dyDescent="0.2">
      <c r="A535" s="30">
        <v>528</v>
      </c>
      <c r="C535" s="31">
        <v>0.99787985300437854</v>
      </c>
      <c r="D535" s="32">
        <v>11666.01050142364</v>
      </c>
      <c r="E535" s="31">
        <v>0.83104453220618091</v>
      </c>
      <c r="F535" s="32">
        <v>2625.5787429817115</v>
      </c>
      <c r="G535" s="31">
        <v>0.9542107666833971</v>
      </c>
      <c r="H535" s="32">
        <v>7443.7345542227158</v>
      </c>
      <c r="I535" s="31">
        <v>0.83104453220618091</v>
      </c>
      <c r="J535" s="32">
        <v>2509.2918554219714</v>
      </c>
      <c r="L535" s="43">
        <f t="shared" si="64"/>
        <v>-6676.6112364017472</v>
      </c>
      <c r="M535" s="43">
        <f t="shared" si="65"/>
        <v>1529.643918049193</v>
      </c>
      <c r="N535" s="43">
        <f t="shared" si="66"/>
        <v>-2672.6807208057307</v>
      </c>
      <c r="O535" s="43">
        <f t="shared" si="67"/>
        <v>1645.930805608933</v>
      </c>
      <c r="Q535" s="42">
        <f t="shared" si="68"/>
        <v>0</v>
      </c>
      <c r="R535" s="42">
        <f t="shared" si="69"/>
        <v>0</v>
      </c>
      <c r="S535" s="42">
        <f t="shared" si="70"/>
        <v>0</v>
      </c>
      <c r="T535" s="42">
        <f t="shared" si="71"/>
        <v>1</v>
      </c>
    </row>
    <row r="536" spans="1:20" x14ac:dyDescent="0.2">
      <c r="A536" s="30">
        <v>529</v>
      </c>
      <c r="C536" s="31">
        <v>0.96394277403179729</v>
      </c>
      <c r="D536" s="32">
        <v>14540.789109836351</v>
      </c>
      <c r="E536" s="31">
        <v>0.95123245846824678</v>
      </c>
      <c r="F536" s="32">
        <v>5675.7753986777016</v>
      </c>
      <c r="G536" s="31">
        <v>0.94683600088801367</v>
      </c>
      <c r="H536" s="32">
        <v>9361.7462619084054</v>
      </c>
      <c r="I536" s="31">
        <v>0.9468360008880139</v>
      </c>
      <c r="J536" s="32">
        <v>5477.9257698638667</v>
      </c>
      <c r="L536" s="43">
        <f t="shared" si="64"/>
        <v>-9721.0752396773642</v>
      </c>
      <c r="M536" s="43">
        <f t="shared" si="65"/>
        <v>-919.61310633646735</v>
      </c>
      <c r="N536" s="43">
        <f t="shared" si="66"/>
        <v>-4627.5662574683374</v>
      </c>
      <c r="O536" s="43">
        <f t="shared" si="67"/>
        <v>-743.74576542379691</v>
      </c>
      <c r="Q536" s="42">
        <f t="shared" si="68"/>
        <v>0</v>
      </c>
      <c r="R536" s="42">
        <f t="shared" si="69"/>
        <v>0</v>
      </c>
      <c r="S536" s="42">
        <f t="shared" si="70"/>
        <v>0</v>
      </c>
      <c r="T536" s="42">
        <f t="shared" si="71"/>
        <v>1</v>
      </c>
    </row>
    <row r="537" spans="1:20" x14ac:dyDescent="0.2">
      <c r="A537" s="30">
        <v>530</v>
      </c>
      <c r="C537" s="31">
        <v>0.99179842862329015</v>
      </c>
      <c r="D537" s="32">
        <v>17378.646341312666</v>
      </c>
      <c r="E537" s="31">
        <v>0.75732608252584588</v>
      </c>
      <c r="F537" s="32">
        <v>5636.3931243648558</v>
      </c>
      <c r="G537" s="31">
        <v>0.95912433206026515</v>
      </c>
      <c r="H537" s="32">
        <v>10755.896555180168</v>
      </c>
      <c r="I537" s="31">
        <v>0.75732608252584588</v>
      </c>
      <c r="J537" s="32">
        <v>3821.732975994199</v>
      </c>
      <c r="L537" s="43">
        <f t="shared" si="64"/>
        <v>-12419.654198196215</v>
      </c>
      <c r="M537" s="43">
        <f t="shared" si="65"/>
        <v>-1849.7627117356265</v>
      </c>
      <c r="N537" s="43">
        <f t="shared" si="66"/>
        <v>-5960.274894878843</v>
      </c>
      <c r="O537" s="43">
        <f t="shared" si="67"/>
        <v>-35.102563364969683</v>
      </c>
      <c r="Q537" s="42">
        <f t="shared" si="68"/>
        <v>0</v>
      </c>
      <c r="R537" s="42">
        <f t="shared" si="69"/>
        <v>0</v>
      </c>
      <c r="S537" s="42">
        <f t="shared" si="70"/>
        <v>0</v>
      </c>
      <c r="T537" s="42">
        <f t="shared" si="71"/>
        <v>1</v>
      </c>
    </row>
    <row r="538" spans="1:20" x14ac:dyDescent="0.2">
      <c r="A538" s="30">
        <v>531</v>
      </c>
      <c r="C538" s="31">
        <v>0.98753917781623624</v>
      </c>
      <c r="D538" s="32">
        <v>12713.79747927708</v>
      </c>
      <c r="E538" s="31">
        <v>0.89152267210728331</v>
      </c>
      <c r="F538" s="32">
        <v>4484.2720725878698</v>
      </c>
      <c r="G538" s="31">
        <v>0.94732914876340535</v>
      </c>
      <c r="H538" s="32">
        <v>8508.6164287011707</v>
      </c>
      <c r="I538" s="31">
        <v>0.89152267210728342</v>
      </c>
      <c r="J538" s="32">
        <v>4350.9423745017457</v>
      </c>
      <c r="L538" s="43">
        <f t="shared" si="64"/>
        <v>-7776.101590195899</v>
      </c>
      <c r="M538" s="43">
        <f t="shared" si="65"/>
        <v>-26.658712051453222</v>
      </c>
      <c r="N538" s="43">
        <f t="shared" si="66"/>
        <v>-3771.9706848841442</v>
      </c>
      <c r="O538" s="43">
        <f t="shared" si="67"/>
        <v>106.67098603467184</v>
      </c>
      <c r="Q538" s="42">
        <f t="shared" si="68"/>
        <v>0</v>
      </c>
      <c r="R538" s="42">
        <f t="shared" si="69"/>
        <v>0</v>
      </c>
      <c r="S538" s="42">
        <f t="shared" si="70"/>
        <v>0</v>
      </c>
      <c r="T538" s="42">
        <f t="shared" si="71"/>
        <v>1</v>
      </c>
    </row>
    <row r="539" spans="1:20" x14ac:dyDescent="0.2">
      <c r="A539" s="30">
        <v>532</v>
      </c>
      <c r="C539" s="31">
        <v>0.99509349722900053</v>
      </c>
      <c r="D539" s="32">
        <v>16137.619911856766</v>
      </c>
      <c r="E539" s="31">
        <v>0.96341604784948975</v>
      </c>
      <c r="F539" s="32">
        <v>6436.573749029234</v>
      </c>
      <c r="G539" s="31">
        <v>0.94599854263762118</v>
      </c>
      <c r="H539" s="32">
        <v>9646.619757030503</v>
      </c>
      <c r="I539" s="31">
        <v>0.94599854263762118</v>
      </c>
      <c r="J539" s="32">
        <v>5606.7424228275931</v>
      </c>
      <c r="L539" s="43">
        <f t="shared" si="64"/>
        <v>-11162.152425711763</v>
      </c>
      <c r="M539" s="43">
        <f t="shared" si="65"/>
        <v>-1619.4935097817852</v>
      </c>
      <c r="N539" s="43">
        <f t="shared" si="66"/>
        <v>-4916.6270438423971</v>
      </c>
      <c r="O539" s="43">
        <f t="shared" si="67"/>
        <v>-876.74970963948726</v>
      </c>
      <c r="Q539" s="42">
        <f t="shared" si="68"/>
        <v>0</v>
      </c>
      <c r="R539" s="42">
        <f t="shared" si="69"/>
        <v>0</v>
      </c>
      <c r="S539" s="42">
        <f t="shared" si="70"/>
        <v>0</v>
      </c>
      <c r="T539" s="42">
        <f t="shared" si="71"/>
        <v>1</v>
      </c>
    </row>
    <row r="540" spans="1:20" x14ac:dyDescent="0.2">
      <c r="A540" s="30">
        <v>533</v>
      </c>
      <c r="C540" s="31">
        <v>0.98293566847678315</v>
      </c>
      <c r="D540" s="32">
        <v>18268.903555231129</v>
      </c>
      <c r="E540" s="31">
        <v>0.86437583686153363</v>
      </c>
      <c r="F540" s="32">
        <v>4241.8502370917813</v>
      </c>
      <c r="G540" s="31">
        <v>0.95864673529788291</v>
      </c>
      <c r="H540" s="32">
        <v>11043.197887558017</v>
      </c>
      <c r="I540" s="31">
        <v>0.86395629003701546</v>
      </c>
      <c r="J540" s="32">
        <v>4096.8101977077149</v>
      </c>
      <c r="L540" s="43">
        <f t="shared" si="64"/>
        <v>-13354.225212847214</v>
      </c>
      <c r="M540" s="43">
        <f t="shared" si="65"/>
        <v>80.028947215886546</v>
      </c>
      <c r="N540" s="43">
        <f t="shared" si="66"/>
        <v>-6249.9642110686027</v>
      </c>
      <c r="O540" s="43">
        <f t="shared" si="67"/>
        <v>222.97125247736221</v>
      </c>
      <c r="Q540" s="42">
        <f t="shared" si="68"/>
        <v>0</v>
      </c>
      <c r="R540" s="42">
        <f t="shared" si="69"/>
        <v>0</v>
      </c>
      <c r="S540" s="42">
        <f t="shared" si="70"/>
        <v>0</v>
      </c>
      <c r="T540" s="42">
        <f t="shared" si="71"/>
        <v>1</v>
      </c>
    </row>
    <row r="541" spans="1:20" x14ac:dyDescent="0.2">
      <c r="A541" s="30">
        <v>534</v>
      </c>
      <c r="C541" s="31">
        <v>0.98324839462898661</v>
      </c>
      <c r="D541" s="32">
        <v>14186.340806740629</v>
      </c>
      <c r="E541" s="31">
        <v>0.90878141768885268</v>
      </c>
      <c r="F541" s="32">
        <v>5721.7377114696292</v>
      </c>
      <c r="G541" s="31">
        <v>0.94380260233112001</v>
      </c>
      <c r="H541" s="32">
        <v>8603.1856061617527</v>
      </c>
      <c r="I541" s="31">
        <v>0.90878141768885268</v>
      </c>
      <c r="J541" s="32">
        <v>5050.8083161125387</v>
      </c>
      <c r="L541" s="43">
        <f t="shared" si="64"/>
        <v>-9270.0988335956972</v>
      </c>
      <c r="M541" s="43">
        <f t="shared" si="65"/>
        <v>-1177.8306230253656</v>
      </c>
      <c r="N541" s="43">
        <f t="shared" si="66"/>
        <v>-3884.1725945061526</v>
      </c>
      <c r="O541" s="43">
        <f t="shared" si="67"/>
        <v>-506.90122766827517</v>
      </c>
      <c r="Q541" s="42">
        <f t="shared" si="68"/>
        <v>0</v>
      </c>
      <c r="R541" s="42">
        <f t="shared" si="69"/>
        <v>0</v>
      </c>
      <c r="S541" s="42">
        <f t="shared" si="70"/>
        <v>0</v>
      </c>
      <c r="T541" s="42">
        <f t="shared" si="71"/>
        <v>1</v>
      </c>
    </row>
    <row r="542" spans="1:20" x14ac:dyDescent="0.2">
      <c r="A542" s="30">
        <v>535</v>
      </c>
      <c r="C542" s="31">
        <v>0.97825394232080132</v>
      </c>
      <c r="D542" s="32">
        <v>12299.517327665655</v>
      </c>
      <c r="E542" s="31">
        <v>0.90051228315874643</v>
      </c>
      <c r="F542" s="32">
        <v>4826.1023234873473</v>
      </c>
      <c r="G542" s="31">
        <v>0.87927666469241439</v>
      </c>
      <c r="H542" s="32">
        <v>7557.2381998670617</v>
      </c>
      <c r="I542" s="31">
        <v>0.87927666469241439</v>
      </c>
      <c r="J542" s="32">
        <v>4374.7837172014206</v>
      </c>
      <c r="L542" s="43">
        <f t="shared" si="64"/>
        <v>-7408.2476160616488</v>
      </c>
      <c r="M542" s="43">
        <f t="shared" si="65"/>
        <v>-323.54090769361483</v>
      </c>
      <c r="N542" s="43">
        <f t="shared" si="66"/>
        <v>-3160.8548764049901</v>
      </c>
      <c r="O542" s="43">
        <f t="shared" si="67"/>
        <v>21.599606260650944</v>
      </c>
      <c r="Q542" s="42">
        <f t="shared" si="68"/>
        <v>0</v>
      </c>
      <c r="R542" s="42">
        <f t="shared" si="69"/>
        <v>0</v>
      </c>
      <c r="S542" s="42">
        <f t="shared" si="70"/>
        <v>0</v>
      </c>
      <c r="T542" s="42">
        <f t="shared" si="71"/>
        <v>1</v>
      </c>
    </row>
    <row r="543" spans="1:20" x14ac:dyDescent="0.2">
      <c r="A543" s="30">
        <v>536</v>
      </c>
      <c r="C543" s="31">
        <v>0.99391870073374522</v>
      </c>
      <c r="D543" s="32">
        <v>15091.211537618832</v>
      </c>
      <c r="E543" s="31">
        <v>0.96032032014485491</v>
      </c>
      <c r="F543" s="32">
        <v>5412.8086308574502</v>
      </c>
      <c r="G543" s="31">
        <v>0.95250608668146119</v>
      </c>
      <c r="H543" s="32">
        <v>8905.3677321822979</v>
      </c>
      <c r="I543" s="31">
        <v>0.95250608668146119</v>
      </c>
      <c r="J543" s="32">
        <v>5094.8162876073484</v>
      </c>
      <c r="L543" s="43">
        <f t="shared" si="64"/>
        <v>-10121.618033950106</v>
      </c>
      <c r="M543" s="43">
        <f t="shared" si="65"/>
        <v>-611.20703013317598</v>
      </c>
      <c r="N543" s="43">
        <f t="shared" si="66"/>
        <v>-4142.8372987749917</v>
      </c>
      <c r="O543" s="43">
        <f t="shared" si="67"/>
        <v>-332.28585420004219</v>
      </c>
      <c r="Q543" s="42">
        <f t="shared" si="68"/>
        <v>0</v>
      </c>
      <c r="R543" s="42">
        <f t="shared" si="69"/>
        <v>0</v>
      </c>
      <c r="S543" s="42">
        <f t="shared" si="70"/>
        <v>0</v>
      </c>
      <c r="T543" s="42">
        <f t="shared" si="71"/>
        <v>1</v>
      </c>
    </row>
    <row r="544" spans="1:20" x14ac:dyDescent="0.2">
      <c r="A544" s="30">
        <v>537</v>
      </c>
      <c r="C544" s="31">
        <v>0.99225018420216693</v>
      </c>
      <c r="D544" s="32">
        <v>14893.533972277915</v>
      </c>
      <c r="E544" s="31">
        <v>0.70528753451633719</v>
      </c>
      <c r="F544" s="32">
        <v>4217.4801629515105</v>
      </c>
      <c r="G544" s="31">
        <v>0.90134017528827926</v>
      </c>
      <c r="H544" s="32">
        <v>9425.6483378885769</v>
      </c>
      <c r="I544" s="31">
        <v>0.70528753451633719</v>
      </c>
      <c r="J544" s="32">
        <v>3045.5470858189742</v>
      </c>
      <c r="L544" s="43">
        <f t="shared" si="64"/>
        <v>-9932.2830512670807</v>
      </c>
      <c r="M544" s="43">
        <f t="shared" si="65"/>
        <v>-691.04249036982446</v>
      </c>
      <c r="N544" s="43">
        <f t="shared" si="66"/>
        <v>-4918.947461447181</v>
      </c>
      <c r="O544" s="43">
        <f t="shared" si="67"/>
        <v>480.89058676271179</v>
      </c>
      <c r="Q544" s="42">
        <f t="shared" si="68"/>
        <v>0</v>
      </c>
      <c r="R544" s="42">
        <f t="shared" si="69"/>
        <v>0</v>
      </c>
      <c r="S544" s="42">
        <f t="shared" si="70"/>
        <v>0</v>
      </c>
      <c r="T544" s="42">
        <f t="shared" si="71"/>
        <v>1</v>
      </c>
    </row>
    <row r="545" spans="1:20" x14ac:dyDescent="0.2">
      <c r="A545" s="30">
        <v>538</v>
      </c>
      <c r="C545" s="31">
        <v>0.97517962652702794</v>
      </c>
      <c r="D545" s="32">
        <v>14130.495880966186</v>
      </c>
      <c r="E545" s="31">
        <v>0.95857443592687286</v>
      </c>
      <c r="F545" s="32">
        <v>5048.1316108831115</v>
      </c>
      <c r="G545" s="31">
        <v>0.95174964210478141</v>
      </c>
      <c r="H545" s="32">
        <v>8579.3356113891878</v>
      </c>
      <c r="I545" s="31">
        <v>0.95174964210478152</v>
      </c>
      <c r="J545" s="32">
        <v>4747.6145493507265</v>
      </c>
      <c r="L545" s="43">
        <f t="shared" si="64"/>
        <v>-9254.5977483310453</v>
      </c>
      <c r="M545" s="43">
        <f t="shared" si="65"/>
        <v>-255.25943124874721</v>
      </c>
      <c r="N545" s="43">
        <f t="shared" si="66"/>
        <v>-3820.5874008652809</v>
      </c>
      <c r="O545" s="43">
        <f t="shared" si="67"/>
        <v>11.133661173181281</v>
      </c>
      <c r="Q545" s="42">
        <f t="shared" si="68"/>
        <v>0</v>
      </c>
      <c r="R545" s="42">
        <f t="shared" si="69"/>
        <v>0</v>
      </c>
      <c r="S545" s="42">
        <f t="shared" si="70"/>
        <v>0</v>
      </c>
      <c r="T545" s="42">
        <f t="shared" si="71"/>
        <v>1</v>
      </c>
    </row>
    <row r="546" spans="1:20" x14ac:dyDescent="0.2">
      <c r="A546" s="30">
        <v>539</v>
      </c>
      <c r="C546" s="31">
        <v>0.98719077090082474</v>
      </c>
      <c r="D546" s="32">
        <v>16954.11063728407</v>
      </c>
      <c r="E546" s="31">
        <v>0.83934888460395141</v>
      </c>
      <c r="F546" s="32">
        <v>3986.442895162058</v>
      </c>
      <c r="G546" s="31">
        <v>0.94018688105436365</v>
      </c>
      <c r="H546" s="32">
        <v>10032.429763429584</v>
      </c>
      <c r="I546" s="31">
        <v>0.83716145325620617</v>
      </c>
      <c r="J546" s="32">
        <v>3827.6868610280121</v>
      </c>
      <c r="L546" s="43">
        <f t="shared" si="64"/>
        <v>-12018.156782779944</v>
      </c>
      <c r="M546" s="43">
        <f t="shared" si="65"/>
        <v>210.30152785769906</v>
      </c>
      <c r="N546" s="43">
        <f t="shared" si="66"/>
        <v>-5331.4953581577656</v>
      </c>
      <c r="O546" s="43">
        <f t="shared" si="67"/>
        <v>358.12040525301882</v>
      </c>
      <c r="Q546" s="42">
        <f t="shared" si="68"/>
        <v>0</v>
      </c>
      <c r="R546" s="42">
        <f t="shared" si="69"/>
        <v>0</v>
      </c>
      <c r="S546" s="42">
        <f t="shared" si="70"/>
        <v>0</v>
      </c>
      <c r="T546" s="42">
        <f t="shared" si="71"/>
        <v>1</v>
      </c>
    </row>
    <row r="547" spans="1:20" x14ac:dyDescent="0.2">
      <c r="A547" s="30">
        <v>540</v>
      </c>
      <c r="C547" s="31">
        <v>0.98331278120218324</v>
      </c>
      <c r="D547" s="32">
        <v>17519.109596841816</v>
      </c>
      <c r="E547" s="31">
        <v>0.87905254568147495</v>
      </c>
      <c r="F547" s="32">
        <v>4724.9158072571472</v>
      </c>
      <c r="G547" s="31">
        <v>0.94064476553392407</v>
      </c>
      <c r="H547" s="32">
        <v>10187.551902234001</v>
      </c>
      <c r="I547" s="31">
        <v>0.87617407438604</v>
      </c>
      <c r="J547" s="32">
        <v>4516.4497942092758</v>
      </c>
      <c r="L547" s="43">
        <f t="shared" si="64"/>
        <v>-12602.545690830899</v>
      </c>
      <c r="M547" s="43">
        <f t="shared" si="65"/>
        <v>-329.6530788497721</v>
      </c>
      <c r="N547" s="43">
        <f t="shared" si="66"/>
        <v>-5484.3280745643806</v>
      </c>
      <c r="O547" s="43">
        <f t="shared" si="67"/>
        <v>-135.57942227907552</v>
      </c>
      <c r="Q547" s="42">
        <f t="shared" si="68"/>
        <v>0</v>
      </c>
      <c r="R547" s="42">
        <f t="shared" si="69"/>
        <v>0</v>
      </c>
      <c r="S547" s="42">
        <f t="shared" si="70"/>
        <v>0</v>
      </c>
      <c r="T547" s="42">
        <f t="shared" si="71"/>
        <v>1</v>
      </c>
    </row>
    <row r="548" spans="1:20" x14ac:dyDescent="0.2">
      <c r="A548" s="30">
        <v>541</v>
      </c>
      <c r="C548" s="31">
        <v>0.95778287886105506</v>
      </c>
      <c r="D548" s="32">
        <v>14822.06454886157</v>
      </c>
      <c r="E548" s="31">
        <v>0.95758962568289918</v>
      </c>
      <c r="F548" s="32">
        <v>6848.2380012634203</v>
      </c>
      <c r="G548" s="31">
        <v>0.95758962568289907</v>
      </c>
      <c r="H548" s="32">
        <v>9345.3526067045732</v>
      </c>
      <c r="I548" s="31">
        <v>0.95758962568289918</v>
      </c>
      <c r="J548" s="32">
        <v>6272.3620383766502</v>
      </c>
      <c r="L548" s="43">
        <f t="shared" si="64"/>
        <v>-10033.150154556295</v>
      </c>
      <c r="M548" s="43">
        <f t="shared" si="65"/>
        <v>-2060.2898728489245</v>
      </c>
      <c r="N548" s="43">
        <f t="shared" si="66"/>
        <v>-4557.4044782900783</v>
      </c>
      <c r="O548" s="43">
        <f t="shared" si="67"/>
        <v>-1484.4139099621543</v>
      </c>
      <c r="Q548" s="42">
        <f t="shared" si="68"/>
        <v>0</v>
      </c>
      <c r="R548" s="42">
        <f t="shared" si="69"/>
        <v>0</v>
      </c>
      <c r="S548" s="42">
        <f t="shared" si="70"/>
        <v>0</v>
      </c>
      <c r="T548" s="42">
        <f t="shared" si="71"/>
        <v>1</v>
      </c>
    </row>
    <row r="549" spans="1:20" x14ac:dyDescent="0.2">
      <c r="A549" s="30">
        <v>542</v>
      </c>
      <c r="C549" s="31">
        <v>0.99380949608314983</v>
      </c>
      <c r="D549" s="32">
        <v>14646.153942694433</v>
      </c>
      <c r="E549" s="31">
        <v>0.84534651353595092</v>
      </c>
      <c r="F549" s="32">
        <v>3307.025635838173</v>
      </c>
      <c r="G549" s="31">
        <v>0.96716155401964343</v>
      </c>
      <c r="H549" s="32">
        <v>9031.9558800546365</v>
      </c>
      <c r="I549" s="31">
        <v>0.84534651353595081</v>
      </c>
      <c r="J549" s="32">
        <v>3205.3838664455266</v>
      </c>
      <c r="L549" s="43">
        <f t="shared" si="64"/>
        <v>-9677.1064622786835</v>
      </c>
      <c r="M549" s="43">
        <f t="shared" si="65"/>
        <v>919.70693184158154</v>
      </c>
      <c r="N549" s="43">
        <f t="shared" si="66"/>
        <v>-4196.1481099564189</v>
      </c>
      <c r="O549" s="43">
        <f t="shared" si="67"/>
        <v>1021.3487012342271</v>
      </c>
      <c r="Q549" s="42">
        <f t="shared" si="68"/>
        <v>0</v>
      </c>
      <c r="R549" s="42">
        <f t="shared" si="69"/>
        <v>0</v>
      </c>
      <c r="S549" s="42">
        <f t="shared" si="70"/>
        <v>0</v>
      </c>
      <c r="T549" s="42">
        <f t="shared" si="71"/>
        <v>1</v>
      </c>
    </row>
    <row r="550" spans="1:20" x14ac:dyDescent="0.2">
      <c r="A550" s="30">
        <v>543</v>
      </c>
      <c r="C550" s="31">
        <v>0.98440519743251709</v>
      </c>
      <c r="D550" s="32">
        <v>15685.827986765798</v>
      </c>
      <c r="E550" s="31">
        <v>0.94127231182138171</v>
      </c>
      <c r="F550" s="32">
        <v>5287.1313535213103</v>
      </c>
      <c r="G550" s="31">
        <v>0.9412723118213816</v>
      </c>
      <c r="H550" s="32">
        <v>9639.1818278927094</v>
      </c>
      <c r="I550" s="31">
        <v>0.9412723118213816</v>
      </c>
      <c r="J550" s="32">
        <v>5140.1302303824159</v>
      </c>
      <c r="L550" s="43">
        <f t="shared" si="64"/>
        <v>-10763.801999603213</v>
      </c>
      <c r="M550" s="43">
        <f t="shared" si="65"/>
        <v>-580.76979441440199</v>
      </c>
      <c r="N550" s="43">
        <f t="shared" si="66"/>
        <v>-4932.8202687858011</v>
      </c>
      <c r="O550" s="43">
        <f t="shared" si="67"/>
        <v>-433.76867127550759</v>
      </c>
      <c r="Q550" s="42">
        <f t="shared" si="68"/>
        <v>0</v>
      </c>
      <c r="R550" s="42">
        <f t="shared" si="69"/>
        <v>0</v>
      </c>
      <c r="S550" s="42">
        <f t="shared" si="70"/>
        <v>0</v>
      </c>
      <c r="T550" s="42">
        <f t="shared" si="71"/>
        <v>1</v>
      </c>
    </row>
    <row r="551" spans="1:20" x14ac:dyDescent="0.2">
      <c r="A551" s="30">
        <v>544</v>
      </c>
      <c r="C551" s="31">
        <v>0.9856880342785016</v>
      </c>
      <c r="D551" s="32">
        <v>18193.118983419921</v>
      </c>
      <c r="E551" s="31">
        <v>0.75371372060689779</v>
      </c>
      <c r="F551" s="32">
        <v>2883.8522569678139</v>
      </c>
      <c r="G551" s="31">
        <v>0.93874862362867029</v>
      </c>
      <c r="H551" s="32">
        <v>10765.935462398074</v>
      </c>
      <c r="I551" s="31">
        <v>0.75149855644315045</v>
      </c>
      <c r="J551" s="32">
        <v>2304.9538123245625</v>
      </c>
      <c r="L551" s="43">
        <f t="shared" si="64"/>
        <v>-13264.678812027414</v>
      </c>
      <c r="M551" s="43">
        <f t="shared" si="65"/>
        <v>884.71634606667521</v>
      </c>
      <c r="N551" s="43">
        <f t="shared" si="66"/>
        <v>-6072.1923442547231</v>
      </c>
      <c r="O551" s="43">
        <f t="shared" si="67"/>
        <v>1452.5389698911899</v>
      </c>
      <c r="Q551" s="42">
        <f t="shared" si="68"/>
        <v>0</v>
      </c>
      <c r="R551" s="42">
        <f t="shared" si="69"/>
        <v>0</v>
      </c>
      <c r="S551" s="42">
        <f t="shared" si="70"/>
        <v>0</v>
      </c>
      <c r="T551" s="42">
        <f t="shared" si="71"/>
        <v>1</v>
      </c>
    </row>
    <row r="552" spans="1:20" x14ac:dyDescent="0.2">
      <c r="A552" s="30">
        <v>545</v>
      </c>
      <c r="C552" s="31">
        <v>0.98998707915696871</v>
      </c>
      <c r="D552" s="32">
        <v>16241.495574590926</v>
      </c>
      <c r="E552" s="31">
        <v>0.96689405720014077</v>
      </c>
      <c r="F552" s="32">
        <v>5718.9950785155306</v>
      </c>
      <c r="G552" s="31">
        <v>0.95514886445883074</v>
      </c>
      <c r="H552" s="32">
        <v>10520.787167911771</v>
      </c>
      <c r="I552" s="31">
        <v>0.95514886445883085</v>
      </c>
      <c r="J552" s="32">
        <v>5363.1238248600621</v>
      </c>
      <c r="L552" s="43">
        <f t="shared" si="64"/>
        <v>-11291.560178806083</v>
      </c>
      <c r="M552" s="43">
        <f t="shared" si="65"/>
        <v>-884.52479251482691</v>
      </c>
      <c r="N552" s="43">
        <f t="shared" si="66"/>
        <v>-5745.0428456176169</v>
      </c>
      <c r="O552" s="43">
        <f t="shared" si="67"/>
        <v>-587.3795025659083</v>
      </c>
      <c r="Q552" s="42">
        <f t="shared" si="68"/>
        <v>0</v>
      </c>
      <c r="R552" s="42">
        <f t="shared" si="69"/>
        <v>0</v>
      </c>
      <c r="S552" s="42">
        <f t="shared" si="70"/>
        <v>0</v>
      </c>
      <c r="T552" s="42">
        <f t="shared" si="71"/>
        <v>1</v>
      </c>
    </row>
    <row r="553" spans="1:20" x14ac:dyDescent="0.2">
      <c r="A553" s="30">
        <v>546</v>
      </c>
      <c r="C553" s="31">
        <v>0.976735858830588</v>
      </c>
      <c r="D553" s="32">
        <v>14451.343890186261</v>
      </c>
      <c r="E553" s="31">
        <v>0.91050564882317042</v>
      </c>
      <c r="F553" s="32">
        <v>5424.278802923146</v>
      </c>
      <c r="G553" s="31">
        <v>0.90711163925023475</v>
      </c>
      <c r="H553" s="32">
        <v>8848.4564824837762</v>
      </c>
      <c r="I553" s="31">
        <v>0.90711163925023475</v>
      </c>
      <c r="J553" s="32">
        <v>5244.4453324716142</v>
      </c>
      <c r="L553" s="43">
        <f t="shared" si="64"/>
        <v>-9567.6645960333208</v>
      </c>
      <c r="M553" s="43">
        <f t="shared" si="65"/>
        <v>-871.7505588072936</v>
      </c>
      <c r="N553" s="43">
        <f t="shared" si="66"/>
        <v>-4312.8982862326029</v>
      </c>
      <c r="O553" s="43">
        <f t="shared" si="67"/>
        <v>-708.88713622044088</v>
      </c>
      <c r="Q553" s="42">
        <f t="shared" si="68"/>
        <v>0</v>
      </c>
      <c r="R553" s="42">
        <f t="shared" si="69"/>
        <v>0</v>
      </c>
      <c r="S553" s="42">
        <f t="shared" si="70"/>
        <v>0</v>
      </c>
      <c r="T553" s="42">
        <f t="shared" si="71"/>
        <v>1</v>
      </c>
    </row>
    <row r="554" spans="1:20" x14ac:dyDescent="0.2">
      <c r="A554" s="30">
        <v>547</v>
      </c>
      <c r="C554" s="31">
        <v>0.970613224681944</v>
      </c>
      <c r="D554" s="32">
        <v>16895.656992861444</v>
      </c>
      <c r="E554" s="31">
        <v>0.92142155247835322</v>
      </c>
      <c r="F554" s="32">
        <v>6081.7545015807527</v>
      </c>
      <c r="G554" s="31">
        <v>0.91304653192616447</v>
      </c>
      <c r="H554" s="32">
        <v>10442.278350600305</v>
      </c>
      <c r="I554" s="31">
        <v>0.91304653192616447</v>
      </c>
      <c r="J554" s="32">
        <v>5760.9501445290152</v>
      </c>
      <c r="L554" s="43">
        <f t="shared" si="64"/>
        <v>-12042.590869451724</v>
      </c>
      <c r="M554" s="43">
        <f t="shared" si="65"/>
        <v>-1474.6467391889864</v>
      </c>
      <c r="N554" s="43">
        <f t="shared" si="66"/>
        <v>-5877.0456909694831</v>
      </c>
      <c r="O554" s="43">
        <f t="shared" si="67"/>
        <v>-1195.7174848981931</v>
      </c>
      <c r="Q554" s="42">
        <f t="shared" si="68"/>
        <v>0</v>
      </c>
      <c r="R554" s="42">
        <f t="shared" si="69"/>
        <v>0</v>
      </c>
      <c r="S554" s="42">
        <f t="shared" si="70"/>
        <v>0</v>
      </c>
      <c r="T554" s="42">
        <f t="shared" si="71"/>
        <v>1</v>
      </c>
    </row>
    <row r="555" spans="1:20" x14ac:dyDescent="0.2">
      <c r="A555" s="30">
        <v>548</v>
      </c>
      <c r="C555" s="31">
        <v>0.96929930112641038</v>
      </c>
      <c r="D555" s="32">
        <v>13421.031553181536</v>
      </c>
      <c r="E555" s="31">
        <v>0.85725675923538647</v>
      </c>
      <c r="F555" s="32">
        <v>3365.2301618142342</v>
      </c>
      <c r="G555" s="31">
        <v>0.94346498921437849</v>
      </c>
      <c r="H555" s="32">
        <v>7917.644954305114</v>
      </c>
      <c r="I555" s="31">
        <v>0.85725675923538658</v>
      </c>
      <c r="J555" s="32">
        <v>3185.9834249420082</v>
      </c>
      <c r="L555" s="43">
        <f t="shared" si="64"/>
        <v>-8574.5350475494852</v>
      </c>
      <c r="M555" s="43">
        <f t="shared" si="65"/>
        <v>921.05363436269772</v>
      </c>
      <c r="N555" s="43">
        <f t="shared" si="66"/>
        <v>-3200.3200082332214</v>
      </c>
      <c r="O555" s="43">
        <f t="shared" si="67"/>
        <v>1100.3003712349246</v>
      </c>
      <c r="Q555" s="42">
        <f t="shared" si="68"/>
        <v>0</v>
      </c>
      <c r="R555" s="42">
        <f t="shared" si="69"/>
        <v>0</v>
      </c>
      <c r="S555" s="42">
        <f t="shared" si="70"/>
        <v>0</v>
      </c>
      <c r="T555" s="42">
        <f t="shared" si="71"/>
        <v>1</v>
      </c>
    </row>
    <row r="556" spans="1:20" x14ac:dyDescent="0.2">
      <c r="A556" s="30">
        <v>549</v>
      </c>
      <c r="C556" s="31">
        <v>0.99991932215847901</v>
      </c>
      <c r="D556" s="32">
        <v>15711.027842026808</v>
      </c>
      <c r="E556" s="31">
        <v>0.91612803218057826</v>
      </c>
      <c r="F556" s="32">
        <v>5101.3147911763372</v>
      </c>
      <c r="G556" s="31">
        <v>0.92710737516275232</v>
      </c>
      <c r="H556" s="32">
        <v>8790.0279915177707</v>
      </c>
      <c r="I556" s="31">
        <v>0.90920377822354981</v>
      </c>
      <c r="J556" s="32">
        <v>4823.551406566562</v>
      </c>
      <c r="L556" s="43">
        <f t="shared" si="64"/>
        <v>-10711.431231234412</v>
      </c>
      <c r="M556" s="43">
        <f t="shared" si="65"/>
        <v>-520.67463027344547</v>
      </c>
      <c r="N556" s="43">
        <f t="shared" si="66"/>
        <v>-4154.4911157040087</v>
      </c>
      <c r="O556" s="43">
        <f t="shared" si="67"/>
        <v>-277.53251544881277</v>
      </c>
      <c r="Q556" s="42">
        <f t="shared" si="68"/>
        <v>0</v>
      </c>
      <c r="R556" s="42">
        <f t="shared" si="69"/>
        <v>0</v>
      </c>
      <c r="S556" s="42">
        <f t="shared" si="70"/>
        <v>0</v>
      </c>
      <c r="T556" s="42">
        <f t="shared" si="71"/>
        <v>1</v>
      </c>
    </row>
    <row r="557" spans="1:20" x14ac:dyDescent="0.2">
      <c r="A557" s="30">
        <v>550</v>
      </c>
      <c r="C557" s="31">
        <v>0.98864379065338148</v>
      </c>
      <c r="D557" s="32">
        <v>11359.626315867898</v>
      </c>
      <c r="E557" s="31">
        <v>0.88468442391082847</v>
      </c>
      <c r="F557" s="32">
        <v>3729.5119954194579</v>
      </c>
      <c r="G557" s="31">
        <v>0.92251984823684885</v>
      </c>
      <c r="H557" s="32">
        <v>6983.4642996688763</v>
      </c>
      <c r="I557" s="31">
        <v>0.88342057146578368</v>
      </c>
      <c r="J557" s="32">
        <v>3571.0582272320071</v>
      </c>
      <c r="L557" s="43">
        <f t="shared" si="64"/>
        <v>-6416.4073626009904</v>
      </c>
      <c r="M557" s="43">
        <f t="shared" si="65"/>
        <v>693.91012413468434</v>
      </c>
      <c r="N557" s="43">
        <f t="shared" si="66"/>
        <v>-2370.8650584846318</v>
      </c>
      <c r="O557" s="43">
        <f t="shared" si="67"/>
        <v>846.04463009691153</v>
      </c>
      <c r="Q557" s="42">
        <f t="shared" si="68"/>
        <v>0</v>
      </c>
      <c r="R557" s="42">
        <f t="shared" si="69"/>
        <v>0</v>
      </c>
      <c r="S557" s="42">
        <f t="shared" si="70"/>
        <v>0</v>
      </c>
      <c r="T557" s="42">
        <f t="shared" si="71"/>
        <v>1</v>
      </c>
    </row>
    <row r="558" spans="1:20" x14ac:dyDescent="0.2">
      <c r="A558" s="30">
        <v>551</v>
      </c>
      <c r="C558" s="31">
        <v>0.98366714146252843</v>
      </c>
      <c r="D558" s="32">
        <v>15354.631165289507</v>
      </c>
      <c r="E558" s="31">
        <v>0.96329629437962616</v>
      </c>
      <c r="F558" s="32">
        <v>9857.4148267684814</v>
      </c>
      <c r="G558" s="31">
        <v>0.9517512767418379</v>
      </c>
      <c r="H558" s="32">
        <v>9033.6117057604279</v>
      </c>
      <c r="I558" s="31">
        <v>0.9517512767418379</v>
      </c>
      <c r="J558" s="32">
        <v>6760.8932193165438</v>
      </c>
      <c r="L558" s="43">
        <f t="shared" si="64"/>
        <v>-10436.295457976867</v>
      </c>
      <c r="M558" s="43">
        <f t="shared" si="65"/>
        <v>-5040.9333548703507</v>
      </c>
      <c r="N558" s="43">
        <f t="shared" si="66"/>
        <v>-4274.8553220512385</v>
      </c>
      <c r="O558" s="43">
        <f t="shared" si="67"/>
        <v>-2002.1368356073544</v>
      </c>
      <c r="Q558" s="42">
        <f t="shared" si="68"/>
        <v>0</v>
      </c>
      <c r="R558" s="42">
        <f t="shared" si="69"/>
        <v>0</v>
      </c>
      <c r="S558" s="42">
        <f t="shared" si="70"/>
        <v>0</v>
      </c>
      <c r="T558" s="42">
        <f t="shared" si="71"/>
        <v>1</v>
      </c>
    </row>
    <row r="559" spans="1:20" x14ac:dyDescent="0.2">
      <c r="A559" s="30">
        <v>552</v>
      </c>
      <c r="C559" s="31">
        <v>0.97947096538980005</v>
      </c>
      <c r="D559" s="32">
        <v>19892.578532044859</v>
      </c>
      <c r="E559" s="31">
        <v>0.92627904134616457</v>
      </c>
      <c r="F559" s="32">
        <v>10767.58298730553</v>
      </c>
      <c r="G559" s="31">
        <v>0.96882882762036271</v>
      </c>
      <c r="H559" s="32">
        <v>11094.89761121849</v>
      </c>
      <c r="I559" s="31">
        <v>0.92280491296406719</v>
      </c>
      <c r="J559" s="32">
        <v>7010.1056851248923</v>
      </c>
      <c r="L559" s="43">
        <f t="shared" si="64"/>
        <v>-14995.223705095859</v>
      </c>
      <c r="M559" s="43">
        <f t="shared" si="65"/>
        <v>-6136.1877805747072</v>
      </c>
      <c r="N559" s="43">
        <f t="shared" si="66"/>
        <v>-6250.7534731166761</v>
      </c>
      <c r="O559" s="43">
        <f t="shared" si="67"/>
        <v>-2396.081120304556</v>
      </c>
      <c r="Q559" s="42">
        <f t="shared" si="68"/>
        <v>0</v>
      </c>
      <c r="R559" s="42">
        <f t="shared" si="69"/>
        <v>0</v>
      </c>
      <c r="S559" s="42">
        <f t="shared" si="70"/>
        <v>0</v>
      </c>
      <c r="T559" s="42">
        <f t="shared" si="71"/>
        <v>1</v>
      </c>
    </row>
    <row r="560" spans="1:20" x14ac:dyDescent="0.2">
      <c r="A560" s="30">
        <v>553</v>
      </c>
      <c r="C560" s="31">
        <v>0.9999185781389317</v>
      </c>
      <c r="D560" s="32">
        <v>13478.579876694663</v>
      </c>
      <c r="E560" s="31">
        <v>0.92456831265531481</v>
      </c>
      <c r="F560" s="32">
        <v>4136.1032499385701</v>
      </c>
      <c r="G560" s="31">
        <v>0.91786242031491871</v>
      </c>
      <c r="H560" s="32">
        <v>7760.5655089915545</v>
      </c>
      <c r="I560" s="31">
        <v>0.9178624203149186</v>
      </c>
      <c r="J560" s="32">
        <v>3882.0258570409333</v>
      </c>
      <c r="L560" s="43">
        <f t="shared" si="64"/>
        <v>-8478.9869860000035</v>
      </c>
      <c r="M560" s="43">
        <f t="shared" si="65"/>
        <v>486.73831333800354</v>
      </c>
      <c r="N560" s="43">
        <f t="shared" si="66"/>
        <v>-3171.2534074169607</v>
      </c>
      <c r="O560" s="43">
        <f t="shared" si="67"/>
        <v>707.28624453365956</v>
      </c>
      <c r="Q560" s="42">
        <f t="shared" si="68"/>
        <v>0</v>
      </c>
      <c r="R560" s="42">
        <f t="shared" si="69"/>
        <v>0</v>
      </c>
      <c r="S560" s="42">
        <f t="shared" si="70"/>
        <v>0</v>
      </c>
      <c r="T560" s="42">
        <f t="shared" si="71"/>
        <v>1</v>
      </c>
    </row>
    <row r="561" spans="1:20" x14ac:dyDescent="0.2">
      <c r="A561" s="30">
        <v>554</v>
      </c>
      <c r="C561" s="31">
        <v>0.97805186644754827</v>
      </c>
      <c r="D561" s="32">
        <v>19841.698281451274</v>
      </c>
      <c r="E561" s="31">
        <v>0.78220855976945469</v>
      </c>
      <c r="F561" s="32">
        <v>3683.8539788201419</v>
      </c>
      <c r="G561" s="31">
        <v>0.94407427915780229</v>
      </c>
      <c r="H561" s="32">
        <v>11867.787887247936</v>
      </c>
      <c r="I561" s="31">
        <v>0.7778408337287136</v>
      </c>
      <c r="J561" s="32">
        <v>3454.9336683749925</v>
      </c>
      <c r="L561" s="43">
        <f t="shared" si="64"/>
        <v>-14951.438949213532</v>
      </c>
      <c r="M561" s="43">
        <f t="shared" si="65"/>
        <v>227.18882002713144</v>
      </c>
      <c r="N561" s="43">
        <f t="shared" si="66"/>
        <v>-7147.4164914589246</v>
      </c>
      <c r="O561" s="43">
        <f t="shared" si="67"/>
        <v>434.27050026857569</v>
      </c>
      <c r="Q561" s="42">
        <f t="shared" si="68"/>
        <v>0</v>
      </c>
      <c r="R561" s="42">
        <f t="shared" si="69"/>
        <v>0</v>
      </c>
      <c r="S561" s="42">
        <f t="shared" si="70"/>
        <v>0</v>
      </c>
      <c r="T561" s="42">
        <f t="shared" si="71"/>
        <v>1</v>
      </c>
    </row>
    <row r="562" spans="1:20" x14ac:dyDescent="0.2">
      <c r="A562" s="30">
        <v>555</v>
      </c>
      <c r="C562" s="31">
        <v>0.98289377626820162</v>
      </c>
      <c r="D562" s="32">
        <v>15096.615264510016</v>
      </c>
      <c r="E562" s="31">
        <v>0.67720840847633168</v>
      </c>
      <c r="F562" s="32">
        <v>2466.2272854360522</v>
      </c>
      <c r="G562" s="31">
        <v>0.93565238272197582</v>
      </c>
      <c r="H562" s="32">
        <v>8883.2977026050048</v>
      </c>
      <c r="I562" s="31">
        <v>0.67720840847633168</v>
      </c>
      <c r="J562" s="32">
        <v>1478.0356973946255</v>
      </c>
      <c r="L562" s="43">
        <f t="shared" si="64"/>
        <v>-10182.146383169007</v>
      </c>
      <c r="M562" s="43">
        <f t="shared" si="65"/>
        <v>919.8147569456064</v>
      </c>
      <c r="N562" s="43">
        <f t="shared" si="66"/>
        <v>-4205.0357889951256</v>
      </c>
      <c r="O562" s="43">
        <f t="shared" si="67"/>
        <v>1908.0063449870331</v>
      </c>
      <c r="Q562" s="42">
        <f t="shared" si="68"/>
        <v>0</v>
      </c>
      <c r="R562" s="42">
        <f t="shared" si="69"/>
        <v>0</v>
      </c>
      <c r="S562" s="42">
        <f t="shared" si="70"/>
        <v>0</v>
      </c>
      <c r="T562" s="42">
        <f t="shared" si="71"/>
        <v>1</v>
      </c>
    </row>
    <row r="563" spans="1:20" x14ac:dyDescent="0.2">
      <c r="A563" s="30">
        <v>556</v>
      </c>
      <c r="C563" s="31">
        <v>0.99830623693947917</v>
      </c>
      <c r="D563" s="32">
        <v>15330.452226588552</v>
      </c>
      <c r="E563" s="31">
        <v>0.93961995946020771</v>
      </c>
      <c r="F563" s="32">
        <v>5287.1186008590803</v>
      </c>
      <c r="G563" s="31">
        <v>0.93053118186743222</v>
      </c>
      <c r="H563" s="32">
        <v>9294.8572561481978</v>
      </c>
      <c r="I563" s="31">
        <v>0.93053118186743222</v>
      </c>
      <c r="J563" s="32">
        <v>5038.2116024303305</v>
      </c>
      <c r="L563" s="43">
        <f t="shared" si="64"/>
        <v>-10338.921041891157</v>
      </c>
      <c r="M563" s="43">
        <f t="shared" si="65"/>
        <v>-589.01880355804133</v>
      </c>
      <c r="N563" s="43">
        <f t="shared" si="66"/>
        <v>-4642.2013468110372</v>
      </c>
      <c r="O563" s="43">
        <f t="shared" si="67"/>
        <v>-385.55569309316979</v>
      </c>
      <c r="Q563" s="42">
        <f t="shared" si="68"/>
        <v>0</v>
      </c>
      <c r="R563" s="42">
        <f t="shared" si="69"/>
        <v>0</v>
      </c>
      <c r="S563" s="42">
        <f t="shared" si="70"/>
        <v>0</v>
      </c>
      <c r="T563" s="42">
        <f t="shared" si="71"/>
        <v>1</v>
      </c>
    </row>
    <row r="564" spans="1:20" x14ac:dyDescent="0.2">
      <c r="A564" s="30">
        <v>557</v>
      </c>
      <c r="C564" s="31">
        <v>0.98712138105586833</v>
      </c>
      <c r="D564" s="32">
        <v>17051.723623033435</v>
      </c>
      <c r="E564" s="31">
        <v>0.95910447325213277</v>
      </c>
      <c r="F564" s="32">
        <v>6107.9943113674935</v>
      </c>
      <c r="G564" s="31">
        <v>0.95807186167584391</v>
      </c>
      <c r="H564" s="32">
        <v>11243.802365658499</v>
      </c>
      <c r="I564" s="31">
        <v>0.95807186167584391</v>
      </c>
      <c r="J564" s="32">
        <v>5979.5558234778846</v>
      </c>
      <c r="L564" s="43">
        <f t="shared" si="64"/>
        <v>-12116.116717754092</v>
      </c>
      <c r="M564" s="43">
        <f t="shared" si="65"/>
        <v>-1312.4719451068295</v>
      </c>
      <c r="N564" s="43">
        <f t="shared" si="66"/>
        <v>-6453.4430572792799</v>
      </c>
      <c r="O564" s="43">
        <f t="shared" si="67"/>
        <v>-1189.1965150986653</v>
      </c>
      <c r="Q564" s="42">
        <f t="shared" si="68"/>
        <v>0</v>
      </c>
      <c r="R564" s="42">
        <f t="shared" si="69"/>
        <v>0</v>
      </c>
      <c r="S564" s="42">
        <f t="shared" si="70"/>
        <v>0</v>
      </c>
      <c r="T564" s="42">
        <f t="shared" si="71"/>
        <v>1</v>
      </c>
    </row>
    <row r="565" spans="1:20" x14ac:dyDescent="0.2">
      <c r="A565" s="30">
        <v>558</v>
      </c>
      <c r="C565" s="31">
        <v>0.99665118630786331</v>
      </c>
      <c r="D565" s="32">
        <v>15300.395078565789</v>
      </c>
      <c r="E565" s="31">
        <v>0.95008907699111844</v>
      </c>
      <c r="F565" s="32">
        <v>4993.39733465276</v>
      </c>
      <c r="G565" s="31">
        <v>0.9398299766463627</v>
      </c>
      <c r="H565" s="32">
        <v>8835.8343227242713</v>
      </c>
      <c r="I565" s="31">
        <v>0.9398299766463627</v>
      </c>
      <c r="J565" s="32">
        <v>4684.8038239515508</v>
      </c>
      <c r="L565" s="43">
        <f t="shared" si="64"/>
        <v>-10317.139147026472</v>
      </c>
      <c r="M565" s="43">
        <f t="shared" si="65"/>
        <v>-242.95194969716795</v>
      </c>
      <c r="N565" s="43">
        <f t="shared" si="66"/>
        <v>-4136.6844394924574</v>
      </c>
      <c r="O565" s="43">
        <f t="shared" si="67"/>
        <v>14.346059280263034</v>
      </c>
      <c r="Q565" s="42">
        <f t="shared" si="68"/>
        <v>0</v>
      </c>
      <c r="R565" s="42">
        <f t="shared" si="69"/>
        <v>0</v>
      </c>
      <c r="S565" s="42">
        <f t="shared" si="70"/>
        <v>0</v>
      </c>
      <c r="T565" s="42">
        <f t="shared" si="71"/>
        <v>1</v>
      </c>
    </row>
    <row r="566" spans="1:20" x14ac:dyDescent="0.2">
      <c r="A566" s="30">
        <v>559</v>
      </c>
      <c r="C566" s="31">
        <v>0.99772519658116321</v>
      </c>
      <c r="D566" s="32">
        <v>15257.905936670153</v>
      </c>
      <c r="E566" s="31">
        <v>0.75145048290651184</v>
      </c>
      <c r="F566" s="32">
        <v>6630.7916909298519</v>
      </c>
      <c r="G566" s="31">
        <v>0.8848199826867249</v>
      </c>
      <c r="H566" s="32">
        <v>8901.6313475805218</v>
      </c>
      <c r="I566" s="31">
        <v>0.74471427883786534</v>
      </c>
      <c r="J566" s="32">
        <v>4079.1643734717472</v>
      </c>
      <c r="L566" s="43">
        <f t="shared" si="64"/>
        <v>-10269.279953764337</v>
      </c>
      <c r="M566" s="43">
        <f t="shared" si="65"/>
        <v>-2873.5392763972927</v>
      </c>
      <c r="N566" s="43">
        <f t="shared" si="66"/>
        <v>-4477.5314341468975</v>
      </c>
      <c r="O566" s="43">
        <f t="shared" si="67"/>
        <v>-355.5929792824204</v>
      </c>
      <c r="Q566" s="42">
        <f t="shared" si="68"/>
        <v>0</v>
      </c>
      <c r="R566" s="42">
        <f t="shared" si="69"/>
        <v>0</v>
      </c>
      <c r="S566" s="42">
        <f t="shared" si="70"/>
        <v>0</v>
      </c>
      <c r="T566" s="42">
        <f t="shared" si="71"/>
        <v>1</v>
      </c>
    </row>
    <row r="567" spans="1:20" x14ac:dyDescent="0.2">
      <c r="A567" s="30">
        <v>560</v>
      </c>
      <c r="C567" s="31">
        <v>0.99666216903032345</v>
      </c>
      <c r="D567" s="32">
        <v>18130.789287496889</v>
      </c>
      <c r="E567" s="31">
        <v>0.96769737808232947</v>
      </c>
      <c r="F567" s="32">
        <v>7520.586358817126</v>
      </c>
      <c r="G567" s="31">
        <v>0.95940597414276607</v>
      </c>
      <c r="H567" s="32">
        <v>11124.776168447461</v>
      </c>
      <c r="I567" s="31">
        <v>0.95940597414276607</v>
      </c>
      <c r="J567" s="32">
        <v>6798.560457641147</v>
      </c>
      <c r="L567" s="43">
        <f t="shared" si="64"/>
        <v>-13147.478442345273</v>
      </c>
      <c r="M567" s="43">
        <f t="shared" si="65"/>
        <v>-2682.0994684054785</v>
      </c>
      <c r="N567" s="43">
        <f t="shared" si="66"/>
        <v>-6327.7462977336309</v>
      </c>
      <c r="O567" s="43">
        <f t="shared" si="67"/>
        <v>-2001.530586927317</v>
      </c>
      <c r="Q567" s="42">
        <f t="shared" si="68"/>
        <v>0</v>
      </c>
      <c r="R567" s="42">
        <f t="shared" si="69"/>
        <v>0</v>
      </c>
      <c r="S567" s="42">
        <f t="shared" si="70"/>
        <v>0</v>
      </c>
      <c r="T567" s="42">
        <f t="shared" si="71"/>
        <v>1</v>
      </c>
    </row>
    <row r="568" spans="1:20" x14ac:dyDescent="0.2">
      <c r="A568" s="30">
        <v>561</v>
      </c>
      <c r="C568" s="31">
        <v>0.98632676181101486</v>
      </c>
      <c r="D568" s="32">
        <v>14399.576657780011</v>
      </c>
      <c r="E568" s="31">
        <v>0.9033453316735125</v>
      </c>
      <c r="F568" s="32">
        <v>5194.1923815416294</v>
      </c>
      <c r="G568" s="31">
        <v>0.92549447102571358</v>
      </c>
      <c r="H568" s="32">
        <v>9152.9113696886743</v>
      </c>
      <c r="I568" s="31">
        <v>0.90130688731187125</v>
      </c>
      <c r="J568" s="32">
        <v>4655.0418895619732</v>
      </c>
      <c r="L568" s="43">
        <f t="shared" si="64"/>
        <v>-9467.942848724937</v>
      </c>
      <c r="M568" s="43">
        <f t="shared" si="65"/>
        <v>-677.46572317406662</v>
      </c>
      <c r="N568" s="43">
        <f t="shared" si="66"/>
        <v>-4525.4390145601064</v>
      </c>
      <c r="O568" s="43">
        <f t="shared" si="67"/>
        <v>-148.50745300261678</v>
      </c>
      <c r="Q568" s="42">
        <f t="shared" si="68"/>
        <v>0</v>
      </c>
      <c r="R568" s="42">
        <f t="shared" si="69"/>
        <v>0</v>
      </c>
      <c r="S568" s="42">
        <f t="shared" si="70"/>
        <v>0</v>
      </c>
      <c r="T568" s="42">
        <f t="shared" si="71"/>
        <v>1</v>
      </c>
    </row>
    <row r="569" spans="1:20" x14ac:dyDescent="0.2">
      <c r="A569" s="30">
        <v>562</v>
      </c>
      <c r="C569" s="31">
        <v>0.99578587410694119</v>
      </c>
      <c r="D569" s="32">
        <v>12855.631250408309</v>
      </c>
      <c r="E569" s="31">
        <v>0.82116733303098344</v>
      </c>
      <c r="F569" s="32">
        <v>9101.6101254352488</v>
      </c>
      <c r="G569" s="31">
        <v>0.95273829641014629</v>
      </c>
      <c r="H569" s="32">
        <v>7729.0933902312245</v>
      </c>
      <c r="I569" s="31">
        <v>0.82116733303098366</v>
      </c>
      <c r="J569" s="32">
        <v>5096.5418978208972</v>
      </c>
      <c r="L569" s="43">
        <f t="shared" si="64"/>
        <v>-7876.7018798736026</v>
      </c>
      <c r="M569" s="43">
        <f t="shared" si="65"/>
        <v>-4995.7734602803321</v>
      </c>
      <c r="N569" s="43">
        <f t="shared" si="66"/>
        <v>-2965.4019081804927</v>
      </c>
      <c r="O569" s="43">
        <f t="shared" si="67"/>
        <v>-990.70523266597866</v>
      </c>
      <c r="Q569" s="42">
        <f t="shared" si="68"/>
        <v>0</v>
      </c>
      <c r="R569" s="42">
        <f t="shared" si="69"/>
        <v>0</v>
      </c>
      <c r="S569" s="42">
        <f t="shared" si="70"/>
        <v>0</v>
      </c>
      <c r="T569" s="42">
        <f t="shared" si="71"/>
        <v>1</v>
      </c>
    </row>
    <row r="570" spans="1:20" x14ac:dyDescent="0.2">
      <c r="A570" s="30">
        <v>563</v>
      </c>
      <c r="C570" s="31">
        <v>0.97249276528537421</v>
      </c>
      <c r="D570" s="32">
        <v>14757.531848634551</v>
      </c>
      <c r="E570" s="31">
        <v>0.94837376400019902</v>
      </c>
      <c r="F570" s="32">
        <v>6122.3507345041498</v>
      </c>
      <c r="G570" s="31">
        <v>0.94100074866280026</v>
      </c>
      <c r="H570" s="32">
        <v>8681.1971147147124</v>
      </c>
      <c r="I570" s="31">
        <v>0.94100074866280026</v>
      </c>
      <c r="J570" s="32">
        <v>5068.851212797741</v>
      </c>
      <c r="L570" s="43">
        <f t="shared" si="64"/>
        <v>-9895.0680222076808</v>
      </c>
      <c r="M570" s="43">
        <f t="shared" si="65"/>
        <v>-1380.4819145031552</v>
      </c>
      <c r="N570" s="43">
        <f t="shared" si="66"/>
        <v>-3976.1933714007109</v>
      </c>
      <c r="O570" s="43">
        <f t="shared" si="67"/>
        <v>-363.84746948373959</v>
      </c>
      <c r="Q570" s="42">
        <f t="shared" si="68"/>
        <v>0</v>
      </c>
      <c r="R570" s="42">
        <f t="shared" si="69"/>
        <v>0</v>
      </c>
      <c r="S570" s="42">
        <f t="shared" si="70"/>
        <v>0</v>
      </c>
      <c r="T570" s="42">
        <f t="shared" si="71"/>
        <v>1</v>
      </c>
    </row>
    <row r="571" spans="1:20" x14ac:dyDescent="0.2">
      <c r="A571" s="30">
        <v>564</v>
      </c>
      <c r="C571" s="31">
        <v>0.99374379223008624</v>
      </c>
      <c r="D571" s="32">
        <v>11779.228975502079</v>
      </c>
      <c r="E571" s="31">
        <v>0.78924523162980487</v>
      </c>
      <c r="F571" s="32">
        <v>4986.9552128276273</v>
      </c>
      <c r="G571" s="31">
        <v>0.94635261631632384</v>
      </c>
      <c r="H571" s="32">
        <v>7157.8857393820699</v>
      </c>
      <c r="I571" s="31">
        <v>0.78924523163925242</v>
      </c>
      <c r="J571" s="32">
        <v>3235.1018461421181</v>
      </c>
      <c r="L571" s="43">
        <f t="shared" si="64"/>
        <v>-6810.5100143516484</v>
      </c>
      <c r="M571" s="43">
        <f t="shared" si="65"/>
        <v>-1040.729054678603</v>
      </c>
      <c r="N571" s="43">
        <f t="shared" si="66"/>
        <v>-2426.1226578004507</v>
      </c>
      <c r="O571" s="43">
        <f t="shared" si="67"/>
        <v>711.12431205414396</v>
      </c>
      <c r="Q571" s="42">
        <f t="shared" si="68"/>
        <v>0</v>
      </c>
      <c r="R571" s="42">
        <f t="shared" si="69"/>
        <v>0</v>
      </c>
      <c r="S571" s="42">
        <f t="shared" si="70"/>
        <v>0</v>
      </c>
      <c r="T571" s="42">
        <f t="shared" si="71"/>
        <v>1</v>
      </c>
    </row>
    <row r="572" spans="1:20" x14ac:dyDescent="0.2">
      <c r="A572" s="30">
        <v>565</v>
      </c>
      <c r="C572" s="31">
        <v>0.91681228404697668</v>
      </c>
      <c r="D572" s="32">
        <v>15317.524165695928</v>
      </c>
      <c r="E572" s="31">
        <v>0.92216296805147957</v>
      </c>
      <c r="F572" s="32">
        <v>5744.1383307562628</v>
      </c>
      <c r="G572" s="31">
        <v>0.92187514892858036</v>
      </c>
      <c r="H572" s="32">
        <v>10122.066008656695</v>
      </c>
      <c r="I572" s="31">
        <v>0.92187514892858036</v>
      </c>
      <c r="J572" s="32">
        <v>5590.8207001990368</v>
      </c>
      <c r="L572" s="43">
        <f t="shared" si="64"/>
        <v>-10733.462745461045</v>
      </c>
      <c r="M572" s="43">
        <f t="shared" si="65"/>
        <v>-1133.3234904988649</v>
      </c>
      <c r="N572" s="43">
        <f t="shared" si="66"/>
        <v>-5512.6902640137932</v>
      </c>
      <c r="O572" s="43">
        <f t="shared" si="67"/>
        <v>-981.44495555613503</v>
      </c>
      <c r="Q572" s="42">
        <f t="shared" si="68"/>
        <v>0</v>
      </c>
      <c r="R572" s="42">
        <f t="shared" si="69"/>
        <v>0</v>
      </c>
      <c r="S572" s="42">
        <f t="shared" si="70"/>
        <v>0</v>
      </c>
      <c r="T572" s="42">
        <f t="shared" si="71"/>
        <v>1</v>
      </c>
    </row>
    <row r="573" spans="1:20" x14ac:dyDescent="0.2">
      <c r="A573" s="30">
        <v>566</v>
      </c>
      <c r="C573" s="31">
        <v>0.97418765964597753</v>
      </c>
      <c r="D573" s="32">
        <v>18517.295819066399</v>
      </c>
      <c r="E573" s="31">
        <v>0.94640980761267146</v>
      </c>
      <c r="F573" s="32">
        <v>6154.0545743718267</v>
      </c>
      <c r="G573" s="31">
        <v>0.94865515845454729</v>
      </c>
      <c r="H573" s="32">
        <v>11108.976295380722</v>
      </c>
      <c r="I573" s="31">
        <v>0.94640980761267146</v>
      </c>
      <c r="J573" s="32">
        <v>6008.1512229693972</v>
      </c>
      <c r="L573" s="43">
        <f t="shared" si="64"/>
        <v>-13646.357520836511</v>
      </c>
      <c r="M573" s="43">
        <f t="shared" si="65"/>
        <v>-1422.0055363084693</v>
      </c>
      <c r="N573" s="43">
        <f t="shared" si="66"/>
        <v>-6365.7005031079862</v>
      </c>
      <c r="O573" s="43">
        <f t="shared" si="67"/>
        <v>-1276.1021849060398</v>
      </c>
      <c r="Q573" s="42">
        <f t="shared" si="68"/>
        <v>0</v>
      </c>
      <c r="R573" s="42">
        <f t="shared" si="69"/>
        <v>0</v>
      </c>
      <c r="S573" s="42">
        <f t="shared" si="70"/>
        <v>0</v>
      </c>
      <c r="T573" s="42">
        <f t="shared" si="71"/>
        <v>1</v>
      </c>
    </row>
    <row r="574" spans="1:20" x14ac:dyDescent="0.2">
      <c r="A574" s="30">
        <v>567</v>
      </c>
      <c r="C574" s="31">
        <v>0.98452656779571412</v>
      </c>
      <c r="D574" s="32">
        <v>13860.561098392378</v>
      </c>
      <c r="E574" s="31">
        <v>0.83850366568558865</v>
      </c>
      <c r="F574" s="32">
        <v>2951.0461769761132</v>
      </c>
      <c r="G574" s="31">
        <v>0.9487349875839759</v>
      </c>
      <c r="H574" s="32">
        <v>8578.2053644962216</v>
      </c>
      <c r="I574" s="31">
        <v>0.83478481095216317</v>
      </c>
      <c r="J574" s="32">
        <v>2754.4080351408861</v>
      </c>
      <c r="L574" s="43">
        <f t="shared" si="64"/>
        <v>-8937.9282594138076</v>
      </c>
      <c r="M574" s="43">
        <f t="shared" si="65"/>
        <v>1241.4721514518296</v>
      </c>
      <c r="N574" s="43">
        <f t="shared" si="66"/>
        <v>-3834.5304265763425</v>
      </c>
      <c r="O574" s="43">
        <f t="shared" si="67"/>
        <v>1419.5160196199299</v>
      </c>
      <c r="Q574" s="42">
        <f t="shared" si="68"/>
        <v>0</v>
      </c>
      <c r="R574" s="42">
        <f t="shared" si="69"/>
        <v>0</v>
      </c>
      <c r="S574" s="42">
        <f t="shared" si="70"/>
        <v>0</v>
      </c>
      <c r="T574" s="42">
        <f t="shared" si="71"/>
        <v>1</v>
      </c>
    </row>
    <row r="575" spans="1:20" x14ac:dyDescent="0.2">
      <c r="A575" s="30">
        <v>568</v>
      </c>
      <c r="C575" s="31">
        <v>0.97798441506472011</v>
      </c>
      <c r="D575" s="32">
        <v>16527.945863524164</v>
      </c>
      <c r="E575" s="31">
        <v>0.82677394930101955</v>
      </c>
      <c r="F575" s="32">
        <v>4312.0389390741075</v>
      </c>
      <c r="G575" s="31">
        <v>0.94983761332375383</v>
      </c>
      <c r="H575" s="32">
        <v>10665.609564400173</v>
      </c>
      <c r="I575" s="31">
        <v>0.82677394930101955</v>
      </c>
      <c r="J575" s="32">
        <v>4206.2432549951545</v>
      </c>
      <c r="L575" s="43">
        <f t="shared" si="64"/>
        <v>-11638.023788200564</v>
      </c>
      <c r="M575" s="43">
        <f t="shared" si="65"/>
        <v>-178.16919256900928</v>
      </c>
      <c r="N575" s="43">
        <f t="shared" si="66"/>
        <v>-5916.4214977814036</v>
      </c>
      <c r="O575" s="43">
        <f t="shared" si="67"/>
        <v>-72.373508490056338</v>
      </c>
      <c r="Q575" s="42">
        <f t="shared" si="68"/>
        <v>0</v>
      </c>
      <c r="R575" s="42">
        <f t="shared" si="69"/>
        <v>0</v>
      </c>
      <c r="S575" s="42">
        <f t="shared" si="70"/>
        <v>0</v>
      </c>
      <c r="T575" s="42">
        <f t="shared" si="71"/>
        <v>1</v>
      </c>
    </row>
    <row r="576" spans="1:20" x14ac:dyDescent="0.2">
      <c r="A576" s="30">
        <v>569</v>
      </c>
      <c r="C576" s="31">
        <v>0.96748893908911193</v>
      </c>
      <c r="D576" s="32">
        <v>15795.49039357392</v>
      </c>
      <c r="E576" s="31">
        <v>0.83597611618440382</v>
      </c>
      <c r="F576" s="32">
        <v>5847.2729699311885</v>
      </c>
      <c r="G576" s="31">
        <v>0.93413970765633969</v>
      </c>
      <c r="H576" s="32">
        <v>9852.7291907986528</v>
      </c>
      <c r="I576" s="31">
        <v>0.83348200902030312</v>
      </c>
      <c r="J576" s="32">
        <v>4695.2943205345464</v>
      </c>
      <c r="L576" s="43">
        <f t="shared" si="64"/>
        <v>-10958.045698128361</v>
      </c>
      <c r="M576" s="43">
        <f t="shared" si="65"/>
        <v>-1667.3923890091692</v>
      </c>
      <c r="N576" s="43">
        <f t="shared" si="66"/>
        <v>-5182.0306525169544</v>
      </c>
      <c r="O576" s="43">
        <f t="shared" si="67"/>
        <v>-527.88427543303078</v>
      </c>
      <c r="Q576" s="42">
        <f t="shared" si="68"/>
        <v>0</v>
      </c>
      <c r="R576" s="42">
        <f t="shared" si="69"/>
        <v>0</v>
      </c>
      <c r="S576" s="42">
        <f t="shared" si="70"/>
        <v>0</v>
      </c>
      <c r="T576" s="42">
        <f t="shared" si="71"/>
        <v>1</v>
      </c>
    </row>
    <row r="577" spans="1:20" x14ac:dyDescent="0.2">
      <c r="A577" s="30">
        <v>570</v>
      </c>
      <c r="C577" s="31">
        <v>0.97828599509292258</v>
      </c>
      <c r="D577" s="32">
        <v>18444.984149954736</v>
      </c>
      <c r="E577" s="31">
        <v>0.82122450778890088</v>
      </c>
      <c r="F577" s="32">
        <v>3537.1269571391181</v>
      </c>
      <c r="G577" s="31">
        <v>0.94115296688000916</v>
      </c>
      <c r="H577" s="32">
        <v>10376.658451155641</v>
      </c>
      <c r="I577" s="31">
        <v>0.82122450778890088</v>
      </c>
      <c r="J577" s="32">
        <v>3376.4633220409169</v>
      </c>
      <c r="L577" s="43">
        <f t="shared" si="64"/>
        <v>-13553.554174490124</v>
      </c>
      <c r="M577" s="43">
        <f t="shared" si="65"/>
        <v>568.99558180538634</v>
      </c>
      <c r="N577" s="43">
        <f t="shared" si="66"/>
        <v>-5670.8936167555958</v>
      </c>
      <c r="O577" s="43">
        <f t="shared" si="67"/>
        <v>729.65921690358755</v>
      </c>
      <c r="Q577" s="42">
        <f t="shared" si="68"/>
        <v>0</v>
      </c>
      <c r="R577" s="42">
        <f t="shared" si="69"/>
        <v>0</v>
      </c>
      <c r="S577" s="42">
        <f t="shared" si="70"/>
        <v>0</v>
      </c>
      <c r="T577" s="42">
        <f t="shared" si="71"/>
        <v>1</v>
      </c>
    </row>
    <row r="578" spans="1:20" x14ac:dyDescent="0.2">
      <c r="A578" s="30">
        <v>571</v>
      </c>
      <c r="C578" s="31">
        <v>0.99294915238118042</v>
      </c>
      <c r="D578" s="32">
        <v>12759.429926675581</v>
      </c>
      <c r="E578" s="31">
        <v>0.9474496335773428</v>
      </c>
      <c r="F578" s="32">
        <v>4518.2734007585741</v>
      </c>
      <c r="G578" s="31">
        <v>0.94167250064027586</v>
      </c>
      <c r="H578" s="32">
        <v>7838.2660203503074</v>
      </c>
      <c r="I578" s="31">
        <v>0.94167250064027586</v>
      </c>
      <c r="J578" s="32">
        <v>4302.6932061885427</v>
      </c>
      <c r="L578" s="43">
        <f t="shared" si="64"/>
        <v>-7794.6841647696783</v>
      </c>
      <c r="M578" s="43">
        <f t="shared" si="65"/>
        <v>218.97476712814023</v>
      </c>
      <c r="N578" s="43">
        <f t="shared" si="66"/>
        <v>-3129.9035171489277</v>
      </c>
      <c r="O578" s="43">
        <f t="shared" si="67"/>
        <v>405.66929701283698</v>
      </c>
      <c r="Q578" s="42">
        <f t="shared" si="68"/>
        <v>0</v>
      </c>
      <c r="R578" s="42">
        <f t="shared" si="69"/>
        <v>0</v>
      </c>
      <c r="S578" s="42">
        <f t="shared" si="70"/>
        <v>0</v>
      </c>
      <c r="T578" s="42">
        <f t="shared" si="71"/>
        <v>1</v>
      </c>
    </row>
    <row r="579" spans="1:20" x14ac:dyDescent="0.2">
      <c r="A579" s="30">
        <v>572</v>
      </c>
      <c r="C579" s="31">
        <v>0.96982820034282446</v>
      </c>
      <c r="D579" s="32">
        <v>12867.121408822048</v>
      </c>
      <c r="E579" s="31">
        <v>0.88810785615075249</v>
      </c>
      <c r="F579" s="32">
        <v>4072.0582498513318</v>
      </c>
      <c r="G579" s="31">
        <v>0.93468255816909673</v>
      </c>
      <c r="H579" s="32">
        <v>7984.2686921880459</v>
      </c>
      <c r="I579" s="31">
        <v>0.8859692953190621</v>
      </c>
      <c r="J579" s="32">
        <v>3885.5015538731873</v>
      </c>
      <c r="L579" s="43">
        <f t="shared" si="64"/>
        <v>-8017.9804071079252</v>
      </c>
      <c r="M579" s="43">
        <f t="shared" si="65"/>
        <v>368.48103090243103</v>
      </c>
      <c r="N579" s="43">
        <f t="shared" si="66"/>
        <v>-3310.855901342562</v>
      </c>
      <c r="O579" s="43">
        <f t="shared" si="67"/>
        <v>544.3449227221231</v>
      </c>
      <c r="Q579" s="42">
        <f t="shared" si="68"/>
        <v>0</v>
      </c>
      <c r="R579" s="42">
        <f t="shared" si="69"/>
        <v>0</v>
      </c>
      <c r="S579" s="42">
        <f t="shared" si="70"/>
        <v>0</v>
      </c>
      <c r="T579" s="42">
        <f t="shared" si="71"/>
        <v>1</v>
      </c>
    </row>
    <row r="580" spans="1:20" x14ac:dyDescent="0.2">
      <c r="A580" s="30">
        <v>573</v>
      </c>
      <c r="C580" s="31">
        <v>0.99762624428251312</v>
      </c>
      <c r="D580" s="32">
        <v>15836.909570403806</v>
      </c>
      <c r="E580" s="31">
        <v>0.91281601416210534</v>
      </c>
      <c r="F580" s="32">
        <v>4549.0701856580863</v>
      </c>
      <c r="G580" s="31">
        <v>0.97479490171276006</v>
      </c>
      <c r="H580" s="32">
        <v>9737.4849341783975</v>
      </c>
      <c r="I580" s="31">
        <v>0.90565417670039361</v>
      </c>
      <c r="J580" s="32">
        <v>4280.1793245090166</v>
      </c>
      <c r="L580" s="43">
        <f t="shared" si="64"/>
        <v>-10848.77834899124</v>
      </c>
      <c r="M580" s="43">
        <f t="shared" si="65"/>
        <v>15.009885152440802</v>
      </c>
      <c r="N580" s="43">
        <f t="shared" si="66"/>
        <v>-4863.5104256145969</v>
      </c>
      <c r="O580" s="43">
        <f t="shared" si="67"/>
        <v>248.09155899295183</v>
      </c>
      <c r="Q580" s="42">
        <f t="shared" si="68"/>
        <v>0</v>
      </c>
      <c r="R580" s="42">
        <f t="shared" si="69"/>
        <v>0</v>
      </c>
      <c r="S580" s="42">
        <f t="shared" si="70"/>
        <v>0</v>
      </c>
      <c r="T580" s="42">
        <f t="shared" si="71"/>
        <v>1</v>
      </c>
    </row>
    <row r="581" spans="1:20" x14ac:dyDescent="0.2">
      <c r="A581" s="30">
        <v>574</v>
      </c>
      <c r="C581" s="31">
        <v>0.98495828550536424</v>
      </c>
      <c r="D581" s="32">
        <v>13082.769901737371</v>
      </c>
      <c r="E581" s="31">
        <v>0.9284938384798449</v>
      </c>
      <c r="F581" s="32">
        <v>3876.4729573511818</v>
      </c>
      <c r="G581" s="31">
        <v>0.96275292871110807</v>
      </c>
      <c r="H581" s="32">
        <v>7586.7566525584034</v>
      </c>
      <c r="I581" s="31">
        <v>0.92587860770604657</v>
      </c>
      <c r="J581" s="32">
        <v>3668.8416078506998</v>
      </c>
      <c r="L581" s="43">
        <f t="shared" si="64"/>
        <v>-8157.9784742105494</v>
      </c>
      <c r="M581" s="43">
        <f t="shared" si="65"/>
        <v>765.99623504804231</v>
      </c>
      <c r="N581" s="43">
        <f t="shared" si="66"/>
        <v>-2772.9920090028627</v>
      </c>
      <c r="O581" s="43">
        <f t="shared" si="67"/>
        <v>960.55143067953304</v>
      </c>
      <c r="Q581" s="42">
        <f t="shared" si="68"/>
        <v>0</v>
      </c>
      <c r="R581" s="42">
        <f t="shared" si="69"/>
        <v>0</v>
      </c>
      <c r="S581" s="42">
        <f t="shared" si="70"/>
        <v>0</v>
      </c>
      <c r="T581" s="42">
        <f t="shared" si="71"/>
        <v>1</v>
      </c>
    </row>
    <row r="582" spans="1:20" x14ac:dyDescent="0.2">
      <c r="A582" s="30">
        <v>575</v>
      </c>
      <c r="C582" s="31">
        <v>0.92628649179746603</v>
      </c>
      <c r="D582" s="32">
        <v>17202.252499665134</v>
      </c>
      <c r="E582" s="31">
        <v>0.93321728170671903</v>
      </c>
      <c r="F582" s="32">
        <v>5806.4084231794486</v>
      </c>
      <c r="G582" s="31">
        <v>0.93128472710177645</v>
      </c>
      <c r="H582" s="32">
        <v>10945.749052976958</v>
      </c>
      <c r="I582" s="31">
        <v>0.93128472710177634</v>
      </c>
      <c r="J582" s="32">
        <v>5627.0269046992253</v>
      </c>
      <c r="L582" s="43">
        <f t="shared" si="64"/>
        <v>-12570.820040677803</v>
      </c>
      <c r="M582" s="43">
        <f t="shared" si="65"/>
        <v>-1140.3220146458534</v>
      </c>
      <c r="N582" s="43">
        <f t="shared" si="66"/>
        <v>-6289.325417468076</v>
      </c>
      <c r="O582" s="43">
        <f t="shared" si="67"/>
        <v>-970.60326919034378</v>
      </c>
      <c r="Q582" s="42">
        <f t="shared" si="68"/>
        <v>0</v>
      </c>
      <c r="R582" s="42">
        <f t="shared" si="69"/>
        <v>0</v>
      </c>
      <c r="S582" s="42">
        <f t="shared" si="70"/>
        <v>0</v>
      </c>
      <c r="T582" s="42">
        <f t="shared" si="71"/>
        <v>1</v>
      </c>
    </row>
    <row r="583" spans="1:20" x14ac:dyDescent="0.2">
      <c r="A583" s="30">
        <v>576</v>
      </c>
      <c r="C583" s="31">
        <v>0.99622631610427337</v>
      </c>
      <c r="D583" s="32">
        <v>15053.346709063962</v>
      </c>
      <c r="E583" s="31">
        <v>0.95862944981834208</v>
      </c>
      <c r="F583" s="32">
        <v>4670.958469479735</v>
      </c>
      <c r="G583" s="31">
        <v>0.96738523301646084</v>
      </c>
      <c r="H583" s="32">
        <v>8608.2080186116273</v>
      </c>
      <c r="I583" s="31">
        <v>0.95417304545418546</v>
      </c>
      <c r="J583" s="32">
        <v>4447.119557915079</v>
      </c>
      <c r="L583" s="43">
        <f t="shared" si="64"/>
        <v>-10072.215128542595</v>
      </c>
      <c r="M583" s="43">
        <f t="shared" si="65"/>
        <v>122.18877961197541</v>
      </c>
      <c r="N583" s="43">
        <f t="shared" si="66"/>
        <v>-3771.2818535293227</v>
      </c>
      <c r="O583" s="43">
        <f t="shared" si="67"/>
        <v>323.74566935584789</v>
      </c>
      <c r="Q583" s="42">
        <f t="shared" si="68"/>
        <v>0</v>
      </c>
      <c r="R583" s="42">
        <f t="shared" si="69"/>
        <v>0</v>
      </c>
      <c r="S583" s="42">
        <f t="shared" si="70"/>
        <v>0</v>
      </c>
      <c r="T583" s="42">
        <f t="shared" si="71"/>
        <v>1</v>
      </c>
    </row>
    <row r="584" spans="1:20" x14ac:dyDescent="0.2">
      <c r="A584" s="30">
        <v>577</v>
      </c>
      <c r="C584" s="31">
        <v>0.9970113611466781</v>
      </c>
      <c r="D584" s="32">
        <v>14792.670510463295</v>
      </c>
      <c r="E584" s="31">
        <v>0.89540835029623578</v>
      </c>
      <c r="F584" s="32">
        <v>6106.7501476439738</v>
      </c>
      <c r="G584" s="31">
        <v>0.91421791408534658</v>
      </c>
      <c r="H584" s="32">
        <v>8545.3368922643585</v>
      </c>
      <c r="I584" s="31">
        <v>0.89457260348680956</v>
      </c>
      <c r="J584" s="32">
        <v>4812.4639519239927</v>
      </c>
      <c r="L584" s="43">
        <f t="shared" ref="L584:L647" si="72">C584*Rc_-D584</f>
        <v>-9807.6137047299053</v>
      </c>
      <c r="M584" s="43">
        <f t="shared" ref="M584:M647" si="73">E584*Rc_-F584</f>
        <v>-1629.708396162795</v>
      </c>
      <c r="N584" s="43">
        <f t="shared" ref="N584:N647" si="74">G584*Rc_-H584</f>
        <v>-3974.2473218376253</v>
      </c>
      <c r="O584" s="43">
        <f t="shared" ref="O584:O647" si="75">I584*Rc_-J584</f>
        <v>-339.60093448994485</v>
      </c>
      <c r="Q584" s="42">
        <f t="shared" si="68"/>
        <v>0</v>
      </c>
      <c r="R584" s="42">
        <f t="shared" si="69"/>
        <v>0</v>
      </c>
      <c r="S584" s="42">
        <f t="shared" si="70"/>
        <v>0</v>
      </c>
      <c r="T584" s="42">
        <f t="shared" si="71"/>
        <v>1</v>
      </c>
    </row>
    <row r="585" spans="1:20" x14ac:dyDescent="0.2">
      <c r="A585" s="30">
        <v>578</v>
      </c>
      <c r="C585" s="31">
        <v>0.96623333017898028</v>
      </c>
      <c r="D585" s="32">
        <v>15581.887475689671</v>
      </c>
      <c r="E585" s="31">
        <v>0.72690812529796944</v>
      </c>
      <c r="F585" s="32">
        <v>2885.7066793249219</v>
      </c>
      <c r="G585" s="31">
        <v>0.92076111896921176</v>
      </c>
      <c r="H585" s="32">
        <v>10108.363786349551</v>
      </c>
      <c r="I585" s="31">
        <v>0.72669456588205594</v>
      </c>
      <c r="J585" s="32">
        <v>2780.8143109509601</v>
      </c>
      <c r="L585" s="43">
        <f t="shared" si="72"/>
        <v>-10750.720824794771</v>
      </c>
      <c r="M585" s="43">
        <f t="shared" si="73"/>
        <v>748.83394716492512</v>
      </c>
      <c r="N585" s="43">
        <f t="shared" si="74"/>
        <v>-5504.5581915034927</v>
      </c>
      <c r="O585" s="43">
        <f t="shared" si="75"/>
        <v>852.65851845931957</v>
      </c>
      <c r="Q585" s="42">
        <f t="shared" ref="Q585:Q648" si="76">IF(L585&gt;$M585,IF(L585&gt;$N585,IF(L585&gt;$O585,1,0),0),0)</f>
        <v>0</v>
      </c>
      <c r="R585" s="42">
        <f t="shared" ref="R585:R648" si="77">IF(M585&gt;$L585,IF(M585&gt;$N585,IF(M585&gt;$O585,1,0),0),0)</f>
        <v>0</v>
      </c>
      <c r="S585" s="42">
        <f t="shared" ref="S585:S648" si="78">IF(N585&gt;$M585,IF(N585&gt;$L585,IF(N585&gt;$O585,1,0),0),0)</f>
        <v>0</v>
      </c>
      <c r="T585" s="42">
        <f t="shared" ref="T585:T648" si="79">IF(O585&gt;$M585,IF(O585&gt;$N585,IF(O585&gt;$L585,1,0),0),0)</f>
        <v>1</v>
      </c>
    </row>
    <row r="586" spans="1:20" x14ac:dyDescent="0.2">
      <c r="A586" s="30">
        <v>579</v>
      </c>
      <c r="C586" s="31">
        <v>0.97809996356330164</v>
      </c>
      <c r="D586" s="32">
        <v>15410.858540966137</v>
      </c>
      <c r="E586" s="31">
        <v>0.94775514259877047</v>
      </c>
      <c r="F586" s="32">
        <v>9339.3259083715893</v>
      </c>
      <c r="G586" s="31">
        <v>0.94775514259877069</v>
      </c>
      <c r="H586" s="32">
        <v>9833.765848256422</v>
      </c>
      <c r="I586" s="31">
        <v>0.94775514259877069</v>
      </c>
      <c r="J586" s="32">
        <v>7203.6308822396259</v>
      </c>
      <c r="L586" s="43">
        <f t="shared" si="72"/>
        <v>-10520.358723149629</v>
      </c>
      <c r="M586" s="43">
        <f t="shared" si="73"/>
        <v>-4600.5501953777366</v>
      </c>
      <c r="N586" s="43">
        <f t="shared" si="74"/>
        <v>-5094.9901352625684</v>
      </c>
      <c r="O586" s="43">
        <f t="shared" si="75"/>
        <v>-2464.8551692457722</v>
      </c>
      <c r="Q586" s="42">
        <f t="shared" si="76"/>
        <v>0</v>
      </c>
      <c r="R586" s="42">
        <f t="shared" si="77"/>
        <v>0</v>
      </c>
      <c r="S586" s="42">
        <f t="shared" si="78"/>
        <v>0</v>
      </c>
      <c r="T586" s="42">
        <f t="shared" si="79"/>
        <v>1</v>
      </c>
    </row>
    <row r="587" spans="1:20" x14ac:dyDescent="0.2">
      <c r="A587" s="30">
        <v>580</v>
      </c>
      <c r="C587" s="31">
        <v>0.96755471621528344</v>
      </c>
      <c r="D587" s="32">
        <v>16803.838739382591</v>
      </c>
      <c r="E587" s="31">
        <v>0.92228123792698802</v>
      </c>
      <c r="F587" s="32">
        <v>6886.19484198186</v>
      </c>
      <c r="G587" s="31">
        <v>0.93422150901359224</v>
      </c>
      <c r="H587" s="32">
        <v>9972.2349797509032</v>
      </c>
      <c r="I587" s="31">
        <v>0.91969978004333952</v>
      </c>
      <c r="J587" s="32">
        <v>6011.5598768116997</v>
      </c>
      <c r="L587" s="43">
        <f t="shared" si="72"/>
        <v>-11966.065158306174</v>
      </c>
      <c r="M587" s="43">
        <f t="shared" si="73"/>
        <v>-2274.7886523469197</v>
      </c>
      <c r="N587" s="43">
        <f t="shared" si="74"/>
        <v>-5301.1274346829423</v>
      </c>
      <c r="O587" s="43">
        <f t="shared" si="75"/>
        <v>-1413.0609765950021</v>
      </c>
      <c r="Q587" s="42">
        <f t="shared" si="76"/>
        <v>0</v>
      </c>
      <c r="R587" s="42">
        <f t="shared" si="77"/>
        <v>0</v>
      </c>
      <c r="S587" s="42">
        <f t="shared" si="78"/>
        <v>0</v>
      </c>
      <c r="T587" s="42">
        <f t="shared" si="79"/>
        <v>1</v>
      </c>
    </row>
    <row r="588" spans="1:20" x14ac:dyDescent="0.2">
      <c r="A588" s="30">
        <v>581</v>
      </c>
      <c r="C588" s="31">
        <v>0.99176339794743174</v>
      </c>
      <c r="D588" s="32">
        <v>10115.124275255495</v>
      </c>
      <c r="E588" s="31">
        <v>0.90942691971610656</v>
      </c>
      <c r="F588" s="32">
        <v>3237.5814350795563</v>
      </c>
      <c r="G588" s="31">
        <v>0.95008806059084905</v>
      </c>
      <c r="H588" s="32">
        <v>6312.4958852679838</v>
      </c>
      <c r="I588" s="31">
        <v>0.90393177936077362</v>
      </c>
      <c r="J588" s="32">
        <v>3079.5423318407607</v>
      </c>
      <c r="L588" s="43">
        <f t="shared" si="72"/>
        <v>-5156.3072855183364</v>
      </c>
      <c r="M588" s="43">
        <f t="shared" si="73"/>
        <v>1309.5531635009766</v>
      </c>
      <c r="N588" s="43">
        <f t="shared" si="74"/>
        <v>-1562.0555823137383</v>
      </c>
      <c r="O588" s="43">
        <f t="shared" si="75"/>
        <v>1440.1165649631071</v>
      </c>
      <c r="Q588" s="42">
        <f t="shared" si="76"/>
        <v>0</v>
      </c>
      <c r="R588" s="42">
        <f t="shared" si="77"/>
        <v>0</v>
      </c>
      <c r="S588" s="42">
        <f t="shared" si="78"/>
        <v>0</v>
      </c>
      <c r="T588" s="42">
        <f t="shared" si="79"/>
        <v>1</v>
      </c>
    </row>
    <row r="589" spans="1:20" x14ac:dyDescent="0.2">
      <c r="A589" s="30">
        <v>582</v>
      </c>
      <c r="C589" s="31">
        <v>0.99283906977896808</v>
      </c>
      <c r="D589" s="32">
        <v>15037.761920375191</v>
      </c>
      <c r="E589" s="31">
        <v>0.86957187959117666</v>
      </c>
      <c r="F589" s="32">
        <v>4068.5247739138204</v>
      </c>
      <c r="G589" s="31">
        <v>0.94810633242917952</v>
      </c>
      <c r="H589" s="32">
        <v>9313.5633639877105</v>
      </c>
      <c r="I589" s="31">
        <v>0.86413549112677079</v>
      </c>
      <c r="J589" s="32">
        <v>3827.9295090290912</v>
      </c>
      <c r="L589" s="43">
        <f t="shared" si="72"/>
        <v>-10073.566571480351</v>
      </c>
      <c r="M589" s="43">
        <f t="shared" si="73"/>
        <v>279.3346240420633</v>
      </c>
      <c r="N589" s="43">
        <f t="shared" si="74"/>
        <v>-4573.0317018418127</v>
      </c>
      <c r="O589" s="43">
        <f t="shared" si="75"/>
        <v>492.747946604763</v>
      </c>
      <c r="Q589" s="42">
        <f t="shared" si="76"/>
        <v>0</v>
      </c>
      <c r="R589" s="42">
        <f t="shared" si="77"/>
        <v>0</v>
      </c>
      <c r="S589" s="42">
        <f t="shared" si="78"/>
        <v>0</v>
      </c>
      <c r="T589" s="42">
        <f t="shared" si="79"/>
        <v>1</v>
      </c>
    </row>
    <row r="590" spans="1:20" x14ac:dyDescent="0.2">
      <c r="A590" s="30">
        <v>583</v>
      </c>
      <c r="C590" s="31">
        <v>0.96693665917660132</v>
      </c>
      <c r="D590" s="32">
        <v>12983.150760195496</v>
      </c>
      <c r="E590" s="31">
        <v>0.92038598023134832</v>
      </c>
      <c r="F590" s="32">
        <v>4936.1855740677092</v>
      </c>
      <c r="G590" s="31">
        <v>0.92038598023134821</v>
      </c>
      <c r="H590" s="32">
        <v>7951.4208536289289</v>
      </c>
      <c r="I590" s="31">
        <v>0.92038598023134832</v>
      </c>
      <c r="J590" s="32">
        <v>4804.1320783363153</v>
      </c>
      <c r="L590" s="43">
        <f t="shared" si="72"/>
        <v>-8148.4674643124899</v>
      </c>
      <c r="M590" s="43">
        <f t="shared" si="73"/>
        <v>-334.25567291096741</v>
      </c>
      <c r="N590" s="43">
        <f t="shared" si="74"/>
        <v>-3349.4909524721879</v>
      </c>
      <c r="O590" s="43">
        <f t="shared" si="75"/>
        <v>-202.20217717957348</v>
      </c>
      <c r="Q590" s="42">
        <f t="shared" si="76"/>
        <v>0</v>
      </c>
      <c r="R590" s="42">
        <f t="shared" si="77"/>
        <v>0</v>
      </c>
      <c r="S590" s="42">
        <f t="shared" si="78"/>
        <v>0</v>
      </c>
      <c r="T590" s="42">
        <f t="shared" si="79"/>
        <v>1</v>
      </c>
    </row>
    <row r="591" spans="1:20" x14ac:dyDescent="0.2">
      <c r="A591" s="30">
        <v>584</v>
      </c>
      <c r="C591" s="31">
        <v>0.97642494522382794</v>
      </c>
      <c r="D591" s="32">
        <v>12996.991000176864</v>
      </c>
      <c r="E591" s="31">
        <v>0.79666542927167316</v>
      </c>
      <c r="F591" s="32">
        <v>3065.061646039519</v>
      </c>
      <c r="G591" s="31">
        <v>0.92667661811229252</v>
      </c>
      <c r="H591" s="32">
        <v>8306.3456339001459</v>
      </c>
      <c r="I591" s="31">
        <v>0.79381254192339212</v>
      </c>
      <c r="J591" s="32">
        <v>2911.1276237496777</v>
      </c>
      <c r="L591" s="43">
        <f t="shared" si="72"/>
        <v>-8114.8662740577238</v>
      </c>
      <c r="M591" s="43">
        <f t="shared" si="73"/>
        <v>918.26550031884699</v>
      </c>
      <c r="N591" s="43">
        <f t="shared" si="74"/>
        <v>-3672.9625433386836</v>
      </c>
      <c r="O591" s="43">
        <f t="shared" si="75"/>
        <v>1057.9350858672829</v>
      </c>
      <c r="Q591" s="42">
        <f t="shared" si="76"/>
        <v>0</v>
      </c>
      <c r="R591" s="42">
        <f t="shared" si="77"/>
        <v>0</v>
      </c>
      <c r="S591" s="42">
        <f t="shared" si="78"/>
        <v>0</v>
      </c>
      <c r="T591" s="42">
        <f t="shared" si="79"/>
        <v>1</v>
      </c>
    </row>
    <row r="592" spans="1:20" x14ac:dyDescent="0.2">
      <c r="A592" s="30">
        <v>585</v>
      </c>
      <c r="C592" s="31">
        <v>0.97014661658877532</v>
      </c>
      <c r="D592" s="32">
        <v>15637.698696228099</v>
      </c>
      <c r="E592" s="31">
        <v>0.75114674788922065</v>
      </c>
      <c r="F592" s="32">
        <v>1919.138390509524</v>
      </c>
      <c r="G592" s="31">
        <v>0.97364082153842868</v>
      </c>
      <c r="H592" s="32">
        <v>9334.2055737329592</v>
      </c>
      <c r="I592" s="31">
        <v>0.75085921634509245</v>
      </c>
      <c r="J592" s="32">
        <v>1788.2820198424308</v>
      </c>
      <c r="L592" s="43">
        <f t="shared" si="72"/>
        <v>-10786.965613284221</v>
      </c>
      <c r="M592" s="43">
        <f t="shared" si="73"/>
        <v>1836.5953489365793</v>
      </c>
      <c r="N592" s="43">
        <f t="shared" si="74"/>
        <v>-4466.001466040816</v>
      </c>
      <c r="O592" s="43">
        <f t="shared" si="75"/>
        <v>1966.0140618830312</v>
      </c>
      <c r="Q592" s="42">
        <f t="shared" si="76"/>
        <v>0</v>
      </c>
      <c r="R592" s="42">
        <f t="shared" si="77"/>
        <v>0</v>
      </c>
      <c r="S592" s="42">
        <f t="shared" si="78"/>
        <v>0</v>
      </c>
      <c r="T592" s="42">
        <f t="shared" si="79"/>
        <v>1</v>
      </c>
    </row>
    <row r="593" spans="1:20" x14ac:dyDescent="0.2">
      <c r="A593" s="30">
        <v>586</v>
      </c>
      <c r="C593" s="31">
        <v>0.94119639606998595</v>
      </c>
      <c r="D593" s="32">
        <v>18324.475631083824</v>
      </c>
      <c r="E593" s="31">
        <v>0.90945780095527773</v>
      </c>
      <c r="F593" s="32">
        <v>8895.7954081819153</v>
      </c>
      <c r="G593" s="31">
        <v>0.9579164704886638</v>
      </c>
      <c r="H593" s="32">
        <v>11153.37843236232</v>
      </c>
      <c r="I593" s="31">
        <v>0.90945780095527762</v>
      </c>
      <c r="J593" s="32">
        <v>6779.4935746061128</v>
      </c>
      <c r="L593" s="43">
        <f t="shared" si="72"/>
        <v>-13618.493650733893</v>
      </c>
      <c r="M593" s="43">
        <f t="shared" si="73"/>
        <v>-4348.5064034055267</v>
      </c>
      <c r="N593" s="43">
        <f t="shared" si="74"/>
        <v>-6363.7960799190014</v>
      </c>
      <c r="O593" s="43">
        <f t="shared" si="75"/>
        <v>-2232.2045698297243</v>
      </c>
      <c r="Q593" s="42">
        <f t="shared" si="76"/>
        <v>0</v>
      </c>
      <c r="R593" s="42">
        <f t="shared" si="77"/>
        <v>0</v>
      </c>
      <c r="S593" s="42">
        <f t="shared" si="78"/>
        <v>0</v>
      </c>
      <c r="T593" s="42">
        <f t="shared" si="79"/>
        <v>1</v>
      </c>
    </row>
    <row r="594" spans="1:20" x14ac:dyDescent="0.2">
      <c r="A594" s="30">
        <v>587</v>
      </c>
      <c r="C594" s="31">
        <v>0.97201085255873265</v>
      </c>
      <c r="D594" s="32">
        <v>19808.960340381458</v>
      </c>
      <c r="E594" s="31">
        <v>0.91336754876785564</v>
      </c>
      <c r="F594" s="32">
        <v>6196.0181227918983</v>
      </c>
      <c r="G594" s="31">
        <v>0.96206257998072586</v>
      </c>
      <c r="H594" s="32">
        <v>12119.366041788961</v>
      </c>
      <c r="I594" s="31">
        <v>0.90932374962776752</v>
      </c>
      <c r="J594" s="32">
        <v>5986.9893789726548</v>
      </c>
      <c r="L594" s="43">
        <f t="shared" si="72"/>
        <v>-14948.906077587795</v>
      </c>
      <c r="M594" s="43">
        <f t="shared" si="73"/>
        <v>-1629.1803789526202</v>
      </c>
      <c r="N594" s="43">
        <f t="shared" si="74"/>
        <v>-7309.0531418853316</v>
      </c>
      <c r="O594" s="43">
        <f t="shared" si="75"/>
        <v>-1440.3706308338169</v>
      </c>
      <c r="Q594" s="42">
        <f t="shared" si="76"/>
        <v>0</v>
      </c>
      <c r="R594" s="42">
        <f t="shared" si="77"/>
        <v>0</v>
      </c>
      <c r="S594" s="42">
        <f t="shared" si="78"/>
        <v>0</v>
      </c>
      <c r="T594" s="42">
        <f t="shared" si="79"/>
        <v>1</v>
      </c>
    </row>
    <row r="595" spans="1:20" x14ac:dyDescent="0.2">
      <c r="A595" s="30">
        <v>588</v>
      </c>
      <c r="C595" s="31">
        <v>0.99418160915482401</v>
      </c>
      <c r="D595" s="32">
        <v>14115.617008443878</v>
      </c>
      <c r="E595" s="31">
        <v>0.79054081340860383</v>
      </c>
      <c r="F595" s="32">
        <v>2582.880141507108</v>
      </c>
      <c r="G595" s="31">
        <v>0.97521255590964873</v>
      </c>
      <c r="H595" s="32">
        <v>8671.7293204820853</v>
      </c>
      <c r="I595" s="31">
        <v>0.78998257742142286</v>
      </c>
      <c r="J595" s="32">
        <v>2457.8688641003428</v>
      </c>
      <c r="L595" s="43">
        <f t="shared" si="72"/>
        <v>-9144.708962669758</v>
      </c>
      <c r="M595" s="43">
        <f t="shared" si="73"/>
        <v>1369.8239255359113</v>
      </c>
      <c r="N595" s="43">
        <f t="shared" si="74"/>
        <v>-3795.666540933842</v>
      </c>
      <c r="O595" s="43">
        <f t="shared" si="75"/>
        <v>1492.0440230067716</v>
      </c>
      <c r="Q595" s="42">
        <f t="shared" si="76"/>
        <v>0</v>
      </c>
      <c r="R595" s="42">
        <f t="shared" si="77"/>
        <v>0</v>
      </c>
      <c r="S595" s="42">
        <f t="shared" si="78"/>
        <v>0</v>
      </c>
      <c r="T595" s="42">
        <f t="shared" si="79"/>
        <v>1</v>
      </c>
    </row>
    <row r="596" spans="1:20" x14ac:dyDescent="0.2">
      <c r="A596" s="30">
        <v>589</v>
      </c>
      <c r="C596" s="31">
        <v>0.99200029172161241</v>
      </c>
      <c r="D596" s="32">
        <v>13646.548796953557</v>
      </c>
      <c r="E596" s="31">
        <v>0.77582007250994212</v>
      </c>
      <c r="F596" s="32">
        <v>2927.2541011457765</v>
      </c>
      <c r="G596" s="31">
        <v>0.91469165067787439</v>
      </c>
      <c r="H596" s="32">
        <v>7819.4105399123555</v>
      </c>
      <c r="I596" s="31">
        <v>0.77135287885088921</v>
      </c>
      <c r="J596" s="32">
        <v>2665.5621036261737</v>
      </c>
      <c r="L596" s="43">
        <f t="shared" si="72"/>
        <v>-8686.5473383454955</v>
      </c>
      <c r="M596" s="43">
        <f t="shared" si="73"/>
        <v>951.84626140393402</v>
      </c>
      <c r="N596" s="43">
        <f t="shared" si="74"/>
        <v>-3245.9522865229837</v>
      </c>
      <c r="O596" s="43">
        <f t="shared" si="75"/>
        <v>1191.2022906282723</v>
      </c>
      <c r="Q596" s="42">
        <f t="shared" si="76"/>
        <v>0</v>
      </c>
      <c r="R596" s="42">
        <f t="shared" si="77"/>
        <v>0</v>
      </c>
      <c r="S596" s="42">
        <f t="shared" si="78"/>
        <v>0</v>
      </c>
      <c r="T596" s="42">
        <f t="shared" si="79"/>
        <v>1</v>
      </c>
    </row>
    <row r="597" spans="1:20" x14ac:dyDescent="0.2">
      <c r="A597" s="30">
        <v>590</v>
      </c>
      <c r="C597" s="31">
        <v>0.99887337478599492</v>
      </c>
      <c r="D597" s="32">
        <v>15358.127067248137</v>
      </c>
      <c r="E597" s="31">
        <v>0.95528469888478229</v>
      </c>
      <c r="F597" s="32">
        <v>8126.4154196360141</v>
      </c>
      <c r="G597" s="31">
        <v>0.94222053069004674</v>
      </c>
      <c r="H597" s="32">
        <v>9165.3354865472393</v>
      </c>
      <c r="I597" s="31">
        <v>0.94222053069004685</v>
      </c>
      <c r="J597" s="32">
        <v>6310.1634587123581</v>
      </c>
      <c r="L597" s="43">
        <f t="shared" si="72"/>
        <v>-10363.760193318161</v>
      </c>
      <c r="M597" s="43">
        <f t="shared" si="73"/>
        <v>-3349.9919252121026</v>
      </c>
      <c r="N597" s="43">
        <f t="shared" si="74"/>
        <v>-4454.2328330970058</v>
      </c>
      <c r="O597" s="43">
        <f t="shared" si="75"/>
        <v>-1599.0608052621237</v>
      </c>
      <c r="Q597" s="42">
        <f t="shared" si="76"/>
        <v>0</v>
      </c>
      <c r="R597" s="42">
        <f t="shared" si="77"/>
        <v>0</v>
      </c>
      <c r="S597" s="42">
        <f t="shared" si="78"/>
        <v>0</v>
      </c>
      <c r="T597" s="42">
        <f t="shared" si="79"/>
        <v>1</v>
      </c>
    </row>
    <row r="598" spans="1:20" x14ac:dyDescent="0.2">
      <c r="A598" s="30">
        <v>591</v>
      </c>
      <c r="C598" s="31">
        <v>0.95819230642670616</v>
      </c>
      <c r="D598" s="32">
        <v>12755.726808992978</v>
      </c>
      <c r="E598" s="31">
        <v>0.89439085214467706</v>
      </c>
      <c r="F598" s="32">
        <v>4532.2015202001776</v>
      </c>
      <c r="G598" s="31">
        <v>0.92083755270535483</v>
      </c>
      <c r="H598" s="32">
        <v>7948.3429384483952</v>
      </c>
      <c r="I598" s="31">
        <v>0.88536335872983796</v>
      </c>
      <c r="J598" s="32">
        <v>4254.233630539512</v>
      </c>
      <c r="L598" s="43">
        <f t="shared" si="72"/>
        <v>-7964.765276859448</v>
      </c>
      <c r="M598" s="43">
        <f t="shared" si="73"/>
        <v>-60.247259476792351</v>
      </c>
      <c r="N598" s="43">
        <f t="shared" si="74"/>
        <v>-3344.1551749216214</v>
      </c>
      <c r="O598" s="43">
        <f t="shared" si="75"/>
        <v>172.58316310967803</v>
      </c>
      <c r="Q598" s="42">
        <f t="shared" si="76"/>
        <v>0</v>
      </c>
      <c r="R598" s="42">
        <f t="shared" si="77"/>
        <v>0</v>
      </c>
      <c r="S598" s="42">
        <f t="shared" si="78"/>
        <v>0</v>
      </c>
      <c r="T598" s="42">
        <f t="shared" si="79"/>
        <v>1</v>
      </c>
    </row>
    <row r="599" spans="1:20" x14ac:dyDescent="0.2">
      <c r="A599" s="30">
        <v>592</v>
      </c>
      <c r="C599" s="31">
        <v>0.99903329289523413</v>
      </c>
      <c r="D599" s="32">
        <v>18650.183746567531</v>
      </c>
      <c r="E599" s="31">
        <v>0.97930448502675249</v>
      </c>
      <c r="F599" s="32">
        <v>6171.2201745810635</v>
      </c>
      <c r="G599" s="31">
        <v>0.97065649784113583</v>
      </c>
      <c r="H599" s="32">
        <v>10559.010961195379</v>
      </c>
      <c r="I599" s="31">
        <v>0.97065649784113583</v>
      </c>
      <c r="J599" s="32">
        <v>5853.1914272188969</v>
      </c>
      <c r="L599" s="43">
        <f t="shared" si="72"/>
        <v>-13655.017282091361</v>
      </c>
      <c r="M599" s="43">
        <f t="shared" si="73"/>
        <v>-1274.6977494473012</v>
      </c>
      <c r="N599" s="43">
        <f t="shared" si="74"/>
        <v>-5705.7284719897007</v>
      </c>
      <c r="O599" s="43">
        <f t="shared" si="75"/>
        <v>-999.90893801321818</v>
      </c>
      <c r="Q599" s="42">
        <f t="shared" si="76"/>
        <v>0</v>
      </c>
      <c r="R599" s="42">
        <f t="shared" si="77"/>
        <v>0</v>
      </c>
      <c r="S599" s="42">
        <f t="shared" si="78"/>
        <v>0</v>
      </c>
      <c r="T599" s="42">
        <f t="shared" si="79"/>
        <v>1</v>
      </c>
    </row>
    <row r="600" spans="1:20" x14ac:dyDescent="0.2">
      <c r="A600" s="30">
        <v>593</v>
      </c>
      <c r="C600" s="31">
        <v>0.99547810355610689</v>
      </c>
      <c r="D600" s="32">
        <v>17164.553258116484</v>
      </c>
      <c r="E600" s="31">
        <v>0.9593310443412405</v>
      </c>
      <c r="F600" s="32">
        <v>6018.1522250165708</v>
      </c>
      <c r="G600" s="31">
        <v>0.95690485134893466</v>
      </c>
      <c r="H600" s="32">
        <v>10637.275328303629</v>
      </c>
      <c r="I600" s="31">
        <v>0.95690485134893477</v>
      </c>
      <c r="J600" s="32">
        <v>5812.1036375486547</v>
      </c>
      <c r="L600" s="43">
        <f t="shared" si="72"/>
        <v>-12187.162740335949</v>
      </c>
      <c r="M600" s="43">
        <f t="shared" si="73"/>
        <v>-1221.4970033103682</v>
      </c>
      <c r="N600" s="43">
        <f t="shared" si="74"/>
        <v>-5852.751071558956</v>
      </c>
      <c r="O600" s="43">
        <f t="shared" si="75"/>
        <v>-1027.5793808039807</v>
      </c>
      <c r="Q600" s="42">
        <f t="shared" si="76"/>
        <v>0</v>
      </c>
      <c r="R600" s="42">
        <f t="shared" si="77"/>
        <v>0</v>
      </c>
      <c r="S600" s="42">
        <f t="shared" si="78"/>
        <v>0</v>
      </c>
      <c r="T600" s="42">
        <f t="shared" si="79"/>
        <v>1</v>
      </c>
    </row>
    <row r="601" spans="1:20" x14ac:dyDescent="0.2">
      <c r="A601" s="30">
        <v>594</v>
      </c>
      <c r="C601" s="31">
        <v>0.98872583270063907</v>
      </c>
      <c r="D601" s="32">
        <v>16609.114892480935</v>
      </c>
      <c r="E601" s="31">
        <v>0.83841679253930135</v>
      </c>
      <c r="F601" s="32">
        <v>8574.4134783343998</v>
      </c>
      <c r="G601" s="31">
        <v>0.90242228541069558</v>
      </c>
      <c r="H601" s="32">
        <v>10263.651704940828</v>
      </c>
      <c r="I601" s="31">
        <v>0.83841679253930135</v>
      </c>
      <c r="J601" s="32">
        <v>6274.8890109526637</v>
      </c>
      <c r="L601" s="43">
        <f t="shared" si="72"/>
        <v>-11665.485728977739</v>
      </c>
      <c r="M601" s="43">
        <f t="shared" si="73"/>
        <v>-4382.3295156378927</v>
      </c>
      <c r="N601" s="43">
        <f t="shared" si="74"/>
        <v>-5751.5402778873504</v>
      </c>
      <c r="O601" s="43">
        <f t="shared" si="75"/>
        <v>-2082.8050482561566</v>
      </c>
      <c r="Q601" s="42">
        <f t="shared" si="76"/>
        <v>0</v>
      </c>
      <c r="R601" s="42">
        <f t="shared" si="77"/>
        <v>0</v>
      </c>
      <c r="S601" s="42">
        <f t="shared" si="78"/>
        <v>0</v>
      </c>
      <c r="T601" s="42">
        <f t="shared" si="79"/>
        <v>1</v>
      </c>
    </row>
    <row r="602" spans="1:20" x14ac:dyDescent="0.2">
      <c r="A602" s="30">
        <v>595</v>
      </c>
      <c r="C602" s="31">
        <v>0.99141780540230018</v>
      </c>
      <c r="D602" s="32">
        <v>17340.824746536586</v>
      </c>
      <c r="E602" s="31">
        <v>0.94760460346332231</v>
      </c>
      <c r="F602" s="32">
        <v>6017.2939698069322</v>
      </c>
      <c r="G602" s="31">
        <v>0.95067319406417139</v>
      </c>
      <c r="H602" s="32">
        <v>10641.873752956004</v>
      </c>
      <c r="I602" s="31">
        <v>0.93889673395159334</v>
      </c>
      <c r="J602" s="32">
        <v>5710.532186286172</v>
      </c>
      <c r="L602" s="43">
        <f t="shared" si="72"/>
        <v>-12383.735719525084</v>
      </c>
      <c r="M602" s="43">
        <f t="shared" si="73"/>
        <v>-1279.2709524903203</v>
      </c>
      <c r="N602" s="43">
        <f t="shared" si="74"/>
        <v>-5888.5077826351471</v>
      </c>
      <c r="O602" s="43">
        <f t="shared" si="75"/>
        <v>-1016.0485165282053</v>
      </c>
      <c r="Q602" s="42">
        <f t="shared" si="76"/>
        <v>0</v>
      </c>
      <c r="R602" s="42">
        <f t="shared" si="77"/>
        <v>0</v>
      </c>
      <c r="S602" s="42">
        <f t="shared" si="78"/>
        <v>0</v>
      </c>
      <c r="T602" s="42">
        <f t="shared" si="79"/>
        <v>1</v>
      </c>
    </row>
    <row r="603" spans="1:20" x14ac:dyDescent="0.2">
      <c r="A603" s="30">
        <v>596</v>
      </c>
      <c r="C603" s="31">
        <v>0.99772886621183032</v>
      </c>
      <c r="D603" s="32">
        <v>15322.398105768809</v>
      </c>
      <c r="E603" s="31">
        <v>0.79601536112267524</v>
      </c>
      <c r="F603" s="32">
        <v>3395.3227993828186</v>
      </c>
      <c r="G603" s="31">
        <v>0.91752614689029821</v>
      </c>
      <c r="H603" s="32">
        <v>9399.1449765653415</v>
      </c>
      <c r="I603" s="31">
        <v>0.79188640976605829</v>
      </c>
      <c r="J603" s="32">
        <v>3179.6499455412045</v>
      </c>
      <c r="L603" s="43">
        <f t="shared" si="72"/>
        <v>-10333.753774709658</v>
      </c>
      <c r="M603" s="43">
        <f t="shared" si="73"/>
        <v>584.75400623055748</v>
      </c>
      <c r="N603" s="43">
        <f t="shared" si="74"/>
        <v>-4811.5142421138507</v>
      </c>
      <c r="O603" s="43">
        <f t="shared" si="75"/>
        <v>779.78210328908699</v>
      </c>
      <c r="Q603" s="42">
        <f t="shared" si="76"/>
        <v>0</v>
      </c>
      <c r="R603" s="42">
        <f t="shared" si="77"/>
        <v>0</v>
      </c>
      <c r="S603" s="42">
        <f t="shared" si="78"/>
        <v>0</v>
      </c>
      <c r="T603" s="42">
        <f t="shared" si="79"/>
        <v>1</v>
      </c>
    </row>
    <row r="604" spans="1:20" x14ac:dyDescent="0.2">
      <c r="A604" s="30">
        <v>597</v>
      </c>
      <c r="C604" s="31">
        <v>0.99885313670136977</v>
      </c>
      <c r="D604" s="32">
        <v>13828.069961449788</v>
      </c>
      <c r="E604" s="31">
        <v>0.91143672371983542</v>
      </c>
      <c r="F604" s="32">
        <v>3928.1760141656514</v>
      </c>
      <c r="G604" s="31">
        <v>0.95950635148149854</v>
      </c>
      <c r="H604" s="32">
        <v>8217.2642868578314</v>
      </c>
      <c r="I604" s="31">
        <v>0.91143672371983542</v>
      </c>
      <c r="J604" s="32">
        <v>3767.9223093231044</v>
      </c>
      <c r="L604" s="43">
        <f t="shared" si="72"/>
        <v>-8833.8042779429379</v>
      </c>
      <c r="M604" s="43">
        <f t="shared" si="73"/>
        <v>629.00760443352556</v>
      </c>
      <c r="N604" s="43">
        <f t="shared" si="74"/>
        <v>-3419.7325294503389</v>
      </c>
      <c r="O604" s="43">
        <f t="shared" si="75"/>
        <v>789.26130927607255</v>
      </c>
      <c r="Q604" s="42">
        <f t="shared" si="76"/>
        <v>0</v>
      </c>
      <c r="R604" s="42">
        <f t="shared" si="77"/>
        <v>0</v>
      </c>
      <c r="S604" s="42">
        <f t="shared" si="78"/>
        <v>0</v>
      </c>
      <c r="T604" s="42">
        <f t="shared" si="79"/>
        <v>1</v>
      </c>
    </row>
    <row r="605" spans="1:20" x14ac:dyDescent="0.2">
      <c r="A605" s="30">
        <v>598</v>
      </c>
      <c r="C605" s="31">
        <v>0.99222005043968209</v>
      </c>
      <c r="D605" s="32">
        <v>16329.783955218732</v>
      </c>
      <c r="E605" s="31">
        <v>0.74087989401074617</v>
      </c>
      <c r="F605" s="32">
        <v>1813.9801145307556</v>
      </c>
      <c r="G605" s="31">
        <v>0.94273012736288941</v>
      </c>
      <c r="H605" s="32">
        <v>10146.374871765564</v>
      </c>
      <c r="I605" s="31">
        <v>0.73795847478670307</v>
      </c>
      <c r="J605" s="32">
        <v>1637.7619492143165</v>
      </c>
      <c r="L605" s="43">
        <f t="shared" si="72"/>
        <v>-11368.683703020322</v>
      </c>
      <c r="M605" s="43">
        <f t="shared" si="73"/>
        <v>1890.4193555229754</v>
      </c>
      <c r="N605" s="43">
        <f t="shared" si="74"/>
        <v>-5432.7242349511162</v>
      </c>
      <c r="O605" s="43">
        <f t="shared" si="75"/>
        <v>2052.0304247191989</v>
      </c>
      <c r="Q605" s="42">
        <f t="shared" si="76"/>
        <v>0</v>
      </c>
      <c r="R605" s="42">
        <f t="shared" si="77"/>
        <v>0</v>
      </c>
      <c r="S605" s="42">
        <f t="shared" si="78"/>
        <v>0</v>
      </c>
      <c r="T605" s="42">
        <f t="shared" si="79"/>
        <v>1</v>
      </c>
    </row>
    <row r="606" spans="1:20" x14ac:dyDescent="0.2">
      <c r="A606" s="30">
        <v>599</v>
      </c>
      <c r="C606" s="31">
        <v>0.98815362547404106</v>
      </c>
      <c r="D606" s="32">
        <v>16054.621143565088</v>
      </c>
      <c r="E606" s="31">
        <v>0.93235739159854691</v>
      </c>
      <c r="F606" s="32">
        <v>5760.2745555489673</v>
      </c>
      <c r="G606" s="31">
        <v>0.96556928053236479</v>
      </c>
      <c r="H606" s="32">
        <v>10611.12227203017</v>
      </c>
      <c r="I606" s="31">
        <v>0.92770284462904962</v>
      </c>
      <c r="J606" s="32">
        <v>5566.4209322713996</v>
      </c>
      <c r="L606" s="43">
        <f t="shared" si="72"/>
        <v>-11113.853016194882</v>
      </c>
      <c r="M606" s="43">
        <f t="shared" si="73"/>
        <v>-1098.4875975562327</v>
      </c>
      <c r="N606" s="43">
        <f t="shared" si="74"/>
        <v>-5783.2758693683463</v>
      </c>
      <c r="O606" s="43">
        <f t="shared" si="75"/>
        <v>-927.90670912615133</v>
      </c>
      <c r="Q606" s="42">
        <f t="shared" si="76"/>
        <v>0</v>
      </c>
      <c r="R606" s="42">
        <f t="shared" si="77"/>
        <v>0</v>
      </c>
      <c r="S606" s="42">
        <f t="shared" si="78"/>
        <v>0</v>
      </c>
      <c r="T606" s="42">
        <f t="shared" si="79"/>
        <v>1</v>
      </c>
    </row>
    <row r="607" spans="1:20" x14ac:dyDescent="0.2">
      <c r="A607" s="30">
        <v>600</v>
      </c>
      <c r="C607" s="31">
        <v>0.99391793696252229</v>
      </c>
      <c r="D607" s="32">
        <v>20714.008146175347</v>
      </c>
      <c r="E607" s="31">
        <v>0.9772531924243506</v>
      </c>
      <c r="F607" s="32">
        <v>8918.5112789330906</v>
      </c>
      <c r="G607" s="31">
        <v>0.97393910391479632</v>
      </c>
      <c r="H607" s="32">
        <v>11794.761261847472</v>
      </c>
      <c r="I607" s="31">
        <v>0.97393910391479632</v>
      </c>
      <c r="J607" s="32">
        <v>7660.7526114275643</v>
      </c>
      <c r="L607" s="43">
        <f t="shared" si="72"/>
        <v>-15744.418461362737</v>
      </c>
      <c r="M607" s="43">
        <f t="shared" si="73"/>
        <v>-4032.2453168113379</v>
      </c>
      <c r="N607" s="43">
        <f t="shared" si="74"/>
        <v>-6925.0657422734903</v>
      </c>
      <c r="O607" s="43">
        <f t="shared" si="75"/>
        <v>-2791.0570918535823</v>
      </c>
      <c r="Q607" s="42">
        <f t="shared" si="76"/>
        <v>0</v>
      </c>
      <c r="R607" s="42">
        <f t="shared" si="77"/>
        <v>0</v>
      </c>
      <c r="S607" s="42">
        <f t="shared" si="78"/>
        <v>0</v>
      </c>
      <c r="T607" s="42">
        <f t="shared" si="79"/>
        <v>1</v>
      </c>
    </row>
    <row r="608" spans="1:20" x14ac:dyDescent="0.2">
      <c r="A608" s="30">
        <v>601</v>
      </c>
      <c r="C608" s="31">
        <v>0.99695793518392573</v>
      </c>
      <c r="D608" s="32">
        <v>13870.611872094985</v>
      </c>
      <c r="E608" s="31">
        <v>0.97278659171379667</v>
      </c>
      <c r="F608" s="32">
        <v>4654.1544256236248</v>
      </c>
      <c r="G608" s="31">
        <v>0.96515776586683366</v>
      </c>
      <c r="H608" s="32">
        <v>8660.2097527226142</v>
      </c>
      <c r="I608" s="31">
        <v>0.96515776586683366</v>
      </c>
      <c r="J608" s="32">
        <v>4415.0075562825086</v>
      </c>
      <c r="L608" s="43">
        <f t="shared" si="72"/>
        <v>-8885.822196175357</v>
      </c>
      <c r="M608" s="43">
        <f t="shared" si="73"/>
        <v>209.77853294535817</v>
      </c>
      <c r="N608" s="43">
        <f t="shared" si="74"/>
        <v>-3834.4209233884458</v>
      </c>
      <c r="O608" s="43">
        <f t="shared" si="75"/>
        <v>410.78127305165981</v>
      </c>
      <c r="Q608" s="42">
        <f t="shared" si="76"/>
        <v>0</v>
      </c>
      <c r="R608" s="42">
        <f t="shared" si="77"/>
        <v>0</v>
      </c>
      <c r="S608" s="42">
        <f t="shared" si="78"/>
        <v>0</v>
      </c>
      <c r="T608" s="42">
        <f t="shared" si="79"/>
        <v>1</v>
      </c>
    </row>
    <row r="609" spans="1:20" x14ac:dyDescent="0.2">
      <c r="A609" s="30">
        <v>602</v>
      </c>
      <c r="C609" s="31">
        <v>0.99670006758411689</v>
      </c>
      <c r="D609" s="32">
        <v>14840.966990477733</v>
      </c>
      <c r="E609" s="31">
        <v>0.92939141005978032</v>
      </c>
      <c r="F609" s="32">
        <v>5003.7463638417312</v>
      </c>
      <c r="G609" s="31">
        <v>0.93576035861546791</v>
      </c>
      <c r="H609" s="32">
        <v>8847.5856738262846</v>
      </c>
      <c r="I609" s="31">
        <v>0.92391440138342307</v>
      </c>
      <c r="J609" s="32">
        <v>4800.5095083235392</v>
      </c>
      <c r="L609" s="43">
        <f t="shared" si="72"/>
        <v>-9857.4666525571483</v>
      </c>
      <c r="M609" s="43">
        <f t="shared" si="73"/>
        <v>-356.7893135428294</v>
      </c>
      <c r="N609" s="43">
        <f t="shared" si="74"/>
        <v>-4168.7838807489452</v>
      </c>
      <c r="O609" s="43">
        <f t="shared" si="75"/>
        <v>-180.93750140642351</v>
      </c>
      <c r="Q609" s="42">
        <f t="shared" si="76"/>
        <v>0</v>
      </c>
      <c r="R609" s="42">
        <f t="shared" si="77"/>
        <v>0</v>
      </c>
      <c r="S609" s="42">
        <f t="shared" si="78"/>
        <v>0</v>
      </c>
      <c r="T609" s="42">
        <f t="shared" si="79"/>
        <v>1</v>
      </c>
    </row>
    <row r="610" spans="1:20" x14ac:dyDescent="0.2">
      <c r="A610" s="30">
        <v>603</v>
      </c>
      <c r="C610" s="31">
        <v>0.99670996742914064</v>
      </c>
      <c r="D610" s="32">
        <v>18343.87847024342</v>
      </c>
      <c r="E610" s="31">
        <v>0.93775939319009338</v>
      </c>
      <c r="F610" s="32">
        <v>12300.482333872844</v>
      </c>
      <c r="G610" s="31">
        <v>0.97310413140719099</v>
      </c>
      <c r="H610" s="32">
        <v>10829.084950306331</v>
      </c>
      <c r="I610" s="31">
        <v>0.93763583829366948</v>
      </c>
      <c r="J610" s="32">
        <v>7804.0362749232836</v>
      </c>
      <c r="L610" s="43">
        <f t="shared" si="72"/>
        <v>-13360.328633097717</v>
      </c>
      <c r="M610" s="43">
        <f t="shared" si="73"/>
        <v>-7611.6853679223768</v>
      </c>
      <c r="N610" s="43">
        <f t="shared" si="74"/>
        <v>-5963.5642932703759</v>
      </c>
      <c r="O610" s="43">
        <f t="shared" si="75"/>
        <v>-3115.8570834549364</v>
      </c>
      <c r="Q610" s="42">
        <f t="shared" si="76"/>
        <v>0</v>
      </c>
      <c r="R610" s="42">
        <f t="shared" si="77"/>
        <v>0</v>
      </c>
      <c r="S610" s="42">
        <f t="shared" si="78"/>
        <v>0</v>
      </c>
      <c r="T610" s="42">
        <f t="shared" si="79"/>
        <v>1</v>
      </c>
    </row>
    <row r="611" spans="1:20" x14ac:dyDescent="0.2">
      <c r="A611" s="30">
        <v>604</v>
      </c>
      <c r="C611" s="31">
        <v>0.98191825654993592</v>
      </c>
      <c r="D611" s="32">
        <v>13877.038070038458</v>
      </c>
      <c r="E611" s="31">
        <v>0.7456635879014254</v>
      </c>
      <c r="F611" s="32">
        <v>5054.4047680874564</v>
      </c>
      <c r="G611" s="31">
        <v>0.94376466437014628</v>
      </c>
      <c r="H611" s="32">
        <v>8635.6731976441879</v>
      </c>
      <c r="I611" s="31">
        <v>0.74513151006624123</v>
      </c>
      <c r="J611" s="32">
        <v>3231.5051636096809</v>
      </c>
      <c r="L611" s="43">
        <f t="shared" si="72"/>
        <v>-8967.4467872887781</v>
      </c>
      <c r="M611" s="43">
        <f t="shared" si="73"/>
        <v>-1326.0868285803294</v>
      </c>
      <c r="N611" s="43">
        <f t="shared" si="74"/>
        <v>-3916.8498757934567</v>
      </c>
      <c r="O611" s="43">
        <f t="shared" si="75"/>
        <v>494.15238672152509</v>
      </c>
      <c r="Q611" s="42">
        <f t="shared" si="76"/>
        <v>0</v>
      </c>
      <c r="R611" s="42">
        <f t="shared" si="77"/>
        <v>0</v>
      </c>
      <c r="S611" s="42">
        <f t="shared" si="78"/>
        <v>0</v>
      </c>
      <c r="T611" s="42">
        <f t="shared" si="79"/>
        <v>1</v>
      </c>
    </row>
    <row r="612" spans="1:20" x14ac:dyDescent="0.2">
      <c r="A612" s="30">
        <v>605</v>
      </c>
      <c r="C612" s="31">
        <v>0.99603511668743117</v>
      </c>
      <c r="D612" s="32">
        <v>16870.917344008078</v>
      </c>
      <c r="E612" s="31">
        <v>0.87526695241519059</v>
      </c>
      <c r="F612" s="32">
        <v>4399.1198693304896</v>
      </c>
      <c r="G612" s="31">
        <v>0.96035896700799483</v>
      </c>
      <c r="H612" s="32">
        <v>9777.5965588099061</v>
      </c>
      <c r="I612" s="31">
        <v>0.86980985530595523</v>
      </c>
      <c r="J612" s="32">
        <v>4182.8007571427606</v>
      </c>
      <c r="L612" s="43">
        <f t="shared" si="72"/>
        <v>-11890.741760570922</v>
      </c>
      <c r="M612" s="43">
        <f t="shared" si="73"/>
        <v>-22.785107254536342</v>
      </c>
      <c r="N612" s="43">
        <f t="shared" si="74"/>
        <v>-4975.8017237699323</v>
      </c>
      <c r="O612" s="43">
        <f t="shared" si="75"/>
        <v>166.24851938701522</v>
      </c>
      <c r="Q612" s="42">
        <f t="shared" si="76"/>
        <v>0</v>
      </c>
      <c r="R612" s="42">
        <f t="shared" si="77"/>
        <v>0</v>
      </c>
      <c r="S612" s="42">
        <f t="shared" si="78"/>
        <v>0</v>
      </c>
      <c r="T612" s="42">
        <f t="shared" si="79"/>
        <v>1</v>
      </c>
    </row>
    <row r="613" spans="1:20" x14ac:dyDescent="0.2">
      <c r="A613" s="30">
        <v>606</v>
      </c>
      <c r="C613" s="31">
        <v>0.97862719028390466</v>
      </c>
      <c r="D613" s="32">
        <v>14682.214683564105</v>
      </c>
      <c r="E613" s="31">
        <v>0.97043444692313829</v>
      </c>
      <c r="F613" s="32">
        <v>4999.6762556358917</v>
      </c>
      <c r="G613" s="31">
        <v>0.9594020733941222</v>
      </c>
      <c r="H613" s="32">
        <v>8357.4047523805457</v>
      </c>
      <c r="I613" s="31">
        <v>0.9594020733941222</v>
      </c>
      <c r="J613" s="32">
        <v>4673.7088446057442</v>
      </c>
      <c r="L613" s="43">
        <f t="shared" si="72"/>
        <v>-9789.0787321445823</v>
      </c>
      <c r="M613" s="43">
        <f t="shared" si="73"/>
        <v>-147.50402102020053</v>
      </c>
      <c r="N613" s="43">
        <f t="shared" si="74"/>
        <v>-3560.3943854099343</v>
      </c>
      <c r="O613" s="43">
        <f t="shared" si="75"/>
        <v>123.3015223648672</v>
      </c>
      <c r="Q613" s="42">
        <f t="shared" si="76"/>
        <v>0</v>
      </c>
      <c r="R613" s="42">
        <f t="shared" si="77"/>
        <v>0</v>
      </c>
      <c r="S613" s="42">
        <f t="shared" si="78"/>
        <v>0</v>
      </c>
      <c r="T613" s="42">
        <f t="shared" si="79"/>
        <v>1</v>
      </c>
    </row>
    <row r="614" spans="1:20" x14ac:dyDescent="0.2">
      <c r="A614" s="30">
        <v>607</v>
      </c>
      <c r="C614" s="31">
        <v>0.99906638468796238</v>
      </c>
      <c r="D614" s="32">
        <v>14925.934977008936</v>
      </c>
      <c r="E614" s="31">
        <v>0.75844839949640774</v>
      </c>
      <c r="F614" s="32">
        <v>2768.7922672777418</v>
      </c>
      <c r="G614" s="31">
        <v>0.90919489856797042</v>
      </c>
      <c r="H614" s="32">
        <v>9229.25385786263</v>
      </c>
      <c r="I614" s="31">
        <v>0.75431570543704818</v>
      </c>
      <c r="J614" s="32">
        <v>2579.9821961687653</v>
      </c>
      <c r="L614" s="43">
        <f t="shared" si="72"/>
        <v>-9930.6030535691243</v>
      </c>
      <c r="M614" s="43">
        <f t="shared" si="73"/>
        <v>1023.4497302042969</v>
      </c>
      <c r="N614" s="43">
        <f t="shared" si="74"/>
        <v>-4683.2793650227777</v>
      </c>
      <c r="O614" s="43">
        <f t="shared" si="75"/>
        <v>1191.5963310164757</v>
      </c>
      <c r="Q614" s="42">
        <f t="shared" si="76"/>
        <v>0</v>
      </c>
      <c r="R614" s="42">
        <f t="shared" si="77"/>
        <v>0</v>
      </c>
      <c r="S614" s="42">
        <f t="shared" si="78"/>
        <v>0</v>
      </c>
      <c r="T614" s="42">
        <f t="shared" si="79"/>
        <v>1</v>
      </c>
    </row>
    <row r="615" spans="1:20" x14ac:dyDescent="0.2">
      <c r="A615" s="30">
        <v>608</v>
      </c>
      <c r="C615" s="31">
        <v>0.99529941983409065</v>
      </c>
      <c r="D615" s="32">
        <v>20705.277638275169</v>
      </c>
      <c r="E615" s="31">
        <v>0.94996341809312912</v>
      </c>
      <c r="F615" s="32">
        <v>11557.727357002364</v>
      </c>
      <c r="G615" s="31">
        <v>0.94996297098808979</v>
      </c>
      <c r="H615" s="32">
        <v>12404.988694648533</v>
      </c>
      <c r="I615" s="31">
        <v>0.94996507945544573</v>
      </c>
      <c r="J615" s="32">
        <v>8589.8325200093168</v>
      </c>
      <c r="L615" s="43">
        <f t="shared" si="72"/>
        <v>-15728.780539104715</v>
      </c>
      <c r="M615" s="43">
        <f t="shared" si="73"/>
        <v>-6807.9102665367191</v>
      </c>
      <c r="N615" s="43">
        <f t="shared" si="74"/>
        <v>-7655.1738397080844</v>
      </c>
      <c r="O615" s="43">
        <f t="shared" si="75"/>
        <v>-3840.0071227320877</v>
      </c>
      <c r="Q615" s="42">
        <f t="shared" si="76"/>
        <v>0</v>
      </c>
      <c r="R615" s="42">
        <f t="shared" si="77"/>
        <v>0</v>
      </c>
      <c r="S615" s="42">
        <f t="shared" si="78"/>
        <v>0</v>
      </c>
      <c r="T615" s="42">
        <f t="shared" si="79"/>
        <v>1</v>
      </c>
    </row>
    <row r="616" spans="1:20" x14ac:dyDescent="0.2">
      <c r="A616" s="30">
        <v>609</v>
      </c>
      <c r="C616" s="31">
        <v>0.98023564533823571</v>
      </c>
      <c r="D616" s="32">
        <v>18387.475208360942</v>
      </c>
      <c r="E616" s="31">
        <v>0.76479158280790938</v>
      </c>
      <c r="F616" s="32">
        <v>3000.2406666119327</v>
      </c>
      <c r="G616" s="31">
        <v>0.95968541259973006</v>
      </c>
      <c r="H616" s="32">
        <v>10967.99783227596</v>
      </c>
      <c r="I616" s="31">
        <v>0.76106545885078325</v>
      </c>
      <c r="J616" s="32">
        <v>2799.3871109860393</v>
      </c>
      <c r="L616" s="43">
        <f t="shared" si="72"/>
        <v>-13486.296981669762</v>
      </c>
      <c r="M616" s="43">
        <f t="shared" si="73"/>
        <v>823.71724742761398</v>
      </c>
      <c r="N616" s="43">
        <f t="shared" si="74"/>
        <v>-6169.5707692773094</v>
      </c>
      <c r="O616" s="43">
        <f t="shared" si="75"/>
        <v>1005.9401832678768</v>
      </c>
      <c r="Q616" s="42">
        <f t="shared" si="76"/>
        <v>0</v>
      </c>
      <c r="R616" s="42">
        <f t="shared" si="77"/>
        <v>0</v>
      </c>
      <c r="S616" s="42">
        <f t="shared" si="78"/>
        <v>0</v>
      </c>
      <c r="T616" s="42">
        <f t="shared" si="79"/>
        <v>1</v>
      </c>
    </row>
    <row r="617" spans="1:20" x14ac:dyDescent="0.2">
      <c r="A617" s="30">
        <v>610</v>
      </c>
      <c r="C617" s="31">
        <v>0.99527096583645414</v>
      </c>
      <c r="D617" s="32">
        <v>15975.588000815776</v>
      </c>
      <c r="E617" s="31">
        <v>0.84925829991099555</v>
      </c>
      <c r="F617" s="32">
        <v>5082.1052564104066</v>
      </c>
      <c r="G617" s="31">
        <v>0.91312844233533985</v>
      </c>
      <c r="H617" s="32">
        <v>10624.103430573166</v>
      </c>
      <c r="I617" s="31">
        <v>0.84489287525490986</v>
      </c>
      <c r="J617" s="32">
        <v>4871.9529285991794</v>
      </c>
      <c r="L617" s="43">
        <f t="shared" si="72"/>
        <v>-10999.233171633507</v>
      </c>
      <c r="M617" s="43">
        <f t="shared" si="73"/>
        <v>-835.81375685542844</v>
      </c>
      <c r="N617" s="43">
        <f t="shared" si="74"/>
        <v>-6058.4612188964675</v>
      </c>
      <c r="O617" s="43">
        <f t="shared" si="75"/>
        <v>-647.48855232463029</v>
      </c>
      <c r="Q617" s="42">
        <f t="shared" si="76"/>
        <v>0</v>
      </c>
      <c r="R617" s="42">
        <f t="shared" si="77"/>
        <v>0</v>
      </c>
      <c r="S617" s="42">
        <f t="shared" si="78"/>
        <v>0</v>
      </c>
      <c r="T617" s="42">
        <f t="shared" si="79"/>
        <v>1</v>
      </c>
    </row>
    <row r="618" spans="1:20" x14ac:dyDescent="0.2">
      <c r="A618" s="30">
        <v>611</v>
      </c>
      <c r="C618" s="31">
        <v>0.98467607712062555</v>
      </c>
      <c r="D618" s="32">
        <v>11043.132062702016</v>
      </c>
      <c r="E618" s="31">
        <v>0.94354205478115016</v>
      </c>
      <c r="F618" s="32">
        <v>4159.6866619465673</v>
      </c>
      <c r="G618" s="31">
        <v>0.93791762835605796</v>
      </c>
      <c r="H618" s="32">
        <v>7198.9660111651619</v>
      </c>
      <c r="I618" s="31">
        <v>0.93791762835605796</v>
      </c>
      <c r="J618" s="32">
        <v>3969.2290378579387</v>
      </c>
      <c r="L618" s="43">
        <f t="shared" si="72"/>
        <v>-6119.7516770988877</v>
      </c>
      <c r="M618" s="43">
        <f t="shared" si="73"/>
        <v>558.02361195918365</v>
      </c>
      <c r="N618" s="43">
        <f t="shared" si="74"/>
        <v>-2509.3778693848717</v>
      </c>
      <c r="O618" s="43">
        <f t="shared" si="75"/>
        <v>720.35910392235155</v>
      </c>
      <c r="Q618" s="42">
        <f t="shared" si="76"/>
        <v>0</v>
      </c>
      <c r="R618" s="42">
        <f t="shared" si="77"/>
        <v>0</v>
      </c>
      <c r="S618" s="42">
        <f t="shared" si="78"/>
        <v>0</v>
      </c>
      <c r="T618" s="42">
        <f t="shared" si="79"/>
        <v>1</v>
      </c>
    </row>
    <row r="619" spans="1:20" x14ac:dyDescent="0.2">
      <c r="A619" s="30">
        <v>612</v>
      </c>
      <c r="C619" s="31">
        <v>0.97391689969814532</v>
      </c>
      <c r="D619" s="32">
        <v>14056.672660310329</v>
      </c>
      <c r="E619" s="31">
        <v>0.79375629039219475</v>
      </c>
      <c r="F619" s="32">
        <v>3485.7155756753114</v>
      </c>
      <c r="G619" s="31">
        <v>0.93142814732302071</v>
      </c>
      <c r="H619" s="32">
        <v>8647.4831923721285</v>
      </c>
      <c r="I619" s="31">
        <v>0.79317269174076577</v>
      </c>
      <c r="J619" s="32">
        <v>3036.181634601754</v>
      </c>
      <c r="L619" s="43">
        <f t="shared" si="72"/>
        <v>-9187.0881618196036</v>
      </c>
      <c r="M619" s="43">
        <f t="shared" si="73"/>
        <v>483.0658762856624</v>
      </c>
      <c r="N619" s="43">
        <f t="shared" si="74"/>
        <v>-3990.3424557570252</v>
      </c>
      <c r="O619" s="43">
        <f t="shared" si="75"/>
        <v>929.68182410207464</v>
      </c>
      <c r="Q619" s="42">
        <f t="shared" si="76"/>
        <v>0</v>
      </c>
      <c r="R619" s="42">
        <f t="shared" si="77"/>
        <v>0</v>
      </c>
      <c r="S619" s="42">
        <f t="shared" si="78"/>
        <v>0</v>
      </c>
      <c r="T619" s="42">
        <f t="shared" si="79"/>
        <v>1</v>
      </c>
    </row>
    <row r="620" spans="1:20" x14ac:dyDescent="0.2">
      <c r="A620" s="30">
        <v>613</v>
      </c>
      <c r="C620" s="31">
        <v>0.98574443700817793</v>
      </c>
      <c r="D620" s="32">
        <v>14544.806638776512</v>
      </c>
      <c r="E620" s="31">
        <v>0.84441320976280498</v>
      </c>
      <c r="F620" s="32">
        <v>4707.1053205019043</v>
      </c>
      <c r="G620" s="31">
        <v>0.96776486186398336</v>
      </c>
      <c r="H620" s="32">
        <v>9335.610423406235</v>
      </c>
      <c r="I620" s="31">
        <v>0.84441320976280498</v>
      </c>
      <c r="J620" s="32">
        <v>3824.5097419779022</v>
      </c>
      <c r="L620" s="43">
        <f t="shared" si="72"/>
        <v>-9616.0844537356224</v>
      </c>
      <c r="M620" s="43">
        <f t="shared" si="73"/>
        <v>-485.03927168787959</v>
      </c>
      <c r="N620" s="43">
        <f t="shared" si="74"/>
        <v>-4496.7861140863179</v>
      </c>
      <c r="O620" s="43">
        <f t="shared" si="75"/>
        <v>397.55630683612253</v>
      </c>
      <c r="Q620" s="42">
        <f t="shared" si="76"/>
        <v>0</v>
      </c>
      <c r="R620" s="42">
        <f t="shared" si="77"/>
        <v>0</v>
      </c>
      <c r="S620" s="42">
        <f t="shared" si="78"/>
        <v>0</v>
      </c>
      <c r="T620" s="42">
        <f t="shared" si="79"/>
        <v>1</v>
      </c>
    </row>
    <row r="621" spans="1:20" x14ac:dyDescent="0.2">
      <c r="A621" s="30">
        <v>614</v>
      </c>
      <c r="C621" s="31">
        <v>0.980683460575001</v>
      </c>
      <c r="D621" s="32">
        <v>14363.484315243793</v>
      </c>
      <c r="E621" s="31">
        <v>0.84685816558264237</v>
      </c>
      <c r="F621" s="32">
        <v>2717.8503046525716</v>
      </c>
      <c r="G621" s="31">
        <v>0.9693318527144843</v>
      </c>
      <c r="H621" s="32">
        <v>8768.6980533887254</v>
      </c>
      <c r="I621" s="31">
        <v>0.84511637431575548</v>
      </c>
      <c r="J621" s="32">
        <v>2572.3961479869176</v>
      </c>
      <c r="L621" s="43">
        <f t="shared" si="72"/>
        <v>-9460.0670123687887</v>
      </c>
      <c r="M621" s="43">
        <f t="shared" si="73"/>
        <v>1516.44052326064</v>
      </c>
      <c r="N621" s="43">
        <f t="shared" si="74"/>
        <v>-3922.0387898163035</v>
      </c>
      <c r="O621" s="43">
        <f t="shared" si="75"/>
        <v>1653.1857235918596</v>
      </c>
      <c r="Q621" s="42">
        <f t="shared" si="76"/>
        <v>0</v>
      </c>
      <c r="R621" s="42">
        <f t="shared" si="77"/>
        <v>0</v>
      </c>
      <c r="S621" s="42">
        <f t="shared" si="78"/>
        <v>0</v>
      </c>
      <c r="T621" s="42">
        <f t="shared" si="79"/>
        <v>1</v>
      </c>
    </row>
    <row r="622" spans="1:20" x14ac:dyDescent="0.2">
      <c r="A622" s="30">
        <v>615</v>
      </c>
      <c r="C622" s="31">
        <v>0.98999684881052363</v>
      </c>
      <c r="D622" s="32">
        <v>15712.49240972434</v>
      </c>
      <c r="E622" s="31">
        <v>0.92468962235190433</v>
      </c>
      <c r="F622" s="32">
        <v>5530.0490619061202</v>
      </c>
      <c r="G622" s="31">
        <v>0.94052640672964827</v>
      </c>
      <c r="H622" s="32">
        <v>9241.9133881574708</v>
      </c>
      <c r="I622" s="31">
        <v>0.91184674172862068</v>
      </c>
      <c r="J622" s="32">
        <v>5170.098945515414</v>
      </c>
      <c r="L622" s="43">
        <f t="shared" si="72"/>
        <v>-10762.508165671723</v>
      </c>
      <c r="M622" s="43">
        <f t="shared" si="73"/>
        <v>-906.60095014659873</v>
      </c>
      <c r="N622" s="43">
        <f t="shared" si="74"/>
        <v>-4539.2813545092295</v>
      </c>
      <c r="O622" s="43">
        <f t="shared" si="75"/>
        <v>-610.86523687231056</v>
      </c>
      <c r="Q622" s="42">
        <f t="shared" si="76"/>
        <v>0</v>
      </c>
      <c r="R622" s="42">
        <f t="shared" si="77"/>
        <v>0</v>
      </c>
      <c r="S622" s="42">
        <f t="shared" si="78"/>
        <v>0</v>
      </c>
      <c r="T622" s="42">
        <f t="shared" si="79"/>
        <v>1</v>
      </c>
    </row>
    <row r="623" spans="1:20" x14ac:dyDescent="0.2">
      <c r="A623" s="30">
        <v>616</v>
      </c>
      <c r="C623" s="31">
        <v>0.99755657492300831</v>
      </c>
      <c r="D623" s="32">
        <v>15662.448934680933</v>
      </c>
      <c r="E623" s="31">
        <v>0.88534621402769298</v>
      </c>
      <c r="F623" s="32">
        <v>4662.3082869239579</v>
      </c>
      <c r="G623" s="31">
        <v>0.98079393178657226</v>
      </c>
      <c r="H623" s="32">
        <v>9478.8396606052174</v>
      </c>
      <c r="I623" s="31">
        <v>0.88534621402769298</v>
      </c>
      <c r="J623" s="32">
        <v>4079.4929130046685</v>
      </c>
      <c r="L623" s="43">
        <f t="shared" si="72"/>
        <v>-10674.666060065891</v>
      </c>
      <c r="M623" s="43">
        <f t="shared" si="73"/>
        <v>-235.57721678549296</v>
      </c>
      <c r="N623" s="43">
        <f t="shared" si="74"/>
        <v>-4574.870001672356</v>
      </c>
      <c r="O623" s="43">
        <f t="shared" si="75"/>
        <v>347.23815713379645</v>
      </c>
      <c r="Q623" s="42">
        <f t="shared" si="76"/>
        <v>0</v>
      </c>
      <c r="R623" s="42">
        <f t="shared" si="77"/>
        <v>0</v>
      </c>
      <c r="S623" s="42">
        <f t="shared" si="78"/>
        <v>0</v>
      </c>
      <c r="T623" s="42">
        <f t="shared" si="79"/>
        <v>1</v>
      </c>
    </row>
    <row r="624" spans="1:20" x14ac:dyDescent="0.2">
      <c r="A624" s="30">
        <v>617</v>
      </c>
      <c r="C624" s="31">
        <v>0.96961472444075936</v>
      </c>
      <c r="D624" s="32">
        <v>14087.049630955926</v>
      </c>
      <c r="E624" s="31">
        <v>0.84186984748237792</v>
      </c>
      <c r="F624" s="32">
        <v>3058.6512222378456</v>
      </c>
      <c r="G624" s="31">
        <v>0.97043015549724854</v>
      </c>
      <c r="H624" s="32">
        <v>8921.6541260316772</v>
      </c>
      <c r="I624" s="31">
        <v>0.83951106536867759</v>
      </c>
      <c r="J624" s="32">
        <v>2933.1457060222738</v>
      </c>
      <c r="L624" s="43">
        <f t="shared" si="72"/>
        <v>-9238.9760087521281</v>
      </c>
      <c r="M624" s="43">
        <f t="shared" si="73"/>
        <v>1150.698015174044</v>
      </c>
      <c r="N624" s="43">
        <f t="shared" si="74"/>
        <v>-4069.5033485454342</v>
      </c>
      <c r="O624" s="43">
        <f t="shared" si="75"/>
        <v>1264.409620821114</v>
      </c>
      <c r="Q624" s="42">
        <f t="shared" si="76"/>
        <v>0</v>
      </c>
      <c r="R624" s="42">
        <f t="shared" si="77"/>
        <v>0</v>
      </c>
      <c r="S624" s="42">
        <f t="shared" si="78"/>
        <v>0</v>
      </c>
      <c r="T624" s="42">
        <f t="shared" si="79"/>
        <v>1</v>
      </c>
    </row>
    <row r="625" spans="1:20" x14ac:dyDescent="0.2">
      <c r="A625" s="30">
        <v>618</v>
      </c>
      <c r="C625" s="31">
        <v>0.99144018232701958</v>
      </c>
      <c r="D625" s="32">
        <v>17616.677229326458</v>
      </c>
      <c r="E625" s="31">
        <v>0.79467533741982388</v>
      </c>
      <c r="F625" s="32">
        <v>3564.1205373064736</v>
      </c>
      <c r="G625" s="31">
        <v>0.95468808264569027</v>
      </c>
      <c r="H625" s="32">
        <v>10698.357713273455</v>
      </c>
      <c r="I625" s="31">
        <v>0.79055274437218004</v>
      </c>
      <c r="J625" s="32">
        <v>3299.5591844345081</v>
      </c>
      <c r="L625" s="43">
        <f t="shared" si="72"/>
        <v>-12659.47631769136</v>
      </c>
      <c r="M625" s="43">
        <f t="shared" si="73"/>
        <v>409.25614979264583</v>
      </c>
      <c r="N625" s="43">
        <f t="shared" si="74"/>
        <v>-5924.9173000450037</v>
      </c>
      <c r="O625" s="43">
        <f t="shared" si="75"/>
        <v>653.20453742639211</v>
      </c>
      <c r="Q625" s="42">
        <f t="shared" si="76"/>
        <v>0</v>
      </c>
      <c r="R625" s="42">
        <f t="shared" si="77"/>
        <v>0</v>
      </c>
      <c r="S625" s="42">
        <f t="shared" si="78"/>
        <v>0</v>
      </c>
      <c r="T625" s="42">
        <f t="shared" si="79"/>
        <v>1</v>
      </c>
    </row>
    <row r="626" spans="1:20" x14ac:dyDescent="0.2">
      <c r="A626" s="30">
        <v>619</v>
      </c>
      <c r="C626" s="31">
        <v>0.99433077703066963</v>
      </c>
      <c r="D626" s="32">
        <v>17619.179938904897</v>
      </c>
      <c r="E626" s="31">
        <v>0.84832578780122858</v>
      </c>
      <c r="F626" s="32">
        <v>6327.1349990816034</v>
      </c>
      <c r="G626" s="31">
        <v>0.93471512969498038</v>
      </c>
      <c r="H626" s="32">
        <v>11190.266722753913</v>
      </c>
      <c r="I626" s="31">
        <v>0.84653210909041265</v>
      </c>
      <c r="J626" s="32">
        <v>5210.9717784287686</v>
      </c>
      <c r="L626" s="43">
        <f t="shared" si="72"/>
        <v>-12647.52605375155</v>
      </c>
      <c r="M626" s="43">
        <f t="shared" si="73"/>
        <v>-2085.5060600754605</v>
      </c>
      <c r="N626" s="43">
        <f t="shared" si="74"/>
        <v>-6516.6910742790114</v>
      </c>
      <c r="O626" s="43">
        <f t="shared" si="75"/>
        <v>-978.31123297670547</v>
      </c>
      <c r="Q626" s="42">
        <f t="shared" si="76"/>
        <v>0</v>
      </c>
      <c r="R626" s="42">
        <f t="shared" si="77"/>
        <v>0</v>
      </c>
      <c r="S626" s="42">
        <f t="shared" si="78"/>
        <v>0</v>
      </c>
      <c r="T626" s="42">
        <f t="shared" si="79"/>
        <v>1</v>
      </c>
    </row>
    <row r="627" spans="1:20" x14ac:dyDescent="0.2">
      <c r="A627" s="30">
        <v>620</v>
      </c>
      <c r="C627" s="31">
        <v>0.9968800625836215</v>
      </c>
      <c r="D627" s="32">
        <v>11598.075754697713</v>
      </c>
      <c r="E627" s="31">
        <v>0.8034635736886182</v>
      </c>
      <c r="F627" s="32">
        <v>3076.0221309183353</v>
      </c>
      <c r="G627" s="31">
        <v>0.9411361426068996</v>
      </c>
      <c r="H627" s="32">
        <v>7118.4986436647123</v>
      </c>
      <c r="I627" s="31">
        <v>0.80297747621431736</v>
      </c>
      <c r="J627" s="32">
        <v>2488.8623587572674</v>
      </c>
      <c r="L627" s="43">
        <f t="shared" si="72"/>
        <v>-6613.6754417796055</v>
      </c>
      <c r="M627" s="43">
        <f t="shared" si="73"/>
        <v>941.29573752475562</v>
      </c>
      <c r="N627" s="43">
        <f t="shared" si="74"/>
        <v>-2412.8179306302145</v>
      </c>
      <c r="O627" s="43">
        <f t="shared" si="75"/>
        <v>1526.0250223143194</v>
      </c>
      <c r="Q627" s="42">
        <f t="shared" si="76"/>
        <v>0</v>
      </c>
      <c r="R627" s="42">
        <f t="shared" si="77"/>
        <v>0</v>
      </c>
      <c r="S627" s="42">
        <f t="shared" si="78"/>
        <v>0</v>
      </c>
      <c r="T627" s="42">
        <f t="shared" si="79"/>
        <v>1</v>
      </c>
    </row>
    <row r="628" spans="1:20" x14ac:dyDescent="0.2">
      <c r="A628" s="30">
        <v>621</v>
      </c>
      <c r="C628" s="31">
        <v>0.98026219946721704</v>
      </c>
      <c r="D628" s="32">
        <v>18033.655482765775</v>
      </c>
      <c r="E628" s="31">
        <v>0.8940281730590891</v>
      </c>
      <c r="F628" s="32">
        <v>5330.7344528849781</v>
      </c>
      <c r="G628" s="31">
        <v>0.9336899977953026</v>
      </c>
      <c r="H628" s="32">
        <v>10468.647640523744</v>
      </c>
      <c r="I628" s="31">
        <v>0.89037652665640388</v>
      </c>
      <c r="J628" s="32">
        <v>5123.7334178502815</v>
      </c>
      <c r="L628" s="43">
        <f t="shared" si="72"/>
        <v>-13132.34448542969</v>
      </c>
      <c r="M628" s="43">
        <f t="shared" si="73"/>
        <v>-860.59358758953294</v>
      </c>
      <c r="N628" s="43">
        <f t="shared" si="74"/>
        <v>-5800.1976515472315</v>
      </c>
      <c r="O628" s="43">
        <f t="shared" si="75"/>
        <v>-671.8507845682625</v>
      </c>
      <c r="Q628" s="42">
        <f t="shared" si="76"/>
        <v>0</v>
      </c>
      <c r="R628" s="42">
        <f t="shared" si="77"/>
        <v>0</v>
      </c>
      <c r="S628" s="42">
        <f t="shared" si="78"/>
        <v>0</v>
      </c>
      <c r="T628" s="42">
        <f t="shared" si="79"/>
        <v>1</v>
      </c>
    </row>
    <row r="629" spans="1:20" x14ac:dyDescent="0.2">
      <c r="A629" s="30">
        <v>622</v>
      </c>
      <c r="C629" s="31">
        <v>0.99314567146602639</v>
      </c>
      <c r="D629" s="32">
        <v>19605.955500702552</v>
      </c>
      <c r="E629" s="31">
        <v>0.93512690607902871</v>
      </c>
      <c r="F629" s="32">
        <v>7059.1848367995099</v>
      </c>
      <c r="G629" s="31">
        <v>0.9293767906800825</v>
      </c>
      <c r="H629" s="32">
        <v>12109.686200132743</v>
      </c>
      <c r="I629" s="31">
        <v>0.92649714102093339</v>
      </c>
      <c r="J629" s="32">
        <v>6756.5593049805721</v>
      </c>
      <c r="L629" s="43">
        <f t="shared" si="72"/>
        <v>-14640.22714337242</v>
      </c>
      <c r="M629" s="43">
        <f t="shared" si="73"/>
        <v>-2383.550306404366</v>
      </c>
      <c r="N629" s="43">
        <f t="shared" si="74"/>
        <v>-7462.8022467323299</v>
      </c>
      <c r="O629" s="43">
        <f t="shared" si="75"/>
        <v>-2124.0735998759055</v>
      </c>
      <c r="Q629" s="42">
        <f t="shared" si="76"/>
        <v>0</v>
      </c>
      <c r="R629" s="42">
        <f t="shared" si="77"/>
        <v>0</v>
      </c>
      <c r="S629" s="42">
        <f t="shared" si="78"/>
        <v>0</v>
      </c>
      <c r="T629" s="42">
        <f t="shared" si="79"/>
        <v>1</v>
      </c>
    </row>
    <row r="630" spans="1:20" x14ac:dyDescent="0.2">
      <c r="A630" s="30">
        <v>623</v>
      </c>
      <c r="C630" s="31">
        <v>0.99646745161742245</v>
      </c>
      <c r="D630" s="32">
        <v>14890.91477176441</v>
      </c>
      <c r="E630" s="31">
        <v>0.84240624862163105</v>
      </c>
      <c r="F630" s="32">
        <v>3442.301130811873</v>
      </c>
      <c r="G630" s="31">
        <v>0.94139590705453835</v>
      </c>
      <c r="H630" s="32">
        <v>8596.6536095265419</v>
      </c>
      <c r="I630" s="31">
        <v>0.83737039176756212</v>
      </c>
      <c r="J630" s="32">
        <v>3232.5013266189467</v>
      </c>
      <c r="L630" s="43">
        <f t="shared" si="72"/>
        <v>-9908.5775136772972</v>
      </c>
      <c r="M630" s="43">
        <f t="shared" si="73"/>
        <v>769.73011229628264</v>
      </c>
      <c r="N630" s="43">
        <f t="shared" si="74"/>
        <v>-3889.6740742538504</v>
      </c>
      <c r="O630" s="43">
        <f t="shared" si="75"/>
        <v>954.35063221886367</v>
      </c>
      <c r="Q630" s="42">
        <f t="shared" si="76"/>
        <v>0</v>
      </c>
      <c r="R630" s="42">
        <f t="shared" si="77"/>
        <v>0</v>
      </c>
      <c r="S630" s="42">
        <f t="shared" si="78"/>
        <v>0</v>
      </c>
      <c r="T630" s="42">
        <f t="shared" si="79"/>
        <v>1</v>
      </c>
    </row>
    <row r="631" spans="1:20" x14ac:dyDescent="0.2">
      <c r="A631" s="30">
        <v>624</v>
      </c>
      <c r="C631" s="31">
        <v>0.98392541937887013</v>
      </c>
      <c r="D631" s="32">
        <v>17712.149873194612</v>
      </c>
      <c r="E631" s="31">
        <v>0.94872338046023796</v>
      </c>
      <c r="F631" s="32">
        <v>6233.3109192332986</v>
      </c>
      <c r="G631" s="31">
        <v>0.94616873379730382</v>
      </c>
      <c r="H631" s="32">
        <v>10637.546678073702</v>
      </c>
      <c r="I631" s="31">
        <v>0.94616873379730382</v>
      </c>
      <c r="J631" s="32">
        <v>6020.9980036375773</v>
      </c>
      <c r="L631" s="43">
        <f t="shared" si="72"/>
        <v>-12792.522776300262</v>
      </c>
      <c r="M631" s="43">
        <f t="shared" si="73"/>
        <v>-1489.6940169321088</v>
      </c>
      <c r="N631" s="43">
        <f t="shared" si="74"/>
        <v>-5906.7030090871831</v>
      </c>
      <c r="O631" s="43">
        <f t="shared" si="75"/>
        <v>-1290.154334651058</v>
      </c>
      <c r="Q631" s="42">
        <f t="shared" si="76"/>
        <v>0</v>
      </c>
      <c r="R631" s="42">
        <f t="shared" si="77"/>
        <v>0</v>
      </c>
      <c r="S631" s="42">
        <f t="shared" si="78"/>
        <v>0</v>
      </c>
      <c r="T631" s="42">
        <f t="shared" si="79"/>
        <v>1</v>
      </c>
    </row>
    <row r="632" spans="1:20" x14ac:dyDescent="0.2">
      <c r="A632" s="30">
        <v>625</v>
      </c>
      <c r="C632" s="31">
        <v>0.98814465460326695</v>
      </c>
      <c r="D632" s="32">
        <v>11418.403219014221</v>
      </c>
      <c r="E632" s="31">
        <v>0.94577950119213161</v>
      </c>
      <c r="F632" s="32">
        <v>6967.9225336281243</v>
      </c>
      <c r="G632" s="31">
        <v>0.94009943818971853</v>
      </c>
      <c r="H632" s="32">
        <v>6749.2404873983496</v>
      </c>
      <c r="I632" s="31">
        <v>0.94009943818971853</v>
      </c>
      <c r="J632" s="32">
        <v>4819.9737668959906</v>
      </c>
      <c r="L632" s="43">
        <f t="shared" si="72"/>
        <v>-6477.6799459978856</v>
      </c>
      <c r="M632" s="43">
        <f t="shared" si="73"/>
        <v>-2239.025027667466</v>
      </c>
      <c r="N632" s="43">
        <f t="shared" si="74"/>
        <v>-2048.7432964497566</v>
      </c>
      <c r="O632" s="43">
        <f t="shared" si="75"/>
        <v>-119.47657594739758</v>
      </c>
      <c r="Q632" s="42">
        <f t="shared" si="76"/>
        <v>0</v>
      </c>
      <c r="R632" s="42">
        <f t="shared" si="77"/>
        <v>0</v>
      </c>
      <c r="S632" s="42">
        <f t="shared" si="78"/>
        <v>0</v>
      </c>
      <c r="T632" s="42">
        <f t="shared" si="79"/>
        <v>1</v>
      </c>
    </row>
    <row r="633" spans="1:20" x14ac:dyDescent="0.2">
      <c r="A633" s="30">
        <v>626</v>
      </c>
      <c r="C633" s="31">
        <v>0.99446796357501455</v>
      </c>
      <c r="D633" s="32">
        <v>15641.34266002766</v>
      </c>
      <c r="E633" s="31">
        <v>0.92715088070456286</v>
      </c>
      <c r="F633" s="32">
        <v>8286.4910876052418</v>
      </c>
      <c r="G633" s="31">
        <v>0.97106271659573085</v>
      </c>
      <c r="H633" s="32">
        <v>9847.5464767644935</v>
      </c>
      <c r="I633" s="31">
        <v>0.92528006336475821</v>
      </c>
      <c r="J633" s="32">
        <v>6065.1026279216494</v>
      </c>
      <c r="L633" s="43">
        <f t="shared" si="72"/>
        <v>-10669.002842152586</v>
      </c>
      <c r="M633" s="43">
        <f t="shared" si="73"/>
        <v>-3650.736684082427</v>
      </c>
      <c r="N633" s="43">
        <f t="shared" si="74"/>
        <v>-4992.2328937858392</v>
      </c>
      <c r="O633" s="43">
        <f t="shared" si="75"/>
        <v>-1438.702311097858</v>
      </c>
      <c r="Q633" s="42">
        <f t="shared" si="76"/>
        <v>0</v>
      </c>
      <c r="R633" s="42">
        <f t="shared" si="77"/>
        <v>0</v>
      </c>
      <c r="S633" s="42">
        <f t="shared" si="78"/>
        <v>0</v>
      </c>
      <c r="T633" s="42">
        <f t="shared" si="79"/>
        <v>1</v>
      </c>
    </row>
    <row r="634" spans="1:20" x14ac:dyDescent="0.2">
      <c r="A634" s="30">
        <v>627</v>
      </c>
      <c r="C634" s="31">
        <v>0.954265041033726</v>
      </c>
      <c r="D634" s="32">
        <v>15248.693052579456</v>
      </c>
      <c r="E634" s="31">
        <v>0.87926610075479639</v>
      </c>
      <c r="F634" s="32">
        <v>10496.206321896465</v>
      </c>
      <c r="G634" s="31">
        <v>0.893267288284324</v>
      </c>
      <c r="H634" s="32">
        <v>9414.86710042923</v>
      </c>
      <c r="I634" s="31">
        <v>0.8696695306961526</v>
      </c>
      <c r="J634" s="32">
        <v>6883.8841884383464</v>
      </c>
      <c r="L634" s="43">
        <f t="shared" si="72"/>
        <v>-10477.367847410826</v>
      </c>
      <c r="M634" s="43">
        <f t="shared" si="73"/>
        <v>-6099.875818122483</v>
      </c>
      <c r="N634" s="43">
        <f t="shared" si="74"/>
        <v>-4948.5306590076098</v>
      </c>
      <c r="O634" s="43">
        <f t="shared" si="75"/>
        <v>-2535.5365349575832</v>
      </c>
      <c r="Q634" s="42">
        <f t="shared" si="76"/>
        <v>0</v>
      </c>
      <c r="R634" s="42">
        <f t="shared" si="77"/>
        <v>0</v>
      </c>
      <c r="S634" s="42">
        <f t="shared" si="78"/>
        <v>0</v>
      </c>
      <c r="T634" s="42">
        <f t="shared" si="79"/>
        <v>1</v>
      </c>
    </row>
    <row r="635" spans="1:20" x14ac:dyDescent="0.2">
      <c r="A635" s="30">
        <v>628</v>
      </c>
      <c r="C635" s="31">
        <v>0.94467257648961556</v>
      </c>
      <c r="D635" s="32">
        <v>13524.209267184733</v>
      </c>
      <c r="E635" s="31">
        <v>0.95044621000021734</v>
      </c>
      <c r="F635" s="32">
        <v>7856.6703188450683</v>
      </c>
      <c r="G635" s="31">
        <v>0.94510108538743731</v>
      </c>
      <c r="H635" s="32">
        <v>8071.5328115554057</v>
      </c>
      <c r="I635" s="31">
        <v>0.94443963768094896</v>
      </c>
      <c r="J635" s="32">
        <v>5569.4532415800777</v>
      </c>
      <c r="L635" s="43">
        <f t="shared" si="72"/>
        <v>-8800.8463847366547</v>
      </c>
      <c r="M635" s="43">
        <f t="shared" si="73"/>
        <v>-3104.4392688439821</v>
      </c>
      <c r="N635" s="43">
        <f t="shared" si="74"/>
        <v>-3346.027384618219</v>
      </c>
      <c r="O635" s="43">
        <f t="shared" si="75"/>
        <v>-847.25505317533316</v>
      </c>
      <c r="Q635" s="42">
        <f t="shared" si="76"/>
        <v>0</v>
      </c>
      <c r="R635" s="42">
        <f t="shared" si="77"/>
        <v>0</v>
      </c>
      <c r="S635" s="42">
        <f t="shared" si="78"/>
        <v>0</v>
      </c>
      <c r="T635" s="42">
        <f t="shared" si="79"/>
        <v>1</v>
      </c>
    </row>
    <row r="636" spans="1:20" x14ac:dyDescent="0.2">
      <c r="A636" s="30">
        <v>629</v>
      </c>
      <c r="C636" s="31">
        <v>0.99059563950251706</v>
      </c>
      <c r="D636" s="32">
        <v>13439.933884804967</v>
      </c>
      <c r="E636" s="31">
        <v>0.88361223134053257</v>
      </c>
      <c r="F636" s="32">
        <v>3278.2295139058174</v>
      </c>
      <c r="G636" s="31">
        <v>0.95941352674088387</v>
      </c>
      <c r="H636" s="32">
        <v>7977.8267424160867</v>
      </c>
      <c r="I636" s="31">
        <v>0.87665692952339047</v>
      </c>
      <c r="J636" s="32">
        <v>3020.471108451989</v>
      </c>
      <c r="L636" s="43">
        <f t="shared" si="72"/>
        <v>-8486.9556872923822</v>
      </c>
      <c r="M636" s="43">
        <f t="shared" si="73"/>
        <v>1139.8316427968452</v>
      </c>
      <c r="N636" s="43">
        <f t="shared" si="74"/>
        <v>-3180.7591087116671</v>
      </c>
      <c r="O636" s="43">
        <f t="shared" si="75"/>
        <v>1362.8135391649635</v>
      </c>
      <c r="Q636" s="42">
        <f t="shared" si="76"/>
        <v>0</v>
      </c>
      <c r="R636" s="42">
        <f t="shared" si="77"/>
        <v>0</v>
      </c>
      <c r="S636" s="42">
        <f t="shared" si="78"/>
        <v>0</v>
      </c>
      <c r="T636" s="42">
        <f t="shared" si="79"/>
        <v>1</v>
      </c>
    </row>
    <row r="637" spans="1:20" x14ac:dyDescent="0.2">
      <c r="A637" s="30">
        <v>630</v>
      </c>
      <c r="C637" s="31">
        <v>0.99322281000110091</v>
      </c>
      <c r="D637" s="32">
        <v>12593.553341417795</v>
      </c>
      <c r="E637" s="31">
        <v>0.97333026282565549</v>
      </c>
      <c r="F637" s="32">
        <v>5261.1922605451964</v>
      </c>
      <c r="G637" s="31">
        <v>0.96622457184892963</v>
      </c>
      <c r="H637" s="32">
        <v>7557.9629814345735</v>
      </c>
      <c r="I637" s="31">
        <v>0.96622457184892974</v>
      </c>
      <c r="J637" s="32">
        <v>4757.159502267049</v>
      </c>
      <c r="L637" s="43">
        <f t="shared" si="72"/>
        <v>-7627.4392914122909</v>
      </c>
      <c r="M637" s="43">
        <f t="shared" si="73"/>
        <v>-394.54094641691881</v>
      </c>
      <c r="N637" s="43">
        <f t="shared" si="74"/>
        <v>-2726.8401221899258</v>
      </c>
      <c r="O637" s="43">
        <f t="shared" si="75"/>
        <v>73.963356977599688</v>
      </c>
      <c r="Q637" s="42">
        <f t="shared" si="76"/>
        <v>0</v>
      </c>
      <c r="R637" s="42">
        <f t="shared" si="77"/>
        <v>0</v>
      </c>
      <c r="S637" s="42">
        <f t="shared" si="78"/>
        <v>0</v>
      </c>
      <c r="T637" s="42">
        <f t="shared" si="79"/>
        <v>1</v>
      </c>
    </row>
    <row r="638" spans="1:20" x14ac:dyDescent="0.2">
      <c r="A638" s="30">
        <v>631</v>
      </c>
      <c r="C638" s="31">
        <v>0.96872785660938465</v>
      </c>
      <c r="D638" s="32">
        <v>16269.61884909613</v>
      </c>
      <c r="E638" s="31">
        <v>0.78383782119380419</v>
      </c>
      <c r="F638" s="32">
        <v>5290.4679680193103</v>
      </c>
      <c r="G638" s="31">
        <v>0.92509480635812458</v>
      </c>
      <c r="H638" s="32">
        <v>9563.4738923916157</v>
      </c>
      <c r="I638" s="31">
        <v>0.78162936071388822</v>
      </c>
      <c r="J638" s="32">
        <v>3643.4225385053915</v>
      </c>
      <c r="L638" s="43">
        <f t="shared" si="72"/>
        <v>-11425.979566049207</v>
      </c>
      <c r="M638" s="43">
        <f t="shared" si="73"/>
        <v>-1371.2788620502893</v>
      </c>
      <c r="N638" s="43">
        <f t="shared" si="74"/>
        <v>-4937.9998606009931</v>
      </c>
      <c r="O638" s="43">
        <f t="shared" si="75"/>
        <v>264.72426506404963</v>
      </c>
      <c r="Q638" s="42">
        <f t="shared" si="76"/>
        <v>0</v>
      </c>
      <c r="R638" s="42">
        <f t="shared" si="77"/>
        <v>0</v>
      </c>
      <c r="S638" s="42">
        <f t="shared" si="78"/>
        <v>0</v>
      </c>
      <c r="T638" s="42">
        <f t="shared" si="79"/>
        <v>1</v>
      </c>
    </row>
    <row r="639" spans="1:20" x14ac:dyDescent="0.2">
      <c r="A639" s="30">
        <v>632</v>
      </c>
      <c r="C639" s="31">
        <v>0.99696379366574261</v>
      </c>
      <c r="D639" s="32">
        <v>14138.940113107234</v>
      </c>
      <c r="E639" s="31">
        <v>0.79176035809643963</v>
      </c>
      <c r="F639" s="32">
        <v>2515.5190350732751</v>
      </c>
      <c r="G639" s="31">
        <v>0.94695498019627045</v>
      </c>
      <c r="H639" s="32">
        <v>8588.9966946717268</v>
      </c>
      <c r="I639" s="31">
        <v>0.78957940592417253</v>
      </c>
      <c r="J639" s="32">
        <v>2343.418050114366</v>
      </c>
      <c r="L639" s="43">
        <f t="shared" si="72"/>
        <v>-9154.1211447785208</v>
      </c>
      <c r="M639" s="43">
        <f t="shared" si="73"/>
        <v>1443.2827554089231</v>
      </c>
      <c r="N639" s="43">
        <f t="shared" si="74"/>
        <v>-3854.2217936903744</v>
      </c>
      <c r="O639" s="43">
        <f t="shared" si="75"/>
        <v>1604.4789795064967</v>
      </c>
      <c r="Q639" s="42">
        <f t="shared" si="76"/>
        <v>0</v>
      </c>
      <c r="R639" s="42">
        <f t="shared" si="77"/>
        <v>0</v>
      </c>
      <c r="S639" s="42">
        <f t="shared" si="78"/>
        <v>0</v>
      </c>
      <c r="T639" s="42">
        <f t="shared" si="79"/>
        <v>1</v>
      </c>
    </row>
    <row r="640" spans="1:20" x14ac:dyDescent="0.2">
      <c r="A640" s="30">
        <v>633</v>
      </c>
      <c r="C640" s="31">
        <v>0.99774870699045337</v>
      </c>
      <c r="D640" s="32">
        <v>16198.335041678363</v>
      </c>
      <c r="E640" s="31">
        <v>0.80256343016012055</v>
      </c>
      <c r="F640" s="32">
        <v>5165.992923177364</v>
      </c>
      <c r="G640" s="31">
        <v>0.92367794767651534</v>
      </c>
      <c r="H640" s="32">
        <v>10658.284052929326</v>
      </c>
      <c r="I640" s="31">
        <v>0.80032818843417775</v>
      </c>
      <c r="J640" s="32">
        <v>4291.5285881888776</v>
      </c>
      <c r="L640" s="43">
        <f t="shared" si="72"/>
        <v>-11209.591506726098</v>
      </c>
      <c r="M640" s="43">
        <f t="shared" si="73"/>
        <v>-1153.1757723767614</v>
      </c>
      <c r="N640" s="43">
        <f t="shared" si="74"/>
        <v>-6039.8943145467492</v>
      </c>
      <c r="O640" s="43">
        <f t="shared" si="75"/>
        <v>-289.88764601798903</v>
      </c>
      <c r="Q640" s="42">
        <f t="shared" si="76"/>
        <v>0</v>
      </c>
      <c r="R640" s="42">
        <f t="shared" si="77"/>
        <v>0</v>
      </c>
      <c r="S640" s="42">
        <f t="shared" si="78"/>
        <v>0</v>
      </c>
      <c r="T640" s="42">
        <f t="shared" si="79"/>
        <v>1</v>
      </c>
    </row>
    <row r="641" spans="1:20" x14ac:dyDescent="0.2">
      <c r="A641" s="30">
        <v>634</v>
      </c>
      <c r="C641" s="31">
        <v>0.9991182056936746</v>
      </c>
      <c r="D641" s="32">
        <v>13778.952190644188</v>
      </c>
      <c r="E641" s="31">
        <v>0.91508244370325853</v>
      </c>
      <c r="F641" s="32">
        <v>4010.4162710016167</v>
      </c>
      <c r="G641" s="31">
        <v>0.96808149123359322</v>
      </c>
      <c r="H641" s="32">
        <v>8293.9876581473145</v>
      </c>
      <c r="I641" s="31">
        <v>0.91025987474927361</v>
      </c>
      <c r="J641" s="32">
        <v>3771.7231563626215</v>
      </c>
      <c r="L641" s="43">
        <f t="shared" si="72"/>
        <v>-8783.3611621758137</v>
      </c>
      <c r="M641" s="43">
        <f t="shared" si="73"/>
        <v>564.99594751467566</v>
      </c>
      <c r="N641" s="43">
        <f t="shared" si="74"/>
        <v>-3453.5802019793482</v>
      </c>
      <c r="O641" s="43">
        <f t="shared" si="75"/>
        <v>779.57621738374701</v>
      </c>
      <c r="Q641" s="42">
        <f t="shared" si="76"/>
        <v>0</v>
      </c>
      <c r="R641" s="42">
        <f t="shared" si="77"/>
        <v>0</v>
      </c>
      <c r="S641" s="42">
        <f t="shared" si="78"/>
        <v>0</v>
      </c>
      <c r="T641" s="42">
        <f t="shared" si="79"/>
        <v>1</v>
      </c>
    </row>
    <row r="642" spans="1:20" x14ac:dyDescent="0.2">
      <c r="A642" s="30">
        <v>635</v>
      </c>
      <c r="C642" s="31">
        <v>0.97094380920485512</v>
      </c>
      <c r="D642" s="32">
        <v>15044.45294266947</v>
      </c>
      <c r="E642" s="31">
        <v>0.8804406504056751</v>
      </c>
      <c r="F642" s="32">
        <v>5105.0445338210857</v>
      </c>
      <c r="G642" s="31">
        <v>0.89500786525284992</v>
      </c>
      <c r="H642" s="32">
        <v>8926.2801226003485</v>
      </c>
      <c r="I642" s="31">
        <v>0.87268183132454324</v>
      </c>
      <c r="J642" s="32">
        <v>4849.3573503876951</v>
      </c>
      <c r="L642" s="43">
        <f t="shared" si="72"/>
        <v>-10189.733896645193</v>
      </c>
      <c r="M642" s="43">
        <f t="shared" si="73"/>
        <v>-702.84128179271011</v>
      </c>
      <c r="N642" s="43">
        <f t="shared" si="74"/>
        <v>-4451.2407963360993</v>
      </c>
      <c r="O642" s="43">
        <f t="shared" si="75"/>
        <v>-485.9481937649789</v>
      </c>
      <c r="Q642" s="42">
        <f t="shared" si="76"/>
        <v>0</v>
      </c>
      <c r="R642" s="42">
        <f t="shared" si="77"/>
        <v>0</v>
      </c>
      <c r="S642" s="42">
        <f t="shared" si="78"/>
        <v>0</v>
      </c>
      <c r="T642" s="42">
        <f t="shared" si="79"/>
        <v>1</v>
      </c>
    </row>
    <row r="643" spans="1:20" x14ac:dyDescent="0.2">
      <c r="A643" s="30">
        <v>636</v>
      </c>
      <c r="C643" s="31">
        <v>0.99748387047124387</v>
      </c>
      <c r="D643" s="32">
        <v>13673.601131869222</v>
      </c>
      <c r="E643" s="31">
        <v>0.93222896658798393</v>
      </c>
      <c r="F643" s="32">
        <v>6268.9765509749668</v>
      </c>
      <c r="G643" s="31">
        <v>0.92232929827068411</v>
      </c>
      <c r="H643" s="32">
        <v>8107.2313811624663</v>
      </c>
      <c r="I643" s="31">
        <v>0.92232929827068433</v>
      </c>
      <c r="J643" s="32">
        <v>5076.8978217319172</v>
      </c>
      <c r="L643" s="43">
        <f t="shared" si="72"/>
        <v>-8686.1817795130028</v>
      </c>
      <c r="M643" s="43">
        <f t="shared" si="73"/>
        <v>-1607.8317180350468</v>
      </c>
      <c r="N643" s="43">
        <f t="shared" si="74"/>
        <v>-3495.5848898090453</v>
      </c>
      <c r="O643" s="43">
        <f t="shared" si="75"/>
        <v>-465.25133037849537</v>
      </c>
      <c r="Q643" s="42">
        <f t="shared" si="76"/>
        <v>0</v>
      </c>
      <c r="R643" s="42">
        <f t="shared" si="77"/>
        <v>0</v>
      </c>
      <c r="S643" s="42">
        <f t="shared" si="78"/>
        <v>0</v>
      </c>
      <c r="T643" s="42">
        <f t="shared" si="79"/>
        <v>1</v>
      </c>
    </row>
    <row r="644" spans="1:20" x14ac:dyDescent="0.2">
      <c r="A644" s="30">
        <v>637</v>
      </c>
      <c r="C644" s="31">
        <v>0.98380632710289961</v>
      </c>
      <c r="D644" s="32">
        <v>17205.812772454236</v>
      </c>
      <c r="E644" s="31">
        <v>0.83546278065303525</v>
      </c>
      <c r="F644" s="32">
        <v>8486.4416305065806</v>
      </c>
      <c r="G644" s="31">
        <v>0.90480742273126558</v>
      </c>
      <c r="H644" s="32">
        <v>9825.6651853229341</v>
      </c>
      <c r="I644" s="31">
        <v>0.82646965177349274</v>
      </c>
      <c r="J644" s="32">
        <v>5697.3917533692211</v>
      </c>
      <c r="L644" s="43">
        <f t="shared" si="72"/>
        <v>-12286.781136939739</v>
      </c>
      <c r="M644" s="43">
        <f t="shared" si="73"/>
        <v>-4309.1277272414045</v>
      </c>
      <c r="N644" s="43">
        <f t="shared" si="74"/>
        <v>-5301.628071666606</v>
      </c>
      <c r="O644" s="43">
        <f t="shared" si="75"/>
        <v>-1565.0434945017578</v>
      </c>
      <c r="Q644" s="42">
        <f t="shared" si="76"/>
        <v>0</v>
      </c>
      <c r="R644" s="42">
        <f t="shared" si="77"/>
        <v>0</v>
      </c>
      <c r="S644" s="42">
        <f t="shared" si="78"/>
        <v>0</v>
      </c>
      <c r="T644" s="42">
        <f t="shared" si="79"/>
        <v>1</v>
      </c>
    </row>
    <row r="645" spans="1:20" x14ac:dyDescent="0.2">
      <c r="A645" s="30">
        <v>638</v>
      </c>
      <c r="C645" s="31">
        <v>0.99809123896267737</v>
      </c>
      <c r="D645" s="32">
        <v>17322.385736978315</v>
      </c>
      <c r="E645" s="31">
        <v>0.89847512697075627</v>
      </c>
      <c r="F645" s="32">
        <v>9550.4929425197024</v>
      </c>
      <c r="G645" s="31">
        <v>0.89442331882052184</v>
      </c>
      <c r="H645" s="32">
        <v>10713.918193855658</v>
      </c>
      <c r="I645" s="31">
        <v>0.89442331882053094</v>
      </c>
      <c r="J645" s="32">
        <v>7119.3765592883437</v>
      </c>
      <c r="L645" s="43">
        <f t="shared" si="72"/>
        <v>-12331.929542164928</v>
      </c>
      <c r="M645" s="43">
        <f t="shared" si="73"/>
        <v>-5058.1173076659206</v>
      </c>
      <c r="N645" s="43">
        <f t="shared" si="74"/>
        <v>-6241.8015997530483</v>
      </c>
      <c r="O645" s="43">
        <f t="shared" si="75"/>
        <v>-2647.259965185689</v>
      </c>
      <c r="Q645" s="42">
        <f t="shared" si="76"/>
        <v>0</v>
      </c>
      <c r="R645" s="42">
        <f t="shared" si="77"/>
        <v>0</v>
      </c>
      <c r="S645" s="42">
        <f t="shared" si="78"/>
        <v>0</v>
      </c>
      <c r="T645" s="42">
        <f t="shared" si="79"/>
        <v>1</v>
      </c>
    </row>
    <row r="646" spans="1:20" x14ac:dyDescent="0.2">
      <c r="A646" s="30">
        <v>639</v>
      </c>
      <c r="C646" s="31">
        <v>0.98125185967156003</v>
      </c>
      <c r="D646" s="32">
        <v>14933.17180055419</v>
      </c>
      <c r="E646" s="31">
        <v>0.91548280678135585</v>
      </c>
      <c r="F646" s="32">
        <v>5487.8359159389938</v>
      </c>
      <c r="G646" s="31">
        <v>0.90429598859476479</v>
      </c>
      <c r="H646" s="32">
        <v>9018.0108880940079</v>
      </c>
      <c r="I646" s="31">
        <v>0.90429886294125539</v>
      </c>
      <c r="J646" s="32">
        <v>5114.7563376313592</v>
      </c>
      <c r="L646" s="43">
        <f t="shared" si="72"/>
        <v>-10026.912502196388</v>
      </c>
      <c r="M646" s="43">
        <f t="shared" si="73"/>
        <v>-910.42188203221485</v>
      </c>
      <c r="N646" s="43">
        <f t="shared" si="74"/>
        <v>-4496.5309451201838</v>
      </c>
      <c r="O646" s="43">
        <f t="shared" si="75"/>
        <v>-593.26202292508242</v>
      </c>
      <c r="Q646" s="42">
        <f t="shared" si="76"/>
        <v>0</v>
      </c>
      <c r="R646" s="42">
        <f t="shared" si="77"/>
        <v>0</v>
      </c>
      <c r="S646" s="42">
        <f t="shared" si="78"/>
        <v>0</v>
      </c>
      <c r="T646" s="42">
        <f t="shared" si="79"/>
        <v>1</v>
      </c>
    </row>
    <row r="647" spans="1:20" x14ac:dyDescent="0.2">
      <c r="A647" s="30">
        <v>640</v>
      </c>
      <c r="C647" s="31">
        <v>0.99257369653997285</v>
      </c>
      <c r="D647" s="32">
        <v>14315.309596928919</v>
      </c>
      <c r="E647" s="31">
        <v>0.86505922318913764</v>
      </c>
      <c r="F647" s="32">
        <v>4058.0277650817034</v>
      </c>
      <c r="G647" s="31">
        <v>0.94848541520886487</v>
      </c>
      <c r="H647" s="32">
        <v>8180.4510624757922</v>
      </c>
      <c r="I647" s="31">
        <v>0.86454205421187535</v>
      </c>
      <c r="J647" s="32">
        <v>3900.5222429093014</v>
      </c>
      <c r="L647" s="43">
        <f t="shared" si="72"/>
        <v>-9352.4411142290555</v>
      </c>
      <c r="M647" s="43">
        <f t="shared" si="73"/>
        <v>267.26835086398478</v>
      </c>
      <c r="N647" s="43">
        <f t="shared" si="74"/>
        <v>-3438.0239864314681</v>
      </c>
      <c r="O647" s="43">
        <f t="shared" si="75"/>
        <v>422.18802815007575</v>
      </c>
      <c r="Q647" s="42">
        <f t="shared" si="76"/>
        <v>0</v>
      </c>
      <c r="R647" s="42">
        <f t="shared" si="77"/>
        <v>0</v>
      </c>
      <c r="S647" s="42">
        <f t="shared" si="78"/>
        <v>0</v>
      </c>
      <c r="T647" s="42">
        <f t="shared" si="79"/>
        <v>1</v>
      </c>
    </row>
    <row r="648" spans="1:20" x14ac:dyDescent="0.2">
      <c r="A648" s="30">
        <v>641</v>
      </c>
      <c r="C648" s="31">
        <v>0.98546971381641602</v>
      </c>
      <c r="D648" s="32">
        <v>15721.718850539561</v>
      </c>
      <c r="E648" s="31">
        <v>0.90473625297604299</v>
      </c>
      <c r="F648" s="32">
        <v>4979.1704388862927</v>
      </c>
      <c r="G648" s="31">
        <v>0.96515865815591295</v>
      </c>
      <c r="H648" s="32">
        <v>9582.9782961070869</v>
      </c>
      <c r="I648" s="31">
        <v>0.90385708018434308</v>
      </c>
      <c r="J648" s="32">
        <v>4720.8497471390247</v>
      </c>
      <c r="L648" s="43">
        <f t="shared" ref="L648:L711" si="80">C648*Rc_-D648</f>
        <v>-10794.370281457481</v>
      </c>
      <c r="M648" s="43">
        <f t="shared" ref="M648:M711" si="81">E648*Rc_-F648</f>
        <v>-455.48917400607752</v>
      </c>
      <c r="N648" s="43">
        <f t="shared" ref="N648:N711" si="82">G648*Rc_-H648</f>
        <v>-4757.185005327522</v>
      </c>
      <c r="O648" s="43">
        <f t="shared" ref="O648:O711" si="83">I648*Rc_-J648</f>
        <v>-201.56434621730932</v>
      </c>
      <c r="Q648" s="42">
        <f t="shared" si="76"/>
        <v>0</v>
      </c>
      <c r="R648" s="42">
        <f t="shared" si="77"/>
        <v>0</v>
      </c>
      <c r="S648" s="42">
        <f t="shared" si="78"/>
        <v>0</v>
      </c>
      <c r="T648" s="42">
        <f t="shared" si="79"/>
        <v>1</v>
      </c>
    </row>
    <row r="649" spans="1:20" x14ac:dyDescent="0.2">
      <c r="A649" s="30">
        <v>642</v>
      </c>
      <c r="C649" s="31">
        <v>0.98474263170099396</v>
      </c>
      <c r="D649" s="32">
        <v>13712.051735711793</v>
      </c>
      <c r="E649" s="31">
        <v>0.80545255597152476</v>
      </c>
      <c r="F649" s="32">
        <v>3506.1164655233051</v>
      </c>
      <c r="G649" s="31">
        <v>0.95451399363810108</v>
      </c>
      <c r="H649" s="32">
        <v>8032.7287771738274</v>
      </c>
      <c r="I649" s="31">
        <v>0.80302506130428419</v>
      </c>
      <c r="J649" s="32">
        <v>2764.9847209510035</v>
      </c>
      <c r="L649" s="43">
        <f t="shared" si="80"/>
        <v>-8788.3385772068232</v>
      </c>
      <c r="M649" s="43">
        <f t="shared" si="81"/>
        <v>521.1463143343185</v>
      </c>
      <c r="N649" s="43">
        <f t="shared" si="82"/>
        <v>-3260.1588089833222</v>
      </c>
      <c r="O649" s="43">
        <f t="shared" si="83"/>
        <v>1250.1405855704174</v>
      </c>
      <c r="Q649" s="42">
        <f t="shared" ref="Q649:Q712" si="84">IF(L649&gt;$M649,IF(L649&gt;$N649,IF(L649&gt;$O649,1,0),0),0)</f>
        <v>0</v>
      </c>
      <c r="R649" s="42">
        <f t="shared" ref="R649:R712" si="85">IF(M649&gt;$L649,IF(M649&gt;$N649,IF(M649&gt;$O649,1,0),0),0)</f>
        <v>0</v>
      </c>
      <c r="S649" s="42">
        <f t="shared" ref="S649:S712" si="86">IF(N649&gt;$M649,IF(N649&gt;$L649,IF(N649&gt;$O649,1,0),0),0)</f>
        <v>0</v>
      </c>
      <c r="T649" s="42">
        <f t="shared" ref="T649:T712" si="87">IF(O649&gt;$M649,IF(O649&gt;$N649,IF(O649&gt;$L649,1,0),0),0)</f>
        <v>1</v>
      </c>
    </row>
    <row r="650" spans="1:20" x14ac:dyDescent="0.2">
      <c r="A650" s="30">
        <v>643</v>
      </c>
      <c r="C650" s="31">
        <v>0.99609976647166032</v>
      </c>
      <c r="D650" s="32">
        <v>18191.194669488767</v>
      </c>
      <c r="E650" s="31">
        <v>0.75906669078139544</v>
      </c>
      <c r="F650" s="32">
        <v>5193.4801223347149</v>
      </c>
      <c r="G650" s="31">
        <v>0.97848831032562855</v>
      </c>
      <c r="H650" s="32">
        <v>10211.389722068177</v>
      </c>
      <c r="I650" s="31">
        <v>0.75782081365290854</v>
      </c>
      <c r="J650" s="32">
        <v>2800.7444375387427</v>
      </c>
      <c r="L650" s="43">
        <f t="shared" si="80"/>
        <v>-13210.695837130464</v>
      </c>
      <c r="M650" s="43">
        <f t="shared" si="81"/>
        <v>-1398.1466684277375</v>
      </c>
      <c r="N650" s="43">
        <f t="shared" si="82"/>
        <v>-5318.948170440035</v>
      </c>
      <c r="O650" s="43">
        <f t="shared" si="83"/>
        <v>988.35963072579989</v>
      </c>
      <c r="Q650" s="42">
        <f t="shared" si="84"/>
        <v>0</v>
      </c>
      <c r="R650" s="42">
        <f t="shared" si="85"/>
        <v>0</v>
      </c>
      <c r="S650" s="42">
        <f t="shared" si="86"/>
        <v>0</v>
      </c>
      <c r="T650" s="42">
        <f t="shared" si="87"/>
        <v>1</v>
      </c>
    </row>
    <row r="651" spans="1:20" x14ac:dyDescent="0.2">
      <c r="A651" s="30">
        <v>644</v>
      </c>
      <c r="C651" s="31">
        <v>0.9945220321536492</v>
      </c>
      <c r="D651" s="32">
        <v>14907.014527978446</v>
      </c>
      <c r="E651" s="31">
        <v>0.95702820824079837</v>
      </c>
      <c r="F651" s="32">
        <v>5716.8594173602642</v>
      </c>
      <c r="G651" s="31">
        <v>0.9552773669513912</v>
      </c>
      <c r="H651" s="32">
        <v>9605.7829263299172</v>
      </c>
      <c r="I651" s="31">
        <v>0.9552773669513912</v>
      </c>
      <c r="J651" s="32">
        <v>5536.3901890814668</v>
      </c>
      <c r="L651" s="43">
        <f t="shared" si="80"/>
        <v>-9934.4043672102016</v>
      </c>
      <c r="M651" s="43">
        <f t="shared" si="81"/>
        <v>-931.71837615627192</v>
      </c>
      <c r="N651" s="43">
        <f t="shared" si="82"/>
        <v>-4829.3960915729613</v>
      </c>
      <c r="O651" s="43">
        <f t="shared" si="83"/>
        <v>-760.00335432451084</v>
      </c>
      <c r="Q651" s="42">
        <f t="shared" si="84"/>
        <v>0</v>
      </c>
      <c r="R651" s="42">
        <f t="shared" si="85"/>
        <v>0</v>
      </c>
      <c r="S651" s="42">
        <f t="shared" si="86"/>
        <v>0</v>
      </c>
      <c r="T651" s="42">
        <f t="shared" si="87"/>
        <v>1</v>
      </c>
    </row>
    <row r="652" spans="1:20" x14ac:dyDescent="0.2">
      <c r="A652" s="30">
        <v>645</v>
      </c>
      <c r="C652" s="31">
        <v>0.98792129558736419</v>
      </c>
      <c r="D652" s="32">
        <v>17032.901090319243</v>
      </c>
      <c r="E652" s="31">
        <v>0.96095337608948883</v>
      </c>
      <c r="F652" s="32">
        <v>6005.5567606947616</v>
      </c>
      <c r="G652" s="31">
        <v>0.94866911610705906</v>
      </c>
      <c r="H652" s="32">
        <v>10165.745217757725</v>
      </c>
      <c r="I652" s="31">
        <v>0.94866911610705906</v>
      </c>
      <c r="J652" s="32">
        <v>5639.2114848892525</v>
      </c>
      <c r="L652" s="43">
        <f t="shared" si="80"/>
        <v>-12093.294612382422</v>
      </c>
      <c r="M652" s="43">
        <f t="shared" si="81"/>
        <v>-1200.7898802473173</v>
      </c>
      <c r="N652" s="43">
        <f t="shared" si="82"/>
        <v>-5422.3996372224301</v>
      </c>
      <c r="O652" s="43">
        <f t="shared" si="83"/>
        <v>-895.86590435395738</v>
      </c>
      <c r="Q652" s="42">
        <f t="shared" si="84"/>
        <v>0</v>
      </c>
      <c r="R652" s="42">
        <f t="shared" si="85"/>
        <v>0</v>
      </c>
      <c r="S652" s="42">
        <f t="shared" si="86"/>
        <v>0</v>
      </c>
      <c r="T652" s="42">
        <f t="shared" si="87"/>
        <v>1</v>
      </c>
    </row>
    <row r="653" spans="1:20" x14ac:dyDescent="0.2">
      <c r="A653" s="30">
        <v>646</v>
      </c>
      <c r="C653" s="31">
        <v>0.91514844028361753</v>
      </c>
      <c r="D653" s="32">
        <v>14617.853783115879</v>
      </c>
      <c r="E653" s="31">
        <v>0.80555904860110072</v>
      </c>
      <c r="F653" s="32">
        <v>2509.4227486459499</v>
      </c>
      <c r="G653" s="31">
        <v>0.93397376255902353</v>
      </c>
      <c r="H653" s="32">
        <v>8835.4301402360506</v>
      </c>
      <c r="I653" s="31">
        <v>0.80192022040897482</v>
      </c>
      <c r="J653" s="32">
        <v>2311.0367244141457</v>
      </c>
      <c r="L653" s="43">
        <f t="shared" si="80"/>
        <v>-10042.111581697791</v>
      </c>
      <c r="M653" s="43">
        <f t="shared" si="81"/>
        <v>1518.3724943595539</v>
      </c>
      <c r="N653" s="43">
        <f t="shared" si="82"/>
        <v>-4165.5613274409334</v>
      </c>
      <c r="O653" s="43">
        <f t="shared" si="83"/>
        <v>1698.5643776307284</v>
      </c>
      <c r="Q653" s="42">
        <f t="shared" si="84"/>
        <v>0</v>
      </c>
      <c r="R653" s="42">
        <f t="shared" si="85"/>
        <v>0</v>
      </c>
      <c r="S653" s="42">
        <f t="shared" si="86"/>
        <v>0</v>
      </c>
      <c r="T653" s="42">
        <f t="shared" si="87"/>
        <v>1</v>
      </c>
    </row>
    <row r="654" spans="1:20" x14ac:dyDescent="0.2">
      <c r="A654" s="30">
        <v>647</v>
      </c>
      <c r="C654" s="31">
        <v>0.96735870877931562</v>
      </c>
      <c r="D654" s="32">
        <v>16936.732503164341</v>
      </c>
      <c r="E654" s="31">
        <v>0.9374657927447827</v>
      </c>
      <c r="F654" s="32">
        <v>6386.594255011084</v>
      </c>
      <c r="G654" s="31">
        <v>0.93144859435055671</v>
      </c>
      <c r="H654" s="32">
        <v>10654.166839635607</v>
      </c>
      <c r="I654" s="31">
        <v>0.9314485943505566</v>
      </c>
      <c r="J654" s="32">
        <v>6004.159274034243</v>
      </c>
      <c r="L654" s="43">
        <f t="shared" si="80"/>
        <v>-12099.938959267763</v>
      </c>
      <c r="M654" s="43">
        <f t="shared" si="81"/>
        <v>-1699.2652912871708</v>
      </c>
      <c r="N654" s="43">
        <f t="shared" si="82"/>
        <v>-5996.9238678828233</v>
      </c>
      <c r="O654" s="43">
        <f t="shared" si="83"/>
        <v>-1346.91630228146</v>
      </c>
      <c r="Q654" s="42">
        <f t="shared" si="84"/>
        <v>0</v>
      </c>
      <c r="R654" s="42">
        <f t="shared" si="85"/>
        <v>0</v>
      </c>
      <c r="S654" s="42">
        <f t="shared" si="86"/>
        <v>0</v>
      </c>
      <c r="T654" s="42">
        <f t="shared" si="87"/>
        <v>1</v>
      </c>
    </row>
    <row r="655" spans="1:20" x14ac:dyDescent="0.2">
      <c r="A655" s="30">
        <v>648</v>
      </c>
      <c r="C655" s="31">
        <v>0.99966790259748628</v>
      </c>
      <c r="D655" s="32">
        <v>12011.320082357443</v>
      </c>
      <c r="E655" s="31">
        <v>0.91226389203264091</v>
      </c>
      <c r="F655" s="32">
        <v>4046.3494319405668</v>
      </c>
      <c r="G655" s="31">
        <v>0.90848364910073887</v>
      </c>
      <c r="H655" s="32">
        <v>7191.8129711357215</v>
      </c>
      <c r="I655" s="31">
        <v>0.90848364910073887</v>
      </c>
      <c r="J655" s="32">
        <v>3882.5028320238039</v>
      </c>
      <c r="L655" s="43">
        <f t="shared" si="80"/>
        <v>-7012.9805693700109</v>
      </c>
      <c r="M655" s="43">
        <f t="shared" si="81"/>
        <v>514.97002822263812</v>
      </c>
      <c r="N655" s="43">
        <f t="shared" si="82"/>
        <v>-2649.3947256320271</v>
      </c>
      <c r="O655" s="43">
        <f t="shared" si="83"/>
        <v>659.9154134798905</v>
      </c>
      <c r="Q655" s="42">
        <f t="shared" si="84"/>
        <v>0</v>
      </c>
      <c r="R655" s="42">
        <f t="shared" si="85"/>
        <v>0</v>
      </c>
      <c r="S655" s="42">
        <f t="shared" si="86"/>
        <v>0</v>
      </c>
      <c r="T655" s="42">
        <f t="shared" si="87"/>
        <v>1</v>
      </c>
    </row>
    <row r="656" spans="1:20" x14ac:dyDescent="0.2">
      <c r="A656" s="30">
        <v>649</v>
      </c>
      <c r="C656" s="31">
        <v>0.96450065298188814</v>
      </c>
      <c r="D656" s="32">
        <v>16692.563600884514</v>
      </c>
      <c r="E656" s="31">
        <v>0.88673635245995031</v>
      </c>
      <c r="F656" s="32">
        <v>5065.3360859855902</v>
      </c>
      <c r="G656" s="31">
        <v>0.93722488434443552</v>
      </c>
      <c r="H656" s="32">
        <v>10215.151789230857</v>
      </c>
      <c r="I656" s="31">
        <v>0.8852389893248509</v>
      </c>
      <c r="J656" s="32">
        <v>4903.1114580021258</v>
      </c>
      <c r="L656" s="43">
        <f t="shared" si="80"/>
        <v>-11870.060335975073</v>
      </c>
      <c r="M656" s="43">
        <f t="shared" si="81"/>
        <v>-631.65432368583879</v>
      </c>
      <c r="N656" s="43">
        <f t="shared" si="82"/>
        <v>-5529.0273675086792</v>
      </c>
      <c r="O656" s="43">
        <f t="shared" si="83"/>
        <v>-476.91651137787085</v>
      </c>
      <c r="Q656" s="42">
        <f t="shared" si="84"/>
        <v>0</v>
      </c>
      <c r="R656" s="42">
        <f t="shared" si="85"/>
        <v>0</v>
      </c>
      <c r="S656" s="42">
        <f t="shared" si="86"/>
        <v>0</v>
      </c>
      <c r="T656" s="42">
        <f t="shared" si="87"/>
        <v>1</v>
      </c>
    </row>
    <row r="657" spans="1:20" x14ac:dyDescent="0.2">
      <c r="A657" s="30">
        <v>650</v>
      </c>
      <c r="C657" s="31">
        <v>0.99843180805906806</v>
      </c>
      <c r="D657" s="32">
        <v>16321.566493198732</v>
      </c>
      <c r="E657" s="31">
        <v>0.82405989575536576</v>
      </c>
      <c r="F657" s="32">
        <v>5874.5285991419087</v>
      </c>
      <c r="G657" s="31">
        <v>0.97677249782140452</v>
      </c>
      <c r="H657" s="32">
        <v>9258.6433931686843</v>
      </c>
      <c r="I657" s="31">
        <v>0.82405989575536576</v>
      </c>
      <c r="J657" s="32">
        <v>3660.2514847823636</v>
      </c>
      <c r="L657" s="43">
        <f t="shared" si="80"/>
        <v>-11329.407452903391</v>
      </c>
      <c r="M657" s="43">
        <f t="shared" si="81"/>
        <v>-1754.2291203650802</v>
      </c>
      <c r="N657" s="43">
        <f t="shared" si="82"/>
        <v>-4374.7809040616621</v>
      </c>
      <c r="O657" s="43">
        <f t="shared" si="83"/>
        <v>460.04799399446483</v>
      </c>
      <c r="Q657" s="42">
        <f t="shared" si="84"/>
        <v>0</v>
      </c>
      <c r="R657" s="42">
        <f t="shared" si="85"/>
        <v>0</v>
      </c>
      <c r="S657" s="42">
        <f t="shared" si="86"/>
        <v>0</v>
      </c>
      <c r="T657" s="42">
        <f t="shared" si="87"/>
        <v>1</v>
      </c>
    </row>
    <row r="658" spans="1:20" x14ac:dyDescent="0.2">
      <c r="A658" s="30">
        <v>651</v>
      </c>
      <c r="C658" s="31">
        <v>0.97898019965978955</v>
      </c>
      <c r="D658" s="32">
        <v>13474.895791349871</v>
      </c>
      <c r="E658" s="31">
        <v>0.85091823056320992</v>
      </c>
      <c r="F658" s="32">
        <v>5442.3758342683223</v>
      </c>
      <c r="G658" s="31">
        <v>0.95388963440238939</v>
      </c>
      <c r="H658" s="32">
        <v>8357.2537972115988</v>
      </c>
      <c r="I658" s="31">
        <v>0.84288136547820447</v>
      </c>
      <c r="J658" s="32">
        <v>3965.4535179864101</v>
      </c>
      <c r="L658" s="43">
        <f t="shared" si="80"/>
        <v>-8579.9947930509225</v>
      </c>
      <c r="M658" s="43">
        <f t="shared" si="81"/>
        <v>-1187.7846814522727</v>
      </c>
      <c r="N658" s="43">
        <f t="shared" si="82"/>
        <v>-3587.8056251996522</v>
      </c>
      <c r="O658" s="43">
        <f t="shared" si="83"/>
        <v>248.95330940461236</v>
      </c>
      <c r="Q658" s="42">
        <f t="shared" si="84"/>
        <v>0</v>
      </c>
      <c r="R658" s="42">
        <f t="shared" si="85"/>
        <v>0</v>
      </c>
      <c r="S658" s="42">
        <f t="shared" si="86"/>
        <v>0</v>
      </c>
      <c r="T658" s="42">
        <f t="shared" si="87"/>
        <v>1</v>
      </c>
    </row>
    <row r="659" spans="1:20" x14ac:dyDescent="0.2">
      <c r="A659" s="30">
        <v>652</v>
      </c>
      <c r="C659" s="31">
        <v>0.99922528143590694</v>
      </c>
      <c r="D659" s="32">
        <v>15921.834416266238</v>
      </c>
      <c r="E659" s="31">
        <v>0.9292961491927697</v>
      </c>
      <c r="F659" s="32">
        <v>11655.780226512459</v>
      </c>
      <c r="G659" s="31">
        <v>0.95345411328530105</v>
      </c>
      <c r="H659" s="32">
        <v>9992.8519573428839</v>
      </c>
      <c r="I659" s="31">
        <v>0.92929614919370451</v>
      </c>
      <c r="J659" s="32">
        <v>7781.8694993412064</v>
      </c>
      <c r="L659" s="43">
        <f t="shared" si="80"/>
        <v>-10925.708009086702</v>
      </c>
      <c r="M659" s="43">
        <f t="shared" si="81"/>
        <v>-7009.2994805486105</v>
      </c>
      <c r="N659" s="43">
        <f t="shared" si="82"/>
        <v>-5225.581390916379</v>
      </c>
      <c r="O659" s="43">
        <f t="shared" si="83"/>
        <v>-3135.3887533726838</v>
      </c>
      <c r="Q659" s="42">
        <f t="shared" si="84"/>
        <v>0</v>
      </c>
      <c r="R659" s="42">
        <f t="shared" si="85"/>
        <v>0</v>
      </c>
      <c r="S659" s="42">
        <f t="shared" si="86"/>
        <v>0</v>
      </c>
      <c r="T659" s="42">
        <f t="shared" si="87"/>
        <v>1</v>
      </c>
    </row>
    <row r="660" spans="1:20" x14ac:dyDescent="0.2">
      <c r="A660" s="30">
        <v>653</v>
      </c>
      <c r="C660" s="31">
        <v>0.99860071859269017</v>
      </c>
      <c r="D660" s="32">
        <v>17009.324791422234</v>
      </c>
      <c r="E660" s="31">
        <v>0.9005988951840378</v>
      </c>
      <c r="F660" s="32">
        <v>4692.9817766659889</v>
      </c>
      <c r="G660" s="31">
        <v>0.97157332853231471</v>
      </c>
      <c r="H660" s="32">
        <v>10856.241876419928</v>
      </c>
      <c r="I660" s="31">
        <v>0.8968942690903452</v>
      </c>
      <c r="J660" s="32">
        <v>4503.6578952438922</v>
      </c>
      <c r="L660" s="43">
        <f t="shared" si="80"/>
        <v>-12016.321198458783</v>
      </c>
      <c r="M660" s="43">
        <f t="shared" si="81"/>
        <v>-189.98730074579998</v>
      </c>
      <c r="N660" s="43">
        <f t="shared" si="82"/>
        <v>-5998.3752337583546</v>
      </c>
      <c r="O660" s="43">
        <f t="shared" si="83"/>
        <v>-19.186549792166261</v>
      </c>
      <c r="Q660" s="42">
        <f t="shared" si="84"/>
        <v>0</v>
      </c>
      <c r="R660" s="42">
        <f t="shared" si="85"/>
        <v>0</v>
      </c>
      <c r="S660" s="42">
        <f t="shared" si="86"/>
        <v>0</v>
      </c>
      <c r="T660" s="42">
        <f t="shared" si="87"/>
        <v>1</v>
      </c>
    </row>
    <row r="661" spans="1:20" x14ac:dyDescent="0.2">
      <c r="A661" s="30">
        <v>654</v>
      </c>
      <c r="C661" s="31">
        <v>0.96589153778355352</v>
      </c>
      <c r="D661" s="32">
        <v>15734.51910732647</v>
      </c>
      <c r="E661" s="31">
        <v>0.90462401451765673</v>
      </c>
      <c r="F661" s="32">
        <v>5468.4051340036076</v>
      </c>
      <c r="G661" s="31">
        <v>0.89564869244483492</v>
      </c>
      <c r="H661" s="32">
        <v>9538.9485699080869</v>
      </c>
      <c r="I661" s="31">
        <v>0.89565170313792097</v>
      </c>
      <c r="J661" s="32">
        <v>5184.8767220871605</v>
      </c>
      <c r="L661" s="43">
        <f t="shared" si="80"/>
        <v>-10905.061418408703</v>
      </c>
      <c r="M661" s="43">
        <f t="shared" si="81"/>
        <v>-945.28506141532398</v>
      </c>
      <c r="N661" s="43">
        <f t="shared" si="82"/>
        <v>-5060.7051076839125</v>
      </c>
      <c r="O661" s="43">
        <f t="shared" si="83"/>
        <v>-706.6182063975557</v>
      </c>
      <c r="Q661" s="42">
        <f t="shared" si="84"/>
        <v>0</v>
      </c>
      <c r="R661" s="42">
        <f t="shared" si="85"/>
        <v>0</v>
      </c>
      <c r="S661" s="42">
        <f t="shared" si="86"/>
        <v>0</v>
      </c>
      <c r="T661" s="42">
        <f t="shared" si="87"/>
        <v>1</v>
      </c>
    </row>
    <row r="662" spans="1:20" x14ac:dyDescent="0.2">
      <c r="A662" s="30">
        <v>655</v>
      </c>
      <c r="C662" s="31">
        <v>0.9984585702345864</v>
      </c>
      <c r="D662" s="32">
        <v>14579.738640950454</v>
      </c>
      <c r="E662" s="31">
        <v>0.89800658111717624</v>
      </c>
      <c r="F662" s="32">
        <v>7685.8297656218838</v>
      </c>
      <c r="G662" s="31">
        <v>0.94195986679476418</v>
      </c>
      <c r="H662" s="32">
        <v>8373.1314890672747</v>
      </c>
      <c r="I662" s="31">
        <v>0.89006570255928397</v>
      </c>
      <c r="J662" s="32">
        <v>5150.814113454775</v>
      </c>
      <c r="L662" s="43">
        <f t="shared" si="80"/>
        <v>-9587.445789777521</v>
      </c>
      <c r="M662" s="43">
        <f t="shared" si="81"/>
        <v>-3195.7968600360027</v>
      </c>
      <c r="N662" s="43">
        <f t="shared" si="82"/>
        <v>-3663.3321550934543</v>
      </c>
      <c r="O662" s="43">
        <f t="shared" si="83"/>
        <v>-700.485600658355</v>
      </c>
      <c r="Q662" s="42">
        <f t="shared" si="84"/>
        <v>0</v>
      </c>
      <c r="R662" s="42">
        <f t="shared" si="85"/>
        <v>0</v>
      </c>
      <c r="S662" s="42">
        <f t="shared" si="86"/>
        <v>0</v>
      </c>
      <c r="T662" s="42">
        <f t="shared" si="87"/>
        <v>1</v>
      </c>
    </row>
    <row r="663" spans="1:20" x14ac:dyDescent="0.2">
      <c r="A663" s="30">
        <v>656</v>
      </c>
      <c r="C663" s="31">
        <v>0.98993633982194174</v>
      </c>
      <c r="D663" s="32">
        <v>13664.462245318708</v>
      </c>
      <c r="E663" s="31">
        <v>0.75087684376459241</v>
      </c>
      <c r="F663" s="32">
        <v>1870.8841958210342</v>
      </c>
      <c r="G663" s="31">
        <v>0.95343425657300829</v>
      </c>
      <c r="H663" s="32">
        <v>7871.4413699043853</v>
      </c>
      <c r="I663" s="31">
        <v>0.75087684376459241</v>
      </c>
      <c r="J663" s="32">
        <v>1672.199883067929</v>
      </c>
      <c r="L663" s="43">
        <f t="shared" si="80"/>
        <v>-8714.780546209</v>
      </c>
      <c r="M663" s="43">
        <f t="shared" si="81"/>
        <v>1883.5000230019277</v>
      </c>
      <c r="N663" s="43">
        <f t="shared" si="82"/>
        <v>-3104.2700870393437</v>
      </c>
      <c r="O663" s="43">
        <f t="shared" si="83"/>
        <v>2082.1843357550329</v>
      </c>
      <c r="Q663" s="42">
        <f t="shared" si="84"/>
        <v>0</v>
      </c>
      <c r="R663" s="42">
        <f t="shared" si="85"/>
        <v>0</v>
      </c>
      <c r="S663" s="42">
        <f t="shared" si="86"/>
        <v>0</v>
      </c>
      <c r="T663" s="42">
        <f t="shared" si="87"/>
        <v>1</v>
      </c>
    </row>
    <row r="664" spans="1:20" x14ac:dyDescent="0.2">
      <c r="A664" s="30">
        <v>657</v>
      </c>
      <c r="C664" s="31">
        <v>0.98101864453462673</v>
      </c>
      <c r="D664" s="32">
        <v>16729.707203969348</v>
      </c>
      <c r="E664" s="31">
        <v>0.97966905654710335</v>
      </c>
      <c r="F664" s="32">
        <v>7373.3202077274136</v>
      </c>
      <c r="G664" s="31">
        <v>0.97336021557710151</v>
      </c>
      <c r="H664" s="32">
        <v>10572.462787104729</v>
      </c>
      <c r="I664" s="31">
        <v>0.97336021557710151</v>
      </c>
      <c r="J664" s="32">
        <v>7123.9141792379532</v>
      </c>
      <c r="L664" s="43">
        <f t="shared" si="80"/>
        <v>-11824.613981296214</v>
      </c>
      <c r="M664" s="43">
        <f t="shared" si="81"/>
        <v>-2474.9749249918968</v>
      </c>
      <c r="N664" s="43">
        <f t="shared" si="82"/>
        <v>-5705.6617092192209</v>
      </c>
      <c r="O664" s="43">
        <f t="shared" si="83"/>
        <v>-2257.1131013524455</v>
      </c>
      <c r="Q664" s="42">
        <f t="shared" si="84"/>
        <v>0</v>
      </c>
      <c r="R664" s="42">
        <f t="shared" si="85"/>
        <v>0</v>
      </c>
      <c r="S664" s="42">
        <f t="shared" si="86"/>
        <v>0</v>
      </c>
      <c r="T664" s="42">
        <f t="shared" si="87"/>
        <v>1</v>
      </c>
    </row>
    <row r="665" spans="1:20" x14ac:dyDescent="0.2">
      <c r="A665" s="30">
        <v>658</v>
      </c>
      <c r="C665" s="31">
        <v>0.98100206494139419</v>
      </c>
      <c r="D665" s="32">
        <v>14164.282518821037</v>
      </c>
      <c r="E665" s="31">
        <v>0.87061468312665435</v>
      </c>
      <c r="F665" s="32">
        <v>6995.0994249848627</v>
      </c>
      <c r="G665" s="31">
        <v>0.9179212668362744</v>
      </c>
      <c r="H665" s="32">
        <v>8852.9926665924831</v>
      </c>
      <c r="I665" s="31">
        <v>0.86985594070606753</v>
      </c>
      <c r="J665" s="32">
        <v>5387.6558838078854</v>
      </c>
      <c r="L665" s="43">
        <f t="shared" si="80"/>
        <v>-9259.2721941140662</v>
      </c>
      <c r="M665" s="43">
        <f t="shared" si="81"/>
        <v>-2642.0260093515908</v>
      </c>
      <c r="N665" s="43">
        <f t="shared" si="82"/>
        <v>-4263.3863324111107</v>
      </c>
      <c r="O665" s="43">
        <f t="shared" si="83"/>
        <v>-1038.376180277548</v>
      </c>
      <c r="Q665" s="42">
        <f t="shared" si="84"/>
        <v>0</v>
      </c>
      <c r="R665" s="42">
        <f t="shared" si="85"/>
        <v>0</v>
      </c>
      <c r="S665" s="42">
        <f t="shared" si="86"/>
        <v>0</v>
      </c>
      <c r="T665" s="42">
        <f t="shared" si="87"/>
        <v>1</v>
      </c>
    </row>
    <row r="666" spans="1:20" x14ac:dyDescent="0.2">
      <c r="A666" s="30">
        <v>659</v>
      </c>
      <c r="C666" s="31">
        <v>0.98481967549014859</v>
      </c>
      <c r="D666" s="32">
        <v>15725.099336178639</v>
      </c>
      <c r="E666" s="31">
        <v>0.83471918023568681</v>
      </c>
      <c r="F666" s="32">
        <v>5739.5495309617063</v>
      </c>
      <c r="G666" s="31">
        <v>0.94664529596772995</v>
      </c>
      <c r="H666" s="32">
        <v>9393.2719649268129</v>
      </c>
      <c r="I666" s="31">
        <v>0.82850779824180631</v>
      </c>
      <c r="J666" s="32">
        <v>4331.4501275016164</v>
      </c>
      <c r="L666" s="43">
        <f t="shared" si="80"/>
        <v>-10801.000958727895</v>
      </c>
      <c r="M666" s="43">
        <f t="shared" si="81"/>
        <v>-1565.9536297832719</v>
      </c>
      <c r="N666" s="43">
        <f t="shared" si="82"/>
        <v>-4660.0454850881633</v>
      </c>
      <c r="O666" s="43">
        <f t="shared" si="83"/>
        <v>-188.91113629258507</v>
      </c>
      <c r="Q666" s="42">
        <f t="shared" si="84"/>
        <v>0</v>
      </c>
      <c r="R666" s="42">
        <f t="shared" si="85"/>
        <v>0</v>
      </c>
      <c r="S666" s="42">
        <f t="shared" si="86"/>
        <v>0</v>
      </c>
      <c r="T666" s="42">
        <f t="shared" si="87"/>
        <v>1</v>
      </c>
    </row>
    <row r="667" spans="1:20" x14ac:dyDescent="0.2">
      <c r="A667" s="30">
        <v>660</v>
      </c>
      <c r="C667" s="31">
        <v>0.99226429770580427</v>
      </c>
      <c r="D667" s="32">
        <v>15639.541281518588</v>
      </c>
      <c r="E667" s="31">
        <v>0.968744636664433</v>
      </c>
      <c r="F667" s="32">
        <v>5577.5636534723162</v>
      </c>
      <c r="G667" s="31">
        <v>0.96113597703154097</v>
      </c>
      <c r="H667" s="32">
        <v>9791.6289894471429</v>
      </c>
      <c r="I667" s="31">
        <v>0.96113597703154108</v>
      </c>
      <c r="J667" s="32">
        <v>5315.3574402838649</v>
      </c>
      <c r="L667" s="43">
        <f t="shared" si="80"/>
        <v>-10678.219792989566</v>
      </c>
      <c r="M667" s="43">
        <f t="shared" si="81"/>
        <v>-733.8404701501513</v>
      </c>
      <c r="N667" s="43">
        <f t="shared" si="82"/>
        <v>-4985.9491042894379</v>
      </c>
      <c r="O667" s="43">
        <f t="shared" si="83"/>
        <v>-509.67755512615986</v>
      </c>
      <c r="Q667" s="42">
        <f t="shared" si="84"/>
        <v>0</v>
      </c>
      <c r="R667" s="42">
        <f t="shared" si="85"/>
        <v>0</v>
      </c>
      <c r="S667" s="42">
        <f t="shared" si="86"/>
        <v>0</v>
      </c>
      <c r="T667" s="42">
        <f t="shared" si="87"/>
        <v>1</v>
      </c>
    </row>
    <row r="668" spans="1:20" x14ac:dyDescent="0.2">
      <c r="A668" s="30">
        <v>661</v>
      </c>
      <c r="C668" s="31">
        <v>0.98420676150315312</v>
      </c>
      <c r="D668" s="32">
        <v>16011.948595938635</v>
      </c>
      <c r="E668" s="31">
        <v>0.97147017024410809</v>
      </c>
      <c r="F668" s="32">
        <v>7419.044848425493</v>
      </c>
      <c r="G668" s="31">
        <v>0.96359341492534545</v>
      </c>
      <c r="H668" s="32">
        <v>10110.486949008688</v>
      </c>
      <c r="I668" s="31">
        <v>0.96359341492534556</v>
      </c>
      <c r="J668" s="32">
        <v>6173.6379616421564</v>
      </c>
      <c r="L668" s="43">
        <f t="shared" si="80"/>
        <v>-11090.91478842287</v>
      </c>
      <c r="M668" s="43">
        <f t="shared" si="81"/>
        <v>-2561.6939972049522</v>
      </c>
      <c r="N668" s="43">
        <f t="shared" si="82"/>
        <v>-5292.5198743819601</v>
      </c>
      <c r="O668" s="43">
        <f t="shared" si="83"/>
        <v>-1355.6708870154289</v>
      </c>
      <c r="Q668" s="42">
        <f t="shared" si="84"/>
        <v>0</v>
      </c>
      <c r="R668" s="42">
        <f t="shared" si="85"/>
        <v>0</v>
      </c>
      <c r="S668" s="42">
        <f t="shared" si="86"/>
        <v>0</v>
      </c>
      <c r="T668" s="42">
        <f t="shared" si="87"/>
        <v>1</v>
      </c>
    </row>
    <row r="669" spans="1:20" x14ac:dyDescent="0.2">
      <c r="A669" s="30">
        <v>662</v>
      </c>
      <c r="C669" s="31">
        <v>0.98248093022427185</v>
      </c>
      <c r="D669" s="32">
        <v>12160.863772518287</v>
      </c>
      <c r="E669" s="31">
        <v>0.9186028777921933</v>
      </c>
      <c r="F669" s="32">
        <v>6901.7807988923614</v>
      </c>
      <c r="G669" s="31">
        <v>0.9147879462983588</v>
      </c>
      <c r="H669" s="32">
        <v>6896.4794850110338</v>
      </c>
      <c r="I669" s="31">
        <v>0.91478794629835902</v>
      </c>
      <c r="J669" s="32">
        <v>4920.454707911158</v>
      </c>
      <c r="L669" s="43">
        <f t="shared" si="80"/>
        <v>-7248.4591213969279</v>
      </c>
      <c r="M669" s="43">
        <f t="shared" si="81"/>
        <v>-2308.7664099313952</v>
      </c>
      <c r="N669" s="43">
        <f t="shared" si="82"/>
        <v>-2322.5397535192396</v>
      </c>
      <c r="O669" s="43">
        <f t="shared" si="83"/>
        <v>-346.51497641936294</v>
      </c>
      <c r="Q669" s="42">
        <f t="shared" si="84"/>
        <v>0</v>
      </c>
      <c r="R669" s="42">
        <f t="shared" si="85"/>
        <v>0</v>
      </c>
      <c r="S669" s="42">
        <f t="shared" si="86"/>
        <v>0</v>
      </c>
      <c r="T669" s="42">
        <f t="shared" si="87"/>
        <v>1</v>
      </c>
    </row>
    <row r="670" spans="1:20" x14ac:dyDescent="0.2">
      <c r="A670" s="30">
        <v>663</v>
      </c>
      <c r="C670" s="31">
        <v>0.98691851729833813</v>
      </c>
      <c r="D670" s="32">
        <v>16365.148731288778</v>
      </c>
      <c r="E670" s="31">
        <v>0.95379515888581334</v>
      </c>
      <c r="F670" s="32">
        <v>6129.3560185638435</v>
      </c>
      <c r="G670" s="31">
        <v>0.94297504094039208</v>
      </c>
      <c r="H670" s="32">
        <v>10255.46365308605</v>
      </c>
      <c r="I670" s="31">
        <v>0.94297504094039231</v>
      </c>
      <c r="J670" s="32">
        <v>5656.2026213966346</v>
      </c>
      <c r="L670" s="43">
        <f t="shared" si="80"/>
        <v>-11430.556144797087</v>
      </c>
      <c r="M670" s="43">
        <f t="shared" si="81"/>
        <v>-1360.3802241347767</v>
      </c>
      <c r="N670" s="43">
        <f t="shared" si="82"/>
        <v>-5540.5884483840891</v>
      </c>
      <c r="O670" s="43">
        <f t="shared" si="83"/>
        <v>-941.32741669467305</v>
      </c>
      <c r="Q670" s="42">
        <f t="shared" si="84"/>
        <v>0</v>
      </c>
      <c r="R670" s="42">
        <f t="shared" si="85"/>
        <v>0</v>
      </c>
      <c r="S670" s="42">
        <f t="shared" si="86"/>
        <v>0</v>
      </c>
      <c r="T670" s="42">
        <f t="shared" si="87"/>
        <v>1</v>
      </c>
    </row>
    <row r="671" spans="1:20" x14ac:dyDescent="0.2">
      <c r="A671" s="30">
        <v>664</v>
      </c>
      <c r="C671" s="31">
        <v>0.98159280142941963</v>
      </c>
      <c r="D671" s="32">
        <v>16601.772910696072</v>
      </c>
      <c r="E671" s="31">
        <v>0.76261746541567421</v>
      </c>
      <c r="F671" s="32">
        <v>3361.4979106325814</v>
      </c>
      <c r="G671" s="31">
        <v>0.90380431507681425</v>
      </c>
      <c r="H671" s="32">
        <v>10025.893634547954</v>
      </c>
      <c r="I671" s="31">
        <v>0.75651199997267637</v>
      </c>
      <c r="J671" s="32">
        <v>3085.308377639371</v>
      </c>
      <c r="L671" s="43">
        <f t="shared" si="80"/>
        <v>-11693.808903548974</v>
      </c>
      <c r="M671" s="43">
        <f t="shared" si="81"/>
        <v>451.58941644578954</v>
      </c>
      <c r="N671" s="43">
        <f t="shared" si="82"/>
        <v>-5506.872059163883</v>
      </c>
      <c r="O671" s="43">
        <f t="shared" si="83"/>
        <v>697.25162222401104</v>
      </c>
      <c r="Q671" s="42">
        <f t="shared" si="84"/>
        <v>0</v>
      </c>
      <c r="R671" s="42">
        <f t="shared" si="85"/>
        <v>0</v>
      </c>
      <c r="S671" s="42">
        <f t="shared" si="86"/>
        <v>0</v>
      </c>
      <c r="T671" s="42">
        <f t="shared" si="87"/>
        <v>1</v>
      </c>
    </row>
    <row r="672" spans="1:20" x14ac:dyDescent="0.2">
      <c r="A672" s="30">
        <v>665</v>
      </c>
      <c r="C672" s="31">
        <v>0.94003103567752722</v>
      </c>
      <c r="D672" s="32">
        <v>13725.434332525905</v>
      </c>
      <c r="E672" s="31">
        <v>0.9535399011121557</v>
      </c>
      <c r="F672" s="32">
        <v>6509.6814999090566</v>
      </c>
      <c r="G672" s="31">
        <v>0.94102792913178912</v>
      </c>
      <c r="H672" s="32">
        <v>8292.6165242789393</v>
      </c>
      <c r="I672" s="31">
        <v>0.94102792913178912</v>
      </c>
      <c r="J672" s="32">
        <v>5397.0876011856644</v>
      </c>
      <c r="L672" s="43">
        <f t="shared" si="80"/>
        <v>-9025.2791541382685</v>
      </c>
      <c r="M672" s="43">
        <f t="shared" si="81"/>
        <v>-1741.981994348278</v>
      </c>
      <c r="N672" s="43">
        <f t="shared" si="82"/>
        <v>-3587.4768786199938</v>
      </c>
      <c r="O672" s="43">
        <f t="shared" si="83"/>
        <v>-691.94795552671894</v>
      </c>
      <c r="Q672" s="42">
        <f t="shared" si="84"/>
        <v>0</v>
      </c>
      <c r="R672" s="42">
        <f t="shared" si="85"/>
        <v>0</v>
      </c>
      <c r="S672" s="42">
        <f t="shared" si="86"/>
        <v>0</v>
      </c>
      <c r="T672" s="42">
        <f t="shared" si="87"/>
        <v>1</v>
      </c>
    </row>
    <row r="673" spans="1:20" x14ac:dyDescent="0.2">
      <c r="A673" s="30">
        <v>666</v>
      </c>
      <c r="C673" s="31">
        <v>0.99697116838937117</v>
      </c>
      <c r="D673" s="32">
        <v>17519.966756622642</v>
      </c>
      <c r="E673" s="31">
        <v>0.8531504630132194</v>
      </c>
      <c r="F673" s="32">
        <v>4599.6288189427232</v>
      </c>
      <c r="G673" s="31">
        <v>0.95116236494797968</v>
      </c>
      <c r="H673" s="32">
        <v>11016.764226397267</v>
      </c>
      <c r="I673" s="31">
        <v>0.8531504630132194</v>
      </c>
      <c r="J673" s="32">
        <v>4480.8686593673765</v>
      </c>
      <c r="L673" s="43">
        <f t="shared" si="80"/>
        <v>-12535.110914675786</v>
      </c>
      <c r="M673" s="43">
        <f t="shared" si="81"/>
        <v>-333.87650387662597</v>
      </c>
      <c r="N673" s="43">
        <f t="shared" si="82"/>
        <v>-6260.9524016573678</v>
      </c>
      <c r="O673" s="43">
        <f t="shared" si="83"/>
        <v>-215.11634430127924</v>
      </c>
      <c r="Q673" s="42">
        <f t="shared" si="84"/>
        <v>0</v>
      </c>
      <c r="R673" s="42">
        <f t="shared" si="85"/>
        <v>0</v>
      </c>
      <c r="S673" s="42">
        <f t="shared" si="86"/>
        <v>0</v>
      </c>
      <c r="T673" s="42">
        <f t="shared" si="87"/>
        <v>1</v>
      </c>
    </row>
    <row r="674" spans="1:20" x14ac:dyDescent="0.2">
      <c r="A674" s="30">
        <v>667</v>
      </c>
      <c r="C674" s="31">
        <v>0.99557805281723266</v>
      </c>
      <c r="D674" s="32">
        <v>12734.226721484267</v>
      </c>
      <c r="E674" s="31">
        <v>0.93062722587657465</v>
      </c>
      <c r="F674" s="32">
        <v>4150.5322607381286</v>
      </c>
      <c r="G674" s="31">
        <v>0.93027509028378741</v>
      </c>
      <c r="H674" s="32">
        <v>7485.2782228451269</v>
      </c>
      <c r="I674" s="31">
        <v>0.93027509028378752</v>
      </c>
      <c r="J674" s="32">
        <v>4000.0583182447181</v>
      </c>
      <c r="L674" s="43">
        <f t="shared" si="80"/>
        <v>-7756.3364573981034</v>
      </c>
      <c r="M674" s="43">
        <f t="shared" si="81"/>
        <v>502.60386864474458</v>
      </c>
      <c r="N674" s="43">
        <f t="shared" si="82"/>
        <v>-2833.9027714261902</v>
      </c>
      <c r="O674" s="43">
        <f t="shared" si="83"/>
        <v>651.31713317421963</v>
      </c>
      <c r="Q674" s="42">
        <f t="shared" si="84"/>
        <v>0</v>
      </c>
      <c r="R674" s="42">
        <f t="shared" si="85"/>
        <v>0</v>
      </c>
      <c r="S674" s="42">
        <f t="shared" si="86"/>
        <v>0</v>
      </c>
      <c r="T674" s="42">
        <f t="shared" si="87"/>
        <v>1</v>
      </c>
    </row>
    <row r="675" spans="1:20" x14ac:dyDescent="0.2">
      <c r="A675" s="30">
        <v>668</v>
      </c>
      <c r="C675" s="31">
        <v>0.98554209136377269</v>
      </c>
      <c r="D675" s="32">
        <v>15012.348911902005</v>
      </c>
      <c r="E675" s="31">
        <v>0.95311395247184927</v>
      </c>
      <c r="F675" s="32">
        <v>5064.2661327779006</v>
      </c>
      <c r="G675" s="31">
        <v>0.96503698060505116</v>
      </c>
      <c r="H675" s="32">
        <v>8892.8323830300324</v>
      </c>
      <c r="I675" s="31">
        <v>0.94471684679513368</v>
      </c>
      <c r="J675" s="32">
        <v>4785.5498772797409</v>
      </c>
      <c r="L675" s="43">
        <f t="shared" si="80"/>
        <v>-10084.638455083143</v>
      </c>
      <c r="M675" s="43">
        <f t="shared" si="81"/>
        <v>-298.69637041865462</v>
      </c>
      <c r="N675" s="43">
        <f t="shared" si="82"/>
        <v>-4067.6474800047763</v>
      </c>
      <c r="O675" s="43">
        <f t="shared" si="83"/>
        <v>-61.965643304072728</v>
      </c>
      <c r="Q675" s="42">
        <f t="shared" si="84"/>
        <v>0</v>
      </c>
      <c r="R675" s="42">
        <f t="shared" si="85"/>
        <v>0</v>
      </c>
      <c r="S675" s="42">
        <f t="shared" si="86"/>
        <v>0</v>
      </c>
      <c r="T675" s="42">
        <f t="shared" si="87"/>
        <v>1</v>
      </c>
    </row>
    <row r="676" spans="1:20" x14ac:dyDescent="0.2">
      <c r="A676" s="30">
        <v>669</v>
      </c>
      <c r="C676" s="31">
        <v>0.98889618044612682</v>
      </c>
      <c r="D676" s="32">
        <v>15563.873721686185</v>
      </c>
      <c r="E676" s="31">
        <v>0.93992916808217397</v>
      </c>
      <c r="F676" s="32">
        <v>5981.839740267169</v>
      </c>
      <c r="G676" s="31">
        <v>0.93427606472284974</v>
      </c>
      <c r="H676" s="32">
        <v>8980.5625248744909</v>
      </c>
      <c r="I676" s="31">
        <v>0.93427606472284974</v>
      </c>
      <c r="J676" s="32">
        <v>5298.7248095418627</v>
      </c>
      <c r="L676" s="43">
        <f t="shared" si="80"/>
        <v>-10619.39281945555</v>
      </c>
      <c r="M676" s="43">
        <f t="shared" si="81"/>
        <v>-1282.1938998562991</v>
      </c>
      <c r="N676" s="43">
        <f t="shared" si="82"/>
        <v>-4309.1822012602424</v>
      </c>
      <c r="O676" s="43">
        <f t="shared" si="83"/>
        <v>-627.34448592761419</v>
      </c>
      <c r="Q676" s="42">
        <f t="shared" si="84"/>
        <v>0</v>
      </c>
      <c r="R676" s="42">
        <f t="shared" si="85"/>
        <v>0</v>
      </c>
      <c r="S676" s="42">
        <f t="shared" si="86"/>
        <v>0</v>
      </c>
      <c r="T676" s="42">
        <f t="shared" si="87"/>
        <v>1</v>
      </c>
    </row>
    <row r="677" spans="1:20" x14ac:dyDescent="0.2">
      <c r="A677" s="30">
        <v>670</v>
      </c>
      <c r="C677" s="31">
        <v>0.99800551064338761</v>
      </c>
      <c r="D677" s="32">
        <v>12205.795749610435</v>
      </c>
      <c r="E677" s="31">
        <v>0.92335499126423648</v>
      </c>
      <c r="F677" s="32">
        <v>4171.4265807478823</v>
      </c>
      <c r="G677" s="31">
        <v>0.93646639549193922</v>
      </c>
      <c r="H677" s="32">
        <v>7303.7860213194808</v>
      </c>
      <c r="I677" s="31">
        <v>0.91885970464955924</v>
      </c>
      <c r="J677" s="32">
        <v>3973.7083803376254</v>
      </c>
      <c r="L677" s="43">
        <f t="shared" si="80"/>
        <v>-7215.7681963934974</v>
      </c>
      <c r="M677" s="43">
        <f t="shared" si="81"/>
        <v>445.34837557330047</v>
      </c>
      <c r="N677" s="43">
        <f t="shared" si="82"/>
        <v>-2621.4540438597851</v>
      </c>
      <c r="O677" s="43">
        <f t="shared" si="83"/>
        <v>620.59014291017047</v>
      </c>
      <c r="Q677" s="42">
        <f t="shared" si="84"/>
        <v>0</v>
      </c>
      <c r="R677" s="42">
        <f t="shared" si="85"/>
        <v>0</v>
      </c>
      <c r="S677" s="42">
        <f t="shared" si="86"/>
        <v>0</v>
      </c>
      <c r="T677" s="42">
        <f t="shared" si="87"/>
        <v>1</v>
      </c>
    </row>
    <row r="678" spans="1:20" x14ac:dyDescent="0.2">
      <c r="A678" s="30">
        <v>671</v>
      </c>
      <c r="C678" s="31">
        <v>0.99459139613605863</v>
      </c>
      <c r="D678" s="32">
        <v>17266.947903889806</v>
      </c>
      <c r="E678" s="31">
        <v>0.96061043992131867</v>
      </c>
      <c r="F678" s="32">
        <v>8719.4600568523019</v>
      </c>
      <c r="G678" s="31">
        <v>0.95431991698918517</v>
      </c>
      <c r="H678" s="32">
        <v>10917.437064806812</v>
      </c>
      <c r="I678" s="31">
        <v>0.95431991720354237</v>
      </c>
      <c r="J678" s="32">
        <v>7014.3797150583487</v>
      </c>
      <c r="L678" s="43">
        <f t="shared" si="80"/>
        <v>-12293.990923209512</v>
      </c>
      <c r="M678" s="43">
        <f t="shared" si="81"/>
        <v>-3916.4078572457083</v>
      </c>
      <c r="N678" s="43">
        <f t="shared" si="82"/>
        <v>-6145.8374798608866</v>
      </c>
      <c r="O678" s="43">
        <f t="shared" si="83"/>
        <v>-2242.7801290406369</v>
      </c>
      <c r="Q678" s="42">
        <f t="shared" si="84"/>
        <v>0</v>
      </c>
      <c r="R678" s="42">
        <f t="shared" si="85"/>
        <v>0</v>
      </c>
      <c r="S678" s="42">
        <f t="shared" si="86"/>
        <v>0</v>
      </c>
      <c r="T678" s="42">
        <f t="shared" si="87"/>
        <v>1</v>
      </c>
    </row>
    <row r="679" spans="1:20" x14ac:dyDescent="0.2">
      <c r="A679" s="30">
        <v>672</v>
      </c>
      <c r="C679" s="31">
        <v>0.98963866582208782</v>
      </c>
      <c r="D679" s="32">
        <v>16099.414087862173</v>
      </c>
      <c r="E679" s="31">
        <v>0.82854473009052598</v>
      </c>
      <c r="F679" s="32">
        <v>3714.5813913451348</v>
      </c>
      <c r="G679" s="31">
        <v>0.95824231149422923</v>
      </c>
      <c r="H679" s="32">
        <v>10073.570022819615</v>
      </c>
      <c r="I679" s="31">
        <v>0.82789986063721976</v>
      </c>
      <c r="J679" s="32">
        <v>3568.6090326137978</v>
      </c>
      <c r="L679" s="43">
        <f t="shared" si="80"/>
        <v>-11151.220758751733</v>
      </c>
      <c r="M679" s="43">
        <f t="shared" si="81"/>
        <v>428.14225910749519</v>
      </c>
      <c r="N679" s="43">
        <f t="shared" si="82"/>
        <v>-5282.3584653484686</v>
      </c>
      <c r="O679" s="43">
        <f t="shared" si="83"/>
        <v>570.89027057230078</v>
      </c>
      <c r="Q679" s="42">
        <f t="shared" si="84"/>
        <v>0</v>
      </c>
      <c r="R679" s="42">
        <f t="shared" si="85"/>
        <v>0</v>
      </c>
      <c r="S679" s="42">
        <f t="shared" si="86"/>
        <v>0</v>
      </c>
      <c r="T679" s="42">
        <f t="shared" si="87"/>
        <v>1</v>
      </c>
    </row>
    <row r="680" spans="1:20" x14ac:dyDescent="0.2">
      <c r="A680" s="30">
        <v>673</v>
      </c>
      <c r="C680" s="31">
        <v>0.98575904147991189</v>
      </c>
      <c r="D680" s="32">
        <v>12490.526448162333</v>
      </c>
      <c r="E680" s="31">
        <v>0.97655787534541139</v>
      </c>
      <c r="F680" s="32">
        <v>4839.0502772831678</v>
      </c>
      <c r="G680" s="31">
        <v>0.97127676058205215</v>
      </c>
      <c r="H680" s="32">
        <v>7915.1244038559389</v>
      </c>
      <c r="I680" s="31">
        <v>0.97127676058205215</v>
      </c>
      <c r="J680" s="32">
        <v>4629.2863536666382</v>
      </c>
      <c r="L680" s="43">
        <f t="shared" si="80"/>
        <v>-7561.7312407627733</v>
      </c>
      <c r="M680" s="43">
        <f t="shared" si="81"/>
        <v>43.739099443889245</v>
      </c>
      <c r="N680" s="43">
        <f t="shared" si="82"/>
        <v>-3058.7406009456781</v>
      </c>
      <c r="O680" s="43">
        <f t="shared" si="83"/>
        <v>227.09744924362258</v>
      </c>
      <c r="Q680" s="42">
        <f t="shared" si="84"/>
        <v>0</v>
      </c>
      <c r="R680" s="42">
        <f t="shared" si="85"/>
        <v>0</v>
      </c>
      <c r="S680" s="42">
        <f t="shared" si="86"/>
        <v>0</v>
      </c>
      <c r="T680" s="42">
        <f t="shared" si="87"/>
        <v>1</v>
      </c>
    </row>
    <row r="681" spans="1:20" x14ac:dyDescent="0.2">
      <c r="A681" s="30">
        <v>674</v>
      </c>
      <c r="C681" s="31">
        <v>0.99250947088071584</v>
      </c>
      <c r="D681" s="32">
        <v>14389.464006466998</v>
      </c>
      <c r="E681" s="31">
        <v>0.93619380488466319</v>
      </c>
      <c r="F681" s="32">
        <v>5228.8539882633431</v>
      </c>
      <c r="G681" s="31">
        <v>0.93242094602927073</v>
      </c>
      <c r="H681" s="32">
        <v>8736.4372757776473</v>
      </c>
      <c r="I681" s="31">
        <v>0.93242094602927073</v>
      </c>
      <c r="J681" s="32">
        <v>5001.6102340423877</v>
      </c>
      <c r="L681" s="43">
        <f t="shared" si="80"/>
        <v>-9426.916652063419</v>
      </c>
      <c r="M681" s="43">
        <f t="shared" si="81"/>
        <v>-547.88496384002701</v>
      </c>
      <c r="N681" s="43">
        <f t="shared" si="82"/>
        <v>-4074.3325456312941</v>
      </c>
      <c r="O681" s="43">
        <f t="shared" si="83"/>
        <v>-339.5055038960345</v>
      </c>
      <c r="Q681" s="42">
        <f t="shared" si="84"/>
        <v>0</v>
      </c>
      <c r="R681" s="42">
        <f t="shared" si="85"/>
        <v>0</v>
      </c>
      <c r="S681" s="42">
        <f t="shared" si="86"/>
        <v>0</v>
      </c>
      <c r="T681" s="42">
        <f t="shared" si="87"/>
        <v>1</v>
      </c>
    </row>
    <row r="682" spans="1:20" x14ac:dyDescent="0.2">
      <c r="A682" s="30">
        <v>675</v>
      </c>
      <c r="C682" s="31">
        <v>0.99820062294573109</v>
      </c>
      <c r="D682" s="32">
        <v>14374.107529325591</v>
      </c>
      <c r="E682" s="31">
        <v>0.94608735431494306</v>
      </c>
      <c r="F682" s="32">
        <v>7161.5673474770247</v>
      </c>
      <c r="G682" s="31">
        <v>0.94063805196238082</v>
      </c>
      <c r="H682" s="32">
        <v>8699.1708901160218</v>
      </c>
      <c r="I682" s="31">
        <v>0.94063805196238104</v>
      </c>
      <c r="J682" s="32">
        <v>5833.6041575677382</v>
      </c>
      <c r="L682" s="43">
        <f t="shared" si="80"/>
        <v>-9383.1044145969354</v>
      </c>
      <c r="M682" s="43">
        <f t="shared" si="81"/>
        <v>-2431.1305759023089</v>
      </c>
      <c r="N682" s="43">
        <f t="shared" si="82"/>
        <v>-3995.9806303041178</v>
      </c>
      <c r="O682" s="43">
        <f t="shared" si="83"/>
        <v>-1130.4138977558332</v>
      </c>
      <c r="Q682" s="42">
        <f t="shared" si="84"/>
        <v>0</v>
      </c>
      <c r="R682" s="42">
        <f t="shared" si="85"/>
        <v>0</v>
      </c>
      <c r="S682" s="42">
        <f t="shared" si="86"/>
        <v>0</v>
      </c>
      <c r="T682" s="42">
        <f t="shared" si="87"/>
        <v>1</v>
      </c>
    </row>
    <row r="683" spans="1:20" x14ac:dyDescent="0.2">
      <c r="A683" s="30">
        <v>676</v>
      </c>
      <c r="C683" s="31">
        <v>0.98123209449212001</v>
      </c>
      <c r="D683" s="32">
        <v>14941.261053831429</v>
      </c>
      <c r="E683" s="31">
        <v>0.85171256645088311</v>
      </c>
      <c r="F683" s="32">
        <v>3835.6824536009481</v>
      </c>
      <c r="G683" s="31">
        <v>0.92625077568718006</v>
      </c>
      <c r="H683" s="32">
        <v>8721.7047790683046</v>
      </c>
      <c r="I683" s="31">
        <v>0.84486204777677809</v>
      </c>
      <c r="J683" s="32">
        <v>3602.4501176963176</v>
      </c>
      <c r="L683" s="43">
        <f t="shared" si="80"/>
        <v>-10035.100581370829</v>
      </c>
      <c r="M683" s="43">
        <f t="shared" si="81"/>
        <v>422.88037865346723</v>
      </c>
      <c r="N683" s="43">
        <f t="shared" si="82"/>
        <v>-4090.4509006324042</v>
      </c>
      <c r="O683" s="43">
        <f t="shared" si="83"/>
        <v>621.86012118757299</v>
      </c>
      <c r="Q683" s="42">
        <f t="shared" si="84"/>
        <v>0</v>
      </c>
      <c r="R683" s="42">
        <f t="shared" si="85"/>
        <v>0</v>
      </c>
      <c r="S683" s="42">
        <f t="shared" si="86"/>
        <v>0</v>
      </c>
      <c r="T683" s="42">
        <f t="shared" si="87"/>
        <v>1</v>
      </c>
    </row>
    <row r="684" spans="1:20" x14ac:dyDescent="0.2">
      <c r="A684" s="30">
        <v>677</v>
      </c>
      <c r="C684" s="31">
        <v>0.94669202544216124</v>
      </c>
      <c r="D684" s="32">
        <v>17933.583019410533</v>
      </c>
      <c r="E684" s="31">
        <v>0.95157654070763953</v>
      </c>
      <c r="F684" s="32">
        <v>6516.9779552410509</v>
      </c>
      <c r="G684" s="31">
        <v>0.94091949487616078</v>
      </c>
      <c r="H684" s="32">
        <v>10275.526813657212</v>
      </c>
      <c r="I684" s="31">
        <v>0.94092214736367474</v>
      </c>
      <c r="J684" s="32">
        <v>6192.1749850871365</v>
      </c>
      <c r="L684" s="43">
        <f t="shared" si="80"/>
        <v>-13200.122892199726</v>
      </c>
      <c r="M684" s="43">
        <f t="shared" si="81"/>
        <v>-1759.0952517028536</v>
      </c>
      <c r="N684" s="43">
        <f t="shared" si="82"/>
        <v>-5570.9293392764084</v>
      </c>
      <c r="O684" s="43">
        <f t="shared" si="83"/>
        <v>-1487.5642482687626</v>
      </c>
      <c r="Q684" s="42">
        <f t="shared" si="84"/>
        <v>0</v>
      </c>
      <c r="R684" s="42">
        <f t="shared" si="85"/>
        <v>0</v>
      </c>
      <c r="S684" s="42">
        <f t="shared" si="86"/>
        <v>0</v>
      </c>
      <c r="T684" s="42">
        <f t="shared" si="87"/>
        <v>1</v>
      </c>
    </row>
    <row r="685" spans="1:20" x14ac:dyDescent="0.2">
      <c r="A685" s="30">
        <v>678</v>
      </c>
      <c r="C685" s="31">
        <v>0.99971653784425196</v>
      </c>
      <c r="D685" s="32">
        <v>15027.879461105802</v>
      </c>
      <c r="E685" s="31">
        <v>0.89934057094623032</v>
      </c>
      <c r="F685" s="32">
        <v>4568.3618976976168</v>
      </c>
      <c r="G685" s="31">
        <v>0.96055633135417917</v>
      </c>
      <c r="H685" s="32">
        <v>9560.1569907113881</v>
      </c>
      <c r="I685" s="31">
        <v>0.8990295782892499</v>
      </c>
      <c r="J685" s="32">
        <v>4436.3143392326801</v>
      </c>
      <c r="L685" s="43">
        <f t="shared" si="80"/>
        <v>-10029.296771884543</v>
      </c>
      <c r="M685" s="43">
        <f t="shared" si="81"/>
        <v>-71.659042966464767</v>
      </c>
      <c r="N685" s="43">
        <f t="shared" si="82"/>
        <v>-4757.3753339404921</v>
      </c>
      <c r="O685" s="43">
        <f t="shared" si="83"/>
        <v>58.833552213569419</v>
      </c>
      <c r="Q685" s="42">
        <f t="shared" si="84"/>
        <v>0</v>
      </c>
      <c r="R685" s="42">
        <f t="shared" si="85"/>
        <v>0</v>
      </c>
      <c r="S685" s="42">
        <f t="shared" si="86"/>
        <v>0</v>
      </c>
      <c r="T685" s="42">
        <f t="shared" si="87"/>
        <v>1</v>
      </c>
    </row>
    <row r="686" spans="1:20" x14ac:dyDescent="0.2">
      <c r="A686" s="30">
        <v>679</v>
      </c>
      <c r="C686" s="31">
        <v>0.99036812171067601</v>
      </c>
      <c r="D686" s="32">
        <v>12549.661236377018</v>
      </c>
      <c r="E686" s="31">
        <v>0.86039710624493393</v>
      </c>
      <c r="F686" s="32">
        <v>3335.884225330793</v>
      </c>
      <c r="G686" s="31">
        <v>0.94729400077634829</v>
      </c>
      <c r="H686" s="32">
        <v>7300.7319745201812</v>
      </c>
      <c r="I686" s="31">
        <v>0.85890449207246555</v>
      </c>
      <c r="J686" s="32">
        <v>3175.5935416902876</v>
      </c>
      <c r="L686" s="43">
        <f t="shared" si="80"/>
        <v>-7597.8206278236385</v>
      </c>
      <c r="M686" s="43">
        <f t="shared" si="81"/>
        <v>966.101305893877</v>
      </c>
      <c r="N686" s="43">
        <f t="shared" si="82"/>
        <v>-2564.2619706384394</v>
      </c>
      <c r="O686" s="43">
        <f t="shared" si="83"/>
        <v>1118.9289186720398</v>
      </c>
      <c r="Q686" s="42">
        <f t="shared" si="84"/>
        <v>0</v>
      </c>
      <c r="R686" s="42">
        <f t="shared" si="85"/>
        <v>0</v>
      </c>
      <c r="S686" s="42">
        <f t="shared" si="86"/>
        <v>0</v>
      </c>
      <c r="T686" s="42">
        <f t="shared" si="87"/>
        <v>1</v>
      </c>
    </row>
    <row r="687" spans="1:20" x14ac:dyDescent="0.2">
      <c r="A687" s="30">
        <v>680</v>
      </c>
      <c r="C687" s="31">
        <v>0.9924875094578316</v>
      </c>
      <c r="D687" s="32">
        <v>20757.626099975136</v>
      </c>
      <c r="E687" s="31">
        <v>0.76272548726988609</v>
      </c>
      <c r="F687" s="32">
        <v>5946.4229180300499</v>
      </c>
      <c r="G687" s="31">
        <v>0.91342400304378146</v>
      </c>
      <c r="H687" s="32">
        <v>12781.747689372922</v>
      </c>
      <c r="I687" s="31">
        <v>0.76149542069894016</v>
      </c>
      <c r="J687" s="32">
        <v>4727.6617703658549</v>
      </c>
      <c r="L687" s="43">
        <f t="shared" si="80"/>
        <v>-15795.188552685977</v>
      </c>
      <c r="M687" s="43">
        <f t="shared" si="81"/>
        <v>-2132.7954816806196</v>
      </c>
      <c r="N687" s="43">
        <f t="shared" si="82"/>
        <v>-8214.6276741540132</v>
      </c>
      <c r="O687" s="43">
        <f t="shared" si="83"/>
        <v>-920.18466687115415</v>
      </c>
      <c r="Q687" s="42">
        <f t="shared" si="84"/>
        <v>0</v>
      </c>
      <c r="R687" s="42">
        <f t="shared" si="85"/>
        <v>0</v>
      </c>
      <c r="S687" s="42">
        <f t="shared" si="86"/>
        <v>0</v>
      </c>
      <c r="T687" s="42">
        <f t="shared" si="87"/>
        <v>1</v>
      </c>
    </row>
    <row r="688" spans="1:20" x14ac:dyDescent="0.2">
      <c r="A688" s="30">
        <v>681</v>
      </c>
      <c r="C688" s="31">
        <v>0.9990854184716278</v>
      </c>
      <c r="D688" s="32">
        <v>12841.036422875995</v>
      </c>
      <c r="E688" s="31">
        <v>0.94325010462578007</v>
      </c>
      <c r="F688" s="32">
        <v>4733.8999827108892</v>
      </c>
      <c r="G688" s="31">
        <v>0.97810860952251388</v>
      </c>
      <c r="H688" s="32">
        <v>8121.0141704253865</v>
      </c>
      <c r="I688" s="31">
        <v>0.94325010462578007</v>
      </c>
      <c r="J688" s="32">
        <v>4410.9263665384487</v>
      </c>
      <c r="L688" s="43">
        <f t="shared" si="80"/>
        <v>-7845.6093305178565</v>
      </c>
      <c r="M688" s="43">
        <f t="shared" si="81"/>
        <v>-17.649459581988594</v>
      </c>
      <c r="N688" s="43">
        <f t="shared" si="82"/>
        <v>-3230.4711228128172</v>
      </c>
      <c r="O688" s="43">
        <f t="shared" si="83"/>
        <v>305.32415659045182</v>
      </c>
      <c r="Q688" s="42">
        <f t="shared" si="84"/>
        <v>0</v>
      </c>
      <c r="R688" s="42">
        <f t="shared" si="85"/>
        <v>0</v>
      </c>
      <c r="S688" s="42">
        <f t="shared" si="86"/>
        <v>0</v>
      </c>
      <c r="T688" s="42">
        <f t="shared" si="87"/>
        <v>1</v>
      </c>
    </row>
    <row r="689" spans="1:20" x14ac:dyDescent="0.2">
      <c r="A689" s="30">
        <v>682</v>
      </c>
      <c r="C689" s="31">
        <v>0.95422676877289814</v>
      </c>
      <c r="D689" s="32">
        <v>17010.177137060629</v>
      </c>
      <c r="E689" s="31">
        <v>0.96212656104943983</v>
      </c>
      <c r="F689" s="32">
        <v>8351.180735535434</v>
      </c>
      <c r="G689" s="31">
        <v>0.95370365019518544</v>
      </c>
      <c r="H689" s="32">
        <v>9782.6071262621717</v>
      </c>
      <c r="I689" s="31">
        <v>0.95370365019518544</v>
      </c>
      <c r="J689" s="32">
        <v>6622.6767967821861</v>
      </c>
      <c r="L689" s="43">
        <f t="shared" si="80"/>
        <v>-12239.043293196139</v>
      </c>
      <c r="M689" s="43">
        <f t="shared" si="81"/>
        <v>-3540.547930288235</v>
      </c>
      <c r="N689" s="43">
        <f t="shared" si="82"/>
        <v>-5014.0888752862447</v>
      </c>
      <c r="O689" s="43">
        <f t="shared" si="83"/>
        <v>-1854.1585458062591</v>
      </c>
      <c r="Q689" s="42">
        <f t="shared" si="84"/>
        <v>0</v>
      </c>
      <c r="R689" s="42">
        <f t="shared" si="85"/>
        <v>0</v>
      </c>
      <c r="S689" s="42">
        <f t="shared" si="86"/>
        <v>0</v>
      </c>
      <c r="T689" s="42">
        <f t="shared" si="87"/>
        <v>1</v>
      </c>
    </row>
    <row r="690" spans="1:20" x14ac:dyDescent="0.2">
      <c r="A690" s="30">
        <v>683</v>
      </c>
      <c r="C690" s="31">
        <v>0.99074731045323361</v>
      </c>
      <c r="D690" s="32">
        <v>13984.220653422186</v>
      </c>
      <c r="E690" s="31">
        <v>0.90697133220780612</v>
      </c>
      <c r="F690" s="32">
        <v>5092.6567252572422</v>
      </c>
      <c r="G690" s="31">
        <v>0.94096487372293414</v>
      </c>
      <c r="H690" s="32">
        <v>8419.9538964269723</v>
      </c>
      <c r="I690" s="31">
        <v>0.90453007447057132</v>
      </c>
      <c r="J690" s="32">
        <v>4924.5968781250585</v>
      </c>
      <c r="L690" s="43">
        <f t="shared" si="80"/>
        <v>-9030.4841011560165</v>
      </c>
      <c r="M690" s="43">
        <f t="shared" si="81"/>
        <v>-557.80006421821145</v>
      </c>
      <c r="N690" s="43">
        <f t="shared" si="82"/>
        <v>-3715.1295278123016</v>
      </c>
      <c r="O690" s="43">
        <f t="shared" si="83"/>
        <v>-401.94650577220182</v>
      </c>
      <c r="Q690" s="42">
        <f t="shared" si="84"/>
        <v>0</v>
      </c>
      <c r="R690" s="42">
        <f t="shared" si="85"/>
        <v>0</v>
      </c>
      <c r="S690" s="42">
        <f t="shared" si="86"/>
        <v>0</v>
      </c>
      <c r="T690" s="42">
        <f t="shared" si="87"/>
        <v>1</v>
      </c>
    </row>
    <row r="691" spans="1:20" x14ac:dyDescent="0.2">
      <c r="A691" s="30">
        <v>684</v>
      </c>
      <c r="C691" s="31">
        <v>0.97501956239310295</v>
      </c>
      <c r="D691" s="32">
        <v>15818.31728530629</v>
      </c>
      <c r="E691" s="31">
        <v>0.90742401154463947</v>
      </c>
      <c r="F691" s="32">
        <v>9310.5250408949541</v>
      </c>
      <c r="G691" s="31">
        <v>0.90450838202656403</v>
      </c>
      <c r="H691" s="32">
        <v>9668.8517478211852</v>
      </c>
      <c r="I691" s="31">
        <v>0.90450838202656414</v>
      </c>
      <c r="J691" s="32">
        <v>6713.6788417071357</v>
      </c>
      <c r="L691" s="43">
        <f t="shared" si="80"/>
        <v>-10943.219473340774</v>
      </c>
      <c r="M691" s="43">
        <f t="shared" si="81"/>
        <v>-4773.4049831717566</v>
      </c>
      <c r="N691" s="43">
        <f t="shared" si="82"/>
        <v>-5146.3098376883654</v>
      </c>
      <c r="O691" s="43">
        <f t="shared" si="83"/>
        <v>-2191.136931574315</v>
      </c>
      <c r="Q691" s="42">
        <f t="shared" si="84"/>
        <v>0</v>
      </c>
      <c r="R691" s="42">
        <f t="shared" si="85"/>
        <v>0</v>
      </c>
      <c r="S691" s="42">
        <f t="shared" si="86"/>
        <v>0</v>
      </c>
      <c r="T691" s="42">
        <f t="shared" si="87"/>
        <v>1</v>
      </c>
    </row>
    <row r="692" spans="1:20" x14ac:dyDescent="0.2">
      <c r="A692" s="30">
        <v>685</v>
      </c>
      <c r="C692" s="31">
        <v>0.99712742736638038</v>
      </c>
      <c r="D692" s="32">
        <v>14964.244931129913</v>
      </c>
      <c r="E692" s="31">
        <v>0.93857233632088144</v>
      </c>
      <c r="F692" s="32">
        <v>4838.8149932540337</v>
      </c>
      <c r="G692" s="31">
        <v>0.95342255414107813</v>
      </c>
      <c r="H692" s="32">
        <v>8622.0574115872078</v>
      </c>
      <c r="I692" s="31">
        <v>0.93857233632088133</v>
      </c>
      <c r="J692" s="32">
        <v>4655.6258918461745</v>
      </c>
      <c r="L692" s="43">
        <f t="shared" si="80"/>
        <v>-9978.6077942980119</v>
      </c>
      <c r="M692" s="43">
        <f t="shared" si="81"/>
        <v>-145.95331164962681</v>
      </c>
      <c r="N692" s="43">
        <f t="shared" si="82"/>
        <v>-3854.9446408818167</v>
      </c>
      <c r="O692" s="43">
        <f t="shared" si="83"/>
        <v>37.235789758232386</v>
      </c>
      <c r="Q692" s="42">
        <f t="shared" si="84"/>
        <v>0</v>
      </c>
      <c r="R692" s="42">
        <f t="shared" si="85"/>
        <v>0</v>
      </c>
      <c r="S692" s="42">
        <f t="shared" si="86"/>
        <v>0</v>
      </c>
      <c r="T692" s="42">
        <f t="shared" si="87"/>
        <v>1</v>
      </c>
    </row>
    <row r="693" spans="1:20" x14ac:dyDescent="0.2">
      <c r="A693" s="30">
        <v>686</v>
      </c>
      <c r="C693" s="31">
        <v>0.98307158458819766</v>
      </c>
      <c r="D693" s="32">
        <v>13781.470428065317</v>
      </c>
      <c r="E693" s="31">
        <v>0.85474672201485369</v>
      </c>
      <c r="F693" s="32">
        <v>4055.1583284665467</v>
      </c>
      <c r="G693" s="31">
        <v>0.95296867985086275</v>
      </c>
      <c r="H693" s="32">
        <v>8295.7228664784634</v>
      </c>
      <c r="I693" s="31">
        <v>0.85354707733663338</v>
      </c>
      <c r="J693" s="32">
        <v>3474.2367910093808</v>
      </c>
      <c r="L693" s="43">
        <f t="shared" si="80"/>
        <v>-8866.1125051243289</v>
      </c>
      <c r="M693" s="43">
        <f t="shared" si="81"/>
        <v>218.57528160772199</v>
      </c>
      <c r="N693" s="43">
        <f t="shared" si="82"/>
        <v>-3530.8794672241493</v>
      </c>
      <c r="O693" s="43">
        <f t="shared" si="83"/>
        <v>793.49859567378644</v>
      </c>
      <c r="Q693" s="42">
        <f t="shared" si="84"/>
        <v>0</v>
      </c>
      <c r="R693" s="42">
        <f t="shared" si="85"/>
        <v>0</v>
      </c>
      <c r="S693" s="42">
        <f t="shared" si="86"/>
        <v>0</v>
      </c>
      <c r="T693" s="42">
        <f t="shared" si="87"/>
        <v>1</v>
      </c>
    </row>
    <row r="694" spans="1:20" x14ac:dyDescent="0.2">
      <c r="A694" s="30">
        <v>687</v>
      </c>
      <c r="C694" s="31">
        <v>0.99224103205405367</v>
      </c>
      <c r="D694" s="32">
        <v>18808.290046454622</v>
      </c>
      <c r="E694" s="31">
        <v>0.85669637047411151</v>
      </c>
      <c r="F694" s="32">
        <v>5311.8401001026341</v>
      </c>
      <c r="G694" s="31">
        <v>0.95871373886156963</v>
      </c>
      <c r="H694" s="32">
        <v>10954.813082643113</v>
      </c>
      <c r="I694" s="31">
        <v>0.85184748320480086</v>
      </c>
      <c r="J694" s="32">
        <v>4342.9194190748995</v>
      </c>
      <c r="L694" s="43">
        <f t="shared" si="80"/>
        <v>-13847.084886184353</v>
      </c>
      <c r="M694" s="43">
        <f t="shared" si="81"/>
        <v>-1028.358247732077</v>
      </c>
      <c r="N694" s="43">
        <f t="shared" si="82"/>
        <v>-6161.2443883352653</v>
      </c>
      <c r="O694" s="43">
        <f t="shared" si="83"/>
        <v>-83.682003050895219</v>
      </c>
      <c r="Q694" s="42">
        <f t="shared" si="84"/>
        <v>0</v>
      </c>
      <c r="R694" s="42">
        <f t="shared" si="85"/>
        <v>0</v>
      </c>
      <c r="S694" s="42">
        <f t="shared" si="86"/>
        <v>0</v>
      </c>
      <c r="T694" s="42">
        <f t="shared" si="87"/>
        <v>1</v>
      </c>
    </row>
    <row r="695" spans="1:20" x14ac:dyDescent="0.2">
      <c r="A695" s="30">
        <v>688</v>
      </c>
      <c r="C695" s="31">
        <v>0.95303770384239628</v>
      </c>
      <c r="D695" s="32">
        <v>15450.94444966093</v>
      </c>
      <c r="E695" s="31">
        <v>0.79370390758158593</v>
      </c>
      <c r="F695" s="32">
        <v>3610.5012232516347</v>
      </c>
      <c r="G695" s="31">
        <v>0.94753806036856381</v>
      </c>
      <c r="H695" s="32">
        <v>9074.8059324713813</v>
      </c>
      <c r="I695" s="31">
        <v>0.78922083771821638</v>
      </c>
      <c r="J695" s="32">
        <v>2746.202647355572</v>
      </c>
      <c r="L695" s="43">
        <f t="shared" si="80"/>
        <v>-10685.755930448948</v>
      </c>
      <c r="M695" s="43">
        <f t="shared" si="81"/>
        <v>358.01831465629493</v>
      </c>
      <c r="N695" s="43">
        <f t="shared" si="82"/>
        <v>-4337.115630628562</v>
      </c>
      <c r="O695" s="43">
        <f t="shared" si="83"/>
        <v>1199.9015412355097</v>
      </c>
      <c r="Q695" s="42">
        <f t="shared" si="84"/>
        <v>0</v>
      </c>
      <c r="R695" s="42">
        <f t="shared" si="85"/>
        <v>0</v>
      </c>
      <c r="S695" s="42">
        <f t="shared" si="86"/>
        <v>0</v>
      </c>
      <c r="T695" s="42">
        <f t="shared" si="87"/>
        <v>1</v>
      </c>
    </row>
    <row r="696" spans="1:20" x14ac:dyDescent="0.2">
      <c r="A696" s="30">
        <v>689</v>
      </c>
      <c r="C696" s="31">
        <v>0.99491938604942132</v>
      </c>
      <c r="D696" s="32">
        <v>19136.444074101291</v>
      </c>
      <c r="E696" s="31">
        <v>0.95219273827204465</v>
      </c>
      <c r="F696" s="32">
        <v>10248.664360653094</v>
      </c>
      <c r="G696" s="31">
        <v>0.94874718925139945</v>
      </c>
      <c r="H696" s="32">
        <v>12102.544474247878</v>
      </c>
      <c r="I696" s="31">
        <v>0.94874718925139945</v>
      </c>
      <c r="J696" s="32">
        <v>7974.6269404972745</v>
      </c>
      <c r="L696" s="43">
        <f t="shared" si="80"/>
        <v>-14161.847143854186</v>
      </c>
      <c r="M696" s="43">
        <f t="shared" si="81"/>
        <v>-5487.7006692928708</v>
      </c>
      <c r="N696" s="43">
        <f t="shared" si="82"/>
        <v>-7358.8085279908801</v>
      </c>
      <c r="O696" s="43">
        <f t="shared" si="83"/>
        <v>-3230.890994240277</v>
      </c>
      <c r="Q696" s="42">
        <f t="shared" si="84"/>
        <v>0</v>
      </c>
      <c r="R696" s="42">
        <f t="shared" si="85"/>
        <v>0</v>
      </c>
      <c r="S696" s="42">
        <f t="shared" si="86"/>
        <v>0</v>
      </c>
      <c r="T696" s="42">
        <f t="shared" si="87"/>
        <v>1</v>
      </c>
    </row>
    <row r="697" spans="1:20" x14ac:dyDescent="0.2">
      <c r="A697" s="30">
        <v>690</v>
      </c>
      <c r="C697" s="31">
        <v>0.99551473440161431</v>
      </c>
      <c r="D697" s="32">
        <v>15752.791214086685</v>
      </c>
      <c r="E697" s="31">
        <v>0.93607952851821918</v>
      </c>
      <c r="F697" s="32">
        <v>6089.9660135187241</v>
      </c>
      <c r="G697" s="31">
        <v>0.93043869026420167</v>
      </c>
      <c r="H697" s="32">
        <v>9510.3911023653836</v>
      </c>
      <c r="I697" s="31">
        <v>0.92874213071583811</v>
      </c>
      <c r="J697" s="32">
        <v>5565.2095214028868</v>
      </c>
      <c r="L697" s="43">
        <f t="shared" si="80"/>
        <v>-10775.217542078613</v>
      </c>
      <c r="M697" s="43">
        <f t="shared" si="81"/>
        <v>-1409.5683709276282</v>
      </c>
      <c r="N697" s="43">
        <f t="shared" si="82"/>
        <v>-4858.1976510443756</v>
      </c>
      <c r="O697" s="43">
        <f t="shared" si="83"/>
        <v>-921.49886782369595</v>
      </c>
      <c r="Q697" s="42">
        <f t="shared" si="84"/>
        <v>0</v>
      </c>
      <c r="R697" s="42">
        <f t="shared" si="85"/>
        <v>0</v>
      </c>
      <c r="S697" s="42">
        <f t="shared" si="86"/>
        <v>0</v>
      </c>
      <c r="T697" s="42">
        <f t="shared" si="87"/>
        <v>1</v>
      </c>
    </row>
    <row r="698" spans="1:20" x14ac:dyDescent="0.2">
      <c r="A698" s="30">
        <v>691</v>
      </c>
      <c r="C698" s="31">
        <v>0.98337070607097599</v>
      </c>
      <c r="D698" s="32">
        <v>16469.146170743134</v>
      </c>
      <c r="E698" s="31">
        <v>0.93141928189329981</v>
      </c>
      <c r="F698" s="32">
        <v>5314.5397360489387</v>
      </c>
      <c r="G698" s="31">
        <v>0.92907398976950062</v>
      </c>
      <c r="H698" s="32">
        <v>9389.6564783640333</v>
      </c>
      <c r="I698" s="31">
        <v>0.92242722734226801</v>
      </c>
      <c r="J698" s="32">
        <v>4961.5670831941407</v>
      </c>
      <c r="L698" s="43">
        <f t="shared" si="80"/>
        <v>-11552.292640388254</v>
      </c>
      <c r="M698" s="43">
        <f t="shared" si="81"/>
        <v>-657.44332658244002</v>
      </c>
      <c r="N698" s="43">
        <f t="shared" si="82"/>
        <v>-4744.2865295165302</v>
      </c>
      <c r="O698" s="43">
        <f t="shared" si="83"/>
        <v>-349.43094648280021</v>
      </c>
      <c r="Q698" s="42">
        <f t="shared" si="84"/>
        <v>0</v>
      </c>
      <c r="R698" s="42">
        <f t="shared" si="85"/>
        <v>0</v>
      </c>
      <c r="S698" s="42">
        <f t="shared" si="86"/>
        <v>0</v>
      </c>
      <c r="T698" s="42">
        <f t="shared" si="87"/>
        <v>1</v>
      </c>
    </row>
    <row r="699" spans="1:20" x14ac:dyDescent="0.2">
      <c r="A699" s="30">
        <v>692</v>
      </c>
      <c r="C699" s="31">
        <v>0.93763027239168051</v>
      </c>
      <c r="D699" s="32">
        <v>13428.234609470774</v>
      </c>
      <c r="E699" s="31">
        <v>0.93469792469864443</v>
      </c>
      <c r="F699" s="32">
        <v>4976.1024932117498</v>
      </c>
      <c r="G699" s="31">
        <v>0.93332890599809382</v>
      </c>
      <c r="H699" s="32">
        <v>8005.2503740488</v>
      </c>
      <c r="I699" s="31">
        <v>0.93332890599809404</v>
      </c>
      <c r="J699" s="32">
        <v>4804.6711123082605</v>
      </c>
      <c r="L699" s="43">
        <f t="shared" si="80"/>
        <v>-8740.0832475123716</v>
      </c>
      <c r="M699" s="43">
        <f t="shared" si="81"/>
        <v>-302.61286971852769</v>
      </c>
      <c r="N699" s="43">
        <f t="shared" si="82"/>
        <v>-3338.6058440583311</v>
      </c>
      <c r="O699" s="43">
        <f t="shared" si="83"/>
        <v>-138.0265823177906</v>
      </c>
      <c r="Q699" s="42">
        <f t="shared" si="84"/>
        <v>0</v>
      </c>
      <c r="R699" s="42">
        <f t="shared" si="85"/>
        <v>0</v>
      </c>
      <c r="S699" s="42">
        <f t="shared" si="86"/>
        <v>0</v>
      </c>
      <c r="T699" s="42">
        <f t="shared" si="87"/>
        <v>1</v>
      </c>
    </row>
    <row r="700" spans="1:20" x14ac:dyDescent="0.2">
      <c r="A700" s="30">
        <v>693</v>
      </c>
      <c r="C700" s="31">
        <v>0.99993978179590548</v>
      </c>
      <c r="D700" s="32">
        <v>16123.227619997968</v>
      </c>
      <c r="E700" s="31">
        <v>0.90780024475163534</v>
      </c>
      <c r="F700" s="32">
        <v>8608.3745225706316</v>
      </c>
      <c r="G700" s="31">
        <v>0.96828302072574335</v>
      </c>
      <c r="H700" s="32">
        <v>10023.873417811988</v>
      </c>
      <c r="I700" s="31">
        <v>0.90322461390429043</v>
      </c>
      <c r="J700" s="32">
        <v>6120.511651204989</v>
      </c>
      <c r="L700" s="43">
        <f t="shared" si="80"/>
        <v>-11123.52871101844</v>
      </c>
      <c r="M700" s="43">
        <f t="shared" si="81"/>
        <v>-4069.3732988124548</v>
      </c>
      <c r="N700" s="43">
        <f t="shared" si="82"/>
        <v>-5182.4583141832718</v>
      </c>
      <c r="O700" s="43">
        <f t="shared" si="83"/>
        <v>-1604.3885816835373</v>
      </c>
      <c r="Q700" s="42">
        <f t="shared" si="84"/>
        <v>0</v>
      </c>
      <c r="R700" s="42">
        <f t="shared" si="85"/>
        <v>0</v>
      </c>
      <c r="S700" s="42">
        <f t="shared" si="86"/>
        <v>0</v>
      </c>
      <c r="T700" s="42">
        <f t="shared" si="87"/>
        <v>1</v>
      </c>
    </row>
    <row r="701" spans="1:20" x14ac:dyDescent="0.2">
      <c r="A701" s="30">
        <v>694</v>
      </c>
      <c r="C701" s="31">
        <v>0.95146100177992698</v>
      </c>
      <c r="D701" s="32">
        <v>15000.767271208311</v>
      </c>
      <c r="E701" s="31">
        <v>0.781253641037432</v>
      </c>
      <c r="F701" s="32">
        <v>4281.3819524377686</v>
      </c>
      <c r="G701" s="31">
        <v>0.90262372701949856</v>
      </c>
      <c r="H701" s="32">
        <v>8693.1536366170476</v>
      </c>
      <c r="I701" s="31">
        <v>0.77901904224469076</v>
      </c>
      <c r="J701" s="32">
        <v>3626.1747104036526</v>
      </c>
      <c r="L701" s="43">
        <f t="shared" si="80"/>
        <v>-10243.462262308676</v>
      </c>
      <c r="M701" s="43">
        <f t="shared" si="81"/>
        <v>-375.11374725060841</v>
      </c>
      <c r="N701" s="43">
        <f t="shared" si="82"/>
        <v>-4180.0350015195545</v>
      </c>
      <c r="O701" s="43">
        <f t="shared" si="83"/>
        <v>268.92050081980096</v>
      </c>
      <c r="Q701" s="42">
        <f t="shared" si="84"/>
        <v>0</v>
      </c>
      <c r="R701" s="42">
        <f t="shared" si="85"/>
        <v>0</v>
      </c>
      <c r="S701" s="42">
        <f t="shared" si="86"/>
        <v>0</v>
      </c>
      <c r="T701" s="42">
        <f t="shared" si="87"/>
        <v>1</v>
      </c>
    </row>
    <row r="702" spans="1:20" x14ac:dyDescent="0.2">
      <c r="A702" s="30">
        <v>695</v>
      </c>
      <c r="C702" s="31">
        <v>0.99036414332625411</v>
      </c>
      <c r="D702" s="32">
        <v>15283.283068034441</v>
      </c>
      <c r="E702" s="31">
        <v>0.77765464070674195</v>
      </c>
      <c r="F702" s="32">
        <v>4559.2045531891163</v>
      </c>
      <c r="G702" s="31">
        <v>0.94949155204482483</v>
      </c>
      <c r="H702" s="32">
        <v>9012.0967681387938</v>
      </c>
      <c r="I702" s="31">
        <v>0.77656287832406923</v>
      </c>
      <c r="J702" s="32">
        <v>3323.5427198663701</v>
      </c>
      <c r="L702" s="43">
        <f t="shared" si="80"/>
        <v>-10331.46235140317</v>
      </c>
      <c r="M702" s="43">
        <f t="shared" si="81"/>
        <v>-670.93134965540639</v>
      </c>
      <c r="N702" s="43">
        <f t="shared" si="82"/>
        <v>-4264.6390079146695</v>
      </c>
      <c r="O702" s="43">
        <f t="shared" si="83"/>
        <v>559.27167175397608</v>
      </c>
      <c r="Q702" s="42">
        <f t="shared" si="84"/>
        <v>0</v>
      </c>
      <c r="R702" s="42">
        <f t="shared" si="85"/>
        <v>0</v>
      </c>
      <c r="S702" s="42">
        <f t="shared" si="86"/>
        <v>0</v>
      </c>
      <c r="T702" s="42">
        <f t="shared" si="87"/>
        <v>1</v>
      </c>
    </row>
    <row r="703" spans="1:20" x14ac:dyDescent="0.2">
      <c r="A703" s="30">
        <v>696</v>
      </c>
      <c r="C703" s="31">
        <v>0.99753954037959769</v>
      </c>
      <c r="D703" s="32">
        <v>15949.97751806942</v>
      </c>
      <c r="E703" s="31">
        <v>0.96526119194926308</v>
      </c>
      <c r="F703" s="32">
        <v>11556.288588330195</v>
      </c>
      <c r="G703" s="31">
        <v>0.96222809061701087</v>
      </c>
      <c r="H703" s="32">
        <v>9760.0838476048448</v>
      </c>
      <c r="I703" s="31">
        <v>0.96222809061701087</v>
      </c>
      <c r="J703" s="32">
        <v>7746.5335152526368</v>
      </c>
      <c r="L703" s="43">
        <f t="shared" si="80"/>
        <v>-10962.279816171431</v>
      </c>
      <c r="M703" s="43">
        <f t="shared" si="81"/>
        <v>-6729.9826285838799</v>
      </c>
      <c r="N703" s="43">
        <f t="shared" si="82"/>
        <v>-4948.9433945197907</v>
      </c>
      <c r="O703" s="43">
        <f t="shared" si="83"/>
        <v>-2935.3930621675827</v>
      </c>
      <c r="Q703" s="42">
        <f t="shared" si="84"/>
        <v>0</v>
      </c>
      <c r="R703" s="42">
        <f t="shared" si="85"/>
        <v>0</v>
      </c>
      <c r="S703" s="42">
        <f t="shared" si="86"/>
        <v>0</v>
      </c>
      <c r="T703" s="42">
        <f t="shared" si="87"/>
        <v>1</v>
      </c>
    </row>
    <row r="704" spans="1:20" x14ac:dyDescent="0.2">
      <c r="A704" s="30">
        <v>697</v>
      </c>
      <c r="C704" s="31">
        <v>0.96447448085660115</v>
      </c>
      <c r="D704" s="32">
        <v>15519.191776659498</v>
      </c>
      <c r="E704" s="31">
        <v>0.75606222832618364</v>
      </c>
      <c r="F704" s="32">
        <v>2979.5029932627367</v>
      </c>
      <c r="G704" s="31">
        <v>0.95401060133506554</v>
      </c>
      <c r="H704" s="32">
        <v>9267.4744971117179</v>
      </c>
      <c r="I704" s="31">
        <v>0.7538203520116793</v>
      </c>
      <c r="J704" s="32">
        <v>2786.2638770964359</v>
      </c>
      <c r="L704" s="43">
        <f t="shared" si="80"/>
        <v>-10696.819372376493</v>
      </c>
      <c r="M704" s="43">
        <f t="shared" si="81"/>
        <v>800.80814836818126</v>
      </c>
      <c r="N704" s="43">
        <f t="shared" si="82"/>
        <v>-4497.4214904363898</v>
      </c>
      <c r="O704" s="43">
        <f t="shared" si="83"/>
        <v>982.83788296196053</v>
      </c>
      <c r="Q704" s="42">
        <f t="shared" si="84"/>
        <v>0</v>
      </c>
      <c r="R704" s="42">
        <f t="shared" si="85"/>
        <v>0</v>
      </c>
      <c r="S704" s="42">
        <f t="shared" si="86"/>
        <v>0</v>
      </c>
      <c r="T704" s="42">
        <f t="shared" si="87"/>
        <v>1</v>
      </c>
    </row>
    <row r="705" spans="1:20" x14ac:dyDescent="0.2">
      <c r="A705" s="30">
        <v>698</v>
      </c>
      <c r="C705" s="31">
        <v>0.98948247811318912</v>
      </c>
      <c r="D705" s="32">
        <v>14230.169250970132</v>
      </c>
      <c r="E705" s="31">
        <v>0.89980605860681417</v>
      </c>
      <c r="F705" s="32">
        <v>5295.9332986896934</v>
      </c>
      <c r="G705" s="31">
        <v>0.95767429876181964</v>
      </c>
      <c r="H705" s="32">
        <v>8337.4074108757304</v>
      </c>
      <c r="I705" s="31">
        <v>0.89332658891575933</v>
      </c>
      <c r="J705" s="32">
        <v>4246.5124623808542</v>
      </c>
      <c r="L705" s="43">
        <f t="shared" si="80"/>
        <v>-9282.7568604041862</v>
      </c>
      <c r="M705" s="43">
        <f t="shared" si="81"/>
        <v>-796.90300565562211</v>
      </c>
      <c r="N705" s="43">
        <f t="shared" si="82"/>
        <v>-3549.0359170666325</v>
      </c>
      <c r="O705" s="43">
        <f t="shared" si="83"/>
        <v>220.12048219794269</v>
      </c>
      <c r="Q705" s="42">
        <f t="shared" si="84"/>
        <v>0</v>
      </c>
      <c r="R705" s="42">
        <f t="shared" si="85"/>
        <v>0</v>
      </c>
      <c r="S705" s="42">
        <f t="shared" si="86"/>
        <v>0</v>
      </c>
      <c r="T705" s="42">
        <f t="shared" si="87"/>
        <v>1</v>
      </c>
    </row>
    <row r="706" spans="1:20" x14ac:dyDescent="0.2">
      <c r="A706" s="30">
        <v>699</v>
      </c>
      <c r="C706" s="31">
        <v>0.9771051729718232</v>
      </c>
      <c r="D706" s="32">
        <v>13855.243528951425</v>
      </c>
      <c r="E706" s="31">
        <v>0.9389129424448841</v>
      </c>
      <c r="F706" s="32">
        <v>8713.6021790627292</v>
      </c>
      <c r="G706" s="31">
        <v>0.9362641715966975</v>
      </c>
      <c r="H706" s="32">
        <v>8755.0135460838228</v>
      </c>
      <c r="I706" s="31">
        <v>0.9362641715966975</v>
      </c>
      <c r="J706" s="32">
        <v>6318.0613634849005</v>
      </c>
      <c r="L706" s="43">
        <f t="shared" si="80"/>
        <v>-8969.7176640923099</v>
      </c>
      <c r="M706" s="43">
        <f t="shared" si="81"/>
        <v>-4019.0374668383083</v>
      </c>
      <c r="N706" s="43">
        <f t="shared" si="82"/>
        <v>-4073.6926881003355</v>
      </c>
      <c r="O706" s="43">
        <f t="shared" si="83"/>
        <v>-1636.7405055014133</v>
      </c>
      <c r="Q706" s="42">
        <f t="shared" si="84"/>
        <v>0</v>
      </c>
      <c r="R706" s="42">
        <f t="shared" si="85"/>
        <v>0</v>
      </c>
      <c r="S706" s="42">
        <f t="shared" si="86"/>
        <v>0</v>
      </c>
      <c r="T706" s="42">
        <f t="shared" si="87"/>
        <v>1</v>
      </c>
    </row>
    <row r="707" spans="1:20" x14ac:dyDescent="0.2">
      <c r="A707" s="30">
        <v>700</v>
      </c>
      <c r="C707" s="31">
        <v>0.95583403001519707</v>
      </c>
      <c r="D707" s="32">
        <v>13520.893784728671</v>
      </c>
      <c r="E707" s="31">
        <v>0.96080829941992729</v>
      </c>
      <c r="F707" s="32">
        <v>5017.3605922623738</v>
      </c>
      <c r="G707" s="31">
        <v>0.95246324944129013</v>
      </c>
      <c r="H707" s="32">
        <v>7454.503379979059</v>
      </c>
      <c r="I707" s="31">
        <v>0.95246324944129013</v>
      </c>
      <c r="J707" s="32">
        <v>4740.0617004063897</v>
      </c>
      <c r="L707" s="43">
        <f t="shared" si="80"/>
        <v>-8741.7236346526843</v>
      </c>
      <c r="M707" s="43">
        <f t="shared" si="81"/>
        <v>-213.31909516273754</v>
      </c>
      <c r="N707" s="43">
        <f t="shared" si="82"/>
        <v>-2692.1871327726085</v>
      </c>
      <c r="O707" s="43">
        <f t="shared" si="83"/>
        <v>22.25454680006078</v>
      </c>
      <c r="Q707" s="42">
        <f t="shared" si="84"/>
        <v>0</v>
      </c>
      <c r="R707" s="42">
        <f t="shared" si="85"/>
        <v>0</v>
      </c>
      <c r="S707" s="42">
        <f t="shared" si="86"/>
        <v>0</v>
      </c>
      <c r="T707" s="42">
        <f t="shared" si="87"/>
        <v>1</v>
      </c>
    </row>
    <row r="708" spans="1:20" x14ac:dyDescent="0.2">
      <c r="A708" s="30">
        <v>701</v>
      </c>
      <c r="C708" s="31">
        <v>0.9981411205968661</v>
      </c>
      <c r="D708" s="32">
        <v>15239.530848891389</v>
      </c>
      <c r="E708" s="31">
        <v>0.94459196821790092</v>
      </c>
      <c r="F708" s="32">
        <v>8062.2454231550437</v>
      </c>
      <c r="G708" s="31">
        <v>0.94319005918558452</v>
      </c>
      <c r="H708" s="32">
        <v>9463.2417932046028</v>
      </c>
      <c r="I708" s="31">
        <v>0.94319005918558474</v>
      </c>
      <c r="J708" s="32">
        <v>6340.9321804183901</v>
      </c>
      <c r="L708" s="43">
        <f t="shared" si="80"/>
        <v>-10248.825245907057</v>
      </c>
      <c r="M708" s="43">
        <f t="shared" si="81"/>
        <v>-3339.2855820655386</v>
      </c>
      <c r="N708" s="43">
        <f t="shared" si="82"/>
        <v>-4747.2914972766803</v>
      </c>
      <c r="O708" s="43">
        <f t="shared" si="83"/>
        <v>-1624.9818844904667</v>
      </c>
      <c r="Q708" s="42">
        <f t="shared" si="84"/>
        <v>0</v>
      </c>
      <c r="R708" s="42">
        <f t="shared" si="85"/>
        <v>0</v>
      </c>
      <c r="S708" s="42">
        <f t="shared" si="86"/>
        <v>0</v>
      </c>
      <c r="T708" s="42">
        <f t="shared" si="87"/>
        <v>1</v>
      </c>
    </row>
    <row r="709" spans="1:20" x14ac:dyDescent="0.2">
      <c r="A709" s="30">
        <v>702</v>
      </c>
      <c r="C709" s="31">
        <v>0.99219922171857489</v>
      </c>
      <c r="D709" s="32">
        <v>15852.058981830491</v>
      </c>
      <c r="E709" s="31">
        <v>0.90906689977438337</v>
      </c>
      <c r="F709" s="32">
        <v>5561.8665255760534</v>
      </c>
      <c r="G709" s="31">
        <v>0.9020646466807638</v>
      </c>
      <c r="H709" s="32">
        <v>9559.4102339156325</v>
      </c>
      <c r="I709" s="31">
        <v>0.9020646466807638</v>
      </c>
      <c r="J709" s="32">
        <v>5151.7541832369634</v>
      </c>
      <c r="L709" s="43">
        <f t="shared" si="80"/>
        <v>-10891.062873237617</v>
      </c>
      <c r="M709" s="43">
        <f t="shared" si="81"/>
        <v>-1016.5320267041361</v>
      </c>
      <c r="N709" s="43">
        <f t="shared" si="82"/>
        <v>-5049.0870005118131</v>
      </c>
      <c r="O709" s="43">
        <f t="shared" si="83"/>
        <v>-641.43094983314404</v>
      </c>
      <c r="Q709" s="42">
        <f t="shared" si="84"/>
        <v>0</v>
      </c>
      <c r="R709" s="42">
        <f t="shared" si="85"/>
        <v>0</v>
      </c>
      <c r="S709" s="42">
        <f t="shared" si="86"/>
        <v>0</v>
      </c>
      <c r="T709" s="42">
        <f t="shared" si="87"/>
        <v>1</v>
      </c>
    </row>
    <row r="710" spans="1:20" x14ac:dyDescent="0.2">
      <c r="A710" s="30">
        <v>703</v>
      </c>
      <c r="C710" s="31">
        <v>0.98815350633511223</v>
      </c>
      <c r="D710" s="32">
        <v>16172.431760940661</v>
      </c>
      <c r="E710" s="31">
        <v>0.76300080611577781</v>
      </c>
      <c r="F710" s="32">
        <v>3588.4777837686756</v>
      </c>
      <c r="G710" s="31">
        <v>0.90651366079892459</v>
      </c>
      <c r="H710" s="32">
        <v>9674.6368312550421</v>
      </c>
      <c r="I710" s="31">
        <v>0.7594472265819604</v>
      </c>
      <c r="J710" s="32">
        <v>3226.3376511476981</v>
      </c>
      <c r="L710" s="43">
        <f t="shared" si="80"/>
        <v>-11231.664229265099</v>
      </c>
      <c r="M710" s="43">
        <f t="shared" si="81"/>
        <v>226.52624681021325</v>
      </c>
      <c r="N710" s="43">
        <f t="shared" si="82"/>
        <v>-5142.0685272604196</v>
      </c>
      <c r="O710" s="43">
        <f t="shared" si="83"/>
        <v>570.89848176210398</v>
      </c>
      <c r="Q710" s="42">
        <f t="shared" si="84"/>
        <v>0</v>
      </c>
      <c r="R710" s="42">
        <f t="shared" si="85"/>
        <v>0</v>
      </c>
      <c r="S710" s="42">
        <f t="shared" si="86"/>
        <v>0</v>
      </c>
      <c r="T710" s="42">
        <f t="shared" si="87"/>
        <v>1</v>
      </c>
    </row>
    <row r="711" spans="1:20" x14ac:dyDescent="0.2">
      <c r="A711" s="30">
        <v>704</v>
      </c>
      <c r="C711" s="31">
        <v>0.96092668961423011</v>
      </c>
      <c r="D711" s="32">
        <v>15948.690749589172</v>
      </c>
      <c r="E711" s="31">
        <v>0.77423843365870648</v>
      </c>
      <c r="F711" s="32">
        <v>2865.7621358395158</v>
      </c>
      <c r="G711" s="31">
        <v>0.93853521480661528</v>
      </c>
      <c r="H711" s="32">
        <v>9510.559656205809</v>
      </c>
      <c r="I711" s="31">
        <v>0.77423843365870648</v>
      </c>
      <c r="J711" s="32">
        <v>2746.5218737245373</v>
      </c>
      <c r="L711" s="43">
        <f t="shared" si="80"/>
        <v>-11144.057301518022</v>
      </c>
      <c r="M711" s="43">
        <f t="shared" si="81"/>
        <v>1005.4300324540168</v>
      </c>
      <c r="N711" s="43">
        <f t="shared" si="82"/>
        <v>-4817.8835821727325</v>
      </c>
      <c r="O711" s="43">
        <f t="shared" si="83"/>
        <v>1124.6702945689954</v>
      </c>
      <c r="Q711" s="42">
        <f t="shared" si="84"/>
        <v>0</v>
      </c>
      <c r="R711" s="42">
        <f t="shared" si="85"/>
        <v>0</v>
      </c>
      <c r="S711" s="42">
        <f t="shared" si="86"/>
        <v>0</v>
      </c>
      <c r="T711" s="42">
        <f t="shared" si="87"/>
        <v>1</v>
      </c>
    </row>
    <row r="712" spans="1:20" x14ac:dyDescent="0.2">
      <c r="A712" s="30">
        <v>705</v>
      </c>
      <c r="C712" s="31">
        <v>0.97907093909093612</v>
      </c>
      <c r="D712" s="32">
        <v>15399.632070343554</v>
      </c>
      <c r="E712" s="31">
        <v>0.86548842598602904</v>
      </c>
      <c r="F712" s="32">
        <v>3370.8072066975287</v>
      </c>
      <c r="G712" s="31">
        <v>0.97079154042827764</v>
      </c>
      <c r="H712" s="32">
        <v>8336.2922022381517</v>
      </c>
      <c r="I712" s="31">
        <v>0.85915221069648862</v>
      </c>
      <c r="J712" s="32">
        <v>3073.1319208450273</v>
      </c>
      <c r="L712" s="43">
        <f t="shared" ref="L712:L775" si="88">C712*Rc_-D712</f>
        <v>-10504.277374888872</v>
      </c>
      <c r="M712" s="43">
        <f t="shared" ref="M712:M775" si="89">E712*Rc_-F712</f>
        <v>956.63492323261607</v>
      </c>
      <c r="N712" s="43">
        <f t="shared" ref="N712:N775" si="90">G712*Rc_-H712</f>
        <v>-3482.3345000967638</v>
      </c>
      <c r="O712" s="43">
        <f t="shared" ref="O712:O775" si="91">I712*Rc_-J712</f>
        <v>1222.6291326374162</v>
      </c>
      <c r="Q712" s="42">
        <f t="shared" si="84"/>
        <v>0</v>
      </c>
      <c r="R712" s="42">
        <f t="shared" si="85"/>
        <v>0</v>
      </c>
      <c r="S712" s="42">
        <f t="shared" si="86"/>
        <v>0</v>
      </c>
      <c r="T712" s="42">
        <f t="shared" si="87"/>
        <v>1</v>
      </c>
    </row>
    <row r="713" spans="1:20" x14ac:dyDescent="0.2">
      <c r="A713" s="30">
        <v>706</v>
      </c>
      <c r="C713" s="31">
        <v>0.99344384176681921</v>
      </c>
      <c r="D713" s="32">
        <v>15164.639008474696</v>
      </c>
      <c r="E713" s="31">
        <v>0.96782376989822461</v>
      </c>
      <c r="F713" s="32">
        <v>9289.0846876766554</v>
      </c>
      <c r="G713" s="31">
        <v>0.96006858632300229</v>
      </c>
      <c r="H713" s="32">
        <v>9373.4070492840401</v>
      </c>
      <c r="I713" s="31">
        <v>0.96006858632300229</v>
      </c>
      <c r="J713" s="32">
        <v>6783.1083922679572</v>
      </c>
      <c r="L713" s="43">
        <f t="shared" si="88"/>
        <v>-10197.4197996406</v>
      </c>
      <c r="M713" s="43">
        <f t="shared" si="89"/>
        <v>-4449.9658381855324</v>
      </c>
      <c r="N713" s="43">
        <f t="shared" si="90"/>
        <v>-4573.0641176690287</v>
      </c>
      <c r="O713" s="43">
        <f t="shared" si="91"/>
        <v>-1982.7654606529459</v>
      </c>
      <c r="Q713" s="42">
        <f t="shared" ref="Q713:Q776" si="92">IF(L713&gt;$M713,IF(L713&gt;$N713,IF(L713&gt;$O713,1,0),0),0)</f>
        <v>0</v>
      </c>
      <c r="R713" s="42">
        <f t="shared" ref="R713:R776" si="93">IF(M713&gt;$L713,IF(M713&gt;$N713,IF(M713&gt;$O713,1,0),0),0)</f>
        <v>0</v>
      </c>
      <c r="S713" s="42">
        <f t="shared" ref="S713:S776" si="94">IF(N713&gt;$M713,IF(N713&gt;$L713,IF(N713&gt;$O713,1,0),0),0)</f>
        <v>0</v>
      </c>
      <c r="T713" s="42">
        <f t="shared" ref="T713:T776" si="95">IF(O713&gt;$M713,IF(O713&gt;$N713,IF(O713&gt;$L713,1,0),0),0)</f>
        <v>1</v>
      </c>
    </row>
    <row r="714" spans="1:20" x14ac:dyDescent="0.2">
      <c r="A714" s="30">
        <v>707</v>
      </c>
      <c r="C714" s="31">
        <v>0.99082770120606012</v>
      </c>
      <c r="D714" s="32">
        <v>14280.134529818808</v>
      </c>
      <c r="E714" s="31">
        <v>0.926996857734112</v>
      </c>
      <c r="F714" s="32">
        <v>7111.1378849354078</v>
      </c>
      <c r="G714" s="31">
        <v>0.92019129885881767</v>
      </c>
      <c r="H714" s="32">
        <v>8514.4337978302392</v>
      </c>
      <c r="I714" s="31">
        <v>0.92019357677332958</v>
      </c>
      <c r="J714" s="32">
        <v>5466.2952684918255</v>
      </c>
      <c r="L714" s="43">
        <f t="shared" si="88"/>
        <v>-9325.9960237885061</v>
      </c>
      <c r="M714" s="43">
        <f t="shared" si="89"/>
        <v>-2476.1535962648477</v>
      </c>
      <c r="N714" s="43">
        <f t="shared" si="90"/>
        <v>-3913.4773035361504</v>
      </c>
      <c r="O714" s="43">
        <f t="shared" si="91"/>
        <v>-865.32738462517773</v>
      </c>
      <c r="Q714" s="42">
        <f t="shared" si="92"/>
        <v>0</v>
      </c>
      <c r="R714" s="42">
        <f t="shared" si="93"/>
        <v>0</v>
      </c>
      <c r="S714" s="42">
        <f t="shared" si="94"/>
        <v>0</v>
      </c>
      <c r="T714" s="42">
        <f t="shared" si="95"/>
        <v>1</v>
      </c>
    </row>
    <row r="715" spans="1:20" x14ac:dyDescent="0.2">
      <c r="A715" s="30">
        <v>708</v>
      </c>
      <c r="C715" s="31">
        <v>0.92717727205473266</v>
      </c>
      <c r="D715" s="32">
        <v>12526.002003739492</v>
      </c>
      <c r="E715" s="31">
        <v>0.89908995684890791</v>
      </c>
      <c r="F715" s="32">
        <v>5147.8031917471935</v>
      </c>
      <c r="G715" s="31">
        <v>0.90818952618420412</v>
      </c>
      <c r="H715" s="32">
        <v>7629.9746419965977</v>
      </c>
      <c r="I715" s="31">
        <v>0.89908995684890813</v>
      </c>
      <c r="J715" s="32">
        <v>4485.9894356138484</v>
      </c>
      <c r="L715" s="43">
        <f t="shared" si="88"/>
        <v>-7890.1156434658278</v>
      </c>
      <c r="M715" s="43">
        <f t="shared" si="89"/>
        <v>-652.35340750265368</v>
      </c>
      <c r="N715" s="43">
        <f t="shared" si="90"/>
        <v>-3089.0270110755773</v>
      </c>
      <c r="O715" s="43">
        <f t="shared" si="91"/>
        <v>9.4603486306923514</v>
      </c>
      <c r="Q715" s="42">
        <f t="shared" si="92"/>
        <v>0</v>
      </c>
      <c r="R715" s="42">
        <f t="shared" si="93"/>
        <v>0</v>
      </c>
      <c r="S715" s="42">
        <f t="shared" si="94"/>
        <v>0</v>
      </c>
      <c r="T715" s="42">
        <f t="shared" si="95"/>
        <v>1</v>
      </c>
    </row>
    <row r="716" spans="1:20" x14ac:dyDescent="0.2">
      <c r="A716" s="30">
        <v>709</v>
      </c>
      <c r="C716" s="31">
        <v>0.97957306052903825</v>
      </c>
      <c r="D716" s="32">
        <v>17241.907250592201</v>
      </c>
      <c r="E716" s="31">
        <v>0.78234468254023604</v>
      </c>
      <c r="F716" s="32">
        <v>3392.0440482256249</v>
      </c>
      <c r="G716" s="31">
        <v>0.92893626376199889</v>
      </c>
      <c r="H716" s="32">
        <v>10409.496382505798</v>
      </c>
      <c r="I716" s="31">
        <v>0.77506712602926708</v>
      </c>
      <c r="J716" s="32">
        <v>3109.1529140300249</v>
      </c>
      <c r="L716" s="43">
        <f t="shared" si="88"/>
        <v>-12344.041947947011</v>
      </c>
      <c r="M716" s="43">
        <f t="shared" si="89"/>
        <v>519.6793644755553</v>
      </c>
      <c r="N716" s="43">
        <f t="shared" si="90"/>
        <v>-5764.8150636958044</v>
      </c>
      <c r="O716" s="43">
        <f t="shared" si="91"/>
        <v>766.18271611631053</v>
      </c>
      <c r="Q716" s="42">
        <f t="shared" si="92"/>
        <v>0</v>
      </c>
      <c r="R716" s="42">
        <f t="shared" si="93"/>
        <v>0</v>
      </c>
      <c r="S716" s="42">
        <f t="shared" si="94"/>
        <v>0</v>
      </c>
      <c r="T716" s="42">
        <f t="shared" si="95"/>
        <v>1</v>
      </c>
    </row>
    <row r="717" spans="1:20" x14ac:dyDescent="0.2">
      <c r="A717" s="30">
        <v>710</v>
      </c>
      <c r="C717" s="31">
        <v>0.98824264812228946</v>
      </c>
      <c r="D717" s="32">
        <v>14399.613824297898</v>
      </c>
      <c r="E717" s="31">
        <v>0.9483784145105485</v>
      </c>
      <c r="F717" s="32">
        <v>6756.1169045469796</v>
      </c>
      <c r="G717" s="31">
        <v>0.93739252473064816</v>
      </c>
      <c r="H717" s="32">
        <v>8669.3114625460275</v>
      </c>
      <c r="I717" s="31">
        <v>0.93739252473064827</v>
      </c>
      <c r="J717" s="32">
        <v>5515.8393527381431</v>
      </c>
      <c r="L717" s="43">
        <f t="shared" si="88"/>
        <v>-9458.4005836864508</v>
      </c>
      <c r="M717" s="43">
        <f t="shared" si="89"/>
        <v>-2014.2248319942373</v>
      </c>
      <c r="N717" s="43">
        <f t="shared" si="90"/>
        <v>-3982.3488388927872</v>
      </c>
      <c r="O717" s="43">
        <f t="shared" si="91"/>
        <v>-828.87672908490185</v>
      </c>
      <c r="Q717" s="42">
        <f t="shared" si="92"/>
        <v>0</v>
      </c>
      <c r="R717" s="42">
        <f t="shared" si="93"/>
        <v>0</v>
      </c>
      <c r="S717" s="42">
        <f t="shared" si="94"/>
        <v>0</v>
      </c>
      <c r="T717" s="42">
        <f t="shared" si="95"/>
        <v>1</v>
      </c>
    </row>
    <row r="718" spans="1:20" x14ac:dyDescent="0.2">
      <c r="A718" s="30">
        <v>711</v>
      </c>
      <c r="C718" s="31">
        <v>0.99362184828550182</v>
      </c>
      <c r="D718" s="32">
        <v>14554.496504107548</v>
      </c>
      <c r="E718" s="31">
        <v>0.9524919141231154</v>
      </c>
      <c r="F718" s="32">
        <v>7386.112918748815</v>
      </c>
      <c r="G718" s="31">
        <v>0.96538849198971866</v>
      </c>
      <c r="H718" s="32">
        <v>8587.8803693899426</v>
      </c>
      <c r="I718" s="31">
        <v>0.9524919141231154</v>
      </c>
      <c r="J718" s="32">
        <v>5553.8854820959214</v>
      </c>
      <c r="L718" s="43">
        <f t="shared" si="88"/>
        <v>-9586.3872626800403</v>
      </c>
      <c r="M718" s="43">
        <f t="shared" si="89"/>
        <v>-2623.6533481332381</v>
      </c>
      <c r="N718" s="43">
        <f t="shared" si="90"/>
        <v>-3760.9379094413498</v>
      </c>
      <c r="O718" s="43">
        <f t="shared" si="91"/>
        <v>-791.42591148034444</v>
      </c>
      <c r="Q718" s="42">
        <f t="shared" si="92"/>
        <v>0</v>
      </c>
      <c r="R718" s="42">
        <f t="shared" si="93"/>
        <v>0</v>
      </c>
      <c r="S718" s="42">
        <f t="shared" si="94"/>
        <v>0</v>
      </c>
      <c r="T718" s="42">
        <f t="shared" si="95"/>
        <v>1</v>
      </c>
    </row>
    <row r="719" spans="1:20" x14ac:dyDescent="0.2">
      <c r="A719" s="30">
        <v>712</v>
      </c>
      <c r="C719" s="31">
        <v>0.96111943817082324</v>
      </c>
      <c r="D719" s="32">
        <v>15977.133118100006</v>
      </c>
      <c r="E719" s="31">
        <v>0.96261076948097968</v>
      </c>
      <c r="F719" s="32">
        <v>5731.0658936085947</v>
      </c>
      <c r="G719" s="31">
        <v>0.96399137081280362</v>
      </c>
      <c r="H719" s="32">
        <v>9525.3812055408671</v>
      </c>
      <c r="I719" s="31">
        <v>0.95864619665662532</v>
      </c>
      <c r="J719" s="32">
        <v>5377.4087000415184</v>
      </c>
      <c r="L719" s="43">
        <f t="shared" si="88"/>
        <v>-11171.53592724589</v>
      </c>
      <c r="M719" s="43">
        <f t="shared" si="89"/>
        <v>-918.01204620369663</v>
      </c>
      <c r="N719" s="43">
        <f t="shared" si="90"/>
        <v>-4705.4243514768486</v>
      </c>
      <c r="O719" s="43">
        <f t="shared" si="91"/>
        <v>-584.1777167583914</v>
      </c>
      <c r="Q719" s="42">
        <f t="shared" si="92"/>
        <v>0</v>
      </c>
      <c r="R719" s="42">
        <f t="shared" si="93"/>
        <v>0</v>
      </c>
      <c r="S719" s="42">
        <f t="shared" si="94"/>
        <v>0</v>
      </c>
      <c r="T719" s="42">
        <f t="shared" si="95"/>
        <v>1</v>
      </c>
    </row>
    <row r="720" spans="1:20" x14ac:dyDescent="0.2">
      <c r="A720" s="30">
        <v>713</v>
      </c>
      <c r="C720" s="31">
        <v>0.99544771707465807</v>
      </c>
      <c r="D720" s="32">
        <v>17296.273188017563</v>
      </c>
      <c r="E720" s="31">
        <v>0.88357701918208442</v>
      </c>
      <c r="F720" s="32">
        <v>6579.8178141064891</v>
      </c>
      <c r="G720" s="31">
        <v>0.96503929141445199</v>
      </c>
      <c r="H720" s="32">
        <v>9905.6795728132802</v>
      </c>
      <c r="I720" s="31">
        <v>0.88357701918208442</v>
      </c>
      <c r="J720" s="32">
        <v>4930.8020113442126</v>
      </c>
      <c r="L720" s="43">
        <f t="shared" si="88"/>
        <v>-12319.034602644273</v>
      </c>
      <c r="M720" s="43">
        <f t="shared" si="89"/>
        <v>-2161.9327181960671</v>
      </c>
      <c r="N720" s="43">
        <f t="shared" si="90"/>
        <v>-5080.4831157410199</v>
      </c>
      <c r="O720" s="43">
        <f t="shared" si="91"/>
        <v>-512.91691543379056</v>
      </c>
      <c r="Q720" s="42">
        <f t="shared" si="92"/>
        <v>0</v>
      </c>
      <c r="R720" s="42">
        <f t="shared" si="93"/>
        <v>0</v>
      </c>
      <c r="S720" s="42">
        <f t="shared" si="94"/>
        <v>0</v>
      </c>
      <c r="T720" s="42">
        <f t="shared" si="95"/>
        <v>1</v>
      </c>
    </row>
    <row r="721" spans="1:20" x14ac:dyDescent="0.2">
      <c r="A721" s="30">
        <v>714</v>
      </c>
      <c r="C721" s="31">
        <v>0.99531644962406518</v>
      </c>
      <c r="D721" s="32">
        <v>15623.562106337671</v>
      </c>
      <c r="E721" s="31">
        <v>0.99234825360814294</v>
      </c>
      <c r="F721" s="32">
        <v>5463.4645749870333</v>
      </c>
      <c r="G721" s="31">
        <v>0.98539665420564648</v>
      </c>
      <c r="H721" s="32">
        <v>8950.8271723782527</v>
      </c>
      <c r="I721" s="31">
        <v>0.9853966542056467</v>
      </c>
      <c r="J721" s="32">
        <v>5198.1190177928593</v>
      </c>
      <c r="L721" s="43">
        <f t="shared" si="88"/>
        <v>-10646.979858217346</v>
      </c>
      <c r="M721" s="43">
        <f t="shared" si="89"/>
        <v>-501.72330694631819</v>
      </c>
      <c r="N721" s="43">
        <f t="shared" si="90"/>
        <v>-4023.8439013500201</v>
      </c>
      <c r="O721" s="43">
        <f t="shared" si="91"/>
        <v>-271.13574676462576</v>
      </c>
      <c r="Q721" s="42">
        <f t="shared" si="92"/>
        <v>0</v>
      </c>
      <c r="R721" s="42">
        <f t="shared" si="93"/>
        <v>0</v>
      </c>
      <c r="S721" s="42">
        <f t="shared" si="94"/>
        <v>0</v>
      </c>
      <c r="T721" s="42">
        <f t="shared" si="95"/>
        <v>1</v>
      </c>
    </row>
    <row r="722" spans="1:20" x14ac:dyDescent="0.2">
      <c r="A722" s="30">
        <v>715</v>
      </c>
      <c r="C722" s="31">
        <v>0.95100286808961754</v>
      </c>
      <c r="D722" s="32">
        <v>18480.285437457518</v>
      </c>
      <c r="E722" s="31">
        <v>0.95440408186087011</v>
      </c>
      <c r="F722" s="32">
        <v>7591.1167105439035</v>
      </c>
      <c r="G722" s="31">
        <v>0.95089253927946671</v>
      </c>
      <c r="H722" s="32">
        <v>11594.584766179338</v>
      </c>
      <c r="I722" s="31">
        <v>0.9508925392794666</v>
      </c>
      <c r="J722" s="32">
        <v>6944.3098491652518</v>
      </c>
      <c r="L722" s="43">
        <f t="shared" si="88"/>
        <v>-13725.27109700943</v>
      </c>
      <c r="M722" s="43">
        <f t="shared" si="89"/>
        <v>-2819.0963012395532</v>
      </c>
      <c r="N722" s="43">
        <f t="shared" si="90"/>
        <v>-6840.1220697820045</v>
      </c>
      <c r="O722" s="43">
        <f t="shared" si="91"/>
        <v>-2189.8471527679185</v>
      </c>
      <c r="Q722" s="42">
        <f t="shared" si="92"/>
        <v>0</v>
      </c>
      <c r="R722" s="42">
        <f t="shared" si="93"/>
        <v>0</v>
      </c>
      <c r="S722" s="42">
        <f t="shared" si="94"/>
        <v>0</v>
      </c>
      <c r="T722" s="42">
        <f t="shared" si="95"/>
        <v>1</v>
      </c>
    </row>
    <row r="723" spans="1:20" x14ac:dyDescent="0.2">
      <c r="A723" s="30">
        <v>716</v>
      </c>
      <c r="C723" s="31">
        <v>0.9820014339126375</v>
      </c>
      <c r="D723" s="32">
        <v>16552.553350764767</v>
      </c>
      <c r="E723" s="31">
        <v>0.78656030221951545</v>
      </c>
      <c r="F723" s="32">
        <v>2809.323282838669</v>
      </c>
      <c r="G723" s="31">
        <v>0.96077536365656147</v>
      </c>
      <c r="H723" s="32">
        <v>9837.1974339392018</v>
      </c>
      <c r="I723" s="31">
        <v>0.78267206084405005</v>
      </c>
      <c r="J723" s="32">
        <v>2529.2512584449428</v>
      </c>
      <c r="L723" s="43">
        <f t="shared" si="88"/>
        <v>-11642.546181201578</v>
      </c>
      <c r="M723" s="43">
        <f t="shared" si="89"/>
        <v>1123.4782282589081</v>
      </c>
      <c r="N723" s="43">
        <f t="shared" si="90"/>
        <v>-5033.3206156563947</v>
      </c>
      <c r="O723" s="43">
        <f t="shared" si="91"/>
        <v>1384.1090457753075</v>
      </c>
      <c r="Q723" s="42">
        <f t="shared" si="92"/>
        <v>0</v>
      </c>
      <c r="R723" s="42">
        <f t="shared" si="93"/>
        <v>0</v>
      </c>
      <c r="S723" s="42">
        <f t="shared" si="94"/>
        <v>0</v>
      </c>
      <c r="T723" s="42">
        <f t="shared" si="95"/>
        <v>1</v>
      </c>
    </row>
    <row r="724" spans="1:20" x14ac:dyDescent="0.2">
      <c r="A724" s="30">
        <v>717</v>
      </c>
      <c r="C724" s="31">
        <v>0.95223379103035943</v>
      </c>
      <c r="D724" s="32">
        <v>18776.195667034175</v>
      </c>
      <c r="E724" s="31">
        <v>0.9620171170759062</v>
      </c>
      <c r="F724" s="32">
        <v>6247.0984189481878</v>
      </c>
      <c r="G724" s="31">
        <v>0.96201374033301645</v>
      </c>
      <c r="H724" s="32">
        <v>11413.376764924415</v>
      </c>
      <c r="I724" s="31">
        <v>0.9620171170759062</v>
      </c>
      <c r="J724" s="32">
        <v>6130.8819186215687</v>
      </c>
      <c r="L724" s="43">
        <f t="shared" si="88"/>
        <v>-14015.026711882378</v>
      </c>
      <c r="M724" s="43">
        <f t="shared" si="89"/>
        <v>-1437.0128335686568</v>
      </c>
      <c r="N724" s="43">
        <f t="shared" si="90"/>
        <v>-6603.3080632593319</v>
      </c>
      <c r="O724" s="43">
        <f t="shared" si="91"/>
        <v>-1320.7963332420377</v>
      </c>
      <c r="Q724" s="42">
        <f t="shared" si="92"/>
        <v>0</v>
      </c>
      <c r="R724" s="42">
        <f t="shared" si="93"/>
        <v>0</v>
      </c>
      <c r="S724" s="42">
        <f t="shared" si="94"/>
        <v>0</v>
      </c>
      <c r="T724" s="42">
        <f t="shared" si="95"/>
        <v>1</v>
      </c>
    </row>
    <row r="725" spans="1:20" x14ac:dyDescent="0.2">
      <c r="A725" s="30">
        <v>718</v>
      </c>
      <c r="C725" s="31">
        <v>0.99692922318788901</v>
      </c>
      <c r="D725" s="32">
        <v>14367.464140372558</v>
      </c>
      <c r="E725" s="31">
        <v>0.93958737524301894</v>
      </c>
      <c r="F725" s="32">
        <v>4948.1584668374308</v>
      </c>
      <c r="G725" s="31">
        <v>0.97444793898591864</v>
      </c>
      <c r="H725" s="32">
        <v>9277.3291046533705</v>
      </c>
      <c r="I725" s="31">
        <v>0.9378927488385036</v>
      </c>
      <c r="J725" s="32">
        <v>4655.4533087289192</v>
      </c>
      <c r="L725" s="43">
        <f t="shared" si="88"/>
        <v>-9382.8180244331124</v>
      </c>
      <c r="M725" s="43">
        <f t="shared" si="89"/>
        <v>-250.22159062233641</v>
      </c>
      <c r="N725" s="43">
        <f t="shared" si="90"/>
        <v>-4405.089409723777</v>
      </c>
      <c r="O725" s="43">
        <f t="shared" si="91"/>
        <v>34.010435463598697</v>
      </c>
      <c r="Q725" s="42">
        <f t="shared" si="92"/>
        <v>0</v>
      </c>
      <c r="R725" s="42">
        <f t="shared" si="93"/>
        <v>0</v>
      </c>
      <c r="S725" s="42">
        <f t="shared" si="94"/>
        <v>0</v>
      </c>
      <c r="T725" s="42">
        <f t="shared" si="95"/>
        <v>1</v>
      </c>
    </row>
    <row r="726" spans="1:20" x14ac:dyDescent="0.2">
      <c r="A726" s="30">
        <v>719</v>
      </c>
      <c r="C726" s="31">
        <v>0.98286838630771489</v>
      </c>
      <c r="D726" s="32">
        <v>16364.670197064132</v>
      </c>
      <c r="E726" s="31">
        <v>0.92089999309934145</v>
      </c>
      <c r="F726" s="32">
        <v>5097.3730124056801</v>
      </c>
      <c r="G726" s="31">
        <v>0.95802021426648543</v>
      </c>
      <c r="H726" s="32">
        <v>9599.107065165128</v>
      </c>
      <c r="I726" s="31">
        <v>0.91816049067253747</v>
      </c>
      <c r="J726" s="32">
        <v>4878.9834575041787</v>
      </c>
      <c r="L726" s="43">
        <f t="shared" si="88"/>
        <v>-11450.328265525557</v>
      </c>
      <c r="M726" s="43">
        <f t="shared" si="89"/>
        <v>-492.87304690897327</v>
      </c>
      <c r="N726" s="43">
        <f t="shared" si="90"/>
        <v>-4809.0059938327013</v>
      </c>
      <c r="O726" s="43">
        <f t="shared" si="91"/>
        <v>-288.18100414149103</v>
      </c>
      <c r="Q726" s="42">
        <f t="shared" si="92"/>
        <v>0</v>
      </c>
      <c r="R726" s="42">
        <f t="shared" si="93"/>
        <v>0</v>
      </c>
      <c r="S726" s="42">
        <f t="shared" si="94"/>
        <v>0</v>
      </c>
      <c r="T726" s="42">
        <f t="shared" si="95"/>
        <v>1</v>
      </c>
    </row>
    <row r="727" spans="1:20" x14ac:dyDescent="0.2">
      <c r="A727" s="30">
        <v>720</v>
      </c>
      <c r="C727" s="31">
        <v>0.96976101723494301</v>
      </c>
      <c r="D727" s="32">
        <v>15707.247366445252</v>
      </c>
      <c r="E727" s="31">
        <v>0.82568097409507624</v>
      </c>
      <c r="F727" s="32">
        <v>4112.7369085773817</v>
      </c>
      <c r="G727" s="31">
        <v>0.91358427140099308</v>
      </c>
      <c r="H727" s="32">
        <v>9911.7971567436471</v>
      </c>
      <c r="I727" s="31">
        <v>0.82090101273019589</v>
      </c>
      <c r="J727" s="32">
        <v>3918.5530804157038</v>
      </c>
      <c r="L727" s="43">
        <f t="shared" si="88"/>
        <v>-10858.442280270538</v>
      </c>
      <c r="M727" s="43">
        <f t="shared" si="89"/>
        <v>15.667961897999703</v>
      </c>
      <c r="N727" s="43">
        <f t="shared" si="90"/>
        <v>-5343.875799738682</v>
      </c>
      <c r="O727" s="43">
        <f t="shared" si="91"/>
        <v>185.95198323527575</v>
      </c>
      <c r="Q727" s="42">
        <f t="shared" si="92"/>
        <v>0</v>
      </c>
      <c r="R727" s="42">
        <f t="shared" si="93"/>
        <v>0</v>
      </c>
      <c r="S727" s="42">
        <f t="shared" si="94"/>
        <v>0</v>
      </c>
      <c r="T727" s="42">
        <f t="shared" si="95"/>
        <v>1</v>
      </c>
    </row>
    <row r="728" spans="1:20" x14ac:dyDescent="0.2">
      <c r="A728" s="30">
        <v>721</v>
      </c>
      <c r="C728" s="31">
        <v>0.94213359353605919</v>
      </c>
      <c r="D728" s="32">
        <v>12893.180467240702</v>
      </c>
      <c r="E728" s="31">
        <v>0.95078877667324524</v>
      </c>
      <c r="F728" s="32">
        <v>4486.4975932325269</v>
      </c>
      <c r="G728" s="31">
        <v>0.95194449361887179</v>
      </c>
      <c r="H728" s="32">
        <v>7720.4761793110583</v>
      </c>
      <c r="I728" s="31">
        <v>0.94858292860455462</v>
      </c>
      <c r="J728" s="32">
        <v>4231.6811480998531</v>
      </c>
      <c r="L728" s="43">
        <f t="shared" si="88"/>
        <v>-8182.5124995604056</v>
      </c>
      <c r="M728" s="43">
        <f t="shared" si="89"/>
        <v>267.44629013369922</v>
      </c>
      <c r="N728" s="43">
        <f t="shared" si="90"/>
        <v>-2960.7537112166992</v>
      </c>
      <c r="O728" s="43">
        <f t="shared" si="91"/>
        <v>511.23349492291982</v>
      </c>
      <c r="Q728" s="42">
        <f t="shared" si="92"/>
        <v>0</v>
      </c>
      <c r="R728" s="42">
        <f t="shared" si="93"/>
        <v>0</v>
      </c>
      <c r="S728" s="42">
        <f t="shared" si="94"/>
        <v>0</v>
      </c>
      <c r="T728" s="42">
        <f t="shared" si="95"/>
        <v>1</v>
      </c>
    </row>
    <row r="729" spans="1:20" x14ac:dyDescent="0.2">
      <c r="A729" s="30">
        <v>722</v>
      </c>
      <c r="C729" s="31">
        <v>0.99771494548675288</v>
      </c>
      <c r="D729" s="32">
        <v>16424.603804036946</v>
      </c>
      <c r="E729" s="31">
        <v>0.83820021271084411</v>
      </c>
      <c r="F729" s="32">
        <v>7932.5034051925495</v>
      </c>
      <c r="G729" s="31">
        <v>0.93341504100789374</v>
      </c>
      <c r="H729" s="32">
        <v>10648.417296915599</v>
      </c>
      <c r="I729" s="31">
        <v>0.8355130711165728</v>
      </c>
      <c r="J729" s="32">
        <v>5822.2624034091205</v>
      </c>
      <c r="L729" s="43">
        <f t="shared" si="88"/>
        <v>-11436.029076603181</v>
      </c>
      <c r="M729" s="43">
        <f t="shared" si="89"/>
        <v>-3741.5023416383292</v>
      </c>
      <c r="N729" s="43">
        <f t="shared" si="90"/>
        <v>-5981.3420918761303</v>
      </c>
      <c r="O729" s="43">
        <f t="shared" si="91"/>
        <v>-1644.6970478262565</v>
      </c>
      <c r="Q729" s="42">
        <f t="shared" si="92"/>
        <v>0</v>
      </c>
      <c r="R729" s="42">
        <f t="shared" si="93"/>
        <v>0</v>
      </c>
      <c r="S729" s="42">
        <f t="shared" si="94"/>
        <v>0</v>
      </c>
      <c r="T729" s="42">
        <f t="shared" si="95"/>
        <v>1</v>
      </c>
    </row>
    <row r="730" spans="1:20" x14ac:dyDescent="0.2">
      <c r="A730" s="30">
        <v>723</v>
      </c>
      <c r="C730" s="31">
        <v>0.99121279764762871</v>
      </c>
      <c r="D730" s="32">
        <v>13000.384180778121</v>
      </c>
      <c r="E730" s="31">
        <v>0.94773513499530382</v>
      </c>
      <c r="F730" s="32">
        <v>5115.1523025093957</v>
      </c>
      <c r="G730" s="31">
        <v>0.93828164690403226</v>
      </c>
      <c r="H730" s="32">
        <v>7466.1639102750269</v>
      </c>
      <c r="I730" s="31">
        <v>0.93828164690403237</v>
      </c>
      <c r="J730" s="32">
        <v>4605.5905385163733</v>
      </c>
      <c r="L730" s="43">
        <f t="shared" si="88"/>
        <v>-8044.3201925399771</v>
      </c>
      <c r="M730" s="43">
        <f t="shared" si="89"/>
        <v>-376.47662753287659</v>
      </c>
      <c r="N730" s="43">
        <f t="shared" si="90"/>
        <v>-2774.7556757548655</v>
      </c>
      <c r="O730" s="43">
        <f t="shared" si="91"/>
        <v>85.817696003789024</v>
      </c>
      <c r="Q730" s="42">
        <f t="shared" si="92"/>
        <v>0</v>
      </c>
      <c r="R730" s="42">
        <f t="shared" si="93"/>
        <v>0</v>
      </c>
      <c r="S730" s="42">
        <f t="shared" si="94"/>
        <v>0</v>
      </c>
      <c r="T730" s="42">
        <f t="shared" si="95"/>
        <v>1</v>
      </c>
    </row>
    <row r="731" spans="1:20" x14ac:dyDescent="0.2">
      <c r="A731" s="30">
        <v>724</v>
      </c>
      <c r="C731" s="31">
        <v>0.96910136524272961</v>
      </c>
      <c r="D731" s="32">
        <v>13394.881863543584</v>
      </c>
      <c r="E731" s="31">
        <v>0.89613933165047399</v>
      </c>
      <c r="F731" s="32">
        <v>4554.8003178674526</v>
      </c>
      <c r="G731" s="31">
        <v>0.91610219316613017</v>
      </c>
      <c r="H731" s="32">
        <v>7954.1015236407584</v>
      </c>
      <c r="I731" s="31">
        <v>0.89404013110056413</v>
      </c>
      <c r="J731" s="32">
        <v>4368.3818111738083</v>
      </c>
      <c r="L731" s="43">
        <f t="shared" si="88"/>
        <v>-8549.3750373299354</v>
      </c>
      <c r="M731" s="43">
        <f t="shared" si="89"/>
        <v>-74.103659615082506</v>
      </c>
      <c r="N731" s="43">
        <f t="shared" si="90"/>
        <v>-3373.5905578101074</v>
      </c>
      <c r="O731" s="43">
        <f t="shared" si="91"/>
        <v>101.81884432901279</v>
      </c>
      <c r="Q731" s="42">
        <f t="shared" si="92"/>
        <v>0</v>
      </c>
      <c r="R731" s="42">
        <f t="shared" si="93"/>
        <v>0</v>
      </c>
      <c r="S731" s="42">
        <f t="shared" si="94"/>
        <v>0</v>
      </c>
      <c r="T731" s="42">
        <f t="shared" si="95"/>
        <v>1</v>
      </c>
    </row>
    <row r="732" spans="1:20" x14ac:dyDescent="0.2">
      <c r="A732" s="30">
        <v>725</v>
      </c>
      <c r="C732" s="31">
        <v>0.99845250126087481</v>
      </c>
      <c r="D732" s="32">
        <v>18570.269483594315</v>
      </c>
      <c r="E732" s="31">
        <v>0.97837249275965732</v>
      </c>
      <c r="F732" s="32">
        <v>6578.6787725939075</v>
      </c>
      <c r="G732" s="31">
        <v>0.97723440168555542</v>
      </c>
      <c r="H732" s="32">
        <v>10921.399140615848</v>
      </c>
      <c r="I732" s="31">
        <v>0.97723440168555542</v>
      </c>
      <c r="J732" s="32">
        <v>6442.7335867542861</v>
      </c>
      <c r="L732" s="43">
        <f t="shared" si="88"/>
        <v>-13578.006977289941</v>
      </c>
      <c r="M732" s="43">
        <f t="shared" si="89"/>
        <v>-1686.8163087956209</v>
      </c>
      <c r="N732" s="43">
        <f t="shared" si="90"/>
        <v>-6035.2271321880708</v>
      </c>
      <c r="O732" s="43">
        <f t="shared" si="91"/>
        <v>-1556.5615783265093</v>
      </c>
      <c r="Q732" s="42">
        <f t="shared" si="92"/>
        <v>0</v>
      </c>
      <c r="R732" s="42">
        <f t="shared" si="93"/>
        <v>0</v>
      </c>
      <c r="S732" s="42">
        <f t="shared" si="94"/>
        <v>0</v>
      </c>
      <c r="T732" s="42">
        <f t="shared" si="95"/>
        <v>1</v>
      </c>
    </row>
    <row r="733" spans="1:20" x14ac:dyDescent="0.2">
      <c r="A733" s="30">
        <v>726</v>
      </c>
      <c r="C733" s="31">
        <v>0.88985008880921701</v>
      </c>
      <c r="D733" s="32">
        <v>12030.155014244821</v>
      </c>
      <c r="E733" s="31">
        <v>0.78110239723040209</v>
      </c>
      <c r="F733" s="32">
        <v>2896.9379291448809</v>
      </c>
      <c r="G733" s="31">
        <v>0.91470636232686575</v>
      </c>
      <c r="H733" s="32">
        <v>7210.943656427803</v>
      </c>
      <c r="I733" s="31">
        <v>0.7781899584741091</v>
      </c>
      <c r="J733" s="32">
        <v>2367.0645600105363</v>
      </c>
      <c r="L733" s="43">
        <f t="shared" si="88"/>
        <v>-7580.9045701987361</v>
      </c>
      <c r="M733" s="43">
        <f t="shared" si="89"/>
        <v>1008.5740570071298</v>
      </c>
      <c r="N733" s="43">
        <f t="shared" si="90"/>
        <v>-2637.4118447934743</v>
      </c>
      <c r="O733" s="43">
        <f t="shared" si="91"/>
        <v>1523.885232360009</v>
      </c>
      <c r="Q733" s="42">
        <f t="shared" si="92"/>
        <v>0</v>
      </c>
      <c r="R733" s="42">
        <f t="shared" si="93"/>
        <v>0</v>
      </c>
      <c r="S733" s="42">
        <f t="shared" si="94"/>
        <v>0</v>
      </c>
      <c r="T733" s="42">
        <f t="shared" si="95"/>
        <v>1</v>
      </c>
    </row>
    <row r="734" spans="1:20" x14ac:dyDescent="0.2">
      <c r="A734" s="30">
        <v>727</v>
      </c>
      <c r="C734" s="31">
        <v>0.98420036726877769</v>
      </c>
      <c r="D734" s="32">
        <v>16879.775095327583</v>
      </c>
      <c r="E734" s="31">
        <v>0.96094965308702474</v>
      </c>
      <c r="F734" s="32">
        <v>7436.0067587622734</v>
      </c>
      <c r="G734" s="31">
        <v>0.95619911469644392</v>
      </c>
      <c r="H734" s="32">
        <v>10001.297910813715</v>
      </c>
      <c r="I734" s="31">
        <v>0.95619911469644403</v>
      </c>
      <c r="J734" s="32">
        <v>5958.6822094331083</v>
      </c>
      <c r="L734" s="43">
        <f t="shared" si="88"/>
        <v>-11958.773258983694</v>
      </c>
      <c r="M734" s="43">
        <f t="shared" si="89"/>
        <v>-2631.2584933271501</v>
      </c>
      <c r="N734" s="43">
        <f t="shared" si="90"/>
        <v>-5220.3023373314954</v>
      </c>
      <c r="O734" s="43">
        <f t="shared" si="91"/>
        <v>-1177.6866359508886</v>
      </c>
      <c r="Q734" s="42">
        <f t="shared" si="92"/>
        <v>0</v>
      </c>
      <c r="R734" s="42">
        <f t="shared" si="93"/>
        <v>0</v>
      </c>
      <c r="S734" s="42">
        <f t="shared" si="94"/>
        <v>0</v>
      </c>
      <c r="T734" s="42">
        <f t="shared" si="95"/>
        <v>1</v>
      </c>
    </row>
    <row r="735" spans="1:20" x14ac:dyDescent="0.2">
      <c r="A735" s="30">
        <v>728</v>
      </c>
      <c r="C735" s="31">
        <v>0.96862743977984034</v>
      </c>
      <c r="D735" s="32">
        <v>11580.154096512018</v>
      </c>
      <c r="E735" s="31">
        <v>0.83786613109164554</v>
      </c>
      <c r="F735" s="32">
        <v>3771.4483661786121</v>
      </c>
      <c r="G735" s="31">
        <v>0.93486199724227148</v>
      </c>
      <c r="H735" s="32">
        <v>7627.6520344614273</v>
      </c>
      <c r="I735" s="31">
        <v>0.8334206601006996</v>
      </c>
      <c r="J735" s="32">
        <v>3147.6897712886839</v>
      </c>
      <c r="L735" s="43">
        <f t="shared" si="88"/>
        <v>-6737.016897612817</v>
      </c>
      <c r="M735" s="43">
        <f t="shared" si="89"/>
        <v>417.88228927961563</v>
      </c>
      <c r="N735" s="43">
        <f t="shared" si="90"/>
        <v>-2953.3420482500696</v>
      </c>
      <c r="O735" s="43">
        <f t="shared" si="91"/>
        <v>1019.4135292148139</v>
      </c>
      <c r="Q735" s="42">
        <f t="shared" si="92"/>
        <v>0</v>
      </c>
      <c r="R735" s="42">
        <f t="shared" si="93"/>
        <v>0</v>
      </c>
      <c r="S735" s="42">
        <f t="shared" si="94"/>
        <v>0</v>
      </c>
      <c r="T735" s="42">
        <f t="shared" si="95"/>
        <v>1</v>
      </c>
    </row>
    <row r="736" spans="1:20" x14ac:dyDescent="0.2">
      <c r="A736" s="30">
        <v>729</v>
      </c>
      <c r="C736" s="31">
        <v>0.99146321933441073</v>
      </c>
      <c r="D736" s="32">
        <v>14956.428418889833</v>
      </c>
      <c r="E736" s="31">
        <v>0.85381075938829765</v>
      </c>
      <c r="F736" s="32">
        <v>3598.7595209299066</v>
      </c>
      <c r="G736" s="31">
        <v>0.94768351564422892</v>
      </c>
      <c r="H736" s="32">
        <v>9197.630788974051</v>
      </c>
      <c r="I736" s="31">
        <v>0.84944359326199903</v>
      </c>
      <c r="J736" s="32">
        <v>3400.0704458770497</v>
      </c>
      <c r="L736" s="43">
        <f t="shared" si="88"/>
        <v>-9999.1123222177794</v>
      </c>
      <c r="M736" s="43">
        <f t="shared" si="89"/>
        <v>670.29427601158159</v>
      </c>
      <c r="N736" s="43">
        <f t="shared" si="90"/>
        <v>-4459.213210752906</v>
      </c>
      <c r="O736" s="43">
        <f t="shared" si="91"/>
        <v>847.14752043294538</v>
      </c>
      <c r="Q736" s="42">
        <f t="shared" si="92"/>
        <v>0</v>
      </c>
      <c r="R736" s="42">
        <f t="shared" si="93"/>
        <v>0</v>
      </c>
      <c r="S736" s="42">
        <f t="shared" si="94"/>
        <v>0</v>
      </c>
      <c r="T736" s="42">
        <f t="shared" si="95"/>
        <v>1</v>
      </c>
    </row>
    <row r="737" spans="1:20" x14ac:dyDescent="0.2">
      <c r="A737" s="30">
        <v>730</v>
      </c>
      <c r="C737" s="31">
        <v>0.96140710325968992</v>
      </c>
      <c r="D737" s="32">
        <v>15605.624166936197</v>
      </c>
      <c r="E737" s="31">
        <v>0.87477875750437017</v>
      </c>
      <c r="F737" s="32">
        <v>4151.4217466391347</v>
      </c>
      <c r="G737" s="31">
        <v>0.94753347434690727</v>
      </c>
      <c r="H737" s="32">
        <v>9544.2871337518591</v>
      </c>
      <c r="I737" s="31">
        <v>0.87114151172835419</v>
      </c>
      <c r="J737" s="32">
        <v>3961.0869643000456</v>
      </c>
      <c r="L737" s="43">
        <f t="shared" si="88"/>
        <v>-10798.588650637746</v>
      </c>
      <c r="M737" s="43">
        <f t="shared" si="89"/>
        <v>222.4720408827161</v>
      </c>
      <c r="N737" s="43">
        <f t="shared" si="90"/>
        <v>-4806.6197620173225</v>
      </c>
      <c r="O737" s="43">
        <f t="shared" si="91"/>
        <v>394.62059434172579</v>
      </c>
      <c r="Q737" s="42">
        <f t="shared" si="92"/>
        <v>0</v>
      </c>
      <c r="R737" s="42">
        <f t="shared" si="93"/>
        <v>0</v>
      </c>
      <c r="S737" s="42">
        <f t="shared" si="94"/>
        <v>0</v>
      </c>
      <c r="T737" s="42">
        <f t="shared" si="95"/>
        <v>1</v>
      </c>
    </row>
    <row r="738" spans="1:20" x14ac:dyDescent="0.2">
      <c r="A738" s="30">
        <v>731</v>
      </c>
      <c r="C738" s="31">
        <v>0.99658252921978296</v>
      </c>
      <c r="D738" s="32">
        <v>15470.41716626464</v>
      </c>
      <c r="E738" s="31">
        <v>0.96162337101848805</v>
      </c>
      <c r="F738" s="32">
        <v>5978.0696502518795</v>
      </c>
      <c r="G738" s="31">
        <v>0.9556470349590076</v>
      </c>
      <c r="H738" s="32">
        <v>9519.7298329647765</v>
      </c>
      <c r="I738" s="31">
        <v>0.9556470349590076</v>
      </c>
      <c r="J738" s="32">
        <v>5746.4955159823194</v>
      </c>
      <c r="L738" s="43">
        <f t="shared" si="88"/>
        <v>-10487.504520165727</v>
      </c>
      <c r="M738" s="43">
        <f t="shared" si="89"/>
        <v>-1169.9527951594391</v>
      </c>
      <c r="N738" s="43">
        <f t="shared" si="90"/>
        <v>-4741.4946581697386</v>
      </c>
      <c r="O738" s="43">
        <f t="shared" si="91"/>
        <v>-968.26034118728148</v>
      </c>
      <c r="Q738" s="42">
        <f t="shared" si="92"/>
        <v>0</v>
      </c>
      <c r="R738" s="42">
        <f t="shared" si="93"/>
        <v>0</v>
      </c>
      <c r="S738" s="42">
        <f t="shared" si="94"/>
        <v>0</v>
      </c>
      <c r="T738" s="42">
        <f t="shared" si="95"/>
        <v>1</v>
      </c>
    </row>
    <row r="739" spans="1:20" x14ac:dyDescent="0.2">
      <c r="A739" s="30">
        <v>732</v>
      </c>
      <c r="C739" s="31">
        <v>0.99962757399273294</v>
      </c>
      <c r="D739" s="32">
        <v>15108.356390422197</v>
      </c>
      <c r="E739" s="31">
        <v>0.83181686822645629</v>
      </c>
      <c r="F739" s="32">
        <v>3561.9545973384706</v>
      </c>
      <c r="G739" s="31">
        <v>0.96718788990383864</v>
      </c>
      <c r="H739" s="32">
        <v>9162.9541236049408</v>
      </c>
      <c r="I739" s="31">
        <v>0.8318168682264564</v>
      </c>
      <c r="J739" s="32">
        <v>3455.5921474559696</v>
      </c>
      <c r="L739" s="43">
        <f t="shared" si="88"/>
        <v>-10110.218520458533</v>
      </c>
      <c r="M739" s="43">
        <f t="shared" si="89"/>
        <v>597.12974379381058</v>
      </c>
      <c r="N739" s="43">
        <f t="shared" si="90"/>
        <v>-4327.0146740857481</v>
      </c>
      <c r="O739" s="43">
        <f t="shared" si="91"/>
        <v>703.49219367631258</v>
      </c>
      <c r="Q739" s="42">
        <f t="shared" si="92"/>
        <v>0</v>
      </c>
      <c r="R739" s="42">
        <f t="shared" si="93"/>
        <v>0</v>
      </c>
      <c r="S739" s="42">
        <f t="shared" si="94"/>
        <v>0</v>
      </c>
      <c r="T739" s="42">
        <f t="shared" si="95"/>
        <v>1</v>
      </c>
    </row>
    <row r="740" spans="1:20" x14ac:dyDescent="0.2">
      <c r="A740" s="30">
        <v>733</v>
      </c>
      <c r="C740" s="31">
        <v>0.93432079268400769</v>
      </c>
      <c r="D740" s="32">
        <v>14002.800726877624</v>
      </c>
      <c r="E740" s="31">
        <v>0.95769073626366175</v>
      </c>
      <c r="F740" s="32">
        <v>4944.4297315594376</v>
      </c>
      <c r="G740" s="31">
        <v>0.94973356105697437</v>
      </c>
      <c r="H740" s="32">
        <v>8670.1188741546994</v>
      </c>
      <c r="I740" s="31">
        <v>0.94973356105697437</v>
      </c>
      <c r="J740" s="32">
        <v>4690.5391477870216</v>
      </c>
      <c r="L740" s="43">
        <f t="shared" si="88"/>
        <v>-9331.1967634575849</v>
      </c>
      <c r="M740" s="43">
        <f t="shared" si="89"/>
        <v>-155.97605024112909</v>
      </c>
      <c r="N740" s="43">
        <f t="shared" si="90"/>
        <v>-3921.4510688698274</v>
      </c>
      <c r="O740" s="43">
        <f t="shared" si="91"/>
        <v>58.128657497850327</v>
      </c>
      <c r="Q740" s="42">
        <f t="shared" si="92"/>
        <v>0</v>
      </c>
      <c r="R740" s="42">
        <f t="shared" si="93"/>
        <v>0</v>
      </c>
      <c r="S740" s="42">
        <f t="shared" si="94"/>
        <v>0</v>
      </c>
      <c r="T740" s="42">
        <f t="shared" si="95"/>
        <v>1</v>
      </c>
    </row>
    <row r="741" spans="1:20" x14ac:dyDescent="0.2">
      <c r="A741" s="30">
        <v>734</v>
      </c>
      <c r="C741" s="31">
        <v>0.99386061739796072</v>
      </c>
      <c r="D741" s="32">
        <v>13883.73563703276</v>
      </c>
      <c r="E741" s="31">
        <v>0.73950056164443345</v>
      </c>
      <c r="F741" s="32">
        <v>1845.4417339593626</v>
      </c>
      <c r="G741" s="31">
        <v>0.96029709657266527</v>
      </c>
      <c r="H741" s="32">
        <v>8171.056551487276</v>
      </c>
      <c r="I741" s="31">
        <v>0.7374890712602058</v>
      </c>
      <c r="J741" s="32">
        <v>1709.9653897219148</v>
      </c>
      <c r="L741" s="43">
        <f t="shared" si="88"/>
        <v>-8914.432550042955</v>
      </c>
      <c r="M741" s="43">
        <f t="shared" si="89"/>
        <v>1852.0610742628048</v>
      </c>
      <c r="N741" s="43">
        <f t="shared" si="90"/>
        <v>-3369.5710686239499</v>
      </c>
      <c r="O741" s="43">
        <f t="shared" si="91"/>
        <v>1977.479966579114</v>
      </c>
      <c r="Q741" s="42">
        <f t="shared" si="92"/>
        <v>0</v>
      </c>
      <c r="R741" s="42">
        <f t="shared" si="93"/>
        <v>0</v>
      </c>
      <c r="S741" s="42">
        <f t="shared" si="94"/>
        <v>0</v>
      </c>
      <c r="T741" s="42">
        <f t="shared" si="95"/>
        <v>1</v>
      </c>
    </row>
    <row r="742" spans="1:20" x14ac:dyDescent="0.2">
      <c r="A742" s="30">
        <v>735</v>
      </c>
      <c r="C742" s="31">
        <v>0.98429300956822108</v>
      </c>
      <c r="D742" s="32">
        <v>13303.334332106846</v>
      </c>
      <c r="E742" s="31">
        <v>0.93133630347460938</v>
      </c>
      <c r="F742" s="32">
        <v>4668.8902605840467</v>
      </c>
      <c r="G742" s="31">
        <v>0.94961478261690468</v>
      </c>
      <c r="H742" s="32">
        <v>7801.1002733601372</v>
      </c>
      <c r="I742" s="31">
        <v>0.91947033667792388</v>
      </c>
      <c r="J742" s="32">
        <v>4351.9480618852904</v>
      </c>
      <c r="L742" s="43">
        <f t="shared" si="88"/>
        <v>-8381.8692842657401</v>
      </c>
      <c r="M742" s="43">
        <f t="shared" si="89"/>
        <v>-12.208743211000183</v>
      </c>
      <c r="N742" s="43">
        <f t="shared" si="90"/>
        <v>-3053.026360275614</v>
      </c>
      <c r="O742" s="43">
        <f t="shared" si="91"/>
        <v>245.40362150432884</v>
      </c>
      <c r="Q742" s="42">
        <f t="shared" si="92"/>
        <v>0</v>
      </c>
      <c r="R742" s="42">
        <f t="shared" si="93"/>
        <v>0</v>
      </c>
      <c r="S742" s="42">
        <f t="shared" si="94"/>
        <v>0</v>
      </c>
      <c r="T742" s="42">
        <f t="shared" si="95"/>
        <v>1</v>
      </c>
    </row>
    <row r="743" spans="1:20" x14ac:dyDescent="0.2">
      <c r="A743" s="30">
        <v>736</v>
      </c>
      <c r="C743" s="31">
        <v>0.94463165929226156</v>
      </c>
      <c r="D743" s="32">
        <v>13630.445737217917</v>
      </c>
      <c r="E743" s="31">
        <v>0.9384155263664512</v>
      </c>
      <c r="F743" s="32">
        <v>5259.8067496532758</v>
      </c>
      <c r="G743" s="31">
        <v>0.93314782649819961</v>
      </c>
      <c r="H743" s="32">
        <v>9020.7675313076179</v>
      </c>
      <c r="I743" s="31">
        <v>0.93314782649819961</v>
      </c>
      <c r="J743" s="32">
        <v>5053.2026478757743</v>
      </c>
      <c r="L743" s="43">
        <f t="shared" si="88"/>
        <v>-8907.2874407566087</v>
      </c>
      <c r="M743" s="43">
        <f t="shared" si="89"/>
        <v>-567.72911782101983</v>
      </c>
      <c r="N743" s="43">
        <f t="shared" si="90"/>
        <v>-4355.0283988166202</v>
      </c>
      <c r="O743" s="43">
        <f t="shared" si="91"/>
        <v>-387.46351538477666</v>
      </c>
      <c r="Q743" s="42">
        <f t="shared" si="92"/>
        <v>0</v>
      </c>
      <c r="R743" s="42">
        <f t="shared" si="93"/>
        <v>0</v>
      </c>
      <c r="S743" s="42">
        <f t="shared" si="94"/>
        <v>0</v>
      </c>
      <c r="T743" s="42">
        <f t="shared" si="95"/>
        <v>1</v>
      </c>
    </row>
    <row r="744" spans="1:20" x14ac:dyDescent="0.2">
      <c r="A744" s="30">
        <v>737</v>
      </c>
      <c r="C744" s="31">
        <v>0.96586323491689752</v>
      </c>
      <c r="D744" s="32">
        <v>17319.153118664508</v>
      </c>
      <c r="E744" s="31">
        <v>0.93221122424268588</v>
      </c>
      <c r="F744" s="32">
        <v>5667.2515069869178</v>
      </c>
      <c r="G744" s="31">
        <v>0.93159430289976464</v>
      </c>
      <c r="H744" s="32">
        <v>10165.734893942647</v>
      </c>
      <c r="I744" s="31">
        <v>0.93159430289976464</v>
      </c>
      <c r="J744" s="32">
        <v>5469.6211426715918</v>
      </c>
      <c r="L744" s="43">
        <f t="shared" si="88"/>
        <v>-12489.83694408002</v>
      </c>
      <c r="M744" s="43">
        <f t="shared" si="89"/>
        <v>-1006.1953857734879</v>
      </c>
      <c r="N744" s="43">
        <f t="shared" si="90"/>
        <v>-5507.7633794438234</v>
      </c>
      <c r="O744" s="43">
        <f t="shared" si="91"/>
        <v>-811.64962817276864</v>
      </c>
      <c r="Q744" s="42">
        <f t="shared" si="92"/>
        <v>0</v>
      </c>
      <c r="R744" s="42">
        <f t="shared" si="93"/>
        <v>0</v>
      </c>
      <c r="S744" s="42">
        <f t="shared" si="94"/>
        <v>0</v>
      </c>
      <c r="T744" s="42">
        <f t="shared" si="95"/>
        <v>1</v>
      </c>
    </row>
    <row r="745" spans="1:20" x14ac:dyDescent="0.2">
      <c r="A745" s="30">
        <v>738</v>
      </c>
      <c r="C745" s="31">
        <v>0.99497963710215065</v>
      </c>
      <c r="D745" s="32">
        <v>14032.260441257389</v>
      </c>
      <c r="E745" s="31">
        <v>0.81507009928806728</v>
      </c>
      <c r="F745" s="32">
        <v>3402.9536220494483</v>
      </c>
      <c r="G745" s="31">
        <v>0.9625352142857253</v>
      </c>
      <c r="H745" s="32">
        <v>8333.3401297578348</v>
      </c>
      <c r="I745" s="31">
        <v>0.81200383959037459</v>
      </c>
      <c r="J745" s="32">
        <v>2903.0284131202579</v>
      </c>
      <c r="L745" s="43">
        <f t="shared" si="88"/>
        <v>-9057.3622557466369</v>
      </c>
      <c r="M745" s="43">
        <f t="shared" si="89"/>
        <v>672.39687439088812</v>
      </c>
      <c r="N745" s="43">
        <f t="shared" si="90"/>
        <v>-3520.6640583292083</v>
      </c>
      <c r="O745" s="43">
        <f t="shared" si="91"/>
        <v>1156.9907848316152</v>
      </c>
      <c r="Q745" s="42">
        <f t="shared" si="92"/>
        <v>0</v>
      </c>
      <c r="R745" s="42">
        <f t="shared" si="93"/>
        <v>0</v>
      </c>
      <c r="S745" s="42">
        <f t="shared" si="94"/>
        <v>0</v>
      </c>
      <c r="T745" s="42">
        <f t="shared" si="95"/>
        <v>1</v>
      </c>
    </row>
    <row r="746" spans="1:20" x14ac:dyDescent="0.2">
      <c r="A746" s="30">
        <v>739</v>
      </c>
      <c r="C746" s="31">
        <v>0.98938375062716322</v>
      </c>
      <c r="D746" s="32">
        <v>15063.690913205137</v>
      </c>
      <c r="E746" s="31">
        <v>0.9419515360196693</v>
      </c>
      <c r="F746" s="32">
        <v>6490.5854205180458</v>
      </c>
      <c r="G746" s="31">
        <v>0.93282771197595116</v>
      </c>
      <c r="H746" s="32">
        <v>9021.2165048738625</v>
      </c>
      <c r="I746" s="31">
        <v>0.93282771197595138</v>
      </c>
      <c r="J746" s="32">
        <v>5443.379704330745</v>
      </c>
      <c r="L746" s="43">
        <f t="shared" si="88"/>
        <v>-10116.772160069322</v>
      </c>
      <c r="M746" s="43">
        <f t="shared" si="89"/>
        <v>-1780.8277404196997</v>
      </c>
      <c r="N746" s="43">
        <f t="shared" si="90"/>
        <v>-4357.0779449941065</v>
      </c>
      <c r="O746" s="43">
        <f t="shared" si="91"/>
        <v>-779.24114445098803</v>
      </c>
      <c r="Q746" s="42">
        <f t="shared" si="92"/>
        <v>0</v>
      </c>
      <c r="R746" s="42">
        <f t="shared" si="93"/>
        <v>0</v>
      </c>
      <c r="S746" s="42">
        <f t="shared" si="94"/>
        <v>0</v>
      </c>
      <c r="T746" s="42">
        <f t="shared" si="95"/>
        <v>1</v>
      </c>
    </row>
    <row r="747" spans="1:20" x14ac:dyDescent="0.2">
      <c r="A747" s="30">
        <v>740</v>
      </c>
      <c r="C747" s="31">
        <v>0.99771208144418799</v>
      </c>
      <c r="D747" s="32">
        <v>14728.764597820376</v>
      </c>
      <c r="E747" s="31">
        <v>0.83770847390108083</v>
      </c>
      <c r="F747" s="32">
        <v>5730.6897517067919</v>
      </c>
      <c r="G747" s="31">
        <v>0.97152246103431106</v>
      </c>
      <c r="H747" s="32">
        <v>9236.7370514358427</v>
      </c>
      <c r="I747" s="31">
        <v>0.83315870058561714</v>
      </c>
      <c r="J747" s="32">
        <v>4192.5448274158371</v>
      </c>
      <c r="L747" s="43">
        <f t="shared" si="88"/>
        <v>-9740.2041905994374</v>
      </c>
      <c r="M747" s="43">
        <f t="shared" si="89"/>
        <v>-1542.1473822013877</v>
      </c>
      <c r="N747" s="43">
        <f t="shared" si="90"/>
        <v>-4379.1247462642878</v>
      </c>
      <c r="O747" s="43">
        <f t="shared" si="91"/>
        <v>-26.751324487750935</v>
      </c>
      <c r="Q747" s="42">
        <f t="shared" si="92"/>
        <v>0</v>
      </c>
      <c r="R747" s="42">
        <f t="shared" si="93"/>
        <v>0</v>
      </c>
      <c r="S747" s="42">
        <f t="shared" si="94"/>
        <v>0</v>
      </c>
      <c r="T747" s="42">
        <f t="shared" si="95"/>
        <v>1</v>
      </c>
    </row>
    <row r="748" spans="1:20" x14ac:dyDescent="0.2">
      <c r="A748" s="30">
        <v>741</v>
      </c>
      <c r="C748" s="31">
        <v>0.99876763829766746</v>
      </c>
      <c r="D748" s="32">
        <v>14874.531706432419</v>
      </c>
      <c r="E748" s="31">
        <v>0.94327069966531008</v>
      </c>
      <c r="F748" s="32">
        <v>5034.6655666051502</v>
      </c>
      <c r="G748" s="31">
        <v>0.97191807614798509</v>
      </c>
      <c r="H748" s="32">
        <v>9350.3647720154331</v>
      </c>
      <c r="I748" s="31">
        <v>0.93594831491154151</v>
      </c>
      <c r="J748" s="32">
        <v>4776.1995657333682</v>
      </c>
      <c r="L748" s="43">
        <f t="shared" si="88"/>
        <v>-9880.6935149440815</v>
      </c>
      <c r="M748" s="43">
        <f t="shared" si="89"/>
        <v>-318.31206827860024</v>
      </c>
      <c r="N748" s="43">
        <f t="shared" si="90"/>
        <v>-4490.7743912755077</v>
      </c>
      <c r="O748" s="43">
        <f t="shared" si="91"/>
        <v>-96.457991175660936</v>
      </c>
      <c r="Q748" s="42">
        <f t="shared" si="92"/>
        <v>0</v>
      </c>
      <c r="R748" s="42">
        <f t="shared" si="93"/>
        <v>0</v>
      </c>
      <c r="S748" s="42">
        <f t="shared" si="94"/>
        <v>0</v>
      </c>
      <c r="T748" s="42">
        <f t="shared" si="95"/>
        <v>1</v>
      </c>
    </row>
    <row r="749" spans="1:20" x14ac:dyDescent="0.2">
      <c r="A749" s="30">
        <v>742</v>
      </c>
      <c r="C749" s="31">
        <v>0.99330264827371006</v>
      </c>
      <c r="D749" s="32">
        <v>16269.251336156925</v>
      </c>
      <c r="E749" s="31">
        <v>0.88413349454657419</v>
      </c>
      <c r="F749" s="32">
        <v>4107.6939852985079</v>
      </c>
      <c r="G749" s="31">
        <v>0.98784742293901195</v>
      </c>
      <c r="H749" s="32">
        <v>10020.217632920627</v>
      </c>
      <c r="I749" s="31">
        <v>0.88413349454657419</v>
      </c>
      <c r="J749" s="32">
        <v>3956.5285349482506</v>
      </c>
      <c r="L749" s="43">
        <f t="shared" si="88"/>
        <v>-11302.738094788376</v>
      </c>
      <c r="M749" s="43">
        <f t="shared" si="89"/>
        <v>312.97348743436305</v>
      </c>
      <c r="N749" s="43">
        <f t="shared" si="90"/>
        <v>-5080.9805182255668</v>
      </c>
      <c r="O749" s="43">
        <f t="shared" si="91"/>
        <v>464.13893778462034</v>
      </c>
      <c r="Q749" s="42">
        <f t="shared" si="92"/>
        <v>0</v>
      </c>
      <c r="R749" s="42">
        <f t="shared" si="93"/>
        <v>0</v>
      </c>
      <c r="S749" s="42">
        <f t="shared" si="94"/>
        <v>0</v>
      </c>
      <c r="T749" s="42">
        <f t="shared" si="95"/>
        <v>1</v>
      </c>
    </row>
    <row r="750" spans="1:20" x14ac:dyDescent="0.2">
      <c r="A750" s="30">
        <v>743</v>
      </c>
      <c r="C750" s="31">
        <v>0.99733216973782557</v>
      </c>
      <c r="D750" s="32">
        <v>15133.676633683834</v>
      </c>
      <c r="E750" s="31">
        <v>0.95220434672333576</v>
      </c>
      <c r="F750" s="32">
        <v>8355.3175890057737</v>
      </c>
      <c r="G750" s="31">
        <v>0.9421309084151851</v>
      </c>
      <c r="H750" s="32">
        <v>8312.4335959207674</v>
      </c>
      <c r="I750" s="31">
        <v>0.9421309084151851</v>
      </c>
      <c r="J750" s="32">
        <v>5916.3037457724568</v>
      </c>
      <c r="L750" s="43">
        <f t="shared" si="88"/>
        <v>-10147.015784994706</v>
      </c>
      <c r="M750" s="43">
        <f t="shared" si="89"/>
        <v>-3594.2958553890949</v>
      </c>
      <c r="N750" s="43">
        <f t="shared" si="90"/>
        <v>-3601.7790538448417</v>
      </c>
      <c r="O750" s="43">
        <f t="shared" si="91"/>
        <v>-1205.649203696531</v>
      </c>
      <c r="Q750" s="42">
        <f t="shared" si="92"/>
        <v>0</v>
      </c>
      <c r="R750" s="42">
        <f t="shared" si="93"/>
        <v>0</v>
      </c>
      <c r="S750" s="42">
        <f t="shared" si="94"/>
        <v>0</v>
      </c>
      <c r="T750" s="42">
        <f t="shared" si="95"/>
        <v>1</v>
      </c>
    </row>
    <row r="751" spans="1:20" x14ac:dyDescent="0.2">
      <c r="A751" s="30">
        <v>744</v>
      </c>
      <c r="C751" s="31">
        <v>0.99963790214636983</v>
      </c>
      <c r="D751" s="32">
        <v>13140.290926103249</v>
      </c>
      <c r="E751" s="31">
        <v>0.79966947704069935</v>
      </c>
      <c r="F751" s="32">
        <v>3095.6795769824912</v>
      </c>
      <c r="G751" s="31">
        <v>0.93407494411346503</v>
      </c>
      <c r="H751" s="32">
        <v>7934.9964381433183</v>
      </c>
      <c r="I751" s="31">
        <v>0.79891562188867571</v>
      </c>
      <c r="J751" s="32">
        <v>2954.3274712589318</v>
      </c>
      <c r="L751" s="43">
        <f t="shared" si="88"/>
        <v>-8142.1014153714004</v>
      </c>
      <c r="M751" s="43">
        <f t="shared" si="89"/>
        <v>902.66780822100554</v>
      </c>
      <c r="N751" s="43">
        <f t="shared" si="90"/>
        <v>-3264.621717575993</v>
      </c>
      <c r="O751" s="43">
        <f t="shared" si="91"/>
        <v>1040.2506381844469</v>
      </c>
      <c r="Q751" s="42">
        <f t="shared" si="92"/>
        <v>0</v>
      </c>
      <c r="R751" s="42">
        <f t="shared" si="93"/>
        <v>0</v>
      </c>
      <c r="S751" s="42">
        <f t="shared" si="94"/>
        <v>0</v>
      </c>
      <c r="T751" s="42">
        <f t="shared" si="95"/>
        <v>1</v>
      </c>
    </row>
    <row r="752" spans="1:20" x14ac:dyDescent="0.2">
      <c r="A752" s="30">
        <v>745</v>
      </c>
      <c r="C752" s="31">
        <v>0.99453148992501095</v>
      </c>
      <c r="D752" s="32">
        <v>14758.077246087449</v>
      </c>
      <c r="E752" s="31">
        <v>0.87768449156830841</v>
      </c>
      <c r="F752" s="32">
        <v>4069.9041655763608</v>
      </c>
      <c r="G752" s="31">
        <v>0.95899158784753347</v>
      </c>
      <c r="H752" s="32">
        <v>8629.1468099649264</v>
      </c>
      <c r="I752" s="31">
        <v>0.87228727238642867</v>
      </c>
      <c r="J752" s="32">
        <v>3827.1152879998999</v>
      </c>
      <c r="L752" s="43">
        <f t="shared" si="88"/>
        <v>-9785.4197964623927</v>
      </c>
      <c r="M752" s="43">
        <f t="shared" si="89"/>
        <v>318.51829226518157</v>
      </c>
      <c r="N752" s="43">
        <f t="shared" si="90"/>
        <v>-3834.1888707272592</v>
      </c>
      <c r="O752" s="43">
        <f t="shared" si="91"/>
        <v>534.32107393224305</v>
      </c>
      <c r="Q752" s="42">
        <f t="shared" si="92"/>
        <v>0</v>
      </c>
      <c r="R752" s="42">
        <f t="shared" si="93"/>
        <v>0</v>
      </c>
      <c r="S752" s="42">
        <f t="shared" si="94"/>
        <v>0</v>
      </c>
      <c r="T752" s="42">
        <f t="shared" si="95"/>
        <v>1</v>
      </c>
    </row>
    <row r="753" spans="1:20" x14ac:dyDescent="0.2">
      <c r="A753" s="30">
        <v>746</v>
      </c>
      <c r="C753" s="31">
        <v>0.99117413094734041</v>
      </c>
      <c r="D753" s="32">
        <v>13921.42053475285</v>
      </c>
      <c r="E753" s="31">
        <v>0.91864147911355221</v>
      </c>
      <c r="F753" s="32">
        <v>5685.9263974124488</v>
      </c>
      <c r="G753" s="31">
        <v>0.9108969104004031</v>
      </c>
      <c r="H753" s="32">
        <v>8476.6347214861507</v>
      </c>
      <c r="I753" s="31">
        <v>0.9108969104004031</v>
      </c>
      <c r="J753" s="32">
        <v>5051.6071696515792</v>
      </c>
      <c r="L753" s="43">
        <f t="shared" si="88"/>
        <v>-8965.5498800161477</v>
      </c>
      <c r="M753" s="43">
        <f t="shared" si="89"/>
        <v>-1092.7190018446881</v>
      </c>
      <c r="N753" s="43">
        <f t="shared" si="90"/>
        <v>-3922.1501694841354</v>
      </c>
      <c r="O753" s="43">
        <f t="shared" si="91"/>
        <v>-497.12261764956384</v>
      </c>
      <c r="Q753" s="42">
        <f t="shared" si="92"/>
        <v>0</v>
      </c>
      <c r="R753" s="42">
        <f t="shared" si="93"/>
        <v>0</v>
      </c>
      <c r="S753" s="42">
        <f t="shared" si="94"/>
        <v>0</v>
      </c>
      <c r="T753" s="42">
        <f t="shared" si="95"/>
        <v>1</v>
      </c>
    </row>
    <row r="754" spans="1:20" x14ac:dyDescent="0.2">
      <c r="A754" s="30">
        <v>747</v>
      </c>
      <c r="C754" s="31">
        <v>0.98405255474649256</v>
      </c>
      <c r="D754" s="32">
        <v>17650.621062428108</v>
      </c>
      <c r="E754" s="31">
        <v>0.89388407107345291</v>
      </c>
      <c r="F754" s="32">
        <v>4755.2791079335457</v>
      </c>
      <c r="G754" s="31">
        <v>0.9571049418291796</v>
      </c>
      <c r="H754" s="32">
        <v>10850.319632835206</v>
      </c>
      <c r="I754" s="31">
        <v>0.88702840446469478</v>
      </c>
      <c r="J754" s="32">
        <v>4478.5707648003208</v>
      </c>
      <c r="L754" s="43">
        <f t="shared" si="88"/>
        <v>-12730.358288695646</v>
      </c>
      <c r="M754" s="43">
        <f t="shared" si="89"/>
        <v>-285.85875256628151</v>
      </c>
      <c r="N754" s="43">
        <f t="shared" si="90"/>
        <v>-6064.7949236893082</v>
      </c>
      <c r="O754" s="43">
        <f t="shared" si="91"/>
        <v>-43.428742476847219</v>
      </c>
      <c r="Q754" s="42">
        <f t="shared" si="92"/>
        <v>0</v>
      </c>
      <c r="R754" s="42">
        <f t="shared" si="93"/>
        <v>0</v>
      </c>
      <c r="S754" s="42">
        <f t="shared" si="94"/>
        <v>0</v>
      </c>
      <c r="T754" s="42">
        <f t="shared" si="95"/>
        <v>1</v>
      </c>
    </row>
    <row r="755" spans="1:20" x14ac:dyDescent="0.2">
      <c r="A755" s="30">
        <v>748</v>
      </c>
      <c r="C755" s="31">
        <v>0.96097514830781372</v>
      </c>
      <c r="D755" s="32">
        <v>17083.330478790253</v>
      </c>
      <c r="E755" s="31">
        <v>0.92754715072817373</v>
      </c>
      <c r="F755" s="32">
        <v>12604.604426080436</v>
      </c>
      <c r="G755" s="31">
        <v>0.93623255881312528</v>
      </c>
      <c r="H755" s="32">
        <v>10223.558318530901</v>
      </c>
      <c r="I755" s="31">
        <v>0.9209001409706572</v>
      </c>
      <c r="J755" s="32">
        <v>8043.2669718514135</v>
      </c>
      <c r="L755" s="43">
        <f t="shared" si="88"/>
        <v>-12278.454737251184</v>
      </c>
      <c r="M755" s="43">
        <f t="shared" si="89"/>
        <v>-7966.8686724395666</v>
      </c>
      <c r="N755" s="43">
        <f t="shared" si="90"/>
        <v>-5542.3955244652743</v>
      </c>
      <c r="O755" s="43">
        <f t="shared" si="91"/>
        <v>-3438.7662669981273</v>
      </c>
      <c r="Q755" s="42">
        <f t="shared" si="92"/>
        <v>0</v>
      </c>
      <c r="R755" s="42">
        <f t="shared" si="93"/>
        <v>0</v>
      </c>
      <c r="S755" s="42">
        <f t="shared" si="94"/>
        <v>0</v>
      </c>
      <c r="T755" s="42">
        <f t="shared" si="95"/>
        <v>1</v>
      </c>
    </row>
    <row r="756" spans="1:20" x14ac:dyDescent="0.2">
      <c r="A756" s="30">
        <v>749</v>
      </c>
      <c r="C756" s="31">
        <v>0.96733154544685007</v>
      </c>
      <c r="D756" s="32">
        <v>19980.779484194594</v>
      </c>
      <c r="E756" s="31">
        <v>0.86706870929268431</v>
      </c>
      <c r="F756" s="32">
        <v>6054.4851135928684</v>
      </c>
      <c r="G756" s="31">
        <v>0.88890335658260755</v>
      </c>
      <c r="H756" s="32">
        <v>11292.28355471416</v>
      </c>
      <c r="I756" s="31">
        <v>0.85809150847084004</v>
      </c>
      <c r="J756" s="32">
        <v>5724.4548221989899</v>
      </c>
      <c r="L756" s="43">
        <f t="shared" si="88"/>
        <v>-15144.121756960343</v>
      </c>
      <c r="M756" s="43">
        <f t="shared" si="89"/>
        <v>-1719.1415671294471</v>
      </c>
      <c r="N756" s="43">
        <f t="shared" si="90"/>
        <v>-6847.7667718011226</v>
      </c>
      <c r="O756" s="43">
        <f t="shared" si="91"/>
        <v>-1433.9972798447898</v>
      </c>
      <c r="Q756" s="42">
        <f t="shared" si="92"/>
        <v>0</v>
      </c>
      <c r="R756" s="42">
        <f t="shared" si="93"/>
        <v>0</v>
      </c>
      <c r="S756" s="42">
        <f t="shared" si="94"/>
        <v>0</v>
      </c>
      <c r="T756" s="42">
        <f t="shared" si="95"/>
        <v>1</v>
      </c>
    </row>
    <row r="757" spans="1:20" x14ac:dyDescent="0.2">
      <c r="A757" s="30">
        <v>750</v>
      </c>
      <c r="C757" s="31">
        <v>0.98013177210477831</v>
      </c>
      <c r="D757" s="32">
        <v>15599.513371089442</v>
      </c>
      <c r="E757" s="31">
        <v>0.79757050917051486</v>
      </c>
      <c r="F757" s="32">
        <v>3479.6630202509059</v>
      </c>
      <c r="G757" s="31">
        <v>0.94945516574489397</v>
      </c>
      <c r="H757" s="32">
        <v>9232.1442638101307</v>
      </c>
      <c r="I757" s="31">
        <v>0.79214189560031101</v>
      </c>
      <c r="J757" s="32">
        <v>2756.0388652975917</v>
      </c>
      <c r="L757" s="43">
        <f t="shared" si="88"/>
        <v>-10698.85451056555</v>
      </c>
      <c r="M757" s="43">
        <f t="shared" si="89"/>
        <v>508.18952560166827</v>
      </c>
      <c r="N757" s="43">
        <f t="shared" si="90"/>
        <v>-4484.8684350856611</v>
      </c>
      <c r="O757" s="43">
        <f t="shared" si="91"/>
        <v>1204.6706127039633</v>
      </c>
      <c r="Q757" s="42">
        <f t="shared" si="92"/>
        <v>0</v>
      </c>
      <c r="R757" s="42">
        <f t="shared" si="93"/>
        <v>0</v>
      </c>
      <c r="S757" s="42">
        <f t="shared" si="94"/>
        <v>0</v>
      </c>
      <c r="T757" s="42">
        <f t="shared" si="95"/>
        <v>1</v>
      </c>
    </row>
    <row r="758" spans="1:20" x14ac:dyDescent="0.2">
      <c r="A758" s="30">
        <v>751</v>
      </c>
      <c r="C758" s="31">
        <v>0.98616283186897002</v>
      </c>
      <c r="D758" s="32">
        <v>17847.701659287231</v>
      </c>
      <c r="E758" s="31">
        <v>0.86934589235255599</v>
      </c>
      <c r="F758" s="32">
        <v>11780.857470682775</v>
      </c>
      <c r="G758" s="31">
        <v>0.94094392644179514</v>
      </c>
      <c r="H758" s="32">
        <v>11146.09387702694</v>
      </c>
      <c r="I758" s="31">
        <v>0.8693458923525561</v>
      </c>
      <c r="J758" s="32">
        <v>7680.3484480157085</v>
      </c>
      <c r="L758" s="43">
        <f t="shared" si="88"/>
        <v>-12916.887499942382</v>
      </c>
      <c r="M758" s="43">
        <f t="shared" si="89"/>
        <v>-7434.1280089199945</v>
      </c>
      <c r="N758" s="43">
        <f t="shared" si="90"/>
        <v>-6441.3742448179646</v>
      </c>
      <c r="O758" s="43">
        <f t="shared" si="91"/>
        <v>-3333.6189862529282</v>
      </c>
      <c r="Q758" s="42">
        <f t="shared" si="92"/>
        <v>0</v>
      </c>
      <c r="R758" s="42">
        <f t="shared" si="93"/>
        <v>0</v>
      </c>
      <c r="S758" s="42">
        <f t="shared" si="94"/>
        <v>0</v>
      </c>
      <c r="T758" s="42">
        <f t="shared" si="95"/>
        <v>1</v>
      </c>
    </row>
    <row r="759" spans="1:20" x14ac:dyDescent="0.2">
      <c r="A759" s="30">
        <v>752</v>
      </c>
      <c r="C759" s="31">
        <v>0.9867762158704253</v>
      </c>
      <c r="D759" s="32">
        <v>12878.200221258945</v>
      </c>
      <c r="E759" s="31">
        <v>0.95819836401385361</v>
      </c>
      <c r="F759" s="32">
        <v>4420.3790899755913</v>
      </c>
      <c r="G759" s="31">
        <v>0.9581983640138535</v>
      </c>
      <c r="H759" s="32">
        <v>7747.3278336972526</v>
      </c>
      <c r="I759" s="31">
        <v>0.9581983640138535</v>
      </c>
      <c r="J759" s="32">
        <v>4306.17629530464</v>
      </c>
      <c r="L759" s="43">
        <f t="shared" si="88"/>
        <v>-7944.3191419068189</v>
      </c>
      <c r="M759" s="43">
        <f t="shared" si="89"/>
        <v>370.61273009367687</v>
      </c>
      <c r="N759" s="43">
        <f t="shared" si="90"/>
        <v>-2956.3360136279853</v>
      </c>
      <c r="O759" s="43">
        <f t="shared" si="91"/>
        <v>484.8155247646273</v>
      </c>
      <c r="Q759" s="42">
        <f t="shared" si="92"/>
        <v>0</v>
      </c>
      <c r="R759" s="42">
        <f t="shared" si="93"/>
        <v>0</v>
      </c>
      <c r="S759" s="42">
        <f t="shared" si="94"/>
        <v>0</v>
      </c>
      <c r="T759" s="42">
        <f t="shared" si="95"/>
        <v>1</v>
      </c>
    </row>
    <row r="760" spans="1:20" x14ac:dyDescent="0.2">
      <c r="A760" s="30">
        <v>753</v>
      </c>
      <c r="C760" s="31">
        <v>0.99657819227607303</v>
      </c>
      <c r="D760" s="32">
        <v>12022.840685522373</v>
      </c>
      <c r="E760" s="31">
        <v>0.78565594773513947</v>
      </c>
      <c r="F760" s="32">
        <v>1924.9986035922498</v>
      </c>
      <c r="G760" s="31">
        <v>0.97534444459864533</v>
      </c>
      <c r="H760" s="32">
        <v>7289.4462626944232</v>
      </c>
      <c r="I760" s="31">
        <v>0.78362804477261927</v>
      </c>
      <c r="J760" s="32">
        <v>1784.625317637842</v>
      </c>
      <c r="L760" s="43">
        <f t="shared" si="88"/>
        <v>-7039.9497241420077</v>
      </c>
      <c r="M760" s="43">
        <f t="shared" si="89"/>
        <v>2003.2811350834477</v>
      </c>
      <c r="N760" s="43">
        <f t="shared" si="90"/>
        <v>-2412.7240397011965</v>
      </c>
      <c r="O760" s="43">
        <f t="shared" si="91"/>
        <v>2133.514906225254</v>
      </c>
      <c r="Q760" s="42">
        <f t="shared" si="92"/>
        <v>0</v>
      </c>
      <c r="R760" s="42">
        <f t="shared" si="93"/>
        <v>0</v>
      </c>
      <c r="S760" s="42">
        <f t="shared" si="94"/>
        <v>0</v>
      </c>
      <c r="T760" s="42">
        <f t="shared" si="95"/>
        <v>1</v>
      </c>
    </row>
    <row r="761" spans="1:20" x14ac:dyDescent="0.2">
      <c r="A761" s="30">
        <v>754</v>
      </c>
      <c r="C761" s="31">
        <v>0.94662294724719698</v>
      </c>
      <c r="D761" s="32">
        <v>15032.234905345467</v>
      </c>
      <c r="E761" s="31">
        <v>0.81289675566032449</v>
      </c>
      <c r="F761" s="32">
        <v>3518.5337155680622</v>
      </c>
      <c r="G761" s="31">
        <v>0.96231464058889427</v>
      </c>
      <c r="H761" s="32">
        <v>9223.0666352974149</v>
      </c>
      <c r="I761" s="31">
        <v>0.80898388083076045</v>
      </c>
      <c r="J761" s="32">
        <v>3293.172973368954</v>
      </c>
      <c r="L761" s="43">
        <f t="shared" si="88"/>
        <v>-10299.120169109483</v>
      </c>
      <c r="M761" s="43">
        <f t="shared" si="89"/>
        <v>545.95006273356012</v>
      </c>
      <c r="N761" s="43">
        <f t="shared" si="90"/>
        <v>-4411.4934323529433</v>
      </c>
      <c r="O761" s="43">
        <f t="shared" si="91"/>
        <v>751.74643078484814</v>
      </c>
      <c r="Q761" s="42">
        <f t="shared" si="92"/>
        <v>0</v>
      </c>
      <c r="R761" s="42">
        <f t="shared" si="93"/>
        <v>0</v>
      </c>
      <c r="S761" s="42">
        <f t="shared" si="94"/>
        <v>0</v>
      </c>
      <c r="T761" s="42">
        <f t="shared" si="95"/>
        <v>1</v>
      </c>
    </row>
    <row r="762" spans="1:20" x14ac:dyDescent="0.2">
      <c r="A762" s="30">
        <v>755</v>
      </c>
      <c r="C762" s="31">
        <v>0.9908963203058857</v>
      </c>
      <c r="D762" s="32">
        <v>17909.590044196779</v>
      </c>
      <c r="E762" s="31">
        <v>0.79545418549748126</v>
      </c>
      <c r="F762" s="32">
        <v>3738.8021795142031</v>
      </c>
      <c r="G762" s="31">
        <v>0.94495101014128047</v>
      </c>
      <c r="H762" s="32">
        <v>10680.070640696084</v>
      </c>
      <c r="I762" s="31">
        <v>0.79545418549748126</v>
      </c>
      <c r="J762" s="32">
        <v>3587.3711728731973</v>
      </c>
      <c r="L762" s="43">
        <f t="shared" si="88"/>
        <v>-12955.108442667351</v>
      </c>
      <c r="M762" s="43">
        <f t="shared" si="89"/>
        <v>238.46874797320334</v>
      </c>
      <c r="N762" s="43">
        <f t="shared" si="90"/>
        <v>-5955.315589989681</v>
      </c>
      <c r="O762" s="43">
        <f t="shared" si="91"/>
        <v>389.89975461420909</v>
      </c>
      <c r="Q762" s="42">
        <f t="shared" si="92"/>
        <v>0</v>
      </c>
      <c r="R762" s="42">
        <f t="shared" si="93"/>
        <v>0</v>
      </c>
      <c r="S762" s="42">
        <f t="shared" si="94"/>
        <v>0</v>
      </c>
      <c r="T762" s="42">
        <f t="shared" si="95"/>
        <v>1</v>
      </c>
    </row>
    <row r="763" spans="1:20" x14ac:dyDescent="0.2">
      <c r="A763" s="30">
        <v>756</v>
      </c>
      <c r="C763" s="31">
        <v>0.99721098166985178</v>
      </c>
      <c r="D763" s="32">
        <v>13812.082952426654</v>
      </c>
      <c r="E763" s="31">
        <v>0.93009316290509148</v>
      </c>
      <c r="F763" s="32">
        <v>4180.370477932739</v>
      </c>
      <c r="G763" s="31">
        <v>0.94317549556744962</v>
      </c>
      <c r="H763" s="32">
        <v>7767.789601050973</v>
      </c>
      <c r="I763" s="31">
        <v>0.92092519514084037</v>
      </c>
      <c r="J763" s="32">
        <v>3904.3054039910357</v>
      </c>
      <c r="L763" s="43">
        <f t="shared" si="88"/>
        <v>-8826.028044077395</v>
      </c>
      <c r="M763" s="43">
        <f t="shared" si="89"/>
        <v>470.09533659271801</v>
      </c>
      <c r="N763" s="43">
        <f t="shared" si="90"/>
        <v>-3051.912123213725</v>
      </c>
      <c r="O763" s="43">
        <f t="shared" si="91"/>
        <v>700.32057171316592</v>
      </c>
      <c r="Q763" s="42">
        <f t="shared" si="92"/>
        <v>0</v>
      </c>
      <c r="R763" s="42">
        <f t="shared" si="93"/>
        <v>0</v>
      </c>
      <c r="S763" s="42">
        <f t="shared" si="94"/>
        <v>0</v>
      </c>
      <c r="T763" s="42">
        <f t="shared" si="95"/>
        <v>1</v>
      </c>
    </row>
    <row r="764" spans="1:20" x14ac:dyDescent="0.2">
      <c r="A764" s="30">
        <v>757</v>
      </c>
      <c r="C764" s="31">
        <v>0.99710100976546645</v>
      </c>
      <c r="D764" s="32">
        <v>14956.603335705135</v>
      </c>
      <c r="E764" s="31">
        <v>0.88757716258607045</v>
      </c>
      <c r="F764" s="32">
        <v>4512.5279821202957</v>
      </c>
      <c r="G764" s="31">
        <v>0.91687327881888581</v>
      </c>
      <c r="H764" s="32">
        <v>9175.3506425284777</v>
      </c>
      <c r="I764" s="31">
        <v>0.8803212816072612</v>
      </c>
      <c r="J764" s="32">
        <v>4266.2690344427092</v>
      </c>
      <c r="L764" s="43">
        <f t="shared" si="88"/>
        <v>-9971.0982868778028</v>
      </c>
      <c r="M764" s="43">
        <f t="shared" si="89"/>
        <v>-74.642169189943161</v>
      </c>
      <c r="N764" s="43">
        <f t="shared" si="90"/>
        <v>-4590.9842484340488</v>
      </c>
      <c r="O764" s="43">
        <f t="shared" si="91"/>
        <v>135.33737359359657</v>
      </c>
      <c r="Q764" s="42">
        <f t="shared" si="92"/>
        <v>0</v>
      </c>
      <c r="R764" s="42">
        <f t="shared" si="93"/>
        <v>0</v>
      </c>
      <c r="S764" s="42">
        <f t="shared" si="94"/>
        <v>0</v>
      </c>
      <c r="T764" s="42">
        <f t="shared" si="95"/>
        <v>1</v>
      </c>
    </row>
    <row r="765" spans="1:20" x14ac:dyDescent="0.2">
      <c r="A765" s="30">
        <v>758</v>
      </c>
      <c r="C765" s="31">
        <v>0.96619136962719909</v>
      </c>
      <c r="D765" s="32">
        <v>14819.168467900054</v>
      </c>
      <c r="E765" s="31">
        <v>0.90704707311902588</v>
      </c>
      <c r="F765" s="32">
        <v>4784.1680560353661</v>
      </c>
      <c r="G765" s="31">
        <v>0.93764170451610573</v>
      </c>
      <c r="H765" s="32">
        <v>9457.6170599815468</v>
      </c>
      <c r="I765" s="31">
        <v>0.90032652150648562</v>
      </c>
      <c r="J765" s="32">
        <v>4506.2039260718602</v>
      </c>
      <c r="L765" s="43">
        <f t="shared" si="88"/>
        <v>-9988.2116197640571</v>
      </c>
      <c r="M765" s="43">
        <f t="shared" si="89"/>
        <v>-248.93269044023691</v>
      </c>
      <c r="N765" s="43">
        <f t="shared" si="90"/>
        <v>-4769.4085374010183</v>
      </c>
      <c r="O765" s="43">
        <f t="shared" si="91"/>
        <v>-4.5713185394324682</v>
      </c>
      <c r="Q765" s="42">
        <f t="shared" si="92"/>
        <v>0</v>
      </c>
      <c r="R765" s="42">
        <f t="shared" si="93"/>
        <v>0</v>
      </c>
      <c r="S765" s="42">
        <f t="shared" si="94"/>
        <v>0</v>
      </c>
      <c r="T765" s="42">
        <f t="shared" si="95"/>
        <v>1</v>
      </c>
    </row>
    <row r="766" spans="1:20" x14ac:dyDescent="0.2">
      <c r="A766" s="30">
        <v>759</v>
      </c>
      <c r="C766" s="31">
        <v>0.98456096682188265</v>
      </c>
      <c r="D766" s="32">
        <v>18748.40120497673</v>
      </c>
      <c r="E766" s="31">
        <v>0.93583738751463397</v>
      </c>
      <c r="F766" s="32">
        <v>6050.1268407063308</v>
      </c>
      <c r="G766" s="31">
        <v>0.95428894311987134</v>
      </c>
      <c r="H766" s="32">
        <v>10906.396922378677</v>
      </c>
      <c r="I766" s="31">
        <v>0.92661120728993263</v>
      </c>
      <c r="J766" s="32">
        <v>5722.4944877961498</v>
      </c>
      <c r="L766" s="43">
        <f t="shared" si="88"/>
        <v>-13825.596370867315</v>
      </c>
      <c r="M766" s="43">
        <f t="shared" si="89"/>
        <v>-1370.9399031331614</v>
      </c>
      <c r="N766" s="43">
        <f t="shared" si="90"/>
        <v>-6134.9522067793205</v>
      </c>
      <c r="O766" s="43">
        <f t="shared" si="91"/>
        <v>-1089.4384513464865</v>
      </c>
      <c r="Q766" s="42">
        <f t="shared" si="92"/>
        <v>0</v>
      </c>
      <c r="R766" s="42">
        <f t="shared" si="93"/>
        <v>0</v>
      </c>
      <c r="S766" s="42">
        <f t="shared" si="94"/>
        <v>0</v>
      </c>
      <c r="T766" s="42">
        <f t="shared" si="95"/>
        <v>1</v>
      </c>
    </row>
    <row r="767" spans="1:20" x14ac:dyDescent="0.2">
      <c r="A767" s="30">
        <v>760</v>
      </c>
      <c r="C767" s="31">
        <v>0.9989723162422065</v>
      </c>
      <c r="D767" s="32">
        <v>19595.938146508361</v>
      </c>
      <c r="E767" s="31">
        <v>0.86478438775424993</v>
      </c>
      <c r="F767" s="32">
        <v>8166.644110991544</v>
      </c>
      <c r="G767" s="31">
        <v>0.9282176544511761</v>
      </c>
      <c r="H767" s="32">
        <v>11610.41177885389</v>
      </c>
      <c r="I767" s="31">
        <v>0.85778865810569493</v>
      </c>
      <c r="J767" s="32">
        <v>6348.5467113308414</v>
      </c>
      <c r="L767" s="43">
        <f t="shared" si="88"/>
        <v>-14601.076565297328</v>
      </c>
      <c r="M767" s="43">
        <f t="shared" si="89"/>
        <v>-3842.7221722202949</v>
      </c>
      <c r="N767" s="43">
        <f t="shared" si="90"/>
        <v>-6969.3235065980089</v>
      </c>
      <c r="O767" s="43">
        <f t="shared" si="91"/>
        <v>-2059.6034208023666</v>
      </c>
      <c r="Q767" s="42">
        <f t="shared" si="92"/>
        <v>0</v>
      </c>
      <c r="R767" s="42">
        <f t="shared" si="93"/>
        <v>0</v>
      </c>
      <c r="S767" s="42">
        <f t="shared" si="94"/>
        <v>0</v>
      </c>
      <c r="T767" s="42">
        <f t="shared" si="95"/>
        <v>1</v>
      </c>
    </row>
    <row r="768" spans="1:20" x14ac:dyDescent="0.2">
      <c r="A768" s="30">
        <v>761</v>
      </c>
      <c r="C768" s="31">
        <v>0.99542331450302191</v>
      </c>
      <c r="D768" s="32">
        <v>15450.001364402293</v>
      </c>
      <c r="E768" s="31">
        <v>0.97830234977610742</v>
      </c>
      <c r="F768" s="32">
        <v>5344.8925854464796</v>
      </c>
      <c r="G768" s="31">
        <v>0.97273971646697943</v>
      </c>
      <c r="H768" s="32">
        <v>9538.8550414115562</v>
      </c>
      <c r="I768" s="31">
        <v>0.97273971646697943</v>
      </c>
      <c r="J768" s="32">
        <v>5138.4646524357695</v>
      </c>
      <c r="L768" s="43">
        <f t="shared" si="88"/>
        <v>-10472.884791887183</v>
      </c>
      <c r="M768" s="43">
        <f t="shared" si="89"/>
        <v>-453.38083656594245</v>
      </c>
      <c r="N768" s="43">
        <f t="shared" si="90"/>
        <v>-4675.1564590766593</v>
      </c>
      <c r="O768" s="43">
        <f t="shared" si="91"/>
        <v>-274.76607010087264</v>
      </c>
      <c r="Q768" s="42">
        <f t="shared" si="92"/>
        <v>0</v>
      </c>
      <c r="R768" s="42">
        <f t="shared" si="93"/>
        <v>0</v>
      </c>
      <c r="S768" s="42">
        <f t="shared" si="94"/>
        <v>0</v>
      </c>
      <c r="T768" s="42">
        <f t="shared" si="95"/>
        <v>1</v>
      </c>
    </row>
    <row r="769" spans="1:20" x14ac:dyDescent="0.2">
      <c r="A769" s="30">
        <v>762</v>
      </c>
      <c r="C769" s="31">
        <v>0.99617021152022944</v>
      </c>
      <c r="D769" s="32">
        <v>14310.06201982122</v>
      </c>
      <c r="E769" s="31">
        <v>0.95977258558899647</v>
      </c>
      <c r="F769" s="32">
        <v>5371.5585740257638</v>
      </c>
      <c r="G769" s="31">
        <v>0.95363309662161821</v>
      </c>
      <c r="H769" s="32">
        <v>9099.6045110957893</v>
      </c>
      <c r="I769" s="31">
        <v>0.95363309662161821</v>
      </c>
      <c r="J769" s="32">
        <v>5142.2031019406668</v>
      </c>
      <c r="L769" s="43">
        <f t="shared" si="88"/>
        <v>-9329.2109622200733</v>
      </c>
      <c r="M769" s="43">
        <f t="shared" si="89"/>
        <v>-572.69564608078144</v>
      </c>
      <c r="N769" s="43">
        <f t="shared" si="90"/>
        <v>-4331.439027987698</v>
      </c>
      <c r="O769" s="43">
        <f t="shared" si="91"/>
        <v>-374.03761883257539</v>
      </c>
      <c r="Q769" s="42">
        <f t="shared" si="92"/>
        <v>0</v>
      </c>
      <c r="R769" s="42">
        <f t="shared" si="93"/>
        <v>0</v>
      </c>
      <c r="S769" s="42">
        <f t="shared" si="94"/>
        <v>0</v>
      </c>
      <c r="T769" s="42">
        <f t="shared" si="95"/>
        <v>1</v>
      </c>
    </row>
    <row r="770" spans="1:20" x14ac:dyDescent="0.2">
      <c r="A770" s="30">
        <v>763</v>
      </c>
      <c r="C770" s="31">
        <v>0.99844787295162574</v>
      </c>
      <c r="D770" s="32">
        <v>14527.851521112956</v>
      </c>
      <c r="E770" s="31">
        <v>0.88135105425147542</v>
      </c>
      <c r="F770" s="32">
        <v>3696.5261652835698</v>
      </c>
      <c r="G770" s="31">
        <v>0.9277613237477047</v>
      </c>
      <c r="H770" s="32">
        <v>8493.0432893756042</v>
      </c>
      <c r="I770" s="31">
        <v>0.88068175083011901</v>
      </c>
      <c r="J770" s="32">
        <v>3552.3250334302934</v>
      </c>
      <c r="L770" s="43">
        <f t="shared" si="88"/>
        <v>-9535.6121563548277</v>
      </c>
      <c r="M770" s="43">
        <f t="shared" si="89"/>
        <v>710.22910597380724</v>
      </c>
      <c r="N770" s="43">
        <f t="shared" si="90"/>
        <v>-3854.2366706370804</v>
      </c>
      <c r="O770" s="43">
        <f t="shared" si="91"/>
        <v>851.0837207203017</v>
      </c>
      <c r="Q770" s="42">
        <f t="shared" si="92"/>
        <v>0</v>
      </c>
      <c r="R770" s="42">
        <f t="shared" si="93"/>
        <v>0</v>
      </c>
      <c r="S770" s="42">
        <f t="shared" si="94"/>
        <v>0</v>
      </c>
      <c r="T770" s="42">
        <f t="shared" si="95"/>
        <v>1</v>
      </c>
    </row>
    <row r="771" spans="1:20" x14ac:dyDescent="0.2">
      <c r="A771" s="30">
        <v>764</v>
      </c>
      <c r="C771" s="31">
        <v>0.99512499308332936</v>
      </c>
      <c r="D771" s="32">
        <v>15843.801816196503</v>
      </c>
      <c r="E771" s="31">
        <v>0.92163842812128016</v>
      </c>
      <c r="F771" s="32">
        <v>5551.1610066201911</v>
      </c>
      <c r="G771" s="31">
        <v>0.96191592945658355</v>
      </c>
      <c r="H771" s="32">
        <v>9756.7679993399488</v>
      </c>
      <c r="I771" s="31">
        <v>0.92163842812128016</v>
      </c>
      <c r="J771" s="32">
        <v>5373.4028066314131</v>
      </c>
      <c r="L771" s="43">
        <f t="shared" si="88"/>
        <v>-10868.176850779855</v>
      </c>
      <c r="M771" s="43">
        <f t="shared" si="89"/>
        <v>-942.96886601378992</v>
      </c>
      <c r="N771" s="43">
        <f t="shared" si="90"/>
        <v>-4947.1883520570309</v>
      </c>
      <c r="O771" s="43">
        <f t="shared" si="91"/>
        <v>-765.21066602501196</v>
      </c>
      <c r="Q771" s="42">
        <f t="shared" si="92"/>
        <v>0</v>
      </c>
      <c r="R771" s="42">
        <f t="shared" si="93"/>
        <v>0</v>
      </c>
      <c r="S771" s="42">
        <f t="shared" si="94"/>
        <v>0</v>
      </c>
      <c r="T771" s="42">
        <f t="shared" si="95"/>
        <v>1</v>
      </c>
    </row>
    <row r="772" spans="1:20" x14ac:dyDescent="0.2">
      <c r="A772" s="30">
        <v>765</v>
      </c>
      <c r="C772" s="31">
        <v>0.99757677044514481</v>
      </c>
      <c r="D772" s="32">
        <v>14546.621869420422</v>
      </c>
      <c r="E772" s="31">
        <v>0.84079420394712057</v>
      </c>
      <c r="F772" s="32">
        <v>3779.5538666631974</v>
      </c>
      <c r="G772" s="31">
        <v>0.92838386964953812</v>
      </c>
      <c r="H772" s="32">
        <v>8495.8688987973201</v>
      </c>
      <c r="I772" s="31">
        <v>0.8394284116390256</v>
      </c>
      <c r="J772" s="32">
        <v>3402.7819771223335</v>
      </c>
      <c r="L772" s="43">
        <f t="shared" si="88"/>
        <v>-9558.738017194697</v>
      </c>
      <c r="M772" s="43">
        <f t="shared" si="89"/>
        <v>424.4171530724052</v>
      </c>
      <c r="N772" s="43">
        <f t="shared" si="90"/>
        <v>-3853.9495505496297</v>
      </c>
      <c r="O772" s="43">
        <f t="shared" si="91"/>
        <v>794.3600810727944</v>
      </c>
      <c r="Q772" s="42">
        <f t="shared" si="92"/>
        <v>0</v>
      </c>
      <c r="R772" s="42">
        <f t="shared" si="93"/>
        <v>0</v>
      </c>
      <c r="S772" s="42">
        <f t="shared" si="94"/>
        <v>0</v>
      </c>
      <c r="T772" s="42">
        <f t="shared" si="95"/>
        <v>1</v>
      </c>
    </row>
    <row r="773" spans="1:20" x14ac:dyDescent="0.2">
      <c r="A773" s="30">
        <v>766</v>
      </c>
      <c r="C773" s="31">
        <v>0.98572414282490661</v>
      </c>
      <c r="D773" s="32">
        <v>16279.268337682617</v>
      </c>
      <c r="E773" s="31">
        <v>0.80638439528150085</v>
      </c>
      <c r="F773" s="32">
        <v>3217.3317605328757</v>
      </c>
      <c r="G773" s="31">
        <v>0.92514399689749505</v>
      </c>
      <c r="H773" s="32">
        <v>9148.567372969168</v>
      </c>
      <c r="I773" s="31">
        <v>0.80510499650696143</v>
      </c>
      <c r="J773" s="32">
        <v>3003.676660299494</v>
      </c>
      <c r="L773" s="43">
        <f t="shared" si="88"/>
        <v>-11350.647623558085</v>
      </c>
      <c r="M773" s="43">
        <f t="shared" si="89"/>
        <v>814.59021587462848</v>
      </c>
      <c r="N773" s="43">
        <f t="shared" si="90"/>
        <v>-4522.8473884816931</v>
      </c>
      <c r="O773" s="43">
        <f t="shared" si="91"/>
        <v>1021.8483222353134</v>
      </c>
      <c r="Q773" s="42">
        <f t="shared" si="92"/>
        <v>0</v>
      </c>
      <c r="R773" s="42">
        <f t="shared" si="93"/>
        <v>0</v>
      </c>
      <c r="S773" s="42">
        <f t="shared" si="94"/>
        <v>0</v>
      </c>
      <c r="T773" s="42">
        <f t="shared" si="95"/>
        <v>1</v>
      </c>
    </row>
    <row r="774" spans="1:20" x14ac:dyDescent="0.2">
      <c r="A774" s="30">
        <v>767</v>
      </c>
      <c r="C774" s="31">
        <v>0.9930910070398612</v>
      </c>
      <c r="D774" s="32">
        <v>17861.474548669568</v>
      </c>
      <c r="E774" s="31">
        <v>0.9415469157115951</v>
      </c>
      <c r="F774" s="32">
        <v>7786.149339485677</v>
      </c>
      <c r="G774" s="31">
        <v>0.93441075780885408</v>
      </c>
      <c r="H774" s="32">
        <v>10461.402827207161</v>
      </c>
      <c r="I774" s="31">
        <v>0.93441075780885408</v>
      </c>
      <c r="J774" s="32">
        <v>6618.4567359363291</v>
      </c>
      <c r="L774" s="43">
        <f t="shared" si="88"/>
        <v>-12896.019513470263</v>
      </c>
      <c r="M774" s="43">
        <f t="shared" si="89"/>
        <v>-3078.4147609277015</v>
      </c>
      <c r="N774" s="43">
        <f t="shared" si="90"/>
        <v>-5789.3490381628908</v>
      </c>
      <c r="O774" s="43">
        <f t="shared" si="91"/>
        <v>-1946.4029468920589</v>
      </c>
      <c r="Q774" s="42">
        <f t="shared" si="92"/>
        <v>0</v>
      </c>
      <c r="R774" s="42">
        <f t="shared" si="93"/>
        <v>0</v>
      </c>
      <c r="S774" s="42">
        <f t="shared" si="94"/>
        <v>0</v>
      </c>
      <c r="T774" s="42">
        <f t="shared" si="95"/>
        <v>1</v>
      </c>
    </row>
    <row r="775" spans="1:20" x14ac:dyDescent="0.2">
      <c r="A775" s="30">
        <v>768</v>
      </c>
      <c r="C775" s="31">
        <v>0.99541150771104936</v>
      </c>
      <c r="D775" s="32">
        <v>13923.456493309443</v>
      </c>
      <c r="E775" s="31">
        <v>0.70951753896916891</v>
      </c>
      <c r="F775" s="32">
        <v>4070.4626938809979</v>
      </c>
      <c r="G775" s="31">
        <v>0.9278522587027983</v>
      </c>
      <c r="H775" s="32">
        <v>8283.9517658977347</v>
      </c>
      <c r="I775" s="31">
        <v>0.70473051317891333</v>
      </c>
      <c r="J775" s="32">
        <v>2592.900546327864</v>
      </c>
      <c r="L775" s="43">
        <f t="shared" si="88"/>
        <v>-8946.3989547541969</v>
      </c>
      <c r="M775" s="43">
        <f t="shared" si="89"/>
        <v>-522.87499903515345</v>
      </c>
      <c r="N775" s="43">
        <f t="shared" si="90"/>
        <v>-3644.6904723837433</v>
      </c>
      <c r="O775" s="43">
        <f t="shared" si="91"/>
        <v>930.75201956670253</v>
      </c>
      <c r="Q775" s="42">
        <f t="shared" si="92"/>
        <v>0</v>
      </c>
      <c r="R775" s="42">
        <f t="shared" si="93"/>
        <v>0</v>
      </c>
      <c r="S775" s="42">
        <f t="shared" si="94"/>
        <v>0</v>
      </c>
      <c r="T775" s="42">
        <f t="shared" si="95"/>
        <v>1</v>
      </c>
    </row>
    <row r="776" spans="1:20" x14ac:dyDescent="0.2">
      <c r="A776" s="30">
        <v>769</v>
      </c>
      <c r="C776" s="31">
        <v>0.9926564805748882</v>
      </c>
      <c r="D776" s="32">
        <v>19087.94674708381</v>
      </c>
      <c r="E776" s="31">
        <v>0.89914569779039977</v>
      </c>
      <c r="F776" s="32">
        <v>5127.2631855190421</v>
      </c>
      <c r="G776" s="31">
        <v>0.9650443295462332</v>
      </c>
      <c r="H776" s="32">
        <v>11592.187876533626</v>
      </c>
      <c r="I776" s="31">
        <v>0.89809794799835529</v>
      </c>
      <c r="J776" s="32">
        <v>4937.0706216085337</v>
      </c>
      <c r="L776" s="43">
        <f t="shared" ref="L776:L839" si="96">C776*Rc_-D776</f>
        <v>-14124.66434420937</v>
      </c>
      <c r="M776" s="43">
        <f t="shared" ref="M776:M839" si="97">E776*Rc_-F776</f>
        <v>-631.53469656704328</v>
      </c>
      <c r="N776" s="43">
        <f t="shared" ref="N776:N839" si="98">G776*Rc_-H776</f>
        <v>-6766.9662288024601</v>
      </c>
      <c r="O776" s="43">
        <f t="shared" ref="O776:O839" si="99">I776*Rc_-J776</f>
        <v>-446.58088161675732</v>
      </c>
      <c r="Q776" s="42">
        <f t="shared" si="92"/>
        <v>0</v>
      </c>
      <c r="R776" s="42">
        <f t="shared" si="93"/>
        <v>0</v>
      </c>
      <c r="S776" s="42">
        <f t="shared" si="94"/>
        <v>0</v>
      </c>
      <c r="T776" s="42">
        <f t="shared" si="95"/>
        <v>1</v>
      </c>
    </row>
    <row r="777" spans="1:20" x14ac:dyDescent="0.2">
      <c r="A777" s="30">
        <v>770</v>
      </c>
      <c r="C777" s="31">
        <v>0.98836880824324358</v>
      </c>
      <c r="D777" s="32">
        <v>13282.185804645536</v>
      </c>
      <c r="E777" s="31">
        <v>0.94946299826203739</v>
      </c>
      <c r="F777" s="32">
        <v>4705.7393156325888</v>
      </c>
      <c r="G777" s="31">
        <v>0.96828187770012031</v>
      </c>
      <c r="H777" s="32">
        <v>7981.967778896912</v>
      </c>
      <c r="I777" s="31">
        <v>0.94689277310029163</v>
      </c>
      <c r="J777" s="32">
        <v>4294.4038439349115</v>
      </c>
      <c r="L777" s="43">
        <f t="shared" si="96"/>
        <v>-8340.3417634293182</v>
      </c>
      <c r="M777" s="43">
        <f t="shared" si="97"/>
        <v>41.575675677598156</v>
      </c>
      <c r="N777" s="43">
        <f t="shared" si="98"/>
        <v>-3140.5583903963106</v>
      </c>
      <c r="O777" s="43">
        <f t="shared" si="99"/>
        <v>440.06002156654631</v>
      </c>
      <c r="Q777" s="42">
        <f t="shared" ref="Q777:Q840" si="100">IF(L777&gt;$M777,IF(L777&gt;$N777,IF(L777&gt;$O777,1,0),0),0)</f>
        <v>0</v>
      </c>
      <c r="R777" s="42">
        <f t="shared" ref="R777:R840" si="101">IF(M777&gt;$L777,IF(M777&gt;$N777,IF(M777&gt;$O777,1,0),0),0)</f>
        <v>0</v>
      </c>
      <c r="S777" s="42">
        <f t="shared" ref="S777:S840" si="102">IF(N777&gt;$M777,IF(N777&gt;$L777,IF(N777&gt;$O777,1,0),0),0)</f>
        <v>0</v>
      </c>
      <c r="T777" s="42">
        <f t="shared" ref="T777:T840" si="103">IF(O777&gt;$M777,IF(O777&gt;$N777,IF(O777&gt;$L777,1,0),0),0)</f>
        <v>1</v>
      </c>
    </row>
    <row r="778" spans="1:20" x14ac:dyDescent="0.2">
      <c r="A778" s="30">
        <v>771</v>
      </c>
      <c r="C778" s="31">
        <v>0.99382340353710663</v>
      </c>
      <c r="D778" s="32">
        <v>17697.509363011155</v>
      </c>
      <c r="E778" s="31">
        <v>0.89191955785593013</v>
      </c>
      <c r="F778" s="32">
        <v>4186.8753137306485</v>
      </c>
      <c r="G778" s="31">
        <v>0.97694538667921704</v>
      </c>
      <c r="H778" s="32">
        <v>10487.647883763222</v>
      </c>
      <c r="I778" s="31">
        <v>0.88911135854300749</v>
      </c>
      <c r="J778" s="32">
        <v>4004.3982672563361</v>
      </c>
      <c r="L778" s="43">
        <f t="shared" si="96"/>
        <v>-12728.392345325621</v>
      </c>
      <c r="M778" s="43">
        <f t="shared" si="97"/>
        <v>272.72247554900241</v>
      </c>
      <c r="N778" s="43">
        <f t="shared" si="98"/>
        <v>-5602.9209503671373</v>
      </c>
      <c r="O778" s="43">
        <f t="shared" si="99"/>
        <v>441.15852545870166</v>
      </c>
      <c r="Q778" s="42">
        <f t="shared" si="100"/>
        <v>0</v>
      </c>
      <c r="R778" s="42">
        <f t="shared" si="101"/>
        <v>0</v>
      </c>
      <c r="S778" s="42">
        <f t="shared" si="102"/>
        <v>0</v>
      </c>
      <c r="T778" s="42">
        <f t="shared" si="103"/>
        <v>1</v>
      </c>
    </row>
    <row r="779" spans="1:20" x14ac:dyDescent="0.2">
      <c r="A779" s="30">
        <v>772</v>
      </c>
      <c r="C779" s="31">
        <v>0.97715668796871369</v>
      </c>
      <c r="D779" s="32">
        <v>16660.300874088131</v>
      </c>
      <c r="E779" s="31">
        <v>0.93304051517444586</v>
      </c>
      <c r="F779" s="32">
        <v>6738.1488361122492</v>
      </c>
      <c r="G779" s="31">
        <v>0.95505755613784049</v>
      </c>
      <c r="H779" s="32">
        <v>9655.0891090624827</v>
      </c>
      <c r="I779" s="31">
        <v>0.92733305126372645</v>
      </c>
      <c r="J779" s="32">
        <v>5643.7828966400211</v>
      </c>
      <c r="L779" s="43">
        <f t="shared" si="96"/>
        <v>-11774.517434244561</v>
      </c>
      <c r="M779" s="43">
        <f t="shared" si="97"/>
        <v>-2072.9462602400199</v>
      </c>
      <c r="N779" s="43">
        <f t="shared" si="98"/>
        <v>-4879.8013283732807</v>
      </c>
      <c r="O779" s="43">
        <f t="shared" si="99"/>
        <v>-1007.1176403213885</v>
      </c>
      <c r="Q779" s="42">
        <f t="shared" si="100"/>
        <v>0</v>
      </c>
      <c r="R779" s="42">
        <f t="shared" si="101"/>
        <v>0</v>
      </c>
      <c r="S779" s="42">
        <f t="shared" si="102"/>
        <v>0</v>
      </c>
      <c r="T779" s="42">
        <f t="shared" si="103"/>
        <v>1</v>
      </c>
    </row>
    <row r="780" spans="1:20" x14ac:dyDescent="0.2">
      <c r="A780" s="30">
        <v>773</v>
      </c>
      <c r="C780" s="31">
        <v>0.996535493453377</v>
      </c>
      <c r="D780" s="32">
        <v>16450.689088189323</v>
      </c>
      <c r="E780" s="31">
        <v>0.89852047714893479</v>
      </c>
      <c r="F780" s="32">
        <v>4520.8268968416623</v>
      </c>
      <c r="G780" s="31">
        <v>0.95186362499204891</v>
      </c>
      <c r="H780" s="32">
        <v>9736.2160411872883</v>
      </c>
      <c r="I780" s="31">
        <v>0.89264922236237676</v>
      </c>
      <c r="J780" s="32">
        <v>4298.7956161248867</v>
      </c>
      <c r="L780" s="43">
        <f t="shared" si="96"/>
        <v>-11468.011620922438</v>
      </c>
      <c r="M780" s="43">
        <f t="shared" si="97"/>
        <v>-28.224511096987953</v>
      </c>
      <c r="N780" s="43">
        <f t="shared" si="98"/>
        <v>-4976.8979162270434</v>
      </c>
      <c r="O780" s="43">
        <f t="shared" si="99"/>
        <v>164.45049568699687</v>
      </c>
      <c r="Q780" s="42">
        <f t="shared" si="100"/>
        <v>0</v>
      </c>
      <c r="R780" s="42">
        <f t="shared" si="101"/>
        <v>0</v>
      </c>
      <c r="S780" s="42">
        <f t="shared" si="102"/>
        <v>0</v>
      </c>
      <c r="T780" s="42">
        <f t="shared" si="103"/>
        <v>1</v>
      </c>
    </row>
    <row r="781" spans="1:20" x14ac:dyDescent="0.2">
      <c r="A781" s="30">
        <v>774</v>
      </c>
      <c r="C781" s="31">
        <v>0.95743940853591258</v>
      </c>
      <c r="D781" s="32">
        <v>16134.955615793851</v>
      </c>
      <c r="E781" s="31">
        <v>0.83919006925000961</v>
      </c>
      <c r="F781" s="32">
        <v>3798.6777127384785</v>
      </c>
      <c r="G781" s="31">
        <v>0.93399140197797692</v>
      </c>
      <c r="H781" s="32">
        <v>10124.509702207788</v>
      </c>
      <c r="I781" s="31">
        <v>0.83919006925000961</v>
      </c>
      <c r="J781" s="32">
        <v>3706.161705060073</v>
      </c>
      <c r="L781" s="43">
        <f t="shared" si="96"/>
        <v>-11347.758573114288</v>
      </c>
      <c r="M781" s="43">
        <f t="shared" si="97"/>
        <v>397.27263351156944</v>
      </c>
      <c r="N781" s="43">
        <f t="shared" si="98"/>
        <v>-5454.5526923179032</v>
      </c>
      <c r="O781" s="43">
        <f t="shared" si="99"/>
        <v>489.7886411899749</v>
      </c>
      <c r="Q781" s="42">
        <f t="shared" si="100"/>
        <v>0</v>
      </c>
      <c r="R781" s="42">
        <f t="shared" si="101"/>
        <v>0</v>
      </c>
      <c r="S781" s="42">
        <f t="shared" si="102"/>
        <v>0</v>
      </c>
      <c r="T781" s="42">
        <f t="shared" si="103"/>
        <v>1</v>
      </c>
    </row>
    <row r="782" spans="1:20" x14ac:dyDescent="0.2">
      <c r="A782" s="30">
        <v>775</v>
      </c>
      <c r="C782" s="31">
        <v>0.99986979358937755</v>
      </c>
      <c r="D782" s="32">
        <v>16633.827968204332</v>
      </c>
      <c r="E782" s="31">
        <v>0.90340305613738425</v>
      </c>
      <c r="F782" s="32">
        <v>5519.9081294779271</v>
      </c>
      <c r="G782" s="31">
        <v>0.95433489294766716</v>
      </c>
      <c r="H782" s="32">
        <v>9370.7318336842673</v>
      </c>
      <c r="I782" s="31">
        <v>0.90002481968971559</v>
      </c>
      <c r="J782" s="32">
        <v>4406.5798270150171</v>
      </c>
      <c r="L782" s="43">
        <f t="shared" si="96"/>
        <v>-11634.479000257445</v>
      </c>
      <c r="M782" s="43">
        <f t="shared" si="97"/>
        <v>-1002.8928487910061</v>
      </c>
      <c r="N782" s="43">
        <f t="shared" si="98"/>
        <v>-4599.0573689459316</v>
      </c>
      <c r="O782" s="43">
        <f t="shared" si="99"/>
        <v>93.544271433560425</v>
      </c>
      <c r="Q782" s="42">
        <f t="shared" si="100"/>
        <v>0</v>
      </c>
      <c r="R782" s="42">
        <f t="shared" si="101"/>
        <v>0</v>
      </c>
      <c r="S782" s="42">
        <f t="shared" si="102"/>
        <v>0</v>
      </c>
      <c r="T782" s="42">
        <f t="shared" si="103"/>
        <v>1</v>
      </c>
    </row>
    <row r="783" spans="1:20" x14ac:dyDescent="0.2">
      <c r="A783" s="30">
        <v>776</v>
      </c>
      <c r="C783" s="31">
        <v>0.96499427471841714</v>
      </c>
      <c r="D783" s="32">
        <v>16128.294163981398</v>
      </c>
      <c r="E783" s="31">
        <v>0.86588114377353476</v>
      </c>
      <c r="F783" s="32">
        <v>5830.2510155049076</v>
      </c>
      <c r="G783" s="31">
        <v>0.86705749861791204</v>
      </c>
      <c r="H783" s="32">
        <v>9633.5565744420728</v>
      </c>
      <c r="I783" s="31">
        <v>0.86017025137195935</v>
      </c>
      <c r="J783" s="32">
        <v>5574.6456389040368</v>
      </c>
      <c r="L783" s="43">
        <f t="shared" si="96"/>
        <v>-11303.322790389313</v>
      </c>
      <c r="M783" s="43">
        <f t="shared" si="97"/>
        <v>-1500.8452966372342</v>
      </c>
      <c r="N783" s="43">
        <f t="shared" si="98"/>
        <v>-5298.2690813525123</v>
      </c>
      <c r="O783" s="43">
        <f t="shared" si="99"/>
        <v>-1273.7943820442397</v>
      </c>
      <c r="Q783" s="42">
        <f t="shared" si="100"/>
        <v>0</v>
      </c>
      <c r="R783" s="42">
        <f t="shared" si="101"/>
        <v>0</v>
      </c>
      <c r="S783" s="42">
        <f t="shared" si="102"/>
        <v>0</v>
      </c>
      <c r="T783" s="42">
        <f t="shared" si="103"/>
        <v>1</v>
      </c>
    </row>
    <row r="784" spans="1:20" x14ac:dyDescent="0.2">
      <c r="A784" s="30">
        <v>777</v>
      </c>
      <c r="C784" s="31">
        <v>0.99992631153264311</v>
      </c>
      <c r="D784" s="32">
        <v>12637.497635748581</v>
      </c>
      <c r="E784" s="31">
        <v>0.74119356151342597</v>
      </c>
      <c r="F784" s="32">
        <v>1900.9590246654354</v>
      </c>
      <c r="G784" s="31">
        <v>0.93088280347889474</v>
      </c>
      <c r="H784" s="32">
        <v>7835.6697517937519</v>
      </c>
      <c r="I784" s="31">
        <v>0.73655998461765204</v>
      </c>
      <c r="J784" s="32">
        <v>1718.0680377384365</v>
      </c>
      <c r="L784" s="43">
        <f t="shared" si="96"/>
        <v>-7637.8660780853652</v>
      </c>
      <c r="M784" s="43">
        <f t="shared" si="97"/>
        <v>1805.0087829016945</v>
      </c>
      <c r="N784" s="43">
        <f t="shared" si="98"/>
        <v>-3181.2557343992785</v>
      </c>
      <c r="O784" s="43">
        <f t="shared" si="99"/>
        <v>1964.7318853498236</v>
      </c>
      <c r="Q784" s="42">
        <f t="shared" si="100"/>
        <v>0</v>
      </c>
      <c r="R784" s="42">
        <f t="shared" si="101"/>
        <v>0</v>
      </c>
      <c r="S784" s="42">
        <f t="shared" si="102"/>
        <v>0</v>
      </c>
      <c r="T784" s="42">
        <f t="shared" si="103"/>
        <v>1</v>
      </c>
    </row>
    <row r="785" spans="1:20" x14ac:dyDescent="0.2">
      <c r="A785" s="30">
        <v>778</v>
      </c>
      <c r="C785" s="31">
        <v>0.98637212270618813</v>
      </c>
      <c r="D785" s="32">
        <v>15240.67141351067</v>
      </c>
      <c r="E785" s="31">
        <v>0.92124991414153046</v>
      </c>
      <c r="F785" s="32">
        <v>5525.4306229585873</v>
      </c>
      <c r="G785" s="31">
        <v>0.91329268388048468</v>
      </c>
      <c r="H785" s="32">
        <v>8988.0512930202258</v>
      </c>
      <c r="I785" s="31">
        <v>0.91329268388048468</v>
      </c>
      <c r="J785" s="32">
        <v>4972.8708078957934</v>
      </c>
      <c r="L785" s="43">
        <f t="shared" si="96"/>
        <v>-10308.810799979728</v>
      </c>
      <c r="M785" s="43">
        <f t="shared" si="97"/>
        <v>-919.18105225093495</v>
      </c>
      <c r="N785" s="43">
        <f t="shared" si="98"/>
        <v>-4421.587873617802</v>
      </c>
      <c r="O785" s="43">
        <f t="shared" si="99"/>
        <v>-406.40738849336958</v>
      </c>
      <c r="Q785" s="42">
        <f t="shared" si="100"/>
        <v>0</v>
      </c>
      <c r="R785" s="42">
        <f t="shared" si="101"/>
        <v>0</v>
      </c>
      <c r="S785" s="42">
        <f t="shared" si="102"/>
        <v>0</v>
      </c>
      <c r="T785" s="42">
        <f t="shared" si="103"/>
        <v>1</v>
      </c>
    </row>
    <row r="786" spans="1:20" x14ac:dyDescent="0.2">
      <c r="A786" s="30">
        <v>779</v>
      </c>
      <c r="C786" s="31">
        <v>0.99767267189969333</v>
      </c>
      <c r="D786" s="32">
        <v>14650.551972330528</v>
      </c>
      <c r="E786" s="31">
        <v>0.85282799567783285</v>
      </c>
      <c r="F786" s="32">
        <v>6780.763288083067</v>
      </c>
      <c r="G786" s="31">
        <v>0.91200509799411145</v>
      </c>
      <c r="H786" s="32">
        <v>9083.3526193050275</v>
      </c>
      <c r="I786" s="31">
        <v>0.85282799567783285</v>
      </c>
      <c r="J786" s="32">
        <v>5188.2235059281011</v>
      </c>
      <c r="L786" s="43">
        <f t="shared" si="96"/>
        <v>-9662.1886128320621</v>
      </c>
      <c r="M786" s="43">
        <f t="shared" si="97"/>
        <v>-2516.6233096939031</v>
      </c>
      <c r="N786" s="43">
        <f t="shared" si="98"/>
        <v>-4523.3271293344706</v>
      </c>
      <c r="O786" s="43">
        <f t="shared" si="99"/>
        <v>-924.08352753893723</v>
      </c>
      <c r="Q786" s="42">
        <f t="shared" si="100"/>
        <v>0</v>
      </c>
      <c r="R786" s="42">
        <f t="shared" si="101"/>
        <v>0</v>
      </c>
      <c r="S786" s="42">
        <f t="shared" si="102"/>
        <v>0</v>
      </c>
      <c r="T786" s="42">
        <f t="shared" si="103"/>
        <v>1</v>
      </c>
    </row>
    <row r="787" spans="1:20" x14ac:dyDescent="0.2">
      <c r="A787" s="30">
        <v>780</v>
      </c>
      <c r="C787" s="31">
        <v>0.99878005284821614</v>
      </c>
      <c r="D787" s="32">
        <v>18925.659503313418</v>
      </c>
      <c r="E787" s="31">
        <v>0.96644268781978959</v>
      </c>
      <c r="F787" s="32">
        <v>12435.817326652646</v>
      </c>
      <c r="G787" s="31">
        <v>0.95725373561947336</v>
      </c>
      <c r="H787" s="32">
        <v>11720.222259531864</v>
      </c>
      <c r="I787" s="31">
        <v>0.95725373561947347</v>
      </c>
      <c r="J787" s="32">
        <v>8935.0949983445116</v>
      </c>
      <c r="L787" s="43">
        <f t="shared" si="96"/>
        <v>-13931.759239072337</v>
      </c>
      <c r="M787" s="43">
        <f t="shared" si="97"/>
        <v>-7603.6038875536988</v>
      </c>
      <c r="N787" s="43">
        <f t="shared" si="98"/>
        <v>-6933.9535814344963</v>
      </c>
      <c r="O787" s="43">
        <f t="shared" si="99"/>
        <v>-4148.8263202471444</v>
      </c>
      <c r="Q787" s="42">
        <f t="shared" si="100"/>
        <v>0</v>
      </c>
      <c r="R787" s="42">
        <f t="shared" si="101"/>
        <v>0</v>
      </c>
      <c r="S787" s="42">
        <f t="shared" si="102"/>
        <v>0</v>
      </c>
      <c r="T787" s="42">
        <f t="shared" si="103"/>
        <v>1</v>
      </c>
    </row>
    <row r="788" spans="1:20" x14ac:dyDescent="0.2">
      <c r="A788" s="30">
        <v>781</v>
      </c>
      <c r="C788" s="31">
        <v>0.9277913651252836</v>
      </c>
      <c r="D788" s="32">
        <v>13843.516810434519</v>
      </c>
      <c r="E788" s="31">
        <v>0.93541733794830617</v>
      </c>
      <c r="F788" s="32">
        <v>4380.4260850237624</v>
      </c>
      <c r="G788" s="31">
        <v>0.95701670550605256</v>
      </c>
      <c r="H788" s="32">
        <v>8541.97739939448</v>
      </c>
      <c r="I788" s="31">
        <v>0.9319018024675001</v>
      </c>
      <c r="J788" s="32">
        <v>4210.654572971288</v>
      </c>
      <c r="L788" s="43">
        <f t="shared" si="96"/>
        <v>-9204.5599848081001</v>
      </c>
      <c r="M788" s="43">
        <f t="shared" si="97"/>
        <v>296.66060471776836</v>
      </c>
      <c r="N788" s="43">
        <f t="shared" si="98"/>
        <v>-3756.8938718642175</v>
      </c>
      <c r="O788" s="43">
        <f t="shared" si="99"/>
        <v>448.85443936621232</v>
      </c>
      <c r="Q788" s="42">
        <f t="shared" si="100"/>
        <v>0</v>
      </c>
      <c r="R788" s="42">
        <f t="shared" si="101"/>
        <v>0</v>
      </c>
      <c r="S788" s="42">
        <f t="shared" si="102"/>
        <v>0</v>
      </c>
      <c r="T788" s="42">
        <f t="shared" si="103"/>
        <v>1</v>
      </c>
    </row>
    <row r="789" spans="1:20" x14ac:dyDescent="0.2">
      <c r="A789" s="30">
        <v>782</v>
      </c>
      <c r="C789" s="31">
        <v>0.99834624419725959</v>
      </c>
      <c r="D789" s="32">
        <v>13057.608070208042</v>
      </c>
      <c r="E789" s="31">
        <v>0.92957372255378778</v>
      </c>
      <c r="F789" s="32">
        <v>5472.8711056753191</v>
      </c>
      <c r="G789" s="31">
        <v>0.91837554065610993</v>
      </c>
      <c r="H789" s="32">
        <v>7847.2684251432993</v>
      </c>
      <c r="I789" s="31">
        <v>0.91837554065611005</v>
      </c>
      <c r="J789" s="32">
        <v>4530.1206594461064</v>
      </c>
      <c r="L789" s="43">
        <f t="shared" si="96"/>
        <v>-8065.8768492217441</v>
      </c>
      <c r="M789" s="43">
        <f t="shared" si="97"/>
        <v>-825.00249290638021</v>
      </c>
      <c r="N789" s="43">
        <f t="shared" si="98"/>
        <v>-3255.3907218627492</v>
      </c>
      <c r="O789" s="43">
        <f t="shared" si="99"/>
        <v>61.757043834443721</v>
      </c>
      <c r="Q789" s="42">
        <f t="shared" si="100"/>
        <v>0</v>
      </c>
      <c r="R789" s="42">
        <f t="shared" si="101"/>
        <v>0</v>
      </c>
      <c r="S789" s="42">
        <f t="shared" si="102"/>
        <v>0</v>
      </c>
      <c r="T789" s="42">
        <f t="shared" si="103"/>
        <v>1</v>
      </c>
    </row>
    <row r="790" spans="1:20" x14ac:dyDescent="0.2">
      <c r="A790" s="30">
        <v>783</v>
      </c>
      <c r="C790" s="31">
        <v>0.99723629336041242</v>
      </c>
      <c r="D790" s="32">
        <v>14769.423386302766</v>
      </c>
      <c r="E790" s="31">
        <v>0.91128815424208587</v>
      </c>
      <c r="F790" s="32">
        <v>4622.1700011206422</v>
      </c>
      <c r="G790" s="31">
        <v>0.98180598787470563</v>
      </c>
      <c r="H790" s="32">
        <v>9711.2061651497243</v>
      </c>
      <c r="I790" s="31">
        <v>0.91128815424208587</v>
      </c>
      <c r="J790" s="32">
        <v>4454.297657962883</v>
      </c>
      <c r="L790" s="43">
        <f t="shared" si="96"/>
        <v>-9783.2419195007024</v>
      </c>
      <c r="M790" s="43">
        <f t="shared" si="97"/>
        <v>-65.72922991021278</v>
      </c>
      <c r="N790" s="43">
        <f t="shared" si="98"/>
        <v>-4802.1762257761957</v>
      </c>
      <c r="O790" s="43">
        <f t="shared" si="99"/>
        <v>102.14311324754635</v>
      </c>
      <c r="Q790" s="42">
        <f t="shared" si="100"/>
        <v>0</v>
      </c>
      <c r="R790" s="42">
        <f t="shared" si="101"/>
        <v>0</v>
      </c>
      <c r="S790" s="42">
        <f t="shared" si="102"/>
        <v>0</v>
      </c>
      <c r="T790" s="42">
        <f t="shared" si="103"/>
        <v>1</v>
      </c>
    </row>
    <row r="791" spans="1:20" x14ac:dyDescent="0.2">
      <c r="A791" s="30">
        <v>784</v>
      </c>
      <c r="C791" s="31">
        <v>0.98152467768290386</v>
      </c>
      <c r="D791" s="32">
        <v>14201.576217796719</v>
      </c>
      <c r="E791" s="31">
        <v>0.93843946022021063</v>
      </c>
      <c r="F791" s="32">
        <v>4870.3799991991355</v>
      </c>
      <c r="G791" s="31">
        <v>0.93228428753422588</v>
      </c>
      <c r="H791" s="32">
        <v>8165.7026601945518</v>
      </c>
      <c r="I791" s="31">
        <v>0.92533960631127599</v>
      </c>
      <c r="J791" s="32">
        <v>4529.4659572085939</v>
      </c>
      <c r="L791" s="43">
        <f t="shared" si="96"/>
        <v>-9293.9528293822004</v>
      </c>
      <c r="M791" s="43">
        <f t="shared" si="97"/>
        <v>-178.18269809808226</v>
      </c>
      <c r="N791" s="43">
        <f t="shared" si="98"/>
        <v>-3504.281222523422</v>
      </c>
      <c r="O791" s="43">
        <f t="shared" si="99"/>
        <v>97.232074347785783</v>
      </c>
      <c r="Q791" s="42">
        <f t="shared" si="100"/>
        <v>0</v>
      </c>
      <c r="R791" s="42">
        <f t="shared" si="101"/>
        <v>0</v>
      </c>
      <c r="S791" s="42">
        <f t="shared" si="102"/>
        <v>0</v>
      </c>
      <c r="T791" s="42">
        <f t="shared" si="103"/>
        <v>1</v>
      </c>
    </row>
    <row r="792" spans="1:20" x14ac:dyDescent="0.2">
      <c r="A792" s="30">
        <v>785</v>
      </c>
      <c r="C792" s="31">
        <v>0.99820396901155517</v>
      </c>
      <c r="D792" s="32">
        <v>13949.852282216592</v>
      </c>
      <c r="E792" s="31">
        <v>0.972386560421172</v>
      </c>
      <c r="F792" s="32">
        <v>5374.3808716030253</v>
      </c>
      <c r="G792" s="31">
        <v>0.96754429820208143</v>
      </c>
      <c r="H792" s="32">
        <v>8865.650438452898</v>
      </c>
      <c r="I792" s="31">
        <v>0.96754429820208143</v>
      </c>
      <c r="J792" s="32">
        <v>5167.0966671176548</v>
      </c>
      <c r="L792" s="43">
        <f t="shared" si="96"/>
        <v>-8958.8324371588169</v>
      </c>
      <c r="M792" s="43">
        <f t="shared" si="97"/>
        <v>-512.44806949716531</v>
      </c>
      <c r="N792" s="43">
        <f t="shared" si="98"/>
        <v>-4027.9289474424904</v>
      </c>
      <c r="O792" s="43">
        <f t="shared" si="99"/>
        <v>-329.37517610724717</v>
      </c>
      <c r="Q792" s="42">
        <f t="shared" si="100"/>
        <v>0</v>
      </c>
      <c r="R792" s="42">
        <f t="shared" si="101"/>
        <v>0</v>
      </c>
      <c r="S792" s="42">
        <f t="shared" si="102"/>
        <v>0</v>
      </c>
      <c r="T792" s="42">
        <f t="shared" si="103"/>
        <v>1</v>
      </c>
    </row>
    <row r="793" spans="1:20" x14ac:dyDescent="0.2">
      <c r="A793" s="30">
        <v>786</v>
      </c>
      <c r="C793" s="31">
        <v>0.99092662725034886</v>
      </c>
      <c r="D793" s="32">
        <v>11739.742615322832</v>
      </c>
      <c r="E793" s="31">
        <v>0.92676623113571011</v>
      </c>
      <c r="F793" s="32">
        <v>5712.9117591373097</v>
      </c>
      <c r="G793" s="31">
        <v>0.96592539058909899</v>
      </c>
      <c r="H793" s="32">
        <v>7396.708701527331</v>
      </c>
      <c r="I793" s="31">
        <v>0.92238821843415097</v>
      </c>
      <c r="J793" s="32">
        <v>4409.9269554093335</v>
      </c>
      <c r="L793" s="43">
        <f t="shared" si="96"/>
        <v>-6785.1094790710877</v>
      </c>
      <c r="M793" s="43">
        <f t="shared" si="97"/>
        <v>-1079.0806034587595</v>
      </c>
      <c r="N793" s="43">
        <f t="shared" si="98"/>
        <v>-2567.0817485818361</v>
      </c>
      <c r="O793" s="43">
        <f t="shared" si="99"/>
        <v>202.01413676142147</v>
      </c>
      <c r="Q793" s="42">
        <f t="shared" si="100"/>
        <v>0</v>
      </c>
      <c r="R793" s="42">
        <f t="shared" si="101"/>
        <v>0</v>
      </c>
      <c r="S793" s="42">
        <f t="shared" si="102"/>
        <v>0</v>
      </c>
      <c r="T793" s="42">
        <f t="shared" si="103"/>
        <v>1</v>
      </c>
    </row>
    <row r="794" spans="1:20" x14ac:dyDescent="0.2">
      <c r="A794" s="30">
        <v>787</v>
      </c>
      <c r="C794" s="31">
        <v>0.99396789706812028</v>
      </c>
      <c r="D794" s="32">
        <v>14664.832945407283</v>
      </c>
      <c r="E794" s="31">
        <v>0.90212018046646103</v>
      </c>
      <c r="F794" s="32">
        <v>10508.158857737113</v>
      </c>
      <c r="G794" s="31">
        <v>0.93368997951114241</v>
      </c>
      <c r="H794" s="32">
        <v>8119.6661777556801</v>
      </c>
      <c r="I794" s="31">
        <v>0.89017975565916041</v>
      </c>
      <c r="J794" s="32">
        <v>5978.5515673276277</v>
      </c>
      <c r="L794" s="43">
        <f t="shared" si="96"/>
        <v>-9694.993460066682</v>
      </c>
      <c r="M794" s="43">
        <f t="shared" si="97"/>
        <v>-5997.5579554048081</v>
      </c>
      <c r="N794" s="43">
        <f t="shared" si="98"/>
        <v>-3451.2162801999684</v>
      </c>
      <c r="O794" s="43">
        <f t="shared" si="99"/>
        <v>-1527.6527890318257</v>
      </c>
      <c r="Q794" s="42">
        <f t="shared" si="100"/>
        <v>0</v>
      </c>
      <c r="R794" s="42">
        <f t="shared" si="101"/>
        <v>0</v>
      </c>
      <c r="S794" s="42">
        <f t="shared" si="102"/>
        <v>0</v>
      </c>
      <c r="T794" s="42">
        <f t="shared" si="103"/>
        <v>1</v>
      </c>
    </row>
    <row r="795" spans="1:20" x14ac:dyDescent="0.2">
      <c r="A795" s="30">
        <v>788</v>
      </c>
      <c r="C795" s="31">
        <v>0.96728841641411623</v>
      </c>
      <c r="D795" s="32">
        <v>13824.190870458893</v>
      </c>
      <c r="E795" s="31">
        <v>0.89041919468274733</v>
      </c>
      <c r="F795" s="32">
        <v>6253.1268016063968</v>
      </c>
      <c r="G795" s="31">
        <v>0.94315415074765374</v>
      </c>
      <c r="H795" s="32">
        <v>8305.1031080062876</v>
      </c>
      <c r="I795" s="31">
        <v>0.88738629462714735</v>
      </c>
      <c r="J795" s="32">
        <v>4622.3646993081647</v>
      </c>
      <c r="L795" s="43">
        <f t="shared" si="96"/>
        <v>-8987.7487883883114</v>
      </c>
      <c r="M795" s="43">
        <f t="shared" si="97"/>
        <v>-1801.03082819266</v>
      </c>
      <c r="N795" s="43">
        <f t="shared" si="98"/>
        <v>-3589.3323542680191</v>
      </c>
      <c r="O795" s="43">
        <f t="shared" si="99"/>
        <v>-185.43322617242757</v>
      </c>
      <c r="Q795" s="42">
        <f t="shared" si="100"/>
        <v>0</v>
      </c>
      <c r="R795" s="42">
        <f t="shared" si="101"/>
        <v>0</v>
      </c>
      <c r="S795" s="42">
        <f t="shared" si="102"/>
        <v>0</v>
      </c>
      <c r="T795" s="42">
        <f t="shared" si="103"/>
        <v>1</v>
      </c>
    </row>
    <row r="796" spans="1:20" x14ac:dyDescent="0.2">
      <c r="A796" s="30">
        <v>789</v>
      </c>
      <c r="C796" s="31">
        <v>0.96995485527037728</v>
      </c>
      <c r="D796" s="32">
        <v>15534.074527307072</v>
      </c>
      <c r="E796" s="31">
        <v>0.78317213205301495</v>
      </c>
      <c r="F796" s="32">
        <v>8239.0412882005767</v>
      </c>
      <c r="G796" s="31">
        <v>0.92208564148855254</v>
      </c>
      <c r="H796" s="32">
        <v>9471.3913699373934</v>
      </c>
      <c r="I796" s="31">
        <v>0.78102055606641074</v>
      </c>
      <c r="J796" s="32">
        <v>4987.7342083926851</v>
      </c>
      <c r="L796" s="43">
        <f t="shared" si="96"/>
        <v>-10684.300250955184</v>
      </c>
      <c r="M796" s="43">
        <f t="shared" si="97"/>
        <v>-4323.1806279355023</v>
      </c>
      <c r="N796" s="43">
        <f t="shared" si="98"/>
        <v>-4860.9631624946305</v>
      </c>
      <c r="O796" s="43">
        <f t="shared" si="99"/>
        <v>-1082.6314280606316</v>
      </c>
      <c r="Q796" s="42">
        <f t="shared" si="100"/>
        <v>0</v>
      </c>
      <c r="R796" s="42">
        <f t="shared" si="101"/>
        <v>0</v>
      </c>
      <c r="S796" s="42">
        <f t="shared" si="102"/>
        <v>0</v>
      </c>
      <c r="T796" s="42">
        <f t="shared" si="103"/>
        <v>1</v>
      </c>
    </row>
    <row r="797" spans="1:20" x14ac:dyDescent="0.2">
      <c r="A797" s="30">
        <v>790</v>
      </c>
      <c r="C797" s="31">
        <v>0.95655769482726749</v>
      </c>
      <c r="D797" s="32">
        <v>13415.53520428135</v>
      </c>
      <c r="E797" s="31">
        <v>0.89827138075923973</v>
      </c>
      <c r="F797" s="32">
        <v>6495.0793514029738</v>
      </c>
      <c r="G797" s="31">
        <v>0.94065180741592913</v>
      </c>
      <c r="H797" s="32">
        <v>7539.2183256971457</v>
      </c>
      <c r="I797" s="31">
        <v>0.89827138075923973</v>
      </c>
      <c r="J797" s="32">
        <v>4705.7598702117748</v>
      </c>
      <c r="L797" s="43">
        <f t="shared" si="96"/>
        <v>-8632.7467301450124</v>
      </c>
      <c r="M797" s="43">
        <f t="shared" si="97"/>
        <v>-2003.7224476067749</v>
      </c>
      <c r="N797" s="43">
        <f t="shared" si="98"/>
        <v>-2835.9592886174996</v>
      </c>
      <c r="O797" s="43">
        <f t="shared" si="99"/>
        <v>-214.40296641557597</v>
      </c>
      <c r="Q797" s="42">
        <f t="shared" si="100"/>
        <v>0</v>
      </c>
      <c r="R797" s="42">
        <f t="shared" si="101"/>
        <v>0</v>
      </c>
      <c r="S797" s="42">
        <f t="shared" si="102"/>
        <v>0</v>
      </c>
      <c r="T797" s="42">
        <f t="shared" si="103"/>
        <v>1</v>
      </c>
    </row>
    <row r="798" spans="1:20" x14ac:dyDescent="0.2">
      <c r="A798" s="30">
        <v>791</v>
      </c>
      <c r="C798" s="31">
        <v>0.98073314319199711</v>
      </c>
      <c r="D798" s="32">
        <v>11283.692941924166</v>
      </c>
      <c r="E798" s="31">
        <v>0.72309429960602634</v>
      </c>
      <c r="F798" s="32">
        <v>880.37046757838482</v>
      </c>
      <c r="G798" s="31">
        <v>0.97101857456170038</v>
      </c>
      <c r="H798" s="32">
        <v>6769.9893099116071</v>
      </c>
      <c r="I798" s="31">
        <v>0.72178099168146004</v>
      </c>
      <c r="J798" s="32">
        <v>746.03187726826241</v>
      </c>
      <c r="L798" s="43">
        <f t="shared" si="96"/>
        <v>-6380.0272259641806</v>
      </c>
      <c r="M798" s="43">
        <f t="shared" si="97"/>
        <v>2735.1010304517472</v>
      </c>
      <c r="N798" s="43">
        <f t="shared" si="98"/>
        <v>-1914.8964371031052</v>
      </c>
      <c r="O798" s="43">
        <f t="shared" si="99"/>
        <v>2862.8730811390378</v>
      </c>
      <c r="Q798" s="42">
        <f t="shared" si="100"/>
        <v>0</v>
      </c>
      <c r="R798" s="42">
        <f t="shared" si="101"/>
        <v>0</v>
      </c>
      <c r="S798" s="42">
        <f t="shared" si="102"/>
        <v>0</v>
      </c>
      <c r="T798" s="42">
        <f t="shared" si="103"/>
        <v>1</v>
      </c>
    </row>
    <row r="799" spans="1:20" x14ac:dyDescent="0.2">
      <c r="A799" s="30">
        <v>792</v>
      </c>
      <c r="C799" s="31">
        <v>0.98999627912022492</v>
      </c>
      <c r="D799" s="32">
        <v>18702.215697940337</v>
      </c>
      <c r="E799" s="31">
        <v>0.83852170418371608</v>
      </c>
      <c r="F799" s="32">
        <v>5726.8027640478631</v>
      </c>
      <c r="G799" s="31">
        <v>0.91825983213139994</v>
      </c>
      <c r="H799" s="32">
        <v>10311.961128458381</v>
      </c>
      <c r="I799" s="31">
        <v>0.83554983982981512</v>
      </c>
      <c r="J799" s="32">
        <v>4527.3045969888735</v>
      </c>
      <c r="L799" s="43">
        <f t="shared" si="96"/>
        <v>-13752.234302339213</v>
      </c>
      <c r="M799" s="43">
        <f t="shared" si="97"/>
        <v>-1534.1942431292828</v>
      </c>
      <c r="N799" s="43">
        <f t="shared" si="98"/>
        <v>-5720.6619678013813</v>
      </c>
      <c r="O799" s="43">
        <f t="shared" si="99"/>
        <v>-349.55539783979748</v>
      </c>
      <c r="Q799" s="42">
        <f t="shared" si="100"/>
        <v>0</v>
      </c>
      <c r="R799" s="42">
        <f t="shared" si="101"/>
        <v>0</v>
      </c>
      <c r="S799" s="42">
        <f t="shared" si="102"/>
        <v>0</v>
      </c>
      <c r="T799" s="42">
        <f t="shared" si="103"/>
        <v>1</v>
      </c>
    </row>
    <row r="800" spans="1:20" x14ac:dyDescent="0.2">
      <c r="A800" s="30">
        <v>793</v>
      </c>
      <c r="C800" s="31">
        <v>0.98432399909401402</v>
      </c>
      <c r="D800" s="32">
        <v>15798.117976787829</v>
      </c>
      <c r="E800" s="31">
        <v>0.85650710237780392</v>
      </c>
      <c r="F800" s="32">
        <v>5822.0900760750965</v>
      </c>
      <c r="G800" s="31">
        <v>0.93882641677925616</v>
      </c>
      <c r="H800" s="32">
        <v>9618.1243241192715</v>
      </c>
      <c r="I800" s="31">
        <v>0.8539806932731997</v>
      </c>
      <c r="J800" s="32">
        <v>4458.4724359221264</v>
      </c>
      <c r="L800" s="43">
        <f t="shared" si="96"/>
        <v>-10876.49798131776</v>
      </c>
      <c r="M800" s="43">
        <f t="shared" si="97"/>
        <v>-1539.5545641860772</v>
      </c>
      <c r="N800" s="43">
        <f t="shared" si="98"/>
        <v>-4923.9922402229904</v>
      </c>
      <c r="O800" s="43">
        <f t="shared" si="99"/>
        <v>-188.56896955612774</v>
      </c>
      <c r="Q800" s="42">
        <f t="shared" si="100"/>
        <v>0</v>
      </c>
      <c r="R800" s="42">
        <f t="shared" si="101"/>
        <v>0</v>
      </c>
      <c r="S800" s="42">
        <f t="shared" si="102"/>
        <v>0</v>
      </c>
      <c r="T800" s="42">
        <f t="shared" si="103"/>
        <v>1</v>
      </c>
    </row>
    <row r="801" spans="1:20" x14ac:dyDescent="0.2">
      <c r="A801" s="30">
        <v>794</v>
      </c>
      <c r="C801" s="31">
        <v>0.98853868941996337</v>
      </c>
      <c r="D801" s="32">
        <v>18012.164805862576</v>
      </c>
      <c r="E801" s="31">
        <v>0.73735980419571701</v>
      </c>
      <c r="F801" s="32">
        <v>3343.6560432250926</v>
      </c>
      <c r="G801" s="31">
        <v>0.88653440665834482</v>
      </c>
      <c r="H801" s="32">
        <v>10540.15068065617</v>
      </c>
      <c r="I801" s="31">
        <v>0.7365416596711456</v>
      </c>
      <c r="J801" s="32">
        <v>3182.2704679175413</v>
      </c>
      <c r="L801" s="43">
        <f t="shared" si="96"/>
        <v>-13069.471358762759</v>
      </c>
      <c r="M801" s="43">
        <f t="shared" si="97"/>
        <v>343.14297775349223</v>
      </c>
      <c r="N801" s="43">
        <f t="shared" si="98"/>
        <v>-6107.4786473644463</v>
      </c>
      <c r="O801" s="43">
        <f t="shared" si="99"/>
        <v>500.43783043818667</v>
      </c>
      <c r="Q801" s="42">
        <f t="shared" si="100"/>
        <v>0</v>
      </c>
      <c r="R801" s="42">
        <f t="shared" si="101"/>
        <v>0</v>
      </c>
      <c r="S801" s="42">
        <f t="shared" si="102"/>
        <v>0</v>
      </c>
      <c r="T801" s="42">
        <f t="shared" si="103"/>
        <v>1</v>
      </c>
    </row>
    <row r="802" spans="1:20" x14ac:dyDescent="0.2">
      <c r="A802" s="30">
        <v>795</v>
      </c>
      <c r="C802" s="31">
        <v>0.99234078236599177</v>
      </c>
      <c r="D802" s="32">
        <v>15487.238737769972</v>
      </c>
      <c r="E802" s="31">
        <v>0.93741439119066372</v>
      </c>
      <c r="F802" s="32">
        <v>5321.3757215520036</v>
      </c>
      <c r="G802" s="31">
        <v>0.93741439103957225</v>
      </c>
      <c r="H802" s="32">
        <v>9265.4122829334483</v>
      </c>
      <c r="I802" s="31">
        <v>0.93741439119066383</v>
      </c>
      <c r="J802" s="32">
        <v>5186.8240361928865</v>
      </c>
      <c r="L802" s="43">
        <f t="shared" si="96"/>
        <v>-10525.534825940013</v>
      </c>
      <c r="M802" s="43">
        <f t="shared" si="97"/>
        <v>-634.30376559868455</v>
      </c>
      <c r="N802" s="43">
        <f t="shared" si="98"/>
        <v>-4578.3403277355874</v>
      </c>
      <c r="O802" s="43">
        <f t="shared" si="99"/>
        <v>-499.75208023956748</v>
      </c>
      <c r="Q802" s="42">
        <f t="shared" si="100"/>
        <v>0</v>
      </c>
      <c r="R802" s="42">
        <f t="shared" si="101"/>
        <v>0</v>
      </c>
      <c r="S802" s="42">
        <f t="shared" si="102"/>
        <v>0</v>
      </c>
      <c r="T802" s="42">
        <f t="shared" si="103"/>
        <v>1</v>
      </c>
    </row>
    <row r="803" spans="1:20" x14ac:dyDescent="0.2">
      <c r="A803" s="30">
        <v>796</v>
      </c>
      <c r="C803" s="31">
        <v>0.99695412826075824</v>
      </c>
      <c r="D803" s="32">
        <v>13889.004620813685</v>
      </c>
      <c r="E803" s="31">
        <v>0.95752955166254483</v>
      </c>
      <c r="F803" s="32">
        <v>5339.474021440843</v>
      </c>
      <c r="G803" s="31">
        <v>0.94594044391717591</v>
      </c>
      <c r="H803" s="32">
        <v>8701.76716203047</v>
      </c>
      <c r="I803" s="31">
        <v>0.94594044391717591</v>
      </c>
      <c r="J803" s="32">
        <v>5029.8595238094276</v>
      </c>
      <c r="L803" s="43">
        <f t="shared" si="96"/>
        <v>-8904.2339795098924</v>
      </c>
      <c r="M803" s="43">
        <f t="shared" si="97"/>
        <v>-551.82626312811863</v>
      </c>
      <c r="N803" s="43">
        <f t="shared" si="98"/>
        <v>-3972.0649424445901</v>
      </c>
      <c r="O803" s="43">
        <f t="shared" si="99"/>
        <v>-300.15730422354773</v>
      </c>
      <c r="Q803" s="42">
        <f t="shared" si="100"/>
        <v>0</v>
      </c>
      <c r="R803" s="42">
        <f t="shared" si="101"/>
        <v>0</v>
      </c>
      <c r="S803" s="42">
        <f t="shared" si="102"/>
        <v>0</v>
      </c>
      <c r="T803" s="42">
        <f t="shared" si="103"/>
        <v>1</v>
      </c>
    </row>
    <row r="804" spans="1:20" x14ac:dyDescent="0.2">
      <c r="A804" s="30">
        <v>797</v>
      </c>
      <c r="C804" s="31">
        <v>0.99292813983428507</v>
      </c>
      <c r="D804" s="32">
        <v>16667.4830027524</v>
      </c>
      <c r="E804" s="31">
        <v>0.83603827707925704</v>
      </c>
      <c r="F804" s="32">
        <v>3801.4303261462369</v>
      </c>
      <c r="G804" s="31">
        <v>0.98142559329804757</v>
      </c>
      <c r="H804" s="32">
        <v>9831.2810097383935</v>
      </c>
      <c r="I804" s="31">
        <v>0.83581628102558336</v>
      </c>
      <c r="J804" s="32">
        <v>3473.8277699378905</v>
      </c>
      <c r="L804" s="43">
        <f t="shared" si="96"/>
        <v>-11702.842303580976</v>
      </c>
      <c r="M804" s="43">
        <f t="shared" si="97"/>
        <v>378.76105925004822</v>
      </c>
      <c r="N804" s="43">
        <f t="shared" si="98"/>
        <v>-4924.1530432481559</v>
      </c>
      <c r="O804" s="43">
        <f t="shared" si="99"/>
        <v>705.25363519002622</v>
      </c>
      <c r="Q804" s="42">
        <f t="shared" si="100"/>
        <v>0</v>
      </c>
      <c r="R804" s="42">
        <f t="shared" si="101"/>
        <v>0</v>
      </c>
      <c r="S804" s="42">
        <f t="shared" si="102"/>
        <v>0</v>
      </c>
      <c r="T804" s="42">
        <f t="shared" si="103"/>
        <v>1</v>
      </c>
    </row>
    <row r="805" spans="1:20" x14ac:dyDescent="0.2">
      <c r="A805" s="30">
        <v>798</v>
      </c>
      <c r="C805" s="31">
        <v>0.98947333530551607</v>
      </c>
      <c r="D805" s="32">
        <v>15204.679431332414</v>
      </c>
      <c r="E805" s="31">
        <v>0.9646952036791947</v>
      </c>
      <c r="F805" s="32">
        <v>4889.4803269194736</v>
      </c>
      <c r="G805" s="31">
        <v>0.98639517434270085</v>
      </c>
      <c r="H805" s="32">
        <v>8690.2081362150639</v>
      </c>
      <c r="I805" s="31">
        <v>0.9646952036791947</v>
      </c>
      <c r="J805" s="32">
        <v>4740.0171542457765</v>
      </c>
      <c r="L805" s="43">
        <f t="shared" si="96"/>
        <v>-10257.312754804832</v>
      </c>
      <c r="M805" s="43">
        <f t="shared" si="97"/>
        <v>-66.004308523500185</v>
      </c>
      <c r="N805" s="43">
        <f t="shared" si="98"/>
        <v>-3758.2322645015593</v>
      </c>
      <c r="O805" s="43">
        <f t="shared" si="99"/>
        <v>83.45886415019686</v>
      </c>
      <c r="Q805" s="42">
        <f t="shared" si="100"/>
        <v>0</v>
      </c>
      <c r="R805" s="42">
        <f t="shared" si="101"/>
        <v>0</v>
      </c>
      <c r="S805" s="42">
        <f t="shared" si="102"/>
        <v>0</v>
      </c>
      <c r="T805" s="42">
        <f t="shared" si="103"/>
        <v>1</v>
      </c>
    </row>
    <row r="806" spans="1:20" x14ac:dyDescent="0.2">
      <c r="A806" s="30">
        <v>799</v>
      </c>
      <c r="C806" s="31">
        <v>0.98754611164501083</v>
      </c>
      <c r="D806" s="32">
        <v>16932.177970347519</v>
      </c>
      <c r="E806" s="31">
        <v>0.90164464059272098</v>
      </c>
      <c r="F806" s="32">
        <v>5711.8760224003645</v>
      </c>
      <c r="G806" s="31">
        <v>0.89167466642201276</v>
      </c>
      <c r="H806" s="32">
        <v>10016.817250068041</v>
      </c>
      <c r="I806" s="31">
        <v>0.89167466642201276</v>
      </c>
      <c r="J806" s="32">
        <v>5345.5758131343919</v>
      </c>
      <c r="L806" s="43">
        <f t="shared" si="96"/>
        <v>-11994.447412122465</v>
      </c>
      <c r="M806" s="43">
        <f t="shared" si="97"/>
        <v>-1203.6528194367593</v>
      </c>
      <c r="N806" s="43">
        <f t="shared" si="98"/>
        <v>-5558.4439179579776</v>
      </c>
      <c r="O806" s="43">
        <f t="shared" si="99"/>
        <v>-887.20248102432834</v>
      </c>
      <c r="Q806" s="42">
        <f t="shared" si="100"/>
        <v>0</v>
      </c>
      <c r="R806" s="42">
        <f t="shared" si="101"/>
        <v>0</v>
      </c>
      <c r="S806" s="42">
        <f t="shared" si="102"/>
        <v>0</v>
      </c>
      <c r="T806" s="42">
        <f t="shared" si="103"/>
        <v>1</v>
      </c>
    </row>
    <row r="807" spans="1:20" x14ac:dyDescent="0.2">
      <c r="A807" s="30">
        <v>800</v>
      </c>
      <c r="C807" s="31">
        <v>0.99490111992233143</v>
      </c>
      <c r="D807" s="32">
        <v>15111.421701385891</v>
      </c>
      <c r="E807" s="31">
        <v>0.98092263239239896</v>
      </c>
      <c r="F807" s="32">
        <v>5428.7756800282186</v>
      </c>
      <c r="G807" s="31">
        <v>0.97531956671623321</v>
      </c>
      <c r="H807" s="32">
        <v>9032.2526127467645</v>
      </c>
      <c r="I807" s="31">
        <v>0.97531956671623321</v>
      </c>
      <c r="J807" s="32">
        <v>4955.7596062670618</v>
      </c>
      <c r="L807" s="43">
        <f t="shared" si="96"/>
        <v>-10136.916101774234</v>
      </c>
      <c r="M807" s="43">
        <f t="shared" si="97"/>
        <v>-524.16251806622404</v>
      </c>
      <c r="N807" s="43">
        <f t="shared" si="98"/>
        <v>-4155.6547791655985</v>
      </c>
      <c r="O807" s="43">
        <f t="shared" si="99"/>
        <v>-79.161772685895812</v>
      </c>
      <c r="Q807" s="42">
        <f t="shared" si="100"/>
        <v>0</v>
      </c>
      <c r="R807" s="42">
        <f t="shared" si="101"/>
        <v>0</v>
      </c>
      <c r="S807" s="42">
        <f t="shared" si="102"/>
        <v>0</v>
      </c>
      <c r="T807" s="42">
        <f t="shared" si="103"/>
        <v>1</v>
      </c>
    </row>
    <row r="808" spans="1:20" x14ac:dyDescent="0.2">
      <c r="A808" s="30">
        <v>801</v>
      </c>
      <c r="C808" s="31">
        <v>0.99224630778956158</v>
      </c>
      <c r="D808" s="32">
        <v>18022.215501320843</v>
      </c>
      <c r="E808" s="31">
        <v>0.93439518700852053</v>
      </c>
      <c r="F808" s="32">
        <v>6314.3767057353461</v>
      </c>
      <c r="G808" s="31">
        <v>0.97628143100589604</v>
      </c>
      <c r="H808" s="32">
        <v>10863.686262152043</v>
      </c>
      <c r="I808" s="31">
        <v>0.93376635007075204</v>
      </c>
      <c r="J808" s="32">
        <v>6148.6844406839573</v>
      </c>
      <c r="L808" s="43">
        <f t="shared" si="96"/>
        <v>-13060.983962373035</v>
      </c>
      <c r="M808" s="43">
        <f t="shared" si="97"/>
        <v>-1642.4007706927432</v>
      </c>
      <c r="N808" s="43">
        <f t="shared" si="98"/>
        <v>-5982.2791071225629</v>
      </c>
      <c r="O808" s="43">
        <f t="shared" si="99"/>
        <v>-1479.8526903301972</v>
      </c>
      <c r="Q808" s="42">
        <f t="shared" si="100"/>
        <v>0</v>
      </c>
      <c r="R808" s="42">
        <f t="shared" si="101"/>
        <v>0</v>
      </c>
      <c r="S808" s="42">
        <f t="shared" si="102"/>
        <v>0</v>
      </c>
      <c r="T808" s="42">
        <f t="shared" si="103"/>
        <v>1</v>
      </c>
    </row>
    <row r="809" spans="1:20" x14ac:dyDescent="0.2">
      <c r="A809" s="30">
        <v>802</v>
      </c>
      <c r="C809" s="31">
        <v>0.99993329009559662</v>
      </c>
      <c r="D809" s="32">
        <v>15957.947263638636</v>
      </c>
      <c r="E809" s="31">
        <v>0.8315704689246235</v>
      </c>
      <c r="F809" s="32">
        <v>7440.6965077694986</v>
      </c>
      <c r="G809" s="31">
        <v>0.93625428442985015</v>
      </c>
      <c r="H809" s="32">
        <v>10096.402754453256</v>
      </c>
      <c r="I809" s="31">
        <v>0.82900181161113173</v>
      </c>
      <c r="J809" s="32">
        <v>5330.1909397193904</v>
      </c>
      <c r="L809" s="43">
        <f t="shared" si="96"/>
        <v>-10958.280813160654</v>
      </c>
      <c r="M809" s="43">
        <f t="shared" si="97"/>
        <v>-3282.8441631463811</v>
      </c>
      <c r="N809" s="43">
        <f t="shared" si="98"/>
        <v>-5415.1313323040058</v>
      </c>
      <c r="O809" s="43">
        <f t="shared" si="99"/>
        <v>-1185.1818816637315</v>
      </c>
      <c r="Q809" s="42">
        <f t="shared" si="100"/>
        <v>0</v>
      </c>
      <c r="R809" s="42">
        <f t="shared" si="101"/>
        <v>0</v>
      </c>
      <c r="S809" s="42">
        <f t="shared" si="102"/>
        <v>0</v>
      </c>
      <c r="T809" s="42">
        <f t="shared" si="103"/>
        <v>1</v>
      </c>
    </row>
    <row r="810" spans="1:20" x14ac:dyDescent="0.2">
      <c r="A810" s="30">
        <v>803</v>
      </c>
      <c r="C810" s="31">
        <v>0.98282755053975823</v>
      </c>
      <c r="D810" s="32">
        <v>11910.876296537959</v>
      </c>
      <c r="E810" s="31">
        <v>0.96586831512656657</v>
      </c>
      <c r="F810" s="32">
        <v>3769.1904975197176</v>
      </c>
      <c r="G810" s="31">
        <v>0.96294951684488739</v>
      </c>
      <c r="H810" s="32">
        <v>6620.2054826017593</v>
      </c>
      <c r="I810" s="31">
        <v>0.96294951684488739</v>
      </c>
      <c r="J810" s="32">
        <v>3608.0665800401443</v>
      </c>
      <c r="L810" s="43">
        <f t="shared" si="96"/>
        <v>-6996.7385438391684</v>
      </c>
      <c r="M810" s="43">
        <f t="shared" si="97"/>
        <v>1060.1510781131155</v>
      </c>
      <c r="N810" s="43">
        <f t="shared" si="98"/>
        <v>-1805.4578983773226</v>
      </c>
      <c r="O810" s="43">
        <f t="shared" si="99"/>
        <v>1206.6810041842923</v>
      </c>
      <c r="Q810" s="42">
        <f t="shared" si="100"/>
        <v>0</v>
      </c>
      <c r="R810" s="42">
        <f t="shared" si="101"/>
        <v>0</v>
      </c>
      <c r="S810" s="42">
        <f t="shared" si="102"/>
        <v>0</v>
      </c>
      <c r="T810" s="42">
        <f t="shared" si="103"/>
        <v>1</v>
      </c>
    </row>
    <row r="811" spans="1:20" x14ac:dyDescent="0.2">
      <c r="A811" s="30">
        <v>804</v>
      </c>
      <c r="C811" s="31">
        <v>0.96107887540508263</v>
      </c>
      <c r="D811" s="32">
        <v>19847.344326974915</v>
      </c>
      <c r="E811" s="31">
        <v>0.88735524230415397</v>
      </c>
      <c r="F811" s="32">
        <v>5863.1955712278559</v>
      </c>
      <c r="G811" s="31">
        <v>0.94918895161212591</v>
      </c>
      <c r="H811" s="32">
        <v>12259.768914135251</v>
      </c>
      <c r="I811" s="31">
        <v>0.87906300240045665</v>
      </c>
      <c r="J811" s="32">
        <v>5344.2774670084982</v>
      </c>
      <c r="L811" s="43">
        <f t="shared" si="96"/>
        <v>-15041.949949949503</v>
      </c>
      <c r="M811" s="43">
        <f t="shared" si="97"/>
        <v>-1426.4193597070862</v>
      </c>
      <c r="N811" s="43">
        <f t="shared" si="98"/>
        <v>-7513.8241560746219</v>
      </c>
      <c r="O811" s="43">
        <f t="shared" si="99"/>
        <v>-948.96245500621535</v>
      </c>
      <c r="Q811" s="42">
        <f t="shared" si="100"/>
        <v>0</v>
      </c>
      <c r="R811" s="42">
        <f t="shared" si="101"/>
        <v>0</v>
      </c>
      <c r="S811" s="42">
        <f t="shared" si="102"/>
        <v>0</v>
      </c>
      <c r="T811" s="42">
        <f t="shared" si="103"/>
        <v>1</v>
      </c>
    </row>
    <row r="812" spans="1:20" x14ac:dyDescent="0.2">
      <c r="A812" s="30">
        <v>805</v>
      </c>
      <c r="C812" s="31">
        <v>0.99092802203606978</v>
      </c>
      <c r="D812" s="32">
        <v>14153.99281851448</v>
      </c>
      <c r="E812" s="31">
        <v>0.82913466245269674</v>
      </c>
      <c r="F812" s="32">
        <v>5440.2876204472996</v>
      </c>
      <c r="G812" s="31">
        <v>0.94638346308299393</v>
      </c>
      <c r="H812" s="32">
        <v>8443.0424717248952</v>
      </c>
      <c r="I812" s="31">
        <v>0.82179491955038575</v>
      </c>
      <c r="J812" s="32">
        <v>3883.7770140010471</v>
      </c>
      <c r="L812" s="43">
        <f t="shared" si="96"/>
        <v>-9199.3527083341323</v>
      </c>
      <c r="M812" s="43">
        <f t="shared" si="97"/>
        <v>-1294.6143081838163</v>
      </c>
      <c r="N812" s="43">
        <f t="shared" si="98"/>
        <v>-3711.1251563099258</v>
      </c>
      <c r="O812" s="43">
        <f t="shared" si="99"/>
        <v>225.19758375088168</v>
      </c>
      <c r="Q812" s="42">
        <f t="shared" si="100"/>
        <v>0</v>
      </c>
      <c r="R812" s="42">
        <f t="shared" si="101"/>
        <v>0</v>
      </c>
      <c r="S812" s="42">
        <f t="shared" si="102"/>
        <v>0</v>
      </c>
      <c r="T812" s="42">
        <f t="shared" si="103"/>
        <v>1</v>
      </c>
    </row>
    <row r="813" spans="1:20" x14ac:dyDescent="0.2">
      <c r="A813" s="30">
        <v>806</v>
      </c>
      <c r="C813" s="31">
        <v>0.97854182833305348</v>
      </c>
      <c r="D813" s="32">
        <v>18172.671123205168</v>
      </c>
      <c r="E813" s="31">
        <v>0.92076399681653731</v>
      </c>
      <c r="F813" s="32">
        <v>6251.1223392001493</v>
      </c>
      <c r="G813" s="31">
        <v>0.9590173161606208</v>
      </c>
      <c r="H813" s="32">
        <v>11188.058667290055</v>
      </c>
      <c r="I813" s="31">
        <v>0.92027898180936618</v>
      </c>
      <c r="J813" s="32">
        <v>5615.80071037583</v>
      </c>
      <c r="L813" s="43">
        <f t="shared" si="96"/>
        <v>-13279.9619815399</v>
      </c>
      <c r="M813" s="43">
        <f t="shared" si="97"/>
        <v>-1647.3023551174629</v>
      </c>
      <c r="N813" s="43">
        <f t="shared" si="98"/>
        <v>-6392.9720864869514</v>
      </c>
      <c r="O813" s="43">
        <f t="shared" si="99"/>
        <v>-1014.4058013289987</v>
      </c>
      <c r="Q813" s="42">
        <f t="shared" si="100"/>
        <v>0</v>
      </c>
      <c r="R813" s="42">
        <f t="shared" si="101"/>
        <v>0</v>
      </c>
      <c r="S813" s="42">
        <f t="shared" si="102"/>
        <v>0</v>
      </c>
      <c r="T813" s="42">
        <f t="shared" si="103"/>
        <v>1</v>
      </c>
    </row>
    <row r="814" spans="1:20" x14ac:dyDescent="0.2">
      <c r="A814" s="30">
        <v>807</v>
      </c>
      <c r="C814" s="31">
        <v>0.99164549792003887</v>
      </c>
      <c r="D814" s="32">
        <v>16632.290352749511</v>
      </c>
      <c r="E814" s="31">
        <v>0.74620453877534854</v>
      </c>
      <c r="F814" s="32">
        <v>2769.5730110331233</v>
      </c>
      <c r="G814" s="31">
        <v>0.93330133166078522</v>
      </c>
      <c r="H814" s="32">
        <v>9856.2767683598304</v>
      </c>
      <c r="I814" s="31">
        <v>0.74466919033926482</v>
      </c>
      <c r="J814" s="32">
        <v>2460.2902286059511</v>
      </c>
      <c r="L814" s="43">
        <f t="shared" si="96"/>
        <v>-11674.062863149316</v>
      </c>
      <c r="M814" s="43">
        <f t="shared" si="97"/>
        <v>961.44968284361948</v>
      </c>
      <c r="N814" s="43">
        <f t="shared" si="98"/>
        <v>-5189.7701100559043</v>
      </c>
      <c r="O814" s="43">
        <f t="shared" si="99"/>
        <v>1263.0557230903728</v>
      </c>
      <c r="Q814" s="42">
        <f t="shared" si="100"/>
        <v>0</v>
      </c>
      <c r="R814" s="42">
        <f t="shared" si="101"/>
        <v>0</v>
      </c>
      <c r="S814" s="42">
        <f t="shared" si="102"/>
        <v>0</v>
      </c>
      <c r="T814" s="42">
        <f t="shared" si="103"/>
        <v>1</v>
      </c>
    </row>
    <row r="815" spans="1:20" x14ac:dyDescent="0.2">
      <c r="A815" s="30">
        <v>808</v>
      </c>
      <c r="C815" s="31">
        <v>0.93388197039967946</v>
      </c>
      <c r="D815" s="32">
        <v>13471.353272687866</v>
      </c>
      <c r="E815" s="31">
        <v>0.89130133666193168</v>
      </c>
      <c r="F815" s="32">
        <v>9551.7390630584996</v>
      </c>
      <c r="G815" s="31">
        <v>0.88436424855520557</v>
      </c>
      <c r="H815" s="32">
        <v>8499.0204671050888</v>
      </c>
      <c r="I815" s="31">
        <v>0.88436424855520579</v>
      </c>
      <c r="J815" s="32">
        <v>6639.7833916713043</v>
      </c>
      <c r="L815" s="43">
        <f t="shared" si="96"/>
        <v>-8801.9434206894693</v>
      </c>
      <c r="M815" s="43">
        <f t="shared" si="97"/>
        <v>-5095.2323797488416</v>
      </c>
      <c r="N815" s="43">
        <f t="shared" si="98"/>
        <v>-4077.1992243290606</v>
      </c>
      <c r="O815" s="43">
        <f t="shared" si="99"/>
        <v>-2217.9621488952753</v>
      </c>
      <c r="Q815" s="42">
        <f t="shared" si="100"/>
        <v>0</v>
      </c>
      <c r="R815" s="42">
        <f t="shared" si="101"/>
        <v>0</v>
      </c>
      <c r="S815" s="42">
        <f t="shared" si="102"/>
        <v>0</v>
      </c>
      <c r="T815" s="42">
        <f t="shared" si="103"/>
        <v>1</v>
      </c>
    </row>
    <row r="816" spans="1:20" x14ac:dyDescent="0.2">
      <c r="A816" s="30">
        <v>809</v>
      </c>
      <c r="C816" s="31">
        <v>0.98836174639070151</v>
      </c>
      <c r="D816" s="32">
        <v>16019.744581634259</v>
      </c>
      <c r="E816" s="31">
        <v>0.7836061456117327</v>
      </c>
      <c r="F816" s="32">
        <v>6380.3467174753496</v>
      </c>
      <c r="G816" s="31">
        <v>0.93854414148754739</v>
      </c>
      <c r="H816" s="32">
        <v>9743.7971076245904</v>
      </c>
      <c r="I816" s="31">
        <v>0.78224697777573393</v>
      </c>
      <c r="J816" s="32">
        <v>4147.6501450273254</v>
      </c>
      <c r="L816" s="43">
        <f t="shared" si="96"/>
        <v>-11077.935849680751</v>
      </c>
      <c r="M816" s="43">
        <f t="shared" si="97"/>
        <v>-2462.3159894166861</v>
      </c>
      <c r="N816" s="43">
        <f t="shared" si="98"/>
        <v>-5051.0764001868538</v>
      </c>
      <c r="O816" s="43">
        <f t="shared" si="99"/>
        <v>-236.41525614865577</v>
      </c>
      <c r="Q816" s="42">
        <f t="shared" si="100"/>
        <v>0</v>
      </c>
      <c r="R816" s="42">
        <f t="shared" si="101"/>
        <v>0</v>
      </c>
      <c r="S816" s="42">
        <f t="shared" si="102"/>
        <v>0</v>
      </c>
      <c r="T816" s="42">
        <f t="shared" si="103"/>
        <v>1</v>
      </c>
    </row>
    <row r="817" spans="1:20" x14ac:dyDescent="0.2">
      <c r="A817" s="30">
        <v>810</v>
      </c>
      <c r="C817" s="31">
        <v>0.99954275531238401</v>
      </c>
      <c r="D817" s="32">
        <v>14358.080744653618</v>
      </c>
      <c r="E817" s="31">
        <v>0.82515352923716845</v>
      </c>
      <c r="F817" s="32">
        <v>9493.1350743469939</v>
      </c>
      <c r="G817" s="31">
        <v>0.94499073672519429</v>
      </c>
      <c r="H817" s="32">
        <v>8701.2819165706151</v>
      </c>
      <c r="I817" s="31">
        <v>0.82244386116742607</v>
      </c>
      <c r="J817" s="32">
        <v>5553.9445020756903</v>
      </c>
      <c r="L817" s="43">
        <f t="shared" si="96"/>
        <v>-9360.3669680916973</v>
      </c>
      <c r="M817" s="43">
        <f t="shared" si="97"/>
        <v>-5367.367428161152</v>
      </c>
      <c r="N817" s="43">
        <f t="shared" si="98"/>
        <v>-3976.3282329446438</v>
      </c>
      <c r="O817" s="43">
        <f t="shared" si="99"/>
        <v>-1441.7251962385599</v>
      </c>
      <c r="Q817" s="42">
        <f t="shared" si="100"/>
        <v>0</v>
      </c>
      <c r="R817" s="42">
        <f t="shared" si="101"/>
        <v>0</v>
      </c>
      <c r="S817" s="42">
        <f t="shared" si="102"/>
        <v>0</v>
      </c>
      <c r="T817" s="42">
        <f t="shared" si="103"/>
        <v>1</v>
      </c>
    </row>
    <row r="818" spans="1:20" x14ac:dyDescent="0.2">
      <c r="A818" s="30">
        <v>811</v>
      </c>
      <c r="C818" s="31">
        <v>0.98525413814275731</v>
      </c>
      <c r="D818" s="32">
        <v>16280.186782920773</v>
      </c>
      <c r="E818" s="31">
        <v>0.92728688111059165</v>
      </c>
      <c r="F818" s="32">
        <v>9295.0001598928757</v>
      </c>
      <c r="G818" s="31">
        <v>0.92175942149403678</v>
      </c>
      <c r="H818" s="32">
        <v>9207.5395508981856</v>
      </c>
      <c r="I818" s="31">
        <v>0.92175942149403678</v>
      </c>
      <c r="J818" s="32">
        <v>6668.8173288366652</v>
      </c>
      <c r="L818" s="43">
        <f t="shared" si="96"/>
        <v>-11353.916092206986</v>
      </c>
      <c r="M818" s="43">
        <f t="shared" si="97"/>
        <v>-4658.5657543399175</v>
      </c>
      <c r="N818" s="43">
        <f t="shared" si="98"/>
        <v>-4598.7424434280019</v>
      </c>
      <c r="O818" s="43">
        <f t="shared" si="99"/>
        <v>-2060.0202213664816</v>
      </c>
      <c r="Q818" s="42">
        <f t="shared" si="100"/>
        <v>0</v>
      </c>
      <c r="R818" s="42">
        <f t="shared" si="101"/>
        <v>0</v>
      </c>
      <c r="S818" s="42">
        <f t="shared" si="102"/>
        <v>0</v>
      </c>
      <c r="T818" s="42">
        <f t="shared" si="103"/>
        <v>1</v>
      </c>
    </row>
    <row r="819" spans="1:20" x14ac:dyDescent="0.2">
      <c r="A819" s="30">
        <v>812</v>
      </c>
      <c r="C819" s="31">
        <v>0.99938679375662776</v>
      </c>
      <c r="D819" s="32">
        <v>16859.194807560274</v>
      </c>
      <c r="E819" s="31">
        <v>0.93808996131280797</v>
      </c>
      <c r="F819" s="32">
        <v>6891.7272245295017</v>
      </c>
      <c r="G819" s="31">
        <v>0.97723599105442549</v>
      </c>
      <c r="H819" s="32">
        <v>9759.4664492950669</v>
      </c>
      <c r="I819" s="31">
        <v>0.93134173068957682</v>
      </c>
      <c r="J819" s="32">
        <v>5496.9882208065155</v>
      </c>
      <c r="L819" s="43">
        <f t="shared" si="96"/>
        <v>-11862.260838777136</v>
      </c>
      <c r="M819" s="43">
        <f t="shared" si="97"/>
        <v>-2201.2774179654616</v>
      </c>
      <c r="N819" s="43">
        <f t="shared" si="98"/>
        <v>-4873.2864940229392</v>
      </c>
      <c r="O819" s="43">
        <f t="shared" si="99"/>
        <v>-840.27956735863154</v>
      </c>
      <c r="Q819" s="42">
        <f t="shared" si="100"/>
        <v>0</v>
      </c>
      <c r="R819" s="42">
        <f t="shared" si="101"/>
        <v>0</v>
      </c>
      <c r="S819" s="42">
        <f t="shared" si="102"/>
        <v>0</v>
      </c>
      <c r="T819" s="42">
        <f t="shared" si="103"/>
        <v>1</v>
      </c>
    </row>
    <row r="820" spans="1:20" x14ac:dyDescent="0.2">
      <c r="A820" s="30">
        <v>813</v>
      </c>
      <c r="C820" s="31">
        <v>0.99075686156422527</v>
      </c>
      <c r="D820" s="32">
        <v>18737.986094582095</v>
      </c>
      <c r="E820" s="31">
        <v>0.87806895972918519</v>
      </c>
      <c r="F820" s="32">
        <v>6305.7757021458565</v>
      </c>
      <c r="G820" s="31">
        <v>0.87806895972918519</v>
      </c>
      <c r="H820" s="32">
        <v>11362.258460775729</v>
      </c>
      <c r="I820" s="31">
        <v>0.87806895972918519</v>
      </c>
      <c r="J820" s="32">
        <v>6133.102978114689</v>
      </c>
      <c r="L820" s="43">
        <f t="shared" si="96"/>
        <v>-13784.201786760968</v>
      </c>
      <c r="M820" s="43">
        <f t="shared" si="97"/>
        <v>-1915.4309034999305</v>
      </c>
      <c r="N820" s="43">
        <f t="shared" si="98"/>
        <v>-6971.913662129803</v>
      </c>
      <c r="O820" s="43">
        <f t="shared" si="99"/>
        <v>-1742.758179468763</v>
      </c>
      <c r="Q820" s="42">
        <f t="shared" si="100"/>
        <v>0</v>
      </c>
      <c r="R820" s="42">
        <f t="shared" si="101"/>
        <v>0</v>
      </c>
      <c r="S820" s="42">
        <f t="shared" si="102"/>
        <v>0</v>
      </c>
      <c r="T820" s="42">
        <f t="shared" si="103"/>
        <v>1</v>
      </c>
    </row>
    <row r="821" spans="1:20" x14ac:dyDescent="0.2">
      <c r="A821" s="30">
        <v>814</v>
      </c>
      <c r="C821" s="31">
        <v>0.99427126978450664</v>
      </c>
      <c r="D821" s="32">
        <v>17390.709636106585</v>
      </c>
      <c r="E821" s="31">
        <v>0.96325689890657129</v>
      </c>
      <c r="F821" s="32">
        <v>9917.0389365763604</v>
      </c>
      <c r="G821" s="31">
        <v>0.95187267329379122</v>
      </c>
      <c r="H821" s="32">
        <v>10145.401203980105</v>
      </c>
      <c r="I821" s="31">
        <v>0.95187267329379122</v>
      </c>
      <c r="J821" s="32">
        <v>7214.6579398912563</v>
      </c>
      <c r="L821" s="43">
        <f t="shared" si="96"/>
        <v>-12419.353287184051</v>
      </c>
      <c r="M821" s="43">
        <f t="shared" si="97"/>
        <v>-5100.7544420435042</v>
      </c>
      <c r="N821" s="43">
        <f t="shared" si="98"/>
        <v>-5386.0378375111495</v>
      </c>
      <c r="O821" s="43">
        <f t="shared" si="99"/>
        <v>-2455.2945734223003</v>
      </c>
      <c r="Q821" s="42">
        <f t="shared" si="100"/>
        <v>0</v>
      </c>
      <c r="R821" s="42">
        <f t="shared" si="101"/>
        <v>0</v>
      </c>
      <c r="S821" s="42">
        <f t="shared" si="102"/>
        <v>0</v>
      </c>
      <c r="T821" s="42">
        <f t="shared" si="103"/>
        <v>1</v>
      </c>
    </row>
    <row r="822" spans="1:20" x14ac:dyDescent="0.2">
      <c r="A822" s="30">
        <v>815</v>
      </c>
      <c r="C822" s="31">
        <v>0.98858716488390452</v>
      </c>
      <c r="D822" s="32">
        <v>12964.798297575167</v>
      </c>
      <c r="E822" s="31">
        <v>0.8681012854532586</v>
      </c>
      <c r="F822" s="32">
        <v>3321.7198871404535</v>
      </c>
      <c r="G822" s="31">
        <v>0.95304451579055205</v>
      </c>
      <c r="H822" s="32">
        <v>7230.2537688546208</v>
      </c>
      <c r="I822" s="31">
        <v>0.86769236745960021</v>
      </c>
      <c r="J822" s="32">
        <v>3129.9649404220004</v>
      </c>
      <c r="L822" s="43">
        <f t="shared" si="96"/>
        <v>-8021.8624731556447</v>
      </c>
      <c r="M822" s="43">
        <f t="shared" si="97"/>
        <v>1018.7865401258396</v>
      </c>
      <c r="N822" s="43">
        <f t="shared" si="98"/>
        <v>-2465.0311899018607</v>
      </c>
      <c r="O822" s="43">
        <f t="shared" si="99"/>
        <v>1208.4968968760008</v>
      </c>
      <c r="Q822" s="42">
        <f t="shared" si="100"/>
        <v>0</v>
      </c>
      <c r="R822" s="42">
        <f t="shared" si="101"/>
        <v>0</v>
      </c>
      <c r="S822" s="42">
        <f t="shared" si="102"/>
        <v>0</v>
      </c>
      <c r="T822" s="42">
        <f t="shared" si="103"/>
        <v>1</v>
      </c>
    </row>
    <row r="823" spans="1:20" x14ac:dyDescent="0.2">
      <c r="A823" s="30">
        <v>816</v>
      </c>
      <c r="C823" s="31">
        <v>0.98000165665864469</v>
      </c>
      <c r="D823" s="32">
        <v>19785.642968336691</v>
      </c>
      <c r="E823" s="31">
        <v>0.74873836350953915</v>
      </c>
      <c r="F823" s="32">
        <v>2892.4769527057974</v>
      </c>
      <c r="G823" s="31">
        <v>0.9396285886126301</v>
      </c>
      <c r="H823" s="32">
        <v>11356.473671275797</v>
      </c>
      <c r="I823" s="31">
        <v>0.74728003703882706</v>
      </c>
      <c r="J823" s="32">
        <v>2686.3350167733383</v>
      </c>
      <c r="L823" s="43">
        <f t="shared" si="96"/>
        <v>-14885.634685043467</v>
      </c>
      <c r="M823" s="43">
        <f t="shared" si="97"/>
        <v>851.21486484189836</v>
      </c>
      <c r="N823" s="43">
        <f t="shared" si="98"/>
        <v>-6658.3307282126461</v>
      </c>
      <c r="O823" s="43">
        <f t="shared" si="99"/>
        <v>1050.0651684207969</v>
      </c>
      <c r="Q823" s="42">
        <f t="shared" si="100"/>
        <v>0</v>
      </c>
      <c r="R823" s="42">
        <f t="shared" si="101"/>
        <v>0</v>
      </c>
      <c r="S823" s="42">
        <f t="shared" si="102"/>
        <v>0</v>
      </c>
      <c r="T823" s="42">
        <f t="shared" si="103"/>
        <v>1</v>
      </c>
    </row>
    <row r="824" spans="1:20" x14ac:dyDescent="0.2">
      <c r="A824" s="30">
        <v>817</v>
      </c>
      <c r="C824" s="31">
        <v>0.99974378912725226</v>
      </c>
      <c r="D824" s="32">
        <v>18345.201123346262</v>
      </c>
      <c r="E824" s="31">
        <v>0.83424079437641407</v>
      </c>
      <c r="F824" s="32">
        <v>6596.6015490904056</v>
      </c>
      <c r="G824" s="31">
        <v>0.93232643488739808</v>
      </c>
      <c r="H824" s="32">
        <v>10917.593989271329</v>
      </c>
      <c r="I824" s="31">
        <v>0.83424079437641407</v>
      </c>
      <c r="J824" s="32">
        <v>5043.7434711445358</v>
      </c>
      <c r="L824" s="43">
        <f t="shared" si="96"/>
        <v>-13346.482177710001</v>
      </c>
      <c r="M824" s="43">
        <f t="shared" si="97"/>
        <v>-2425.397577208335</v>
      </c>
      <c r="N824" s="43">
        <f t="shared" si="98"/>
        <v>-6255.9618148343379</v>
      </c>
      <c r="O824" s="43">
        <f t="shared" si="99"/>
        <v>-872.53949926246514</v>
      </c>
      <c r="Q824" s="42">
        <f t="shared" si="100"/>
        <v>0</v>
      </c>
      <c r="R824" s="42">
        <f t="shared" si="101"/>
        <v>0</v>
      </c>
      <c r="S824" s="42">
        <f t="shared" si="102"/>
        <v>0</v>
      </c>
      <c r="T824" s="42">
        <f t="shared" si="103"/>
        <v>1</v>
      </c>
    </row>
    <row r="825" spans="1:20" x14ac:dyDescent="0.2">
      <c r="A825" s="30">
        <v>818</v>
      </c>
      <c r="C825" s="31">
        <v>0.98947358889071724</v>
      </c>
      <c r="D825" s="32">
        <v>17011.203051966939</v>
      </c>
      <c r="E825" s="31">
        <v>0.98291286442513726</v>
      </c>
      <c r="F825" s="32">
        <v>6040.8414468444407</v>
      </c>
      <c r="G825" s="31">
        <v>0.98290972371518914</v>
      </c>
      <c r="H825" s="32">
        <v>10404.477581948237</v>
      </c>
      <c r="I825" s="31">
        <v>0.98291286442513737</v>
      </c>
      <c r="J825" s="32">
        <v>5908.7508498316174</v>
      </c>
      <c r="L825" s="43">
        <f t="shared" si="96"/>
        <v>-12063.835107513352</v>
      </c>
      <c r="M825" s="43">
        <f t="shared" si="97"/>
        <v>-1126.2771247187547</v>
      </c>
      <c r="N825" s="43">
        <f t="shared" si="98"/>
        <v>-5489.928963372291</v>
      </c>
      <c r="O825" s="43">
        <f t="shared" si="99"/>
        <v>-994.18652770593053</v>
      </c>
      <c r="Q825" s="42">
        <f t="shared" si="100"/>
        <v>0</v>
      </c>
      <c r="R825" s="42">
        <f t="shared" si="101"/>
        <v>0</v>
      </c>
      <c r="S825" s="42">
        <f t="shared" si="102"/>
        <v>0</v>
      </c>
      <c r="T825" s="42">
        <f t="shared" si="103"/>
        <v>1</v>
      </c>
    </row>
    <row r="826" spans="1:20" x14ac:dyDescent="0.2">
      <c r="A826" s="30">
        <v>819</v>
      </c>
      <c r="C826" s="31">
        <v>0.98313596837993977</v>
      </c>
      <c r="D826" s="32">
        <v>19803.520297138697</v>
      </c>
      <c r="E826" s="31">
        <v>0.93609338420806187</v>
      </c>
      <c r="F826" s="32">
        <v>7036.892602146123</v>
      </c>
      <c r="G826" s="31">
        <v>0.9285839934593012</v>
      </c>
      <c r="H826" s="32">
        <v>11934.044670026979</v>
      </c>
      <c r="I826" s="31">
        <v>0.92858399345930132</v>
      </c>
      <c r="J826" s="32">
        <v>6725.9176121474638</v>
      </c>
      <c r="L826" s="43">
        <f t="shared" si="96"/>
        <v>-14887.840455238998</v>
      </c>
      <c r="M826" s="43">
        <f t="shared" si="97"/>
        <v>-2356.425681105814</v>
      </c>
      <c r="N826" s="43">
        <f t="shared" si="98"/>
        <v>-7291.1247027304726</v>
      </c>
      <c r="O826" s="43">
        <f t="shared" si="99"/>
        <v>-2082.9976448509569</v>
      </c>
      <c r="Q826" s="42">
        <f t="shared" si="100"/>
        <v>0</v>
      </c>
      <c r="R826" s="42">
        <f t="shared" si="101"/>
        <v>0</v>
      </c>
      <c r="S826" s="42">
        <f t="shared" si="102"/>
        <v>0</v>
      </c>
      <c r="T826" s="42">
        <f t="shared" si="103"/>
        <v>1</v>
      </c>
    </row>
    <row r="827" spans="1:20" x14ac:dyDescent="0.2">
      <c r="A827" s="30">
        <v>820</v>
      </c>
      <c r="C827" s="31">
        <v>0.99668366384156748</v>
      </c>
      <c r="D827" s="32">
        <v>14814.923155325037</v>
      </c>
      <c r="E827" s="31">
        <v>0.90441292651847327</v>
      </c>
      <c r="F827" s="32">
        <v>4789.4451285624973</v>
      </c>
      <c r="G827" s="31">
        <v>0.96142742227415701</v>
      </c>
      <c r="H827" s="32">
        <v>9198.1496403277506</v>
      </c>
      <c r="I827" s="31">
        <v>0.90270157450684441</v>
      </c>
      <c r="J827" s="32">
        <v>4636.1646644770171</v>
      </c>
      <c r="L827" s="43">
        <f t="shared" si="96"/>
        <v>-9831.5048361172012</v>
      </c>
      <c r="M827" s="43">
        <f t="shared" si="97"/>
        <v>-267.38049597013105</v>
      </c>
      <c r="N827" s="43">
        <f t="shared" si="98"/>
        <v>-4391.012528956966</v>
      </c>
      <c r="O827" s="43">
        <f t="shared" si="99"/>
        <v>-122.65679194279528</v>
      </c>
      <c r="Q827" s="42">
        <f t="shared" si="100"/>
        <v>0</v>
      </c>
      <c r="R827" s="42">
        <f t="shared" si="101"/>
        <v>0</v>
      </c>
      <c r="S827" s="42">
        <f t="shared" si="102"/>
        <v>0</v>
      </c>
      <c r="T827" s="42">
        <f t="shared" si="103"/>
        <v>1</v>
      </c>
    </row>
    <row r="828" spans="1:20" x14ac:dyDescent="0.2">
      <c r="A828" s="30">
        <v>821</v>
      </c>
      <c r="C828" s="31">
        <v>0.98768450742769209</v>
      </c>
      <c r="D828" s="32">
        <v>17333.931057669492</v>
      </c>
      <c r="E828" s="31">
        <v>0.92102811897491166</v>
      </c>
      <c r="F828" s="32">
        <v>8510.3590824121857</v>
      </c>
      <c r="G828" s="31">
        <v>0.91925464919581845</v>
      </c>
      <c r="H828" s="32">
        <v>10645.777908063612</v>
      </c>
      <c r="I828" s="31">
        <v>0.91925464919581834</v>
      </c>
      <c r="J828" s="32">
        <v>6936.0505665639848</v>
      </c>
      <c r="L828" s="43">
        <f t="shared" si="96"/>
        <v>-12395.508520531032</v>
      </c>
      <c r="M828" s="43">
        <f t="shared" si="97"/>
        <v>-3905.218487537627</v>
      </c>
      <c r="N828" s="43">
        <f t="shared" si="98"/>
        <v>-6049.5046620845196</v>
      </c>
      <c r="O828" s="43">
        <f t="shared" si="99"/>
        <v>-2339.7773205848935</v>
      </c>
      <c r="Q828" s="42">
        <f t="shared" si="100"/>
        <v>0</v>
      </c>
      <c r="R828" s="42">
        <f t="shared" si="101"/>
        <v>0</v>
      </c>
      <c r="S828" s="42">
        <f t="shared" si="102"/>
        <v>0</v>
      </c>
      <c r="T828" s="42">
        <f t="shared" si="103"/>
        <v>1</v>
      </c>
    </row>
    <row r="829" spans="1:20" x14ac:dyDescent="0.2">
      <c r="A829" s="30">
        <v>822</v>
      </c>
      <c r="C829" s="31">
        <v>0.99498988008152356</v>
      </c>
      <c r="D829" s="32">
        <v>13014.488469315573</v>
      </c>
      <c r="E829" s="31">
        <v>0.97678423400708336</v>
      </c>
      <c r="F829" s="32">
        <v>5273.3099686344176</v>
      </c>
      <c r="G829" s="31">
        <v>0.96910273242309175</v>
      </c>
      <c r="H829" s="32">
        <v>7804.8347028783874</v>
      </c>
      <c r="I829" s="31">
        <v>0.96910273242309186</v>
      </c>
      <c r="J829" s="32">
        <v>4614.8139556165333</v>
      </c>
      <c r="L829" s="43">
        <f t="shared" si="96"/>
        <v>-8039.539068907955</v>
      </c>
      <c r="M829" s="43">
        <f t="shared" si="97"/>
        <v>-389.38879859900044</v>
      </c>
      <c r="N829" s="43">
        <f t="shared" si="98"/>
        <v>-2959.3210407629285</v>
      </c>
      <c r="O829" s="43">
        <f t="shared" si="99"/>
        <v>230.69970649892639</v>
      </c>
      <c r="Q829" s="42">
        <f t="shared" si="100"/>
        <v>0</v>
      </c>
      <c r="R829" s="42">
        <f t="shared" si="101"/>
        <v>0</v>
      </c>
      <c r="S829" s="42">
        <f t="shared" si="102"/>
        <v>0</v>
      </c>
      <c r="T829" s="42">
        <f t="shared" si="103"/>
        <v>1</v>
      </c>
    </row>
    <row r="830" spans="1:20" x14ac:dyDescent="0.2">
      <c r="A830" s="30">
        <v>823</v>
      </c>
      <c r="C830" s="31">
        <v>0.9734719889908251</v>
      </c>
      <c r="D830" s="32">
        <v>16053.949789369746</v>
      </c>
      <c r="E830" s="31">
        <v>0.90185176906157882</v>
      </c>
      <c r="F830" s="32">
        <v>7832.765661003783</v>
      </c>
      <c r="G830" s="31">
        <v>0.90128065569315186</v>
      </c>
      <c r="H830" s="32">
        <v>10341.766491845687</v>
      </c>
      <c r="I830" s="31">
        <v>0.90128065569315186</v>
      </c>
      <c r="J830" s="32">
        <v>6503.750569279232</v>
      </c>
      <c r="L830" s="43">
        <f t="shared" si="96"/>
        <v>-11186.589844415621</v>
      </c>
      <c r="M830" s="43">
        <f t="shared" si="97"/>
        <v>-3323.5068156958887</v>
      </c>
      <c r="N830" s="43">
        <f t="shared" si="98"/>
        <v>-5835.3632133799274</v>
      </c>
      <c r="O830" s="43">
        <f t="shared" si="99"/>
        <v>-1997.3472908134727</v>
      </c>
      <c r="Q830" s="42">
        <f t="shared" si="100"/>
        <v>0</v>
      </c>
      <c r="R830" s="42">
        <f t="shared" si="101"/>
        <v>0</v>
      </c>
      <c r="S830" s="42">
        <f t="shared" si="102"/>
        <v>0</v>
      </c>
      <c r="T830" s="42">
        <f t="shared" si="103"/>
        <v>1</v>
      </c>
    </row>
    <row r="831" spans="1:20" x14ac:dyDescent="0.2">
      <c r="A831" s="30">
        <v>824</v>
      </c>
      <c r="C831" s="31">
        <v>0.96417355044771413</v>
      </c>
      <c r="D831" s="32">
        <v>16762.324735407783</v>
      </c>
      <c r="E831" s="31">
        <v>0.79807387083865</v>
      </c>
      <c r="F831" s="32">
        <v>8591.8505819519578</v>
      </c>
      <c r="G831" s="31">
        <v>0.93728504623753439</v>
      </c>
      <c r="H831" s="32">
        <v>10835.809763271032</v>
      </c>
      <c r="I831" s="31">
        <v>0.79767509464330866</v>
      </c>
      <c r="J831" s="32">
        <v>5531.3711259949987</v>
      </c>
      <c r="L831" s="43">
        <f t="shared" si="96"/>
        <v>-11941.456983169213</v>
      </c>
      <c r="M831" s="43">
        <f t="shared" si="97"/>
        <v>-4601.481227758708</v>
      </c>
      <c r="N831" s="43">
        <f t="shared" si="98"/>
        <v>-6149.3845320833607</v>
      </c>
      <c r="O831" s="43">
        <f t="shared" si="99"/>
        <v>-1542.9956527784552</v>
      </c>
      <c r="Q831" s="42">
        <f t="shared" si="100"/>
        <v>0</v>
      </c>
      <c r="R831" s="42">
        <f t="shared" si="101"/>
        <v>0</v>
      </c>
      <c r="S831" s="42">
        <f t="shared" si="102"/>
        <v>0</v>
      </c>
      <c r="T831" s="42">
        <f t="shared" si="103"/>
        <v>1</v>
      </c>
    </row>
    <row r="832" spans="1:20" x14ac:dyDescent="0.2">
      <c r="A832" s="30">
        <v>825</v>
      </c>
      <c r="C832" s="31">
        <v>0.98445486161399631</v>
      </c>
      <c r="D832" s="32">
        <v>15652.320590888859</v>
      </c>
      <c r="E832" s="31">
        <v>0.97879265549120653</v>
      </c>
      <c r="F832" s="32">
        <v>7384.8322124855786</v>
      </c>
      <c r="G832" s="31">
        <v>0.97879265549120653</v>
      </c>
      <c r="H832" s="32">
        <v>9424.0982173842349</v>
      </c>
      <c r="I832" s="31">
        <v>0.97879265549120653</v>
      </c>
      <c r="J832" s="32">
        <v>6094.4493875862445</v>
      </c>
      <c r="L832" s="43">
        <f t="shared" si="96"/>
        <v>-10730.046282818877</v>
      </c>
      <c r="M832" s="43">
        <f t="shared" si="97"/>
        <v>-2490.8689350295463</v>
      </c>
      <c r="N832" s="43">
        <f t="shared" si="98"/>
        <v>-4530.1349399282026</v>
      </c>
      <c r="O832" s="43">
        <f t="shared" si="99"/>
        <v>-1200.4861101302122</v>
      </c>
      <c r="Q832" s="42">
        <f t="shared" si="100"/>
        <v>0</v>
      </c>
      <c r="R832" s="42">
        <f t="shared" si="101"/>
        <v>0</v>
      </c>
      <c r="S832" s="42">
        <f t="shared" si="102"/>
        <v>0</v>
      </c>
      <c r="T832" s="42">
        <f t="shared" si="103"/>
        <v>1</v>
      </c>
    </row>
    <row r="833" spans="1:20" x14ac:dyDescent="0.2">
      <c r="A833" s="30">
        <v>826</v>
      </c>
      <c r="C833" s="31">
        <v>0.98551171243923108</v>
      </c>
      <c r="D833" s="32">
        <v>15567.3889063812</v>
      </c>
      <c r="E833" s="31">
        <v>0.88934345549995397</v>
      </c>
      <c r="F833" s="32">
        <v>9935.8247133418918</v>
      </c>
      <c r="G833" s="31">
        <v>0.9625318606038159</v>
      </c>
      <c r="H833" s="32">
        <v>9130.6193100321343</v>
      </c>
      <c r="I833" s="31">
        <v>0.88226795679134917</v>
      </c>
      <c r="J833" s="32">
        <v>6080.3553178130551</v>
      </c>
      <c r="L833" s="43">
        <f t="shared" si="96"/>
        <v>-10639.830344185044</v>
      </c>
      <c r="M833" s="43">
        <f t="shared" si="97"/>
        <v>-5489.107435842122</v>
      </c>
      <c r="N833" s="43">
        <f t="shared" si="98"/>
        <v>-4317.9600070130546</v>
      </c>
      <c r="O833" s="43">
        <f t="shared" si="99"/>
        <v>-1669.015533856309</v>
      </c>
      <c r="Q833" s="42">
        <f t="shared" si="100"/>
        <v>0</v>
      </c>
      <c r="R833" s="42">
        <f t="shared" si="101"/>
        <v>0</v>
      </c>
      <c r="S833" s="42">
        <f t="shared" si="102"/>
        <v>0</v>
      </c>
      <c r="T833" s="42">
        <f t="shared" si="103"/>
        <v>1</v>
      </c>
    </row>
    <row r="834" spans="1:20" x14ac:dyDescent="0.2">
      <c r="A834" s="30">
        <v>827</v>
      </c>
      <c r="C834" s="31">
        <v>0.98074696700380659</v>
      </c>
      <c r="D834" s="32">
        <v>15488.28824534806</v>
      </c>
      <c r="E834" s="31">
        <v>0.85734993835302387</v>
      </c>
      <c r="F834" s="32">
        <v>8075.8878589017468</v>
      </c>
      <c r="G834" s="31">
        <v>0.94343099945807551</v>
      </c>
      <c r="H834" s="32">
        <v>9762.7507342084955</v>
      </c>
      <c r="I834" s="31">
        <v>0.85184515870381117</v>
      </c>
      <c r="J834" s="32">
        <v>5488.97564654301</v>
      </c>
      <c r="L834" s="43">
        <f t="shared" si="96"/>
        <v>-10584.553410329027</v>
      </c>
      <c r="M834" s="43">
        <f t="shared" si="97"/>
        <v>-3789.1381671366271</v>
      </c>
      <c r="N834" s="43">
        <f t="shared" si="98"/>
        <v>-5045.5957369181178</v>
      </c>
      <c r="O834" s="43">
        <f t="shared" si="99"/>
        <v>-1229.7498530239545</v>
      </c>
      <c r="Q834" s="42">
        <f t="shared" si="100"/>
        <v>0</v>
      </c>
      <c r="R834" s="42">
        <f t="shared" si="101"/>
        <v>0</v>
      </c>
      <c r="S834" s="42">
        <f t="shared" si="102"/>
        <v>0</v>
      </c>
      <c r="T834" s="42">
        <f t="shared" si="103"/>
        <v>1</v>
      </c>
    </row>
    <row r="835" spans="1:20" x14ac:dyDescent="0.2">
      <c r="A835" s="30">
        <v>828</v>
      </c>
      <c r="C835" s="31">
        <v>0.99954840679507717</v>
      </c>
      <c r="D835" s="32">
        <v>16583.521499246999</v>
      </c>
      <c r="E835" s="31">
        <v>0.91883132957700608</v>
      </c>
      <c r="F835" s="32">
        <v>6063.5651184666312</v>
      </c>
      <c r="G835" s="31">
        <v>0.91319951152215251</v>
      </c>
      <c r="H835" s="32">
        <v>9681.3472662594031</v>
      </c>
      <c r="I835" s="31">
        <v>0.91319951152215251</v>
      </c>
      <c r="J835" s="32">
        <v>5806.3912796272361</v>
      </c>
      <c r="L835" s="43">
        <f t="shared" si="96"/>
        <v>-11585.779465271613</v>
      </c>
      <c r="M835" s="43">
        <f t="shared" si="97"/>
        <v>-1469.4084705816013</v>
      </c>
      <c r="N835" s="43">
        <f t="shared" si="98"/>
        <v>-5115.3497086486404</v>
      </c>
      <c r="O835" s="43">
        <f t="shared" si="99"/>
        <v>-1240.3937220164735</v>
      </c>
      <c r="Q835" s="42">
        <f t="shared" si="100"/>
        <v>0</v>
      </c>
      <c r="R835" s="42">
        <f t="shared" si="101"/>
        <v>0</v>
      </c>
      <c r="S835" s="42">
        <f t="shared" si="102"/>
        <v>0</v>
      </c>
      <c r="T835" s="42">
        <f t="shared" si="103"/>
        <v>1</v>
      </c>
    </row>
    <row r="836" spans="1:20" x14ac:dyDescent="0.2">
      <c r="A836" s="30">
        <v>829</v>
      </c>
      <c r="C836" s="31">
        <v>0.97926308219408964</v>
      </c>
      <c r="D836" s="32">
        <v>13664.644316563108</v>
      </c>
      <c r="E836" s="31">
        <v>0.96652706624656215</v>
      </c>
      <c r="F836" s="32">
        <v>5319.9278418177819</v>
      </c>
      <c r="G836" s="31">
        <v>0.95623150208465235</v>
      </c>
      <c r="H836" s="32">
        <v>8696.4221552505769</v>
      </c>
      <c r="I836" s="31">
        <v>0.9562347034085249</v>
      </c>
      <c r="J836" s="32">
        <v>5034.0950568605303</v>
      </c>
      <c r="L836" s="43">
        <f t="shared" si="96"/>
        <v>-8768.3289055926598</v>
      </c>
      <c r="M836" s="43">
        <f t="shared" si="97"/>
        <v>-487.29251058497084</v>
      </c>
      <c r="N836" s="43">
        <f t="shared" si="98"/>
        <v>-3915.2646448273154</v>
      </c>
      <c r="O836" s="43">
        <f t="shared" si="99"/>
        <v>-252.9215398179058</v>
      </c>
      <c r="Q836" s="42">
        <f t="shared" si="100"/>
        <v>0</v>
      </c>
      <c r="R836" s="42">
        <f t="shared" si="101"/>
        <v>0</v>
      </c>
      <c r="S836" s="42">
        <f t="shared" si="102"/>
        <v>0</v>
      </c>
      <c r="T836" s="42">
        <f t="shared" si="103"/>
        <v>1</v>
      </c>
    </row>
    <row r="837" spans="1:20" x14ac:dyDescent="0.2">
      <c r="A837" s="30">
        <v>830</v>
      </c>
      <c r="C837" s="31">
        <v>0.99823271851688211</v>
      </c>
      <c r="D837" s="32">
        <v>13815.470660390325</v>
      </c>
      <c r="E837" s="31">
        <v>0.93650821696081432</v>
      </c>
      <c r="F837" s="32">
        <v>4654.4753939994198</v>
      </c>
      <c r="G837" s="31">
        <v>0.96327781721610972</v>
      </c>
      <c r="H837" s="32">
        <v>8133.3460359327864</v>
      </c>
      <c r="I837" s="31">
        <v>0.93474768299022393</v>
      </c>
      <c r="J837" s="32">
        <v>3844.2308532933639</v>
      </c>
      <c r="L837" s="43">
        <f t="shared" si="96"/>
        <v>-8824.3070678059157</v>
      </c>
      <c r="M837" s="43">
        <f t="shared" si="97"/>
        <v>28.065690804652149</v>
      </c>
      <c r="N837" s="43">
        <f t="shared" si="98"/>
        <v>-3316.9569498522378</v>
      </c>
      <c r="O837" s="43">
        <f t="shared" si="99"/>
        <v>829.50756165775601</v>
      </c>
      <c r="Q837" s="42">
        <f t="shared" si="100"/>
        <v>0</v>
      </c>
      <c r="R837" s="42">
        <f t="shared" si="101"/>
        <v>0</v>
      </c>
      <c r="S837" s="42">
        <f t="shared" si="102"/>
        <v>0</v>
      </c>
      <c r="T837" s="42">
        <f t="shared" si="103"/>
        <v>1</v>
      </c>
    </row>
    <row r="838" spans="1:20" x14ac:dyDescent="0.2">
      <c r="A838" s="30">
        <v>831</v>
      </c>
      <c r="C838" s="31">
        <v>0.93908473979340623</v>
      </c>
      <c r="D838" s="32">
        <v>18530.406289739327</v>
      </c>
      <c r="E838" s="31">
        <v>0.849045279853333</v>
      </c>
      <c r="F838" s="32">
        <v>9006.5714949881403</v>
      </c>
      <c r="G838" s="31">
        <v>0.92618397082409332</v>
      </c>
      <c r="H838" s="32">
        <v>11551.839978331369</v>
      </c>
      <c r="I838" s="31">
        <v>0.84692314843413907</v>
      </c>
      <c r="J838" s="32">
        <v>6796.0387325182937</v>
      </c>
      <c r="L838" s="43">
        <f t="shared" si="96"/>
        <v>-13834.982590772295</v>
      </c>
      <c r="M838" s="43">
        <f t="shared" si="97"/>
        <v>-4761.3450957214754</v>
      </c>
      <c r="N838" s="43">
        <f t="shared" si="98"/>
        <v>-6920.920124210902</v>
      </c>
      <c r="O838" s="43">
        <f t="shared" si="99"/>
        <v>-2561.422990347598</v>
      </c>
      <c r="Q838" s="42">
        <f t="shared" si="100"/>
        <v>0</v>
      </c>
      <c r="R838" s="42">
        <f t="shared" si="101"/>
        <v>0</v>
      </c>
      <c r="S838" s="42">
        <f t="shared" si="102"/>
        <v>0</v>
      </c>
      <c r="T838" s="42">
        <f t="shared" si="103"/>
        <v>1</v>
      </c>
    </row>
    <row r="839" spans="1:20" x14ac:dyDescent="0.2">
      <c r="A839" s="30">
        <v>832</v>
      </c>
      <c r="C839" s="31">
        <v>0.97923914341134222</v>
      </c>
      <c r="D839" s="32">
        <v>17110.226642918347</v>
      </c>
      <c r="E839" s="31">
        <v>0.72968834086984991</v>
      </c>
      <c r="F839" s="32">
        <v>5188.9030781888623</v>
      </c>
      <c r="G839" s="31">
        <v>0.93885136052209339</v>
      </c>
      <c r="H839" s="32">
        <v>10691.573613539524</v>
      </c>
      <c r="I839" s="31">
        <v>0.72910791436862099</v>
      </c>
      <c r="J839" s="32">
        <v>3342.8705348703015</v>
      </c>
      <c r="L839" s="43">
        <f t="shared" si="96"/>
        <v>-12214.030925861636</v>
      </c>
      <c r="M839" s="43">
        <f t="shared" si="97"/>
        <v>-1540.4613738396129</v>
      </c>
      <c r="N839" s="43">
        <f t="shared" si="98"/>
        <v>-5997.3168109290564</v>
      </c>
      <c r="O839" s="43">
        <f t="shared" si="99"/>
        <v>302.6690369728035</v>
      </c>
      <c r="Q839" s="42">
        <f t="shared" si="100"/>
        <v>0</v>
      </c>
      <c r="R839" s="42">
        <f t="shared" si="101"/>
        <v>0</v>
      </c>
      <c r="S839" s="42">
        <f t="shared" si="102"/>
        <v>0</v>
      </c>
      <c r="T839" s="42">
        <f t="shared" si="103"/>
        <v>1</v>
      </c>
    </row>
    <row r="840" spans="1:20" x14ac:dyDescent="0.2">
      <c r="A840" s="30">
        <v>833</v>
      </c>
      <c r="C840" s="31">
        <v>0.99693729131276543</v>
      </c>
      <c r="D840" s="32">
        <v>14097.862958241125</v>
      </c>
      <c r="E840" s="31">
        <v>0.93076521514917088</v>
      </c>
      <c r="F840" s="32">
        <v>7159.0805054403309</v>
      </c>
      <c r="G840" s="31">
        <v>0.9429802539521317</v>
      </c>
      <c r="H840" s="32">
        <v>7863.9572857969597</v>
      </c>
      <c r="I840" s="31">
        <v>0.92415262605172677</v>
      </c>
      <c r="J840" s="32">
        <v>4915.3884082189179</v>
      </c>
      <c r="L840" s="43">
        <f t="shared" ref="L840:L903" si="104">C840*Rc_-D840</f>
        <v>-9113.1765016772988</v>
      </c>
      <c r="M840" s="43">
        <f t="shared" ref="M840:M903" si="105">E840*Rc_-F840</f>
        <v>-2505.2544296944761</v>
      </c>
      <c r="N840" s="43">
        <f t="shared" ref="N840:N903" si="106">G840*Rc_-H840</f>
        <v>-3149.0560160363011</v>
      </c>
      <c r="O840" s="43">
        <f t="shared" ref="O840:O903" si="107">I840*Rc_-J840</f>
        <v>-294.62527796028371</v>
      </c>
      <c r="Q840" s="42">
        <f t="shared" si="100"/>
        <v>0</v>
      </c>
      <c r="R840" s="42">
        <f t="shared" si="101"/>
        <v>0</v>
      </c>
      <c r="S840" s="42">
        <f t="shared" si="102"/>
        <v>0</v>
      </c>
      <c r="T840" s="42">
        <f t="shared" si="103"/>
        <v>1</v>
      </c>
    </row>
    <row r="841" spans="1:20" x14ac:dyDescent="0.2">
      <c r="A841" s="30">
        <v>834</v>
      </c>
      <c r="C841" s="31">
        <v>0.99661524693625303</v>
      </c>
      <c r="D841" s="32">
        <v>16671.499463975899</v>
      </c>
      <c r="E841" s="31">
        <v>0.86278345899932185</v>
      </c>
      <c r="F841" s="32">
        <v>8159.3553410271816</v>
      </c>
      <c r="G841" s="31">
        <v>0.94496266586487021</v>
      </c>
      <c r="H841" s="32">
        <v>10198.57922869763</v>
      </c>
      <c r="I841" s="31">
        <v>0.85795514672718154</v>
      </c>
      <c r="J841" s="32">
        <v>5531.3243279025983</v>
      </c>
      <c r="L841" s="43">
        <f t="shared" si="104"/>
        <v>-11688.423229294633</v>
      </c>
      <c r="M841" s="43">
        <f t="shared" si="105"/>
        <v>-3845.438046030572</v>
      </c>
      <c r="N841" s="43">
        <f t="shared" si="106"/>
        <v>-5473.7658993732794</v>
      </c>
      <c r="O841" s="43">
        <f t="shared" si="107"/>
        <v>-1241.548594266691</v>
      </c>
      <c r="Q841" s="42">
        <f t="shared" ref="Q841:Q904" si="108">IF(L841&gt;$M841,IF(L841&gt;$N841,IF(L841&gt;$O841,1,0),0),0)</f>
        <v>0</v>
      </c>
      <c r="R841" s="42">
        <f t="shared" ref="R841:R904" si="109">IF(M841&gt;$L841,IF(M841&gt;$N841,IF(M841&gt;$O841,1,0),0),0)</f>
        <v>0</v>
      </c>
      <c r="S841" s="42">
        <f t="shared" ref="S841:S904" si="110">IF(N841&gt;$M841,IF(N841&gt;$L841,IF(N841&gt;$O841,1,0),0),0)</f>
        <v>0</v>
      </c>
      <c r="T841" s="42">
        <f t="shared" ref="T841:T904" si="111">IF(O841&gt;$M841,IF(O841&gt;$N841,IF(O841&gt;$L841,1,0),0),0)</f>
        <v>1</v>
      </c>
    </row>
    <row r="842" spans="1:20" x14ac:dyDescent="0.2">
      <c r="A842" s="30">
        <v>835</v>
      </c>
      <c r="C842" s="31">
        <v>0.9093925764608487</v>
      </c>
      <c r="D842" s="32">
        <v>18019.748031124996</v>
      </c>
      <c r="E842" s="31">
        <v>0.94462407579794982</v>
      </c>
      <c r="F842" s="32">
        <v>6426.1468137743786</v>
      </c>
      <c r="G842" s="31">
        <v>0.94321477620053296</v>
      </c>
      <c r="H842" s="32">
        <v>10698.142015247153</v>
      </c>
      <c r="I842" s="31">
        <v>0.94321477733147985</v>
      </c>
      <c r="J842" s="32">
        <v>6273.0918465584537</v>
      </c>
      <c r="L842" s="43">
        <f t="shared" si="104"/>
        <v>-13472.785148820753</v>
      </c>
      <c r="M842" s="43">
        <f t="shared" si="105"/>
        <v>-1703.0264347846296</v>
      </c>
      <c r="N842" s="43">
        <f t="shared" si="106"/>
        <v>-5982.0681342444877</v>
      </c>
      <c r="O842" s="43">
        <f t="shared" si="107"/>
        <v>-1557.0179599010544</v>
      </c>
      <c r="Q842" s="42">
        <f t="shared" si="108"/>
        <v>0</v>
      </c>
      <c r="R842" s="42">
        <f t="shared" si="109"/>
        <v>0</v>
      </c>
      <c r="S842" s="42">
        <f t="shared" si="110"/>
        <v>0</v>
      </c>
      <c r="T842" s="42">
        <f t="shared" si="111"/>
        <v>1</v>
      </c>
    </row>
    <row r="843" spans="1:20" x14ac:dyDescent="0.2">
      <c r="A843" s="30">
        <v>836</v>
      </c>
      <c r="C843" s="31">
        <v>0.99469878862054661</v>
      </c>
      <c r="D843" s="32">
        <v>16923.250865463571</v>
      </c>
      <c r="E843" s="31">
        <v>0.85871961520607609</v>
      </c>
      <c r="F843" s="32">
        <v>4534.9004690165084</v>
      </c>
      <c r="G843" s="31">
        <v>0.95469477289971683</v>
      </c>
      <c r="H843" s="32">
        <v>10526.188997126961</v>
      </c>
      <c r="I843" s="31">
        <v>0.85217759020028527</v>
      </c>
      <c r="J843" s="32">
        <v>3898.720836141184</v>
      </c>
      <c r="L843" s="43">
        <f t="shared" si="104"/>
        <v>-11949.756922360837</v>
      </c>
      <c r="M843" s="43">
        <f t="shared" si="105"/>
        <v>-241.30239298612832</v>
      </c>
      <c r="N843" s="43">
        <f t="shared" si="106"/>
        <v>-5752.7151326283774</v>
      </c>
      <c r="O843" s="43">
        <f t="shared" si="107"/>
        <v>362.16711486024269</v>
      </c>
      <c r="Q843" s="42">
        <f t="shared" si="108"/>
        <v>0</v>
      </c>
      <c r="R843" s="42">
        <f t="shared" si="109"/>
        <v>0</v>
      </c>
      <c r="S843" s="42">
        <f t="shared" si="110"/>
        <v>0</v>
      </c>
      <c r="T843" s="42">
        <f t="shared" si="111"/>
        <v>1</v>
      </c>
    </row>
    <row r="844" spans="1:20" x14ac:dyDescent="0.2">
      <c r="A844" s="30">
        <v>837</v>
      </c>
      <c r="C844" s="31">
        <v>0.992641872322374</v>
      </c>
      <c r="D844" s="32">
        <v>18359.45891924878</v>
      </c>
      <c r="E844" s="31">
        <v>0.92651450323262474</v>
      </c>
      <c r="F844" s="32">
        <v>6024.8998360956484</v>
      </c>
      <c r="G844" s="31">
        <v>0.96744994673139795</v>
      </c>
      <c r="H844" s="32">
        <v>11111.247465256674</v>
      </c>
      <c r="I844" s="31">
        <v>0.92385153501178574</v>
      </c>
      <c r="J844" s="32">
        <v>5830.7988251581783</v>
      </c>
      <c r="L844" s="43">
        <f t="shared" si="104"/>
        <v>-13396.249557636911</v>
      </c>
      <c r="M844" s="43">
        <f t="shared" si="105"/>
        <v>-1392.3273199325249</v>
      </c>
      <c r="N844" s="43">
        <f t="shared" si="106"/>
        <v>-6273.9977315996848</v>
      </c>
      <c r="O844" s="43">
        <f t="shared" si="107"/>
        <v>-1211.5411500992495</v>
      </c>
      <c r="Q844" s="42">
        <f t="shared" si="108"/>
        <v>0</v>
      </c>
      <c r="R844" s="42">
        <f t="shared" si="109"/>
        <v>0</v>
      </c>
      <c r="S844" s="42">
        <f t="shared" si="110"/>
        <v>0</v>
      </c>
      <c r="T844" s="42">
        <f t="shared" si="111"/>
        <v>1</v>
      </c>
    </row>
    <row r="845" spans="1:20" x14ac:dyDescent="0.2">
      <c r="A845" s="30">
        <v>838</v>
      </c>
      <c r="C845" s="31">
        <v>0.98357181881510469</v>
      </c>
      <c r="D845" s="32">
        <v>15652.495356874511</v>
      </c>
      <c r="E845" s="31">
        <v>0.86489342067167341</v>
      </c>
      <c r="F845" s="32">
        <v>3496.2359503586104</v>
      </c>
      <c r="G845" s="31">
        <v>0.97379869907386118</v>
      </c>
      <c r="H845" s="32">
        <v>8858.0464858651303</v>
      </c>
      <c r="I845" s="31">
        <v>0.86102507825110686</v>
      </c>
      <c r="J845" s="32">
        <v>3249.7952473618975</v>
      </c>
      <c r="L845" s="43">
        <f t="shared" si="104"/>
        <v>-10734.636262798987</v>
      </c>
      <c r="M845" s="43">
        <f t="shared" si="105"/>
        <v>828.23115299975689</v>
      </c>
      <c r="N845" s="43">
        <f t="shared" si="106"/>
        <v>-3989.0529904958248</v>
      </c>
      <c r="O845" s="43">
        <f t="shared" si="107"/>
        <v>1055.3301438936364</v>
      </c>
      <c r="Q845" s="42">
        <f t="shared" si="108"/>
        <v>0</v>
      </c>
      <c r="R845" s="42">
        <f t="shared" si="109"/>
        <v>0</v>
      </c>
      <c r="S845" s="42">
        <f t="shared" si="110"/>
        <v>0</v>
      </c>
      <c r="T845" s="42">
        <f t="shared" si="111"/>
        <v>1</v>
      </c>
    </row>
    <row r="846" spans="1:20" x14ac:dyDescent="0.2">
      <c r="A846" s="30">
        <v>839</v>
      </c>
      <c r="C846" s="31">
        <v>0.95922227491649292</v>
      </c>
      <c r="D846" s="32">
        <v>13802.629249087577</v>
      </c>
      <c r="E846" s="31">
        <v>0.95874961228270716</v>
      </c>
      <c r="F846" s="32">
        <v>4371.1666392611251</v>
      </c>
      <c r="G846" s="31">
        <v>0.96585400607203631</v>
      </c>
      <c r="H846" s="32">
        <v>8414.936544107597</v>
      </c>
      <c r="I846" s="31">
        <v>0.95329406921469739</v>
      </c>
      <c r="J846" s="32">
        <v>4174.012957509929</v>
      </c>
      <c r="L846" s="43">
        <f t="shared" si="104"/>
        <v>-9006.5178745051126</v>
      </c>
      <c r="M846" s="43">
        <f t="shared" si="105"/>
        <v>422.5814221524106</v>
      </c>
      <c r="N846" s="43">
        <f t="shared" si="106"/>
        <v>-3585.6665137474156</v>
      </c>
      <c r="O846" s="43">
        <f t="shared" si="107"/>
        <v>592.4573885635582</v>
      </c>
      <c r="Q846" s="42">
        <f t="shared" si="108"/>
        <v>0</v>
      </c>
      <c r="R846" s="42">
        <f t="shared" si="109"/>
        <v>0</v>
      </c>
      <c r="S846" s="42">
        <f t="shared" si="110"/>
        <v>0</v>
      </c>
      <c r="T846" s="42">
        <f t="shared" si="111"/>
        <v>1</v>
      </c>
    </row>
    <row r="847" spans="1:20" x14ac:dyDescent="0.2">
      <c r="A847" s="30">
        <v>840</v>
      </c>
      <c r="C847" s="31">
        <v>0.95728618084678452</v>
      </c>
      <c r="D847" s="32">
        <v>14841.432842301581</v>
      </c>
      <c r="E847" s="31">
        <v>0.92890710808103427</v>
      </c>
      <c r="F847" s="32">
        <v>5641.5081015504484</v>
      </c>
      <c r="G847" s="31">
        <v>0.93332940362609995</v>
      </c>
      <c r="H847" s="32">
        <v>9399.6611058850231</v>
      </c>
      <c r="I847" s="31">
        <v>0.92890710808103427</v>
      </c>
      <c r="J847" s="32">
        <v>5518.788030596409</v>
      </c>
      <c r="L847" s="43">
        <f t="shared" si="104"/>
        <v>-10055.001938067659</v>
      </c>
      <c r="M847" s="43">
        <f t="shared" si="105"/>
        <v>-996.97256114527681</v>
      </c>
      <c r="N847" s="43">
        <f t="shared" si="106"/>
        <v>-4733.0140877545236</v>
      </c>
      <c r="O847" s="43">
        <f t="shared" si="107"/>
        <v>-874.25249019123748</v>
      </c>
      <c r="Q847" s="42">
        <f t="shared" si="108"/>
        <v>0</v>
      </c>
      <c r="R847" s="42">
        <f t="shared" si="109"/>
        <v>0</v>
      </c>
      <c r="S847" s="42">
        <f t="shared" si="110"/>
        <v>0</v>
      </c>
      <c r="T847" s="42">
        <f t="shared" si="111"/>
        <v>1</v>
      </c>
    </row>
    <row r="848" spans="1:20" x14ac:dyDescent="0.2">
      <c r="A848" s="30">
        <v>841</v>
      </c>
      <c r="C848" s="31">
        <v>0.94933285171606052</v>
      </c>
      <c r="D848" s="32">
        <v>14217.599562603749</v>
      </c>
      <c r="E848" s="31">
        <v>0.93757735370761486</v>
      </c>
      <c r="F848" s="32">
        <v>7244.49173757483</v>
      </c>
      <c r="G848" s="31">
        <v>0.92979986671744097</v>
      </c>
      <c r="H848" s="32">
        <v>9235.9524219382547</v>
      </c>
      <c r="I848" s="31">
        <v>0.92979986671744119</v>
      </c>
      <c r="J848" s="32">
        <v>6005.8150489680202</v>
      </c>
      <c r="L848" s="43">
        <f t="shared" si="104"/>
        <v>-9470.9353040234455</v>
      </c>
      <c r="M848" s="43">
        <f t="shared" si="105"/>
        <v>-2556.6049690367554</v>
      </c>
      <c r="N848" s="43">
        <f t="shared" si="106"/>
        <v>-4586.9530883510497</v>
      </c>
      <c r="O848" s="43">
        <f t="shared" si="107"/>
        <v>-1356.8157153808143</v>
      </c>
      <c r="Q848" s="42">
        <f t="shared" si="108"/>
        <v>0</v>
      </c>
      <c r="R848" s="42">
        <f t="shared" si="109"/>
        <v>0</v>
      </c>
      <c r="S848" s="42">
        <f t="shared" si="110"/>
        <v>0</v>
      </c>
      <c r="T848" s="42">
        <f t="shared" si="111"/>
        <v>1</v>
      </c>
    </row>
    <row r="849" spans="1:20" x14ac:dyDescent="0.2">
      <c r="A849" s="30">
        <v>842</v>
      </c>
      <c r="C849" s="31">
        <v>0.99377710109252138</v>
      </c>
      <c r="D849" s="32">
        <v>19074.791689182006</v>
      </c>
      <c r="E849" s="31">
        <v>0.95316809368418998</v>
      </c>
      <c r="F849" s="32">
        <v>9246.7995446074201</v>
      </c>
      <c r="G849" s="31">
        <v>0.95001739664308937</v>
      </c>
      <c r="H849" s="32">
        <v>11453.250077946614</v>
      </c>
      <c r="I849" s="31">
        <v>0.9500173966430896</v>
      </c>
      <c r="J849" s="32">
        <v>7433.0341198300084</v>
      </c>
      <c r="L849" s="43">
        <f t="shared" si="104"/>
        <v>-14105.906183719399</v>
      </c>
      <c r="M849" s="43">
        <f t="shared" si="105"/>
        <v>-4480.9590761864702</v>
      </c>
      <c r="N849" s="43">
        <f t="shared" si="106"/>
        <v>-6703.1630947311669</v>
      </c>
      <c r="O849" s="43">
        <f t="shared" si="107"/>
        <v>-2682.9471366145608</v>
      </c>
      <c r="Q849" s="42">
        <f t="shared" si="108"/>
        <v>0</v>
      </c>
      <c r="R849" s="42">
        <f t="shared" si="109"/>
        <v>0</v>
      </c>
      <c r="S849" s="42">
        <f t="shared" si="110"/>
        <v>0</v>
      </c>
      <c r="T849" s="42">
        <f t="shared" si="111"/>
        <v>1</v>
      </c>
    </row>
    <row r="850" spans="1:20" x14ac:dyDescent="0.2">
      <c r="A850" s="30">
        <v>843</v>
      </c>
      <c r="C850" s="31">
        <v>0.97382005787972847</v>
      </c>
      <c r="D850" s="32">
        <v>17180.815613761672</v>
      </c>
      <c r="E850" s="31">
        <v>0.93158136657241064</v>
      </c>
      <c r="F850" s="32">
        <v>6082.3297333854362</v>
      </c>
      <c r="G850" s="31">
        <v>0.93323303009151459</v>
      </c>
      <c r="H850" s="32">
        <v>10285.732040134</v>
      </c>
      <c r="I850" s="31">
        <v>0.92859864290841332</v>
      </c>
      <c r="J850" s="32">
        <v>5865.3676651966862</v>
      </c>
      <c r="L850" s="43">
        <f t="shared" si="104"/>
        <v>-12311.715324363029</v>
      </c>
      <c r="M850" s="43">
        <f t="shared" si="105"/>
        <v>-1424.4229005233829</v>
      </c>
      <c r="N850" s="43">
        <f t="shared" si="106"/>
        <v>-5619.5668896764273</v>
      </c>
      <c r="O850" s="43">
        <f t="shared" si="107"/>
        <v>-1222.37445065462</v>
      </c>
      <c r="Q850" s="42">
        <f t="shared" si="108"/>
        <v>0</v>
      </c>
      <c r="R850" s="42">
        <f t="shared" si="109"/>
        <v>0</v>
      </c>
      <c r="S850" s="42">
        <f t="shared" si="110"/>
        <v>0</v>
      </c>
      <c r="T850" s="42">
        <f t="shared" si="111"/>
        <v>1</v>
      </c>
    </row>
    <row r="851" spans="1:20" x14ac:dyDescent="0.2">
      <c r="A851" s="30">
        <v>844</v>
      </c>
      <c r="C851" s="31">
        <v>0.99699174904150178</v>
      </c>
      <c r="D851" s="32">
        <v>14558.0194354301</v>
      </c>
      <c r="E851" s="31">
        <v>0.95260592445358727</v>
      </c>
      <c r="F851" s="32">
        <v>7896.8671788259835</v>
      </c>
      <c r="G851" s="31">
        <v>0.94478672966090227</v>
      </c>
      <c r="H851" s="32">
        <v>8699.3476095619772</v>
      </c>
      <c r="I851" s="31">
        <v>0.94478672966090227</v>
      </c>
      <c r="J851" s="32">
        <v>6032.8237935207071</v>
      </c>
      <c r="L851" s="43">
        <f t="shared" si="104"/>
        <v>-9573.0606902225918</v>
      </c>
      <c r="M851" s="43">
        <f t="shared" si="105"/>
        <v>-3133.8375565580473</v>
      </c>
      <c r="N851" s="43">
        <f t="shared" si="106"/>
        <v>-3975.4139612574654</v>
      </c>
      <c r="O851" s="43">
        <f t="shared" si="107"/>
        <v>-1308.8901452161954</v>
      </c>
      <c r="Q851" s="42">
        <f t="shared" si="108"/>
        <v>0</v>
      </c>
      <c r="R851" s="42">
        <f t="shared" si="109"/>
        <v>0</v>
      </c>
      <c r="S851" s="42">
        <f t="shared" si="110"/>
        <v>0</v>
      </c>
      <c r="T851" s="42">
        <f t="shared" si="111"/>
        <v>1</v>
      </c>
    </row>
    <row r="852" spans="1:20" x14ac:dyDescent="0.2">
      <c r="A852" s="30">
        <v>845</v>
      </c>
      <c r="C852" s="31">
        <v>0.99381655241441991</v>
      </c>
      <c r="D852" s="32">
        <v>13817.593989691559</v>
      </c>
      <c r="E852" s="31">
        <v>0.81489821059299405</v>
      </c>
      <c r="F852" s="32">
        <v>6730.1591830921061</v>
      </c>
      <c r="G852" s="31">
        <v>0.93480779413163995</v>
      </c>
      <c r="H852" s="32">
        <v>8239.4993610970323</v>
      </c>
      <c r="I852" s="31">
        <v>0.81166408745100316</v>
      </c>
      <c r="J852" s="32">
        <v>4200.1651152156655</v>
      </c>
      <c r="L852" s="43">
        <f t="shared" si="104"/>
        <v>-8848.5112276194595</v>
      </c>
      <c r="M852" s="43">
        <f t="shared" si="105"/>
        <v>-2655.668130127136</v>
      </c>
      <c r="N852" s="43">
        <f t="shared" si="106"/>
        <v>-3565.4603904388323</v>
      </c>
      <c r="O852" s="43">
        <f t="shared" si="107"/>
        <v>-141.84467796064973</v>
      </c>
      <c r="Q852" s="42">
        <f t="shared" si="108"/>
        <v>0</v>
      </c>
      <c r="R852" s="42">
        <f t="shared" si="109"/>
        <v>0</v>
      </c>
      <c r="S852" s="42">
        <f t="shared" si="110"/>
        <v>0</v>
      </c>
      <c r="T852" s="42">
        <f t="shared" si="111"/>
        <v>1</v>
      </c>
    </row>
    <row r="853" spans="1:20" x14ac:dyDescent="0.2">
      <c r="A853" s="30">
        <v>846</v>
      </c>
      <c r="C853" s="31">
        <v>0.99199130695860394</v>
      </c>
      <c r="D853" s="32">
        <v>12535.634904459885</v>
      </c>
      <c r="E853" s="31">
        <v>0.79016054728968088</v>
      </c>
      <c r="F853" s="32">
        <v>2583.0580639165114</v>
      </c>
      <c r="G853" s="31">
        <v>0.92792529565751292</v>
      </c>
      <c r="H853" s="32">
        <v>7121.3049065202767</v>
      </c>
      <c r="I853" s="31">
        <v>0.79016054728968088</v>
      </c>
      <c r="J853" s="32">
        <v>2432.7989028021748</v>
      </c>
      <c r="L853" s="43">
        <f t="shared" si="104"/>
        <v>-7575.6783696668654</v>
      </c>
      <c r="M853" s="43">
        <f t="shared" si="105"/>
        <v>1367.7446725318932</v>
      </c>
      <c r="N853" s="43">
        <f t="shared" si="106"/>
        <v>-2481.6784282327126</v>
      </c>
      <c r="O853" s="43">
        <f t="shared" si="107"/>
        <v>1518.0038336462299</v>
      </c>
      <c r="Q853" s="42">
        <f t="shared" si="108"/>
        <v>0</v>
      </c>
      <c r="R853" s="42">
        <f t="shared" si="109"/>
        <v>0</v>
      </c>
      <c r="S853" s="42">
        <f t="shared" si="110"/>
        <v>0</v>
      </c>
      <c r="T853" s="42">
        <f t="shared" si="111"/>
        <v>1</v>
      </c>
    </row>
    <row r="854" spans="1:20" x14ac:dyDescent="0.2">
      <c r="A854" s="30">
        <v>847</v>
      </c>
      <c r="C854" s="31">
        <v>0.96900666524446433</v>
      </c>
      <c r="D854" s="32">
        <v>16987.903555831752</v>
      </c>
      <c r="E854" s="31">
        <v>0.90809532932802617</v>
      </c>
      <c r="F854" s="32">
        <v>5046.6458000856064</v>
      </c>
      <c r="G854" s="31">
        <v>0.95564819338474516</v>
      </c>
      <c r="H854" s="32">
        <v>9853.229746920586</v>
      </c>
      <c r="I854" s="31">
        <v>0.90289170654369233</v>
      </c>
      <c r="J854" s="32">
        <v>4744.7789698926254</v>
      </c>
      <c r="L854" s="43">
        <f t="shared" si="104"/>
        <v>-12142.870229609431</v>
      </c>
      <c r="M854" s="43">
        <f t="shared" si="105"/>
        <v>-506.16915344547579</v>
      </c>
      <c r="N854" s="43">
        <f t="shared" si="106"/>
        <v>-5074.9887799968601</v>
      </c>
      <c r="O854" s="43">
        <f t="shared" si="107"/>
        <v>-230.320437174164</v>
      </c>
      <c r="Q854" s="42">
        <f t="shared" si="108"/>
        <v>0</v>
      </c>
      <c r="R854" s="42">
        <f t="shared" si="109"/>
        <v>0</v>
      </c>
      <c r="S854" s="42">
        <f t="shared" si="110"/>
        <v>0</v>
      </c>
      <c r="T854" s="42">
        <f t="shared" si="111"/>
        <v>1</v>
      </c>
    </row>
    <row r="855" spans="1:20" x14ac:dyDescent="0.2">
      <c r="A855" s="30">
        <v>848</v>
      </c>
      <c r="C855" s="31">
        <v>0.99984821890401665</v>
      </c>
      <c r="D855" s="32">
        <v>13506.812814728253</v>
      </c>
      <c r="E855" s="31">
        <v>0.89891357256754345</v>
      </c>
      <c r="F855" s="32">
        <v>3790.3155864475871</v>
      </c>
      <c r="G855" s="31">
        <v>0.94774561844718153</v>
      </c>
      <c r="H855" s="32">
        <v>7559.9979758066429</v>
      </c>
      <c r="I855" s="31">
        <v>0.88955373527660664</v>
      </c>
      <c r="J855" s="32">
        <v>3441.7288469379359</v>
      </c>
      <c r="L855" s="43">
        <f t="shared" si="104"/>
        <v>-8507.5717202081687</v>
      </c>
      <c r="M855" s="43">
        <f t="shared" si="105"/>
        <v>704.25227639013019</v>
      </c>
      <c r="N855" s="43">
        <f t="shared" si="106"/>
        <v>-2821.2698835707351</v>
      </c>
      <c r="O855" s="43">
        <f t="shared" si="107"/>
        <v>1006.0398294450974</v>
      </c>
      <c r="Q855" s="42">
        <f t="shared" si="108"/>
        <v>0</v>
      </c>
      <c r="R855" s="42">
        <f t="shared" si="109"/>
        <v>0</v>
      </c>
      <c r="S855" s="42">
        <f t="shared" si="110"/>
        <v>0</v>
      </c>
      <c r="T855" s="42">
        <f t="shared" si="111"/>
        <v>1</v>
      </c>
    </row>
    <row r="856" spans="1:20" x14ac:dyDescent="0.2">
      <c r="A856" s="30">
        <v>849</v>
      </c>
      <c r="C856" s="31">
        <v>0.99224907235655069</v>
      </c>
      <c r="D856" s="32">
        <v>17822.778211693465</v>
      </c>
      <c r="E856" s="31">
        <v>0.72075992822560631</v>
      </c>
      <c r="F856" s="32">
        <v>2803.7647032576788</v>
      </c>
      <c r="G856" s="31">
        <v>0.9169176501292331</v>
      </c>
      <c r="H856" s="32">
        <v>11654.309038699967</v>
      </c>
      <c r="I856" s="31">
        <v>0.71847273886253027</v>
      </c>
      <c r="J856" s="32">
        <v>2609.6932285755051</v>
      </c>
      <c r="L856" s="43">
        <f t="shared" si="104"/>
        <v>-12861.532849910713</v>
      </c>
      <c r="M856" s="43">
        <f t="shared" si="105"/>
        <v>800.03493787035268</v>
      </c>
      <c r="N856" s="43">
        <f t="shared" si="106"/>
        <v>-7069.7207880538008</v>
      </c>
      <c r="O856" s="43">
        <f t="shared" si="107"/>
        <v>982.67046573714606</v>
      </c>
      <c r="Q856" s="42">
        <f t="shared" si="108"/>
        <v>0</v>
      </c>
      <c r="R856" s="42">
        <f t="shared" si="109"/>
        <v>0</v>
      </c>
      <c r="S856" s="42">
        <f t="shared" si="110"/>
        <v>0</v>
      </c>
      <c r="T856" s="42">
        <f t="shared" si="111"/>
        <v>1</v>
      </c>
    </row>
    <row r="857" spans="1:20" x14ac:dyDescent="0.2">
      <c r="A857" s="30">
        <v>850</v>
      </c>
      <c r="C857" s="31">
        <v>0.9699025645303998</v>
      </c>
      <c r="D857" s="32">
        <v>15677.373978065363</v>
      </c>
      <c r="E857" s="31">
        <v>0.9645858912726919</v>
      </c>
      <c r="F857" s="32">
        <v>7562.3790637448938</v>
      </c>
      <c r="G857" s="31">
        <v>0.95993784942417748</v>
      </c>
      <c r="H857" s="32">
        <v>9081.2582746687876</v>
      </c>
      <c r="I857" s="31">
        <v>0.95993784942417748</v>
      </c>
      <c r="J857" s="32">
        <v>6082.5579102100146</v>
      </c>
      <c r="L857" s="43">
        <f t="shared" si="104"/>
        <v>-10827.861155413364</v>
      </c>
      <c r="M857" s="43">
        <f t="shared" si="105"/>
        <v>-2739.4496073814344</v>
      </c>
      <c r="N857" s="43">
        <f t="shared" si="106"/>
        <v>-4281.5690275479001</v>
      </c>
      <c r="O857" s="43">
        <f t="shared" si="107"/>
        <v>-1282.868663089127</v>
      </c>
      <c r="Q857" s="42">
        <f t="shared" si="108"/>
        <v>0</v>
      </c>
      <c r="R857" s="42">
        <f t="shared" si="109"/>
        <v>0</v>
      </c>
      <c r="S857" s="42">
        <f t="shared" si="110"/>
        <v>0</v>
      </c>
      <c r="T857" s="42">
        <f t="shared" si="111"/>
        <v>1</v>
      </c>
    </row>
    <row r="858" spans="1:20" x14ac:dyDescent="0.2">
      <c r="A858" s="30">
        <v>851</v>
      </c>
      <c r="C858" s="31">
        <v>0.97399646007696783</v>
      </c>
      <c r="D858" s="32">
        <v>15411.720242490326</v>
      </c>
      <c r="E858" s="31">
        <v>0.89129113923607051</v>
      </c>
      <c r="F858" s="32">
        <v>6065.3442415267009</v>
      </c>
      <c r="G858" s="31">
        <v>0.96895374093644748</v>
      </c>
      <c r="H858" s="32">
        <v>9638.2642854930637</v>
      </c>
      <c r="I858" s="31">
        <v>0.89006556810401172</v>
      </c>
      <c r="J858" s="32">
        <v>4862.8388317428107</v>
      </c>
      <c r="L858" s="43">
        <f t="shared" si="104"/>
        <v>-10541.737942105487</v>
      </c>
      <c r="M858" s="43">
        <f t="shared" si="105"/>
        <v>-1608.8885453463481</v>
      </c>
      <c r="N858" s="43">
        <f t="shared" si="106"/>
        <v>-4793.4955808108261</v>
      </c>
      <c r="O858" s="43">
        <f t="shared" si="107"/>
        <v>-412.51099122275173</v>
      </c>
      <c r="Q858" s="42">
        <f t="shared" si="108"/>
        <v>0</v>
      </c>
      <c r="R858" s="42">
        <f t="shared" si="109"/>
        <v>0</v>
      </c>
      <c r="S858" s="42">
        <f t="shared" si="110"/>
        <v>0</v>
      </c>
      <c r="T858" s="42">
        <f t="shared" si="111"/>
        <v>1</v>
      </c>
    </row>
    <row r="859" spans="1:20" x14ac:dyDescent="0.2">
      <c r="A859" s="30">
        <v>852</v>
      </c>
      <c r="C859" s="31">
        <v>0.99193326602843868</v>
      </c>
      <c r="D859" s="32">
        <v>15458.628311717386</v>
      </c>
      <c r="E859" s="31">
        <v>0.95713739243549467</v>
      </c>
      <c r="F859" s="32">
        <v>7177.6449692138212</v>
      </c>
      <c r="G859" s="31">
        <v>0.95271178214178431</v>
      </c>
      <c r="H859" s="32">
        <v>9761.5659456958183</v>
      </c>
      <c r="I859" s="31">
        <v>0.95271178214178431</v>
      </c>
      <c r="J859" s="32">
        <v>5872.2028380596439</v>
      </c>
      <c r="L859" s="43">
        <f t="shared" si="104"/>
        <v>-10498.961981575194</v>
      </c>
      <c r="M859" s="43">
        <f t="shared" si="105"/>
        <v>-2391.9580070363481</v>
      </c>
      <c r="N859" s="43">
        <f t="shared" si="106"/>
        <v>-4998.0070349868965</v>
      </c>
      <c r="O859" s="43">
        <f t="shared" si="107"/>
        <v>-1108.6439273507222</v>
      </c>
      <c r="Q859" s="42">
        <f t="shared" si="108"/>
        <v>0</v>
      </c>
      <c r="R859" s="42">
        <f t="shared" si="109"/>
        <v>0</v>
      </c>
      <c r="S859" s="42">
        <f t="shared" si="110"/>
        <v>0</v>
      </c>
      <c r="T859" s="42">
        <f t="shared" si="111"/>
        <v>1</v>
      </c>
    </row>
    <row r="860" spans="1:20" x14ac:dyDescent="0.2">
      <c r="A860" s="30">
        <v>853</v>
      </c>
      <c r="C860" s="31">
        <v>0.99951606692345984</v>
      </c>
      <c r="D860" s="32">
        <v>13575.357364840898</v>
      </c>
      <c r="E860" s="31">
        <v>0.96462185048806726</v>
      </c>
      <c r="F860" s="32">
        <v>3755.1851373308091</v>
      </c>
      <c r="G860" s="31">
        <v>0.97311854687180743</v>
      </c>
      <c r="H860" s="32">
        <v>7689.7078288536432</v>
      </c>
      <c r="I860" s="31">
        <v>0.95660566323909701</v>
      </c>
      <c r="J860" s="32">
        <v>3493.9269836838153</v>
      </c>
      <c r="L860" s="43">
        <f t="shared" si="104"/>
        <v>-8577.7770302235986</v>
      </c>
      <c r="M860" s="43">
        <f t="shared" si="105"/>
        <v>1067.9241151095275</v>
      </c>
      <c r="N860" s="43">
        <f t="shared" si="106"/>
        <v>-2824.1150944946057</v>
      </c>
      <c r="O860" s="43">
        <f t="shared" si="107"/>
        <v>1289.1013325116696</v>
      </c>
      <c r="Q860" s="42">
        <f t="shared" si="108"/>
        <v>0</v>
      </c>
      <c r="R860" s="42">
        <f t="shared" si="109"/>
        <v>0</v>
      </c>
      <c r="S860" s="42">
        <f t="shared" si="110"/>
        <v>0</v>
      </c>
      <c r="T860" s="42">
        <f t="shared" si="111"/>
        <v>1</v>
      </c>
    </row>
    <row r="861" spans="1:20" x14ac:dyDescent="0.2">
      <c r="A861" s="30">
        <v>854</v>
      </c>
      <c r="C861" s="31">
        <v>0.98661134996494815</v>
      </c>
      <c r="D861" s="32">
        <v>13492.523357297456</v>
      </c>
      <c r="E861" s="31">
        <v>0.76739417761847828</v>
      </c>
      <c r="F861" s="32">
        <v>2608.6659138023774</v>
      </c>
      <c r="G861" s="31">
        <v>0.94590324295205197</v>
      </c>
      <c r="H861" s="32">
        <v>8631.3883635954935</v>
      </c>
      <c r="I861" s="31">
        <v>0.76670192099223211</v>
      </c>
      <c r="J861" s="32">
        <v>2459.2776609907341</v>
      </c>
      <c r="L861" s="43">
        <f t="shared" si="104"/>
        <v>-8559.4666074727138</v>
      </c>
      <c r="M861" s="43">
        <f t="shared" si="105"/>
        <v>1228.3049742900139</v>
      </c>
      <c r="N861" s="43">
        <f t="shared" si="106"/>
        <v>-3901.8721488352339</v>
      </c>
      <c r="O861" s="43">
        <f t="shared" si="107"/>
        <v>1374.2319439704265</v>
      </c>
      <c r="Q861" s="42">
        <f t="shared" si="108"/>
        <v>0</v>
      </c>
      <c r="R861" s="42">
        <f t="shared" si="109"/>
        <v>0</v>
      </c>
      <c r="S861" s="42">
        <f t="shared" si="110"/>
        <v>0</v>
      </c>
      <c r="T861" s="42">
        <f t="shared" si="111"/>
        <v>1</v>
      </c>
    </row>
    <row r="862" spans="1:20" x14ac:dyDescent="0.2">
      <c r="A862" s="30">
        <v>855</v>
      </c>
      <c r="C862" s="31">
        <v>0.99775509713019961</v>
      </c>
      <c r="D862" s="32">
        <v>16769.081719717833</v>
      </c>
      <c r="E862" s="31">
        <v>0.63123787008242849</v>
      </c>
      <c r="F862" s="32">
        <v>-467.78297574998498</v>
      </c>
      <c r="G862" s="31">
        <v>0.97977256855021622</v>
      </c>
      <c r="H862" s="32">
        <v>10693.581040448958</v>
      </c>
      <c r="I862" s="31">
        <v>0.63123787008242838</v>
      </c>
      <c r="J862" s="32">
        <v>-586.63167685287624</v>
      </c>
      <c r="L862" s="43">
        <f t="shared" si="104"/>
        <v>-11780.306234066835</v>
      </c>
      <c r="M862" s="43">
        <f t="shared" si="105"/>
        <v>3623.9723261621275</v>
      </c>
      <c r="N862" s="43">
        <f t="shared" si="106"/>
        <v>-5794.7181976978773</v>
      </c>
      <c r="O862" s="43">
        <f t="shared" si="107"/>
        <v>3742.8210272650181</v>
      </c>
      <c r="Q862" s="42">
        <f t="shared" si="108"/>
        <v>0</v>
      </c>
      <c r="R862" s="42">
        <f t="shared" si="109"/>
        <v>0</v>
      </c>
      <c r="S862" s="42">
        <f t="shared" si="110"/>
        <v>0</v>
      </c>
      <c r="T862" s="42">
        <f t="shared" si="111"/>
        <v>1</v>
      </c>
    </row>
    <row r="863" spans="1:20" x14ac:dyDescent="0.2">
      <c r="A863" s="30">
        <v>856</v>
      </c>
      <c r="C863" s="31">
        <v>0.99441898554691599</v>
      </c>
      <c r="D863" s="32">
        <v>15349.162999550363</v>
      </c>
      <c r="E863" s="31">
        <v>0.86195707505413843</v>
      </c>
      <c r="F863" s="32">
        <v>4499.2748182103041</v>
      </c>
      <c r="G863" s="31">
        <v>0.95180701922512534</v>
      </c>
      <c r="H863" s="32">
        <v>8972.0253497554804</v>
      </c>
      <c r="I863" s="31">
        <v>0.859040347046091</v>
      </c>
      <c r="J863" s="32">
        <v>3659.6352971218157</v>
      </c>
      <c r="L863" s="43">
        <f t="shared" si="104"/>
        <v>-10377.068071815782</v>
      </c>
      <c r="M863" s="43">
        <f t="shared" si="105"/>
        <v>-189.48944293961176</v>
      </c>
      <c r="N863" s="43">
        <f t="shared" si="106"/>
        <v>-4212.9902536298541</v>
      </c>
      <c r="O863" s="43">
        <f t="shared" si="107"/>
        <v>635.56643810863898</v>
      </c>
      <c r="Q863" s="42">
        <f t="shared" si="108"/>
        <v>0</v>
      </c>
      <c r="R863" s="42">
        <f t="shared" si="109"/>
        <v>0</v>
      </c>
      <c r="S863" s="42">
        <f t="shared" si="110"/>
        <v>0</v>
      </c>
      <c r="T863" s="42">
        <f t="shared" si="111"/>
        <v>1</v>
      </c>
    </row>
    <row r="864" spans="1:20" x14ac:dyDescent="0.2">
      <c r="A864" s="30">
        <v>857</v>
      </c>
      <c r="C864" s="31">
        <v>0.99381880325190664</v>
      </c>
      <c r="D864" s="32">
        <v>14156.251332039632</v>
      </c>
      <c r="E864" s="31">
        <v>0.96775589950787555</v>
      </c>
      <c r="F864" s="32">
        <v>5425.5842574092403</v>
      </c>
      <c r="G864" s="31">
        <v>0.96775286635102875</v>
      </c>
      <c r="H864" s="32">
        <v>8917.1560449319713</v>
      </c>
      <c r="I864" s="31">
        <v>0.96775589950787555</v>
      </c>
      <c r="J864" s="32">
        <v>5314.5745096063401</v>
      </c>
      <c r="L864" s="43">
        <f t="shared" si="104"/>
        <v>-9187.1573157800995</v>
      </c>
      <c r="M864" s="43">
        <f t="shared" si="105"/>
        <v>-586.80475986986221</v>
      </c>
      <c r="N864" s="43">
        <f t="shared" si="106"/>
        <v>-4078.3917131768276</v>
      </c>
      <c r="O864" s="43">
        <f t="shared" si="107"/>
        <v>-475.79501206696204</v>
      </c>
      <c r="Q864" s="42">
        <f t="shared" si="108"/>
        <v>0</v>
      </c>
      <c r="R864" s="42">
        <f t="shared" si="109"/>
        <v>0</v>
      </c>
      <c r="S864" s="42">
        <f t="shared" si="110"/>
        <v>0</v>
      </c>
      <c r="T864" s="42">
        <f t="shared" si="111"/>
        <v>1</v>
      </c>
    </row>
    <row r="865" spans="1:20" x14ac:dyDescent="0.2">
      <c r="A865" s="30">
        <v>858</v>
      </c>
      <c r="C865" s="31">
        <v>0.99564508682044162</v>
      </c>
      <c r="D865" s="32">
        <v>18329.567992309287</v>
      </c>
      <c r="E865" s="31">
        <v>0.91150049083186202</v>
      </c>
      <c r="F865" s="32">
        <v>5699.8935903184974</v>
      </c>
      <c r="G865" s="31">
        <v>0.95456592492510017</v>
      </c>
      <c r="H865" s="32">
        <v>11090.046817390259</v>
      </c>
      <c r="I865" s="31">
        <v>0.90741388345013352</v>
      </c>
      <c r="J865" s="32">
        <v>5448.9358668052209</v>
      </c>
      <c r="L865" s="43">
        <f t="shared" si="104"/>
        <v>-13351.342558207078</v>
      </c>
      <c r="M865" s="43">
        <f t="shared" si="105"/>
        <v>-1142.3911361591872</v>
      </c>
      <c r="N865" s="43">
        <f t="shared" si="106"/>
        <v>-6317.2171927647578</v>
      </c>
      <c r="O865" s="43">
        <f t="shared" si="107"/>
        <v>-911.86644955455358</v>
      </c>
      <c r="Q865" s="42">
        <f t="shared" si="108"/>
        <v>0</v>
      </c>
      <c r="R865" s="42">
        <f t="shared" si="109"/>
        <v>0</v>
      </c>
      <c r="S865" s="42">
        <f t="shared" si="110"/>
        <v>0</v>
      </c>
      <c r="T865" s="42">
        <f t="shared" si="111"/>
        <v>1</v>
      </c>
    </row>
    <row r="866" spans="1:20" x14ac:dyDescent="0.2">
      <c r="A866" s="30">
        <v>859</v>
      </c>
      <c r="C866" s="31">
        <v>0.98888485574670948</v>
      </c>
      <c r="D866" s="32">
        <v>14564.711974520204</v>
      </c>
      <c r="E866" s="31">
        <v>0.71980172356118377</v>
      </c>
      <c r="F866" s="32">
        <v>2302.1628305998497</v>
      </c>
      <c r="G866" s="31">
        <v>0.94395609027555194</v>
      </c>
      <c r="H866" s="32">
        <v>8597.3218393331153</v>
      </c>
      <c r="I866" s="31">
        <v>0.71752364736296803</v>
      </c>
      <c r="J866" s="32">
        <v>1738.6935523973866</v>
      </c>
      <c r="L866" s="43">
        <f t="shared" si="104"/>
        <v>-9620.2876957866574</v>
      </c>
      <c r="M866" s="43">
        <f t="shared" si="105"/>
        <v>1296.845787206069</v>
      </c>
      <c r="N866" s="43">
        <f t="shared" si="106"/>
        <v>-3877.5413879553553</v>
      </c>
      <c r="O866" s="43">
        <f t="shared" si="107"/>
        <v>1848.9246844174536</v>
      </c>
      <c r="Q866" s="42">
        <f t="shared" si="108"/>
        <v>0</v>
      </c>
      <c r="R866" s="42">
        <f t="shared" si="109"/>
        <v>0</v>
      </c>
      <c r="S866" s="42">
        <f t="shared" si="110"/>
        <v>0</v>
      </c>
      <c r="T866" s="42">
        <f t="shared" si="111"/>
        <v>1</v>
      </c>
    </row>
    <row r="867" spans="1:20" x14ac:dyDescent="0.2">
      <c r="A867" s="30">
        <v>860</v>
      </c>
      <c r="C867" s="31">
        <v>0.97246821474208189</v>
      </c>
      <c r="D867" s="32">
        <v>12518.324906357913</v>
      </c>
      <c r="E867" s="31">
        <v>0.76620823724274423</v>
      </c>
      <c r="F867" s="32">
        <v>2225.6247652641719</v>
      </c>
      <c r="G867" s="31">
        <v>0.95828316210868847</v>
      </c>
      <c r="H867" s="32">
        <v>7425.0947951194585</v>
      </c>
      <c r="I867" s="31">
        <v>0.76408027422545599</v>
      </c>
      <c r="J867" s="32">
        <v>1792.762966300585</v>
      </c>
      <c r="L867" s="43">
        <f t="shared" si="104"/>
        <v>-7655.9838326475037</v>
      </c>
      <c r="M867" s="43">
        <f t="shared" si="105"/>
        <v>1605.4164209495493</v>
      </c>
      <c r="N867" s="43">
        <f t="shared" si="106"/>
        <v>-2633.6789845760159</v>
      </c>
      <c r="O867" s="43">
        <f t="shared" si="107"/>
        <v>2027.638404826695</v>
      </c>
      <c r="Q867" s="42">
        <f t="shared" si="108"/>
        <v>0</v>
      </c>
      <c r="R867" s="42">
        <f t="shared" si="109"/>
        <v>0</v>
      </c>
      <c r="S867" s="42">
        <f t="shared" si="110"/>
        <v>0</v>
      </c>
      <c r="T867" s="42">
        <f t="shared" si="111"/>
        <v>1</v>
      </c>
    </row>
    <row r="868" spans="1:20" x14ac:dyDescent="0.2">
      <c r="A868" s="30">
        <v>861</v>
      </c>
      <c r="C868" s="31">
        <v>0.99587481951226242</v>
      </c>
      <c r="D868" s="32">
        <v>16805.70755444737</v>
      </c>
      <c r="E868" s="31">
        <v>0.95371309046708408</v>
      </c>
      <c r="F868" s="32">
        <v>6031.6452512273245</v>
      </c>
      <c r="G868" s="31">
        <v>0.94752326185657876</v>
      </c>
      <c r="H868" s="32">
        <v>10124.755426254116</v>
      </c>
      <c r="I868" s="31">
        <v>0.94752326185657876</v>
      </c>
      <c r="J868" s="32">
        <v>5795.9272636061078</v>
      </c>
      <c r="L868" s="43">
        <f t="shared" si="104"/>
        <v>-11826.333456886059</v>
      </c>
      <c r="M868" s="43">
        <f t="shared" si="105"/>
        <v>-1263.0797988919039</v>
      </c>
      <c r="N868" s="43">
        <f t="shared" si="106"/>
        <v>-5387.1391169712224</v>
      </c>
      <c r="O868" s="43">
        <f t="shared" si="107"/>
        <v>-1058.310954323214</v>
      </c>
      <c r="Q868" s="42">
        <f t="shared" si="108"/>
        <v>0</v>
      </c>
      <c r="R868" s="42">
        <f t="shared" si="109"/>
        <v>0</v>
      </c>
      <c r="S868" s="42">
        <f t="shared" si="110"/>
        <v>0</v>
      </c>
      <c r="T868" s="42">
        <f t="shared" si="111"/>
        <v>1</v>
      </c>
    </row>
    <row r="869" spans="1:20" x14ac:dyDescent="0.2">
      <c r="A869" s="30">
        <v>862</v>
      </c>
      <c r="C869" s="31">
        <v>0.97135715439230663</v>
      </c>
      <c r="D869" s="32">
        <v>16477.63901357579</v>
      </c>
      <c r="E869" s="31">
        <v>0.86467094693522784</v>
      </c>
      <c r="F869" s="32">
        <v>4620.4255230097588</v>
      </c>
      <c r="G869" s="31">
        <v>0.96518911676536912</v>
      </c>
      <c r="H869" s="32">
        <v>9908.246645030451</v>
      </c>
      <c r="I869" s="31">
        <v>0.86041243353755315</v>
      </c>
      <c r="J869" s="32">
        <v>4354.7007230149447</v>
      </c>
      <c r="L869" s="43">
        <f t="shared" si="104"/>
        <v>-11620.853241614257</v>
      </c>
      <c r="M869" s="43">
        <f t="shared" si="105"/>
        <v>-297.07078833361993</v>
      </c>
      <c r="N869" s="43">
        <f t="shared" si="106"/>
        <v>-5082.3010612036051</v>
      </c>
      <c r="O869" s="43">
        <f t="shared" si="107"/>
        <v>-52.638555327179347</v>
      </c>
      <c r="Q869" s="42">
        <f t="shared" si="108"/>
        <v>0</v>
      </c>
      <c r="R869" s="42">
        <f t="shared" si="109"/>
        <v>0</v>
      </c>
      <c r="S869" s="42">
        <f t="shared" si="110"/>
        <v>0</v>
      </c>
      <c r="T869" s="42">
        <f t="shared" si="111"/>
        <v>1</v>
      </c>
    </row>
    <row r="870" spans="1:20" x14ac:dyDescent="0.2">
      <c r="A870" s="30">
        <v>863</v>
      </c>
      <c r="C870" s="31">
        <v>0.99385947540008668</v>
      </c>
      <c r="D870" s="32">
        <v>13444.070359829195</v>
      </c>
      <c r="E870" s="31">
        <v>0.87132851118765831</v>
      </c>
      <c r="F870" s="32">
        <v>3487.6635780190863</v>
      </c>
      <c r="G870" s="31">
        <v>0.92827535131238204</v>
      </c>
      <c r="H870" s="32">
        <v>7728.788007060446</v>
      </c>
      <c r="I870" s="31">
        <v>0.87132851118765831</v>
      </c>
      <c r="J870" s="32">
        <v>3341.7035438278585</v>
      </c>
      <c r="L870" s="43">
        <f t="shared" si="104"/>
        <v>-8474.7729828287611</v>
      </c>
      <c r="M870" s="43">
        <f t="shared" si="105"/>
        <v>868.97897791920514</v>
      </c>
      <c r="N870" s="43">
        <f t="shared" si="106"/>
        <v>-3087.411250498536</v>
      </c>
      <c r="O870" s="43">
        <f t="shared" si="107"/>
        <v>1014.9390121104329</v>
      </c>
      <c r="Q870" s="42">
        <f t="shared" si="108"/>
        <v>0</v>
      </c>
      <c r="R870" s="42">
        <f t="shared" si="109"/>
        <v>0</v>
      </c>
      <c r="S870" s="42">
        <f t="shared" si="110"/>
        <v>0</v>
      </c>
      <c r="T870" s="42">
        <f t="shared" si="111"/>
        <v>1</v>
      </c>
    </row>
    <row r="871" spans="1:20" x14ac:dyDescent="0.2">
      <c r="A871" s="30">
        <v>864</v>
      </c>
      <c r="C871" s="31">
        <v>0.87724447391298388</v>
      </c>
      <c r="D871" s="32">
        <v>15214.645685412184</v>
      </c>
      <c r="E871" s="31">
        <v>0.87853509766581661</v>
      </c>
      <c r="F871" s="32">
        <v>5146.8078587111477</v>
      </c>
      <c r="G871" s="31">
        <v>0.87526280200752993</v>
      </c>
      <c r="H871" s="32">
        <v>9311.7509029187295</v>
      </c>
      <c r="I871" s="31">
        <v>0.87526280200752982</v>
      </c>
      <c r="J871" s="32">
        <v>4962.0271149798873</v>
      </c>
      <c r="L871" s="43">
        <f t="shared" si="104"/>
        <v>-10828.423315847265</v>
      </c>
      <c r="M871" s="43">
        <f t="shared" si="105"/>
        <v>-754.13237038206444</v>
      </c>
      <c r="N871" s="43">
        <f t="shared" si="106"/>
        <v>-4935.43689288108</v>
      </c>
      <c r="O871" s="43">
        <f t="shared" si="107"/>
        <v>-585.71310494223781</v>
      </c>
      <c r="Q871" s="42">
        <f t="shared" si="108"/>
        <v>0</v>
      </c>
      <c r="R871" s="42">
        <f t="shared" si="109"/>
        <v>0</v>
      </c>
      <c r="S871" s="42">
        <f t="shared" si="110"/>
        <v>0</v>
      </c>
      <c r="T871" s="42">
        <f t="shared" si="111"/>
        <v>1</v>
      </c>
    </row>
    <row r="872" spans="1:20" x14ac:dyDescent="0.2">
      <c r="A872" s="30">
        <v>865</v>
      </c>
      <c r="C872" s="31">
        <v>0.97431409841750571</v>
      </c>
      <c r="D872" s="32">
        <v>16242.876299317863</v>
      </c>
      <c r="E872" s="31">
        <v>0.85406274262250148</v>
      </c>
      <c r="F872" s="32">
        <v>4893.3682515972159</v>
      </c>
      <c r="G872" s="31">
        <v>0.94909672578200466</v>
      </c>
      <c r="H872" s="32">
        <v>10266.573705926809</v>
      </c>
      <c r="I872" s="31">
        <v>0.85285825769091972</v>
      </c>
      <c r="J872" s="32">
        <v>4733.3237801454534</v>
      </c>
      <c r="L872" s="43">
        <f t="shared" si="104"/>
        <v>-11371.305807230334</v>
      </c>
      <c r="M872" s="43">
        <f t="shared" si="105"/>
        <v>-623.05453848470825</v>
      </c>
      <c r="N872" s="43">
        <f t="shared" si="106"/>
        <v>-5521.0900770167855</v>
      </c>
      <c r="O872" s="43">
        <f t="shared" si="107"/>
        <v>-469.03249169085484</v>
      </c>
      <c r="Q872" s="42">
        <f t="shared" si="108"/>
        <v>0</v>
      </c>
      <c r="R872" s="42">
        <f t="shared" si="109"/>
        <v>0</v>
      </c>
      <c r="S872" s="42">
        <f t="shared" si="110"/>
        <v>0</v>
      </c>
      <c r="T872" s="42">
        <f t="shared" si="111"/>
        <v>1</v>
      </c>
    </row>
    <row r="873" spans="1:20" x14ac:dyDescent="0.2">
      <c r="A873" s="30">
        <v>866</v>
      </c>
      <c r="C873" s="31">
        <v>0.96134882319558246</v>
      </c>
      <c r="D873" s="32">
        <v>13508.378539442849</v>
      </c>
      <c r="E873" s="31">
        <v>0.9116930818280492</v>
      </c>
      <c r="F873" s="32">
        <v>9814.2111488161136</v>
      </c>
      <c r="G873" s="31">
        <v>0.9044338727268737</v>
      </c>
      <c r="H873" s="32">
        <v>8449.0654345938619</v>
      </c>
      <c r="I873" s="31">
        <v>0.90443387272687381</v>
      </c>
      <c r="J873" s="32">
        <v>6740.2497449865086</v>
      </c>
      <c r="L873" s="43">
        <f t="shared" si="104"/>
        <v>-8701.6344234649368</v>
      </c>
      <c r="M873" s="43">
        <f t="shared" si="105"/>
        <v>-5255.7457396758673</v>
      </c>
      <c r="N873" s="43">
        <f t="shared" si="106"/>
        <v>-3926.896070959493</v>
      </c>
      <c r="O873" s="43">
        <f t="shared" si="107"/>
        <v>-2218.0803813521397</v>
      </c>
      <c r="Q873" s="42">
        <f t="shared" si="108"/>
        <v>0</v>
      </c>
      <c r="R873" s="42">
        <f t="shared" si="109"/>
        <v>0</v>
      </c>
      <c r="S873" s="42">
        <f t="shared" si="110"/>
        <v>0</v>
      </c>
      <c r="T873" s="42">
        <f t="shared" si="111"/>
        <v>1</v>
      </c>
    </row>
    <row r="874" spans="1:20" x14ac:dyDescent="0.2">
      <c r="A874" s="30">
        <v>867</v>
      </c>
      <c r="C874" s="31">
        <v>0.99906426958740435</v>
      </c>
      <c r="D874" s="32">
        <v>14358.736873280917</v>
      </c>
      <c r="E874" s="31">
        <v>0.93851725834699973</v>
      </c>
      <c r="F874" s="32">
        <v>6352.6400521848709</v>
      </c>
      <c r="G874" s="31">
        <v>0.93000382467498488</v>
      </c>
      <c r="H874" s="32">
        <v>8741.6260336203013</v>
      </c>
      <c r="I874" s="31">
        <v>0.93000382467498477</v>
      </c>
      <c r="J874" s="32">
        <v>5615.9623875780917</v>
      </c>
      <c r="L874" s="43">
        <f t="shared" si="104"/>
        <v>-9363.4155253438948</v>
      </c>
      <c r="M874" s="43">
        <f t="shared" si="105"/>
        <v>-1660.0537604498722</v>
      </c>
      <c r="N874" s="43">
        <f t="shared" si="106"/>
        <v>-4091.6069102453766</v>
      </c>
      <c r="O874" s="43">
        <f t="shared" si="107"/>
        <v>-965.94326420316793</v>
      </c>
      <c r="Q874" s="42">
        <f t="shared" si="108"/>
        <v>0</v>
      </c>
      <c r="R874" s="42">
        <f t="shared" si="109"/>
        <v>0</v>
      </c>
      <c r="S874" s="42">
        <f t="shared" si="110"/>
        <v>0</v>
      </c>
      <c r="T874" s="42">
        <f t="shared" si="111"/>
        <v>1</v>
      </c>
    </row>
    <row r="875" spans="1:20" x14ac:dyDescent="0.2">
      <c r="A875" s="30">
        <v>868</v>
      </c>
      <c r="C875" s="31">
        <v>0.99951503799615937</v>
      </c>
      <c r="D875" s="32">
        <v>13918.709147668262</v>
      </c>
      <c r="E875" s="31">
        <v>0.84008912734632313</v>
      </c>
      <c r="F875" s="32">
        <v>3248.3929058014519</v>
      </c>
      <c r="G875" s="31">
        <v>0.96755805812580764</v>
      </c>
      <c r="H875" s="32">
        <v>8304.2150521163694</v>
      </c>
      <c r="I875" s="31">
        <v>0.83617248487847595</v>
      </c>
      <c r="J875" s="32">
        <v>2896.0105286337875</v>
      </c>
      <c r="L875" s="43">
        <f t="shared" si="104"/>
        <v>-8921.1339576874652</v>
      </c>
      <c r="M875" s="43">
        <f t="shared" si="105"/>
        <v>952.05273093016331</v>
      </c>
      <c r="N875" s="43">
        <f t="shared" si="106"/>
        <v>-3466.4247614873311</v>
      </c>
      <c r="O875" s="43">
        <f t="shared" si="107"/>
        <v>1284.851895758592</v>
      </c>
      <c r="Q875" s="42">
        <f t="shared" si="108"/>
        <v>0</v>
      </c>
      <c r="R875" s="42">
        <f t="shared" si="109"/>
        <v>0</v>
      </c>
      <c r="S875" s="42">
        <f t="shared" si="110"/>
        <v>0</v>
      </c>
      <c r="T875" s="42">
        <f t="shared" si="111"/>
        <v>1</v>
      </c>
    </row>
    <row r="876" spans="1:20" x14ac:dyDescent="0.2">
      <c r="A876" s="30">
        <v>869</v>
      </c>
      <c r="C876" s="31">
        <v>0.98594489032034616</v>
      </c>
      <c r="D876" s="32">
        <v>13437.728999321285</v>
      </c>
      <c r="E876" s="31">
        <v>0.81830533328885746</v>
      </c>
      <c r="F876" s="32">
        <v>6947.2992037296171</v>
      </c>
      <c r="G876" s="31">
        <v>0.93438026194016122</v>
      </c>
      <c r="H876" s="32">
        <v>8339.8842238596008</v>
      </c>
      <c r="I876" s="31">
        <v>0.81528098960801487</v>
      </c>
      <c r="J876" s="32">
        <v>4549.6058793051752</v>
      </c>
      <c r="L876" s="43">
        <f t="shared" si="104"/>
        <v>-8508.0045477195545</v>
      </c>
      <c r="M876" s="43">
        <f t="shared" si="105"/>
        <v>-2855.7725372853297</v>
      </c>
      <c r="N876" s="43">
        <f t="shared" si="106"/>
        <v>-3667.9829141587943</v>
      </c>
      <c r="O876" s="43">
        <f t="shared" si="107"/>
        <v>-473.20093126510073</v>
      </c>
      <c r="Q876" s="42">
        <f t="shared" si="108"/>
        <v>0</v>
      </c>
      <c r="R876" s="42">
        <f t="shared" si="109"/>
        <v>0</v>
      </c>
      <c r="S876" s="42">
        <f t="shared" si="110"/>
        <v>0</v>
      </c>
      <c r="T876" s="42">
        <f t="shared" si="111"/>
        <v>1</v>
      </c>
    </row>
    <row r="877" spans="1:20" x14ac:dyDescent="0.2">
      <c r="A877" s="30">
        <v>870</v>
      </c>
      <c r="C877" s="31">
        <v>0.96662873234899782</v>
      </c>
      <c r="D877" s="32">
        <v>16594.895860852335</v>
      </c>
      <c r="E877" s="31">
        <v>0.85940724321984518</v>
      </c>
      <c r="F877" s="32">
        <v>4516.1905225793062</v>
      </c>
      <c r="G877" s="31">
        <v>0.90379334792829957</v>
      </c>
      <c r="H877" s="32">
        <v>10175.09803355049</v>
      </c>
      <c r="I877" s="31">
        <v>0.85712950109511654</v>
      </c>
      <c r="J877" s="32">
        <v>4353.8150816976013</v>
      </c>
      <c r="L877" s="43">
        <f t="shared" si="104"/>
        <v>-11761.752199107346</v>
      </c>
      <c r="M877" s="43">
        <f t="shared" si="105"/>
        <v>-219.15430648007987</v>
      </c>
      <c r="N877" s="43">
        <f t="shared" si="106"/>
        <v>-5656.1312939089921</v>
      </c>
      <c r="O877" s="43">
        <f t="shared" si="107"/>
        <v>-68.167576222018397</v>
      </c>
      <c r="Q877" s="42">
        <f t="shared" si="108"/>
        <v>0</v>
      </c>
      <c r="R877" s="42">
        <f t="shared" si="109"/>
        <v>0</v>
      </c>
      <c r="S877" s="42">
        <f t="shared" si="110"/>
        <v>0</v>
      </c>
      <c r="T877" s="42">
        <f t="shared" si="111"/>
        <v>1</v>
      </c>
    </row>
    <row r="878" spans="1:20" x14ac:dyDescent="0.2">
      <c r="A878" s="30">
        <v>871</v>
      </c>
      <c r="C878" s="31">
        <v>0.97633610549204419</v>
      </c>
      <c r="D878" s="32">
        <v>14188.924640451154</v>
      </c>
      <c r="E878" s="31">
        <v>0.85284201369830259</v>
      </c>
      <c r="F878" s="32">
        <v>4931.9337967554029</v>
      </c>
      <c r="G878" s="31">
        <v>0.9540620861618806</v>
      </c>
      <c r="H878" s="32">
        <v>8294.3739544091295</v>
      </c>
      <c r="I878" s="31">
        <v>0.85200660627969937</v>
      </c>
      <c r="J878" s="32">
        <v>3759.307628591896</v>
      </c>
      <c r="L878" s="43">
        <f t="shared" si="104"/>
        <v>-9307.244112990933</v>
      </c>
      <c r="M878" s="43">
        <f t="shared" si="105"/>
        <v>-667.72372826388983</v>
      </c>
      <c r="N878" s="43">
        <f t="shared" si="106"/>
        <v>-3524.063523599727</v>
      </c>
      <c r="O878" s="43">
        <f t="shared" si="107"/>
        <v>500.72540280660087</v>
      </c>
      <c r="Q878" s="42">
        <f t="shared" si="108"/>
        <v>0</v>
      </c>
      <c r="R878" s="42">
        <f t="shared" si="109"/>
        <v>0</v>
      </c>
      <c r="S878" s="42">
        <f t="shared" si="110"/>
        <v>0</v>
      </c>
      <c r="T878" s="42">
        <f t="shared" si="111"/>
        <v>1</v>
      </c>
    </row>
    <row r="879" spans="1:20" x14ac:dyDescent="0.2">
      <c r="A879" s="30">
        <v>872</v>
      </c>
      <c r="C879" s="31">
        <v>0.97302599739298845</v>
      </c>
      <c r="D879" s="32">
        <v>13551.332112920405</v>
      </c>
      <c r="E879" s="31">
        <v>0.85912048192146917</v>
      </c>
      <c r="F879" s="32">
        <v>5445.9884007550118</v>
      </c>
      <c r="G879" s="31">
        <v>0.9455854622594646</v>
      </c>
      <c r="H879" s="32">
        <v>8198.272472519795</v>
      </c>
      <c r="I879" s="31">
        <v>0.84812008080810353</v>
      </c>
      <c r="J879" s="32">
        <v>3900.3286110718891</v>
      </c>
      <c r="L879" s="43">
        <f t="shared" si="104"/>
        <v>-8686.202125955464</v>
      </c>
      <c r="M879" s="43">
        <f t="shared" si="105"/>
        <v>-1150.3859911476657</v>
      </c>
      <c r="N879" s="43">
        <f t="shared" si="106"/>
        <v>-3470.3451612224717</v>
      </c>
      <c r="O879" s="43">
        <f t="shared" si="107"/>
        <v>340.27179296862869</v>
      </c>
      <c r="Q879" s="42">
        <f t="shared" si="108"/>
        <v>0</v>
      </c>
      <c r="R879" s="42">
        <f t="shared" si="109"/>
        <v>0</v>
      </c>
      <c r="S879" s="42">
        <f t="shared" si="110"/>
        <v>0</v>
      </c>
      <c r="T879" s="42">
        <f t="shared" si="111"/>
        <v>1</v>
      </c>
    </row>
    <row r="880" spans="1:20" x14ac:dyDescent="0.2">
      <c r="A880" s="30">
        <v>873</v>
      </c>
      <c r="C880" s="31">
        <v>0.97920717837630733</v>
      </c>
      <c r="D880" s="32">
        <v>14601.973550506973</v>
      </c>
      <c r="E880" s="31">
        <v>0.60625057100209179</v>
      </c>
      <c r="F880" s="32">
        <v>2467.517999535336</v>
      </c>
      <c r="G880" s="31">
        <v>0.93183992407289096</v>
      </c>
      <c r="H880" s="32">
        <v>8931.698303832758</v>
      </c>
      <c r="I880" s="31">
        <v>0.60620648328720339</v>
      </c>
      <c r="J880" s="32">
        <v>1033.3771954118868</v>
      </c>
      <c r="L880" s="43">
        <f t="shared" si="104"/>
        <v>-9705.9376586254366</v>
      </c>
      <c r="M880" s="43">
        <f t="shared" si="105"/>
        <v>563.73485547512291</v>
      </c>
      <c r="N880" s="43">
        <f t="shared" si="106"/>
        <v>-4272.4986834683032</v>
      </c>
      <c r="O880" s="43">
        <f t="shared" si="107"/>
        <v>1997.65522102413</v>
      </c>
      <c r="Q880" s="42">
        <f t="shared" si="108"/>
        <v>0</v>
      </c>
      <c r="R880" s="42">
        <f t="shared" si="109"/>
        <v>0</v>
      </c>
      <c r="S880" s="42">
        <f t="shared" si="110"/>
        <v>0</v>
      </c>
      <c r="T880" s="42">
        <f t="shared" si="111"/>
        <v>1</v>
      </c>
    </row>
    <row r="881" spans="1:20" x14ac:dyDescent="0.2">
      <c r="A881" s="30">
        <v>874</v>
      </c>
      <c r="C881" s="31">
        <v>0.97560428893311002</v>
      </c>
      <c r="D881" s="32">
        <v>15548.858778419892</v>
      </c>
      <c r="E881" s="31">
        <v>0.92130098602624277</v>
      </c>
      <c r="F881" s="32">
        <v>5297.7325871509665</v>
      </c>
      <c r="G881" s="31">
        <v>0.91324326490662378</v>
      </c>
      <c r="H881" s="32">
        <v>9193.7829956046335</v>
      </c>
      <c r="I881" s="31">
        <v>0.91324326490662378</v>
      </c>
      <c r="J881" s="32">
        <v>5012.2258996834089</v>
      </c>
      <c r="L881" s="43">
        <f t="shared" si="104"/>
        <v>-10670.837333754342</v>
      </c>
      <c r="M881" s="43">
        <f t="shared" si="105"/>
        <v>-691.22765701975277</v>
      </c>
      <c r="N881" s="43">
        <f t="shared" si="106"/>
        <v>-4627.566671071515</v>
      </c>
      <c r="O881" s="43">
        <f t="shared" si="107"/>
        <v>-446.0095751502904</v>
      </c>
      <c r="Q881" s="42">
        <f t="shared" si="108"/>
        <v>0</v>
      </c>
      <c r="R881" s="42">
        <f t="shared" si="109"/>
        <v>0</v>
      </c>
      <c r="S881" s="42">
        <f t="shared" si="110"/>
        <v>0</v>
      </c>
      <c r="T881" s="42">
        <f t="shared" si="111"/>
        <v>1</v>
      </c>
    </row>
    <row r="882" spans="1:20" x14ac:dyDescent="0.2">
      <c r="A882" s="30">
        <v>875</v>
      </c>
      <c r="C882" s="31">
        <v>0.99363932285396117</v>
      </c>
      <c r="D882" s="32">
        <v>14561.009038970484</v>
      </c>
      <c r="E882" s="31">
        <v>0.82171539840217434</v>
      </c>
      <c r="F882" s="32">
        <v>4554.8959254293441</v>
      </c>
      <c r="G882" s="31">
        <v>0.89894823495664555</v>
      </c>
      <c r="H882" s="32">
        <v>9504.3676677633812</v>
      </c>
      <c r="I882" s="31">
        <v>0.81620930709794637</v>
      </c>
      <c r="J882" s="32">
        <v>4366.1248068988716</v>
      </c>
      <c r="L882" s="43">
        <f t="shared" si="104"/>
        <v>-9592.8124247006781</v>
      </c>
      <c r="M882" s="43">
        <f t="shared" si="105"/>
        <v>-446.31893341847262</v>
      </c>
      <c r="N882" s="43">
        <f t="shared" si="106"/>
        <v>-5009.6264929801537</v>
      </c>
      <c r="O882" s="43">
        <f t="shared" si="107"/>
        <v>-285.07827140913969</v>
      </c>
      <c r="Q882" s="42">
        <f t="shared" si="108"/>
        <v>0</v>
      </c>
      <c r="R882" s="42">
        <f t="shared" si="109"/>
        <v>0</v>
      </c>
      <c r="S882" s="42">
        <f t="shared" si="110"/>
        <v>0</v>
      </c>
      <c r="T882" s="42">
        <f t="shared" si="111"/>
        <v>1</v>
      </c>
    </row>
    <row r="883" spans="1:20" x14ac:dyDescent="0.2">
      <c r="A883" s="30">
        <v>876</v>
      </c>
      <c r="C883" s="31">
        <v>0.97964891597390846</v>
      </c>
      <c r="D883" s="32">
        <v>15412.964316389283</v>
      </c>
      <c r="E883" s="31">
        <v>0.86380966901726985</v>
      </c>
      <c r="F883" s="32">
        <v>7322.8151625419441</v>
      </c>
      <c r="G883" s="31">
        <v>0.93567804797675458</v>
      </c>
      <c r="H883" s="32">
        <v>9427.8295901835445</v>
      </c>
      <c r="I883" s="31">
        <v>0.86206174755125597</v>
      </c>
      <c r="J883" s="32">
        <v>5214.2807598835097</v>
      </c>
      <c r="L883" s="43">
        <f t="shared" si="104"/>
        <v>-10514.719736519741</v>
      </c>
      <c r="M883" s="43">
        <f t="shared" si="105"/>
        <v>-3003.7668174555947</v>
      </c>
      <c r="N883" s="43">
        <f t="shared" si="106"/>
        <v>-4749.4393502997718</v>
      </c>
      <c r="O883" s="43">
        <f t="shared" si="107"/>
        <v>-903.97202212723005</v>
      </c>
      <c r="Q883" s="42">
        <f t="shared" si="108"/>
        <v>0</v>
      </c>
      <c r="R883" s="42">
        <f t="shared" si="109"/>
        <v>0</v>
      </c>
      <c r="S883" s="42">
        <f t="shared" si="110"/>
        <v>0</v>
      </c>
      <c r="T883" s="42">
        <f t="shared" si="111"/>
        <v>1</v>
      </c>
    </row>
    <row r="884" spans="1:20" x14ac:dyDescent="0.2">
      <c r="A884" s="30">
        <v>877</v>
      </c>
      <c r="C884" s="31">
        <v>0.95418636233539167</v>
      </c>
      <c r="D884" s="32">
        <v>17042.718884240006</v>
      </c>
      <c r="E884" s="31">
        <v>0.96381120523296704</v>
      </c>
      <c r="F884" s="32">
        <v>6211.1866608071541</v>
      </c>
      <c r="G884" s="31">
        <v>0.95933443708171073</v>
      </c>
      <c r="H884" s="32">
        <v>10155.010304623358</v>
      </c>
      <c r="I884" s="31">
        <v>0.95933443708171073</v>
      </c>
      <c r="J884" s="32">
        <v>5981.0973300699861</v>
      </c>
      <c r="L884" s="43">
        <f t="shared" si="104"/>
        <v>-12271.787072563049</v>
      </c>
      <c r="M884" s="43">
        <f t="shared" si="105"/>
        <v>-1392.1306346423189</v>
      </c>
      <c r="N884" s="43">
        <f t="shared" si="106"/>
        <v>-5358.3381192148045</v>
      </c>
      <c r="O884" s="43">
        <f t="shared" si="107"/>
        <v>-1184.4251446614326</v>
      </c>
      <c r="Q884" s="42">
        <f t="shared" si="108"/>
        <v>0</v>
      </c>
      <c r="R884" s="42">
        <f t="shared" si="109"/>
        <v>0</v>
      </c>
      <c r="S884" s="42">
        <f t="shared" si="110"/>
        <v>0</v>
      </c>
      <c r="T884" s="42">
        <f t="shared" si="111"/>
        <v>1</v>
      </c>
    </row>
    <row r="885" spans="1:20" x14ac:dyDescent="0.2">
      <c r="A885" s="30">
        <v>878</v>
      </c>
      <c r="C885" s="31">
        <v>0.99788610605515771</v>
      </c>
      <c r="D885" s="32">
        <v>16707.953956014575</v>
      </c>
      <c r="E885" s="31">
        <v>0.88282667046969721</v>
      </c>
      <c r="F885" s="32">
        <v>5497.0585156765264</v>
      </c>
      <c r="G885" s="31">
        <v>0.87629071077711396</v>
      </c>
      <c r="H885" s="32">
        <v>9958.142553414631</v>
      </c>
      <c r="I885" s="31">
        <v>0.87629071077711385</v>
      </c>
      <c r="J885" s="32">
        <v>5239.4740880903673</v>
      </c>
      <c r="L885" s="43">
        <f t="shared" si="104"/>
        <v>-11718.523425738786</v>
      </c>
      <c r="M885" s="43">
        <f t="shared" si="105"/>
        <v>-1082.9251633280401</v>
      </c>
      <c r="N885" s="43">
        <f t="shared" si="106"/>
        <v>-5576.6889995290612</v>
      </c>
      <c r="O885" s="43">
        <f t="shared" si="107"/>
        <v>-858.02053420479842</v>
      </c>
      <c r="Q885" s="42">
        <f t="shared" si="108"/>
        <v>0</v>
      </c>
      <c r="R885" s="42">
        <f t="shared" si="109"/>
        <v>0</v>
      </c>
      <c r="S885" s="42">
        <f t="shared" si="110"/>
        <v>0</v>
      </c>
      <c r="T885" s="42">
        <f t="shared" si="111"/>
        <v>1</v>
      </c>
    </row>
    <row r="886" spans="1:20" x14ac:dyDescent="0.2">
      <c r="A886" s="30">
        <v>879</v>
      </c>
      <c r="C886" s="31">
        <v>0.9780915269193351</v>
      </c>
      <c r="D886" s="32">
        <v>13517.851002321337</v>
      </c>
      <c r="E886" s="31">
        <v>0.94414268020365255</v>
      </c>
      <c r="F886" s="32">
        <v>4568.1492712153367</v>
      </c>
      <c r="G886" s="31">
        <v>0.93716391556204659</v>
      </c>
      <c r="H886" s="32">
        <v>7327.5813663738591</v>
      </c>
      <c r="I886" s="31">
        <v>0.93716631268422201</v>
      </c>
      <c r="J886" s="32">
        <v>4352.5009680331696</v>
      </c>
      <c r="L886" s="43">
        <f t="shared" si="104"/>
        <v>-8627.3933677246605</v>
      </c>
      <c r="M886" s="43">
        <f t="shared" si="105"/>
        <v>152.56412980292589</v>
      </c>
      <c r="N886" s="43">
        <f t="shared" si="106"/>
        <v>-2641.7617885636264</v>
      </c>
      <c r="O886" s="43">
        <f t="shared" si="107"/>
        <v>333.33059538794078</v>
      </c>
      <c r="Q886" s="42">
        <f t="shared" si="108"/>
        <v>0</v>
      </c>
      <c r="R886" s="42">
        <f t="shared" si="109"/>
        <v>0</v>
      </c>
      <c r="S886" s="42">
        <f t="shared" si="110"/>
        <v>0</v>
      </c>
      <c r="T886" s="42">
        <f t="shared" si="111"/>
        <v>1</v>
      </c>
    </row>
    <row r="887" spans="1:20" x14ac:dyDescent="0.2">
      <c r="A887" s="30">
        <v>880</v>
      </c>
      <c r="C887" s="31">
        <v>0.98527617287280178</v>
      </c>
      <c r="D887" s="32">
        <v>14827.949949026506</v>
      </c>
      <c r="E887" s="31">
        <v>0.86772674614137124</v>
      </c>
      <c r="F887" s="32">
        <v>3754.392944829724</v>
      </c>
      <c r="G887" s="31">
        <v>0.95354465045633341</v>
      </c>
      <c r="H887" s="32">
        <v>9147.1637114349087</v>
      </c>
      <c r="I887" s="31">
        <v>0.86073972466771675</v>
      </c>
      <c r="J887" s="32">
        <v>3500.4238768041587</v>
      </c>
      <c r="L887" s="43">
        <f t="shared" si="104"/>
        <v>-9901.5690846624966</v>
      </c>
      <c r="M887" s="43">
        <f t="shared" si="105"/>
        <v>584.24078587713211</v>
      </c>
      <c r="N887" s="43">
        <f t="shared" si="106"/>
        <v>-4379.440459153242</v>
      </c>
      <c r="O887" s="43">
        <f t="shared" si="107"/>
        <v>803.2747465344255</v>
      </c>
      <c r="Q887" s="42">
        <f t="shared" si="108"/>
        <v>0</v>
      </c>
      <c r="R887" s="42">
        <f t="shared" si="109"/>
        <v>0</v>
      </c>
      <c r="S887" s="42">
        <f t="shared" si="110"/>
        <v>0</v>
      </c>
      <c r="T887" s="42">
        <f t="shared" si="111"/>
        <v>1</v>
      </c>
    </row>
    <row r="888" spans="1:20" x14ac:dyDescent="0.2">
      <c r="A888" s="30">
        <v>881</v>
      </c>
      <c r="C888" s="31">
        <v>0.99921687480769816</v>
      </c>
      <c r="D888" s="32">
        <v>14728.965536219903</v>
      </c>
      <c r="E888" s="31">
        <v>0.81736650328541183</v>
      </c>
      <c r="F888" s="32">
        <v>3391.2998512289259</v>
      </c>
      <c r="G888" s="31">
        <v>0.9530403552597031</v>
      </c>
      <c r="H888" s="32">
        <v>8879.3446493850843</v>
      </c>
      <c r="I888" s="31">
        <v>0.81736650328541183</v>
      </c>
      <c r="J888" s="32">
        <v>3211.7822184417355</v>
      </c>
      <c r="L888" s="43">
        <f t="shared" si="104"/>
        <v>-9732.8811621814129</v>
      </c>
      <c r="M888" s="43">
        <f t="shared" si="105"/>
        <v>695.53266519813315</v>
      </c>
      <c r="N888" s="43">
        <f t="shared" si="106"/>
        <v>-4114.1428730865691</v>
      </c>
      <c r="O888" s="43">
        <f t="shared" si="107"/>
        <v>875.0502979853236</v>
      </c>
      <c r="Q888" s="42">
        <f t="shared" si="108"/>
        <v>0</v>
      </c>
      <c r="R888" s="42">
        <f t="shared" si="109"/>
        <v>0</v>
      </c>
      <c r="S888" s="42">
        <f t="shared" si="110"/>
        <v>0</v>
      </c>
      <c r="T888" s="42">
        <f t="shared" si="111"/>
        <v>1</v>
      </c>
    </row>
    <row r="889" spans="1:20" x14ac:dyDescent="0.2">
      <c r="A889" s="30">
        <v>882</v>
      </c>
      <c r="C889" s="31">
        <v>0.99391356619716031</v>
      </c>
      <c r="D889" s="32">
        <v>12666.058119836558</v>
      </c>
      <c r="E889" s="31">
        <v>0.91849069621741453</v>
      </c>
      <c r="F889" s="32">
        <v>10225.611200323532</v>
      </c>
      <c r="G889" s="31">
        <v>0.97763292170164773</v>
      </c>
      <c r="H889" s="32">
        <v>7124.6837644468842</v>
      </c>
      <c r="I889" s="31">
        <v>0.9161968618648676</v>
      </c>
      <c r="J889" s="32">
        <v>5423.2696053665422</v>
      </c>
      <c r="L889" s="43">
        <f t="shared" si="104"/>
        <v>-7696.4902888507568</v>
      </c>
      <c r="M889" s="43">
        <f t="shared" si="105"/>
        <v>-5633.1577192364593</v>
      </c>
      <c r="N889" s="43">
        <f t="shared" si="106"/>
        <v>-2236.5191559386458</v>
      </c>
      <c r="O889" s="43">
        <f t="shared" si="107"/>
        <v>-842.28529604220421</v>
      </c>
      <c r="Q889" s="42">
        <f t="shared" si="108"/>
        <v>0</v>
      </c>
      <c r="R889" s="42">
        <f t="shared" si="109"/>
        <v>0</v>
      </c>
      <c r="S889" s="42">
        <f t="shared" si="110"/>
        <v>0</v>
      </c>
      <c r="T889" s="42">
        <f t="shared" si="111"/>
        <v>1</v>
      </c>
    </row>
    <row r="890" spans="1:20" x14ac:dyDescent="0.2">
      <c r="A890" s="30">
        <v>883</v>
      </c>
      <c r="C890" s="31">
        <v>0.98876082995360304</v>
      </c>
      <c r="D890" s="32">
        <v>15492.857955495791</v>
      </c>
      <c r="E890" s="31">
        <v>0.73922162198159835</v>
      </c>
      <c r="F890" s="32">
        <v>2600.2205675291416</v>
      </c>
      <c r="G890" s="31">
        <v>0.94202987247640535</v>
      </c>
      <c r="H890" s="32">
        <v>9499.2368274105011</v>
      </c>
      <c r="I890" s="31">
        <v>0.73873390498028846</v>
      </c>
      <c r="J890" s="32">
        <v>2437.9135279520942</v>
      </c>
      <c r="L890" s="43">
        <f t="shared" si="104"/>
        <v>-10549.053805727775</v>
      </c>
      <c r="M890" s="43">
        <f t="shared" si="105"/>
        <v>1095.88754237885</v>
      </c>
      <c r="N890" s="43">
        <f t="shared" si="106"/>
        <v>-4789.0874650284741</v>
      </c>
      <c r="O890" s="43">
        <f t="shared" si="107"/>
        <v>1255.7559969493482</v>
      </c>
      <c r="Q890" s="42">
        <f t="shared" si="108"/>
        <v>0</v>
      </c>
      <c r="R890" s="42">
        <f t="shared" si="109"/>
        <v>0</v>
      </c>
      <c r="S890" s="42">
        <f t="shared" si="110"/>
        <v>0</v>
      </c>
      <c r="T890" s="42">
        <f t="shared" si="111"/>
        <v>1</v>
      </c>
    </row>
    <row r="891" spans="1:20" x14ac:dyDescent="0.2">
      <c r="A891" s="30">
        <v>884</v>
      </c>
      <c r="C891" s="31">
        <v>0.97801746258604361</v>
      </c>
      <c r="D891" s="32">
        <v>11901.419240241155</v>
      </c>
      <c r="E891" s="31">
        <v>0.82363116504038636</v>
      </c>
      <c r="F891" s="32">
        <v>2830.3529380080154</v>
      </c>
      <c r="G891" s="31">
        <v>0.94484368024203125</v>
      </c>
      <c r="H891" s="32">
        <v>7401.6859877882989</v>
      </c>
      <c r="I891" s="31">
        <v>0.81869550123564361</v>
      </c>
      <c r="J891" s="32">
        <v>2477.9342052987381</v>
      </c>
      <c r="L891" s="43">
        <f t="shared" si="104"/>
        <v>-7011.3319273109373</v>
      </c>
      <c r="M891" s="43">
        <f t="shared" si="105"/>
        <v>1287.8028871939168</v>
      </c>
      <c r="N891" s="43">
        <f t="shared" si="106"/>
        <v>-2677.4675865781428</v>
      </c>
      <c r="O891" s="43">
        <f t="shared" si="107"/>
        <v>1615.5433008794798</v>
      </c>
      <c r="Q891" s="42">
        <f t="shared" si="108"/>
        <v>0</v>
      </c>
      <c r="R891" s="42">
        <f t="shared" si="109"/>
        <v>0</v>
      </c>
      <c r="S891" s="42">
        <f t="shared" si="110"/>
        <v>0</v>
      </c>
      <c r="T891" s="42">
        <f t="shared" si="111"/>
        <v>1</v>
      </c>
    </row>
    <row r="892" spans="1:20" x14ac:dyDescent="0.2">
      <c r="A892" s="30">
        <v>885</v>
      </c>
      <c r="C892" s="31">
        <v>0.99033859409630298</v>
      </c>
      <c r="D892" s="32">
        <v>15500.243698748667</v>
      </c>
      <c r="E892" s="31">
        <v>0.78770537894186299</v>
      </c>
      <c r="F892" s="32">
        <v>3644.157619520236</v>
      </c>
      <c r="G892" s="31">
        <v>0.90198035105706587</v>
      </c>
      <c r="H892" s="32">
        <v>9455.4549120530446</v>
      </c>
      <c r="I892" s="31">
        <v>0.78689634841643563</v>
      </c>
      <c r="J892" s="32">
        <v>3496.5711949528991</v>
      </c>
      <c r="L892" s="43">
        <f t="shared" si="104"/>
        <v>-10548.550728267153</v>
      </c>
      <c r="M892" s="43">
        <f t="shared" si="105"/>
        <v>294.36927518907896</v>
      </c>
      <c r="N892" s="43">
        <f t="shared" si="106"/>
        <v>-4945.5531567677153</v>
      </c>
      <c r="O892" s="43">
        <f t="shared" si="107"/>
        <v>437.91054712927917</v>
      </c>
      <c r="Q892" s="42">
        <f t="shared" si="108"/>
        <v>0</v>
      </c>
      <c r="R892" s="42">
        <f t="shared" si="109"/>
        <v>0</v>
      </c>
      <c r="S892" s="42">
        <f t="shared" si="110"/>
        <v>0</v>
      </c>
      <c r="T892" s="42">
        <f t="shared" si="111"/>
        <v>1</v>
      </c>
    </row>
    <row r="893" spans="1:20" x14ac:dyDescent="0.2">
      <c r="A893" s="30">
        <v>886</v>
      </c>
      <c r="C893" s="31">
        <v>0.96527568611423542</v>
      </c>
      <c r="D893" s="32">
        <v>17018.9466111613</v>
      </c>
      <c r="E893" s="31">
        <v>0.8995533492026262</v>
      </c>
      <c r="F893" s="32">
        <v>12177.0346418314</v>
      </c>
      <c r="G893" s="31">
        <v>0.92123034753361621</v>
      </c>
      <c r="H893" s="32">
        <v>9682.4784328484548</v>
      </c>
      <c r="I893" s="31">
        <v>0.89148015917781365</v>
      </c>
      <c r="J893" s="32">
        <v>7393.136690195076</v>
      </c>
      <c r="L893" s="43">
        <f t="shared" si="104"/>
        <v>-12192.568180590122</v>
      </c>
      <c r="M893" s="43">
        <f t="shared" si="105"/>
        <v>-7679.2678958182696</v>
      </c>
      <c r="N893" s="43">
        <f t="shared" si="106"/>
        <v>-5076.3266951803735</v>
      </c>
      <c r="O893" s="43">
        <f t="shared" si="107"/>
        <v>-2935.735894306008</v>
      </c>
      <c r="Q893" s="42">
        <f t="shared" si="108"/>
        <v>0</v>
      </c>
      <c r="R893" s="42">
        <f t="shared" si="109"/>
        <v>0</v>
      </c>
      <c r="S893" s="42">
        <f t="shared" si="110"/>
        <v>0</v>
      </c>
      <c r="T893" s="42">
        <f t="shared" si="111"/>
        <v>1</v>
      </c>
    </row>
    <row r="894" spans="1:20" x14ac:dyDescent="0.2">
      <c r="A894" s="30">
        <v>887</v>
      </c>
      <c r="C894" s="31">
        <v>0.99887857284550863</v>
      </c>
      <c r="D894" s="32">
        <v>14726.332540311443</v>
      </c>
      <c r="E894" s="31">
        <v>0.71668826552583298</v>
      </c>
      <c r="F894" s="32">
        <v>4459.1791764209265</v>
      </c>
      <c r="G894" s="31">
        <v>0.96128830246430774</v>
      </c>
      <c r="H894" s="32">
        <v>9263.8224914367947</v>
      </c>
      <c r="I894" s="31">
        <v>0.71327526515915252</v>
      </c>
      <c r="J894" s="32">
        <v>2904.1566984794899</v>
      </c>
      <c r="L894" s="43">
        <f t="shared" si="104"/>
        <v>-9731.9396760839008</v>
      </c>
      <c r="M894" s="43">
        <f t="shared" si="105"/>
        <v>-875.73784879176173</v>
      </c>
      <c r="N894" s="43">
        <f t="shared" si="106"/>
        <v>-4457.3809791152562</v>
      </c>
      <c r="O894" s="43">
        <f t="shared" si="107"/>
        <v>662.21962731627264</v>
      </c>
      <c r="Q894" s="42">
        <f t="shared" si="108"/>
        <v>0</v>
      </c>
      <c r="R894" s="42">
        <f t="shared" si="109"/>
        <v>0</v>
      </c>
      <c r="S894" s="42">
        <f t="shared" si="110"/>
        <v>0</v>
      </c>
      <c r="T894" s="42">
        <f t="shared" si="111"/>
        <v>1</v>
      </c>
    </row>
    <row r="895" spans="1:20" x14ac:dyDescent="0.2">
      <c r="A895" s="30">
        <v>888</v>
      </c>
      <c r="C895" s="31">
        <v>0.98110239482667427</v>
      </c>
      <c r="D895" s="32">
        <v>15633.797456713566</v>
      </c>
      <c r="E895" s="31">
        <v>0.8318861778499842</v>
      </c>
      <c r="F895" s="32">
        <v>3980.0799169556449</v>
      </c>
      <c r="G895" s="31">
        <v>0.92280018894458804</v>
      </c>
      <c r="H895" s="32">
        <v>8780.7611735223072</v>
      </c>
      <c r="I895" s="31">
        <v>0.8305372219006546</v>
      </c>
      <c r="J895" s="32">
        <v>3626.4477026543154</v>
      </c>
      <c r="L895" s="43">
        <f t="shared" si="104"/>
        <v>-10728.285482580195</v>
      </c>
      <c r="M895" s="43">
        <f t="shared" si="105"/>
        <v>179.35097229427629</v>
      </c>
      <c r="N895" s="43">
        <f t="shared" si="106"/>
        <v>-4166.7602287993668</v>
      </c>
      <c r="O895" s="43">
        <f t="shared" si="107"/>
        <v>526.23840684895731</v>
      </c>
      <c r="Q895" s="42">
        <f t="shared" si="108"/>
        <v>0</v>
      </c>
      <c r="R895" s="42">
        <f t="shared" si="109"/>
        <v>0</v>
      </c>
      <c r="S895" s="42">
        <f t="shared" si="110"/>
        <v>0</v>
      </c>
      <c r="T895" s="42">
        <f t="shared" si="111"/>
        <v>1</v>
      </c>
    </row>
    <row r="896" spans="1:20" x14ac:dyDescent="0.2">
      <c r="A896" s="30">
        <v>889</v>
      </c>
      <c r="C896" s="31">
        <v>0.99549029278806167</v>
      </c>
      <c r="D896" s="32">
        <v>13489.657419075893</v>
      </c>
      <c r="E896" s="31">
        <v>0.98618051312701738</v>
      </c>
      <c r="F896" s="32">
        <v>9399.0191572006715</v>
      </c>
      <c r="G896" s="31">
        <v>0.97364920153004486</v>
      </c>
      <c r="H896" s="32">
        <v>8517.6296185394094</v>
      </c>
      <c r="I896" s="31">
        <v>0.97364920153004497</v>
      </c>
      <c r="J896" s="32">
        <v>6769.3144860435013</v>
      </c>
      <c r="L896" s="43">
        <f t="shared" si="104"/>
        <v>-8512.2059551355851</v>
      </c>
      <c r="M896" s="43">
        <f t="shared" si="105"/>
        <v>-4468.1165915655847</v>
      </c>
      <c r="N896" s="43">
        <f t="shared" si="106"/>
        <v>-3649.3836108891855</v>
      </c>
      <c r="O896" s="43">
        <f t="shared" si="107"/>
        <v>-1901.0684783932766</v>
      </c>
      <c r="Q896" s="42">
        <f t="shared" si="108"/>
        <v>0</v>
      </c>
      <c r="R896" s="42">
        <f t="shared" si="109"/>
        <v>0</v>
      </c>
      <c r="S896" s="42">
        <f t="shared" si="110"/>
        <v>0</v>
      </c>
      <c r="T896" s="42">
        <f t="shared" si="111"/>
        <v>1</v>
      </c>
    </row>
    <row r="897" spans="1:20" x14ac:dyDescent="0.2">
      <c r="A897" s="30">
        <v>890</v>
      </c>
      <c r="C897" s="31">
        <v>0.99889820252186046</v>
      </c>
      <c r="D897" s="32">
        <v>16426.784113190897</v>
      </c>
      <c r="E897" s="31">
        <v>0.9606192806037217</v>
      </c>
      <c r="F897" s="32">
        <v>9164.5261452482246</v>
      </c>
      <c r="G897" s="31">
        <v>0.95516564832373507</v>
      </c>
      <c r="H897" s="32">
        <v>9665.4952525643221</v>
      </c>
      <c r="I897" s="31">
        <v>0.95516564832373518</v>
      </c>
      <c r="J897" s="32">
        <v>6683.2207996899624</v>
      </c>
      <c r="L897" s="43">
        <f t="shared" si="104"/>
        <v>-11432.293100581595</v>
      </c>
      <c r="M897" s="43">
        <f t="shared" si="105"/>
        <v>-4361.4297422296158</v>
      </c>
      <c r="N897" s="43">
        <f t="shared" si="106"/>
        <v>-4889.6670109456463</v>
      </c>
      <c r="O897" s="43">
        <f t="shared" si="107"/>
        <v>-1907.3925580712867</v>
      </c>
      <c r="Q897" s="42">
        <f t="shared" si="108"/>
        <v>0</v>
      </c>
      <c r="R897" s="42">
        <f t="shared" si="109"/>
        <v>0</v>
      </c>
      <c r="S897" s="42">
        <f t="shared" si="110"/>
        <v>0</v>
      </c>
      <c r="T897" s="42">
        <f t="shared" si="111"/>
        <v>1</v>
      </c>
    </row>
    <row r="898" spans="1:20" x14ac:dyDescent="0.2">
      <c r="A898" s="30">
        <v>891</v>
      </c>
      <c r="C898" s="31">
        <v>0.99908035727363476</v>
      </c>
      <c r="D898" s="32">
        <v>16266.881234451801</v>
      </c>
      <c r="E898" s="31">
        <v>0.90214824506533264</v>
      </c>
      <c r="F898" s="32">
        <v>9025.1057996834243</v>
      </c>
      <c r="G898" s="31">
        <v>0.89575023061176706</v>
      </c>
      <c r="H898" s="32">
        <v>9650.8695210868245</v>
      </c>
      <c r="I898" s="31">
        <v>0.89575023061176706</v>
      </c>
      <c r="J898" s="32">
        <v>6670.3931628543633</v>
      </c>
      <c r="L898" s="43">
        <f t="shared" si="104"/>
        <v>-11271.479448083628</v>
      </c>
      <c r="M898" s="43">
        <f t="shared" si="105"/>
        <v>-4514.3645743567613</v>
      </c>
      <c r="N898" s="43">
        <f t="shared" si="106"/>
        <v>-5172.1183680279892</v>
      </c>
      <c r="O898" s="43">
        <f t="shared" si="107"/>
        <v>-2191.6420097955279</v>
      </c>
      <c r="Q898" s="42">
        <f t="shared" si="108"/>
        <v>0</v>
      </c>
      <c r="R898" s="42">
        <f t="shared" si="109"/>
        <v>0</v>
      </c>
      <c r="S898" s="42">
        <f t="shared" si="110"/>
        <v>0</v>
      </c>
      <c r="T898" s="42">
        <f t="shared" si="111"/>
        <v>1</v>
      </c>
    </row>
    <row r="899" spans="1:20" x14ac:dyDescent="0.2">
      <c r="A899" s="30">
        <v>892</v>
      </c>
      <c r="C899" s="31">
        <v>0.99691508448300403</v>
      </c>
      <c r="D899" s="32">
        <v>16806.759929073549</v>
      </c>
      <c r="E899" s="31">
        <v>0.85262033489485844</v>
      </c>
      <c r="F899" s="32">
        <v>4852.733888890677</v>
      </c>
      <c r="G899" s="31">
        <v>0.92042216596875359</v>
      </c>
      <c r="H899" s="32">
        <v>9578.8736456805855</v>
      </c>
      <c r="I899" s="31">
        <v>0.84389683605390697</v>
      </c>
      <c r="J899" s="32">
        <v>4540.0340110699271</v>
      </c>
      <c r="L899" s="43">
        <f t="shared" si="104"/>
        <v>-11822.184506658528</v>
      </c>
      <c r="M899" s="43">
        <f t="shared" si="105"/>
        <v>-589.63221441638507</v>
      </c>
      <c r="N899" s="43">
        <f t="shared" si="106"/>
        <v>-4976.7628158368179</v>
      </c>
      <c r="O899" s="43">
        <f t="shared" si="107"/>
        <v>-320.54983080039256</v>
      </c>
      <c r="Q899" s="42">
        <f t="shared" si="108"/>
        <v>0</v>
      </c>
      <c r="R899" s="42">
        <f t="shared" si="109"/>
        <v>0</v>
      </c>
      <c r="S899" s="42">
        <f t="shared" si="110"/>
        <v>0</v>
      </c>
      <c r="T899" s="42">
        <f t="shared" si="111"/>
        <v>1</v>
      </c>
    </row>
    <row r="900" spans="1:20" x14ac:dyDescent="0.2">
      <c r="A900" s="30">
        <v>893</v>
      </c>
      <c r="C900" s="31">
        <v>0.98148320790535692</v>
      </c>
      <c r="D900" s="32">
        <v>16389.788485090099</v>
      </c>
      <c r="E900" s="31">
        <v>0.83041239277728707</v>
      </c>
      <c r="F900" s="32">
        <v>5973.0673230564898</v>
      </c>
      <c r="G900" s="31">
        <v>0.98415313063914067</v>
      </c>
      <c r="H900" s="32">
        <v>10602.217876175995</v>
      </c>
      <c r="I900" s="31">
        <v>0.8291687028611191</v>
      </c>
      <c r="J900" s="32">
        <v>4442.7733454911513</v>
      </c>
      <c r="L900" s="43">
        <f t="shared" si="104"/>
        <v>-11482.372445563315</v>
      </c>
      <c r="M900" s="43">
        <f t="shared" si="105"/>
        <v>-1821.0053591700544</v>
      </c>
      <c r="N900" s="43">
        <f t="shared" si="106"/>
        <v>-5681.4522229802915</v>
      </c>
      <c r="O900" s="43">
        <f t="shared" si="107"/>
        <v>-296.92983118555549</v>
      </c>
      <c r="Q900" s="42">
        <f t="shared" si="108"/>
        <v>0</v>
      </c>
      <c r="R900" s="42">
        <f t="shared" si="109"/>
        <v>0</v>
      </c>
      <c r="S900" s="42">
        <f t="shared" si="110"/>
        <v>0</v>
      </c>
      <c r="T900" s="42">
        <f t="shared" si="111"/>
        <v>1</v>
      </c>
    </row>
    <row r="901" spans="1:20" x14ac:dyDescent="0.2">
      <c r="A901" s="30">
        <v>894</v>
      </c>
      <c r="C901" s="31">
        <v>0.9960212234053103</v>
      </c>
      <c r="D901" s="32">
        <v>16814.629143784321</v>
      </c>
      <c r="E901" s="31">
        <v>0.94198939725199482</v>
      </c>
      <c r="F901" s="32">
        <v>7616.6583066660442</v>
      </c>
      <c r="G901" s="31">
        <v>0.93580957311494983</v>
      </c>
      <c r="H901" s="32">
        <v>10562.569718566983</v>
      </c>
      <c r="I901" s="31">
        <v>0.93580957311494983</v>
      </c>
      <c r="J901" s="32">
        <v>6444.5310465840403</v>
      </c>
      <c r="L901" s="43">
        <f t="shared" si="104"/>
        <v>-11834.52302675777</v>
      </c>
      <c r="M901" s="43">
        <f t="shared" si="105"/>
        <v>-2906.7113204060697</v>
      </c>
      <c r="N901" s="43">
        <f t="shared" si="106"/>
        <v>-5883.521852992234</v>
      </c>
      <c r="O901" s="43">
        <f t="shared" si="107"/>
        <v>-1765.483181009291</v>
      </c>
      <c r="Q901" s="42">
        <f t="shared" si="108"/>
        <v>0</v>
      </c>
      <c r="R901" s="42">
        <f t="shared" si="109"/>
        <v>0</v>
      </c>
      <c r="S901" s="42">
        <f t="shared" si="110"/>
        <v>0</v>
      </c>
      <c r="T901" s="42">
        <f t="shared" si="111"/>
        <v>1</v>
      </c>
    </row>
    <row r="902" spans="1:20" x14ac:dyDescent="0.2">
      <c r="A902" s="30">
        <v>895</v>
      </c>
      <c r="C902" s="31">
        <v>0.99934024946732236</v>
      </c>
      <c r="D902" s="32">
        <v>11458.9404519339</v>
      </c>
      <c r="E902" s="31">
        <v>0.92881051158457661</v>
      </c>
      <c r="F902" s="32">
        <v>3983.653706149616</v>
      </c>
      <c r="G902" s="31">
        <v>0.95004011117110387</v>
      </c>
      <c r="H902" s="32">
        <v>7209.9358390231155</v>
      </c>
      <c r="I902" s="31">
        <v>0.92310034413182385</v>
      </c>
      <c r="J902" s="32">
        <v>3779.0599621144929</v>
      </c>
      <c r="L902" s="43">
        <f t="shared" si="104"/>
        <v>-6462.2392045972883</v>
      </c>
      <c r="M902" s="43">
        <f t="shared" si="105"/>
        <v>660.39885177326732</v>
      </c>
      <c r="N902" s="43">
        <f t="shared" si="106"/>
        <v>-2459.7352831675962</v>
      </c>
      <c r="O902" s="43">
        <f t="shared" si="107"/>
        <v>836.44175854462628</v>
      </c>
      <c r="Q902" s="42">
        <f t="shared" si="108"/>
        <v>0</v>
      </c>
      <c r="R902" s="42">
        <f t="shared" si="109"/>
        <v>0</v>
      </c>
      <c r="S902" s="42">
        <f t="shared" si="110"/>
        <v>0</v>
      </c>
      <c r="T902" s="42">
        <f t="shared" si="111"/>
        <v>1</v>
      </c>
    </row>
    <row r="903" spans="1:20" x14ac:dyDescent="0.2">
      <c r="A903" s="30">
        <v>896</v>
      </c>
      <c r="C903" s="31">
        <v>0.99860770342759175</v>
      </c>
      <c r="D903" s="32">
        <v>16667.237681018702</v>
      </c>
      <c r="E903" s="31">
        <v>0.6517909449760676</v>
      </c>
      <c r="F903" s="32">
        <v>3296.8155118027889</v>
      </c>
      <c r="G903" s="31">
        <v>0.9726291271785954</v>
      </c>
      <c r="H903" s="32">
        <v>10198.303293523755</v>
      </c>
      <c r="I903" s="31">
        <v>0.6517909449760676</v>
      </c>
      <c r="J903" s="32">
        <v>1451.684512055743</v>
      </c>
      <c r="L903" s="43">
        <f t="shared" si="104"/>
        <v>-11674.199163880743</v>
      </c>
      <c r="M903" s="43">
        <f t="shared" si="105"/>
        <v>-37.860786922451098</v>
      </c>
      <c r="N903" s="43">
        <f t="shared" si="106"/>
        <v>-5335.157657630778</v>
      </c>
      <c r="O903" s="43">
        <f t="shared" si="107"/>
        <v>1807.2702128245949</v>
      </c>
      <c r="Q903" s="42">
        <f t="shared" si="108"/>
        <v>0</v>
      </c>
      <c r="R903" s="42">
        <f t="shared" si="109"/>
        <v>0</v>
      </c>
      <c r="S903" s="42">
        <f t="shared" si="110"/>
        <v>0</v>
      </c>
      <c r="T903" s="42">
        <f t="shared" si="111"/>
        <v>1</v>
      </c>
    </row>
    <row r="904" spans="1:20" x14ac:dyDescent="0.2">
      <c r="A904" s="30">
        <v>897</v>
      </c>
      <c r="C904" s="31">
        <v>0.98461434267220871</v>
      </c>
      <c r="D904" s="32">
        <v>16028.246213167049</v>
      </c>
      <c r="E904" s="31">
        <v>0.87733045497324547</v>
      </c>
      <c r="F904" s="32">
        <v>5026.6823372537028</v>
      </c>
      <c r="G904" s="31">
        <v>0.96050208982017549</v>
      </c>
      <c r="H904" s="32">
        <v>10014.33633353018</v>
      </c>
      <c r="I904" s="31">
        <v>0.8743625202416041</v>
      </c>
      <c r="J904" s="32">
        <v>4835.5031472052078</v>
      </c>
      <c r="L904" s="43">
        <f t="shared" ref="L904:L967" si="112">C904*Rc_-D904</f>
        <v>-11105.174499806006</v>
      </c>
      <c r="M904" s="43">
        <f t="shared" ref="M904:M967" si="113">E904*Rc_-F904</f>
        <v>-640.03006238747548</v>
      </c>
      <c r="N904" s="43">
        <f t="shared" ref="N904:N967" si="114">G904*Rc_-H904</f>
        <v>-5211.8258844293023</v>
      </c>
      <c r="O904" s="43">
        <f t="shared" ref="O904:O967" si="115">I904*Rc_-J904</f>
        <v>-463.69054599718766</v>
      </c>
      <c r="Q904" s="42">
        <f t="shared" si="108"/>
        <v>0</v>
      </c>
      <c r="R904" s="42">
        <f t="shared" si="109"/>
        <v>0</v>
      </c>
      <c r="S904" s="42">
        <f t="shared" si="110"/>
        <v>0</v>
      </c>
      <c r="T904" s="42">
        <f t="shared" si="111"/>
        <v>1</v>
      </c>
    </row>
    <row r="905" spans="1:20" x14ac:dyDescent="0.2">
      <c r="A905" s="30">
        <v>898</v>
      </c>
      <c r="C905" s="31">
        <v>0.9785830453824339</v>
      </c>
      <c r="D905" s="32">
        <v>15336.749417110586</v>
      </c>
      <c r="E905" s="31">
        <v>0.92401194438487178</v>
      </c>
      <c r="F905" s="32">
        <v>10605.579866421644</v>
      </c>
      <c r="G905" s="31">
        <v>0.94822825501927599</v>
      </c>
      <c r="H905" s="32">
        <v>9788.4136774660492</v>
      </c>
      <c r="I905" s="31">
        <v>0.91267982248934421</v>
      </c>
      <c r="J905" s="32">
        <v>7227.1136801280554</v>
      </c>
      <c r="L905" s="43">
        <f t="shared" si="112"/>
        <v>-10443.834190198417</v>
      </c>
      <c r="M905" s="43">
        <f t="shared" si="113"/>
        <v>-5985.5201444972845</v>
      </c>
      <c r="N905" s="43">
        <f t="shared" si="114"/>
        <v>-5047.2724023696692</v>
      </c>
      <c r="O905" s="43">
        <f t="shared" si="115"/>
        <v>-2663.7145676813343</v>
      </c>
      <c r="Q905" s="42">
        <f t="shared" ref="Q905:Q968" si="116">IF(L905&gt;$M905,IF(L905&gt;$N905,IF(L905&gt;$O905,1,0),0),0)</f>
        <v>0</v>
      </c>
      <c r="R905" s="42">
        <f t="shared" ref="R905:R968" si="117">IF(M905&gt;$L905,IF(M905&gt;$N905,IF(M905&gt;$O905,1,0),0),0)</f>
        <v>0</v>
      </c>
      <c r="S905" s="42">
        <f t="shared" ref="S905:S968" si="118">IF(N905&gt;$M905,IF(N905&gt;$L905,IF(N905&gt;$O905,1,0),0),0)</f>
        <v>0</v>
      </c>
      <c r="T905" s="42">
        <f t="shared" ref="T905:T968" si="119">IF(O905&gt;$M905,IF(O905&gt;$N905,IF(O905&gt;$L905,1,0),0),0)</f>
        <v>1</v>
      </c>
    </row>
    <row r="906" spans="1:20" x14ac:dyDescent="0.2">
      <c r="A906" s="30">
        <v>899</v>
      </c>
      <c r="C906" s="31">
        <v>0.98945333312373784</v>
      </c>
      <c r="D906" s="32">
        <v>16397.456883378069</v>
      </c>
      <c r="E906" s="31">
        <v>0.94839615067125671</v>
      </c>
      <c r="F906" s="32">
        <v>5839.0340862066714</v>
      </c>
      <c r="G906" s="31">
        <v>0.96927188691136101</v>
      </c>
      <c r="H906" s="32">
        <v>9627.4973330892826</v>
      </c>
      <c r="I906" s="31">
        <v>0.94839615067125671</v>
      </c>
      <c r="J906" s="32">
        <v>5673.4240077224458</v>
      </c>
      <c r="L906" s="43">
        <f t="shared" si="112"/>
        <v>-11450.19021775938</v>
      </c>
      <c r="M906" s="43">
        <f t="shared" si="113"/>
        <v>-1097.053332850388</v>
      </c>
      <c r="N906" s="43">
        <f t="shared" si="114"/>
        <v>-4781.1378985324773</v>
      </c>
      <c r="O906" s="43">
        <f t="shared" si="115"/>
        <v>-931.44325436616236</v>
      </c>
      <c r="Q906" s="42">
        <f t="shared" si="116"/>
        <v>0</v>
      </c>
      <c r="R906" s="42">
        <f t="shared" si="117"/>
        <v>0</v>
      </c>
      <c r="S906" s="42">
        <f t="shared" si="118"/>
        <v>0</v>
      </c>
      <c r="T906" s="42">
        <f t="shared" si="119"/>
        <v>1</v>
      </c>
    </row>
    <row r="907" spans="1:20" x14ac:dyDescent="0.2">
      <c r="A907" s="30">
        <v>900</v>
      </c>
      <c r="C907" s="31">
        <v>0.93897553291619051</v>
      </c>
      <c r="D907" s="32">
        <v>15699.637878211441</v>
      </c>
      <c r="E907" s="31">
        <v>0.80850081592166756</v>
      </c>
      <c r="F907" s="32">
        <v>3183.8768430023406</v>
      </c>
      <c r="G907" s="31">
        <v>0.92925241979568318</v>
      </c>
      <c r="H907" s="32">
        <v>9240.3455146321103</v>
      </c>
      <c r="I907" s="31">
        <v>0.80348387033838664</v>
      </c>
      <c r="J907" s="32">
        <v>2954.718635480579</v>
      </c>
      <c r="L907" s="43">
        <f t="shared" si="112"/>
        <v>-11004.760213630489</v>
      </c>
      <c r="M907" s="43">
        <f t="shared" si="113"/>
        <v>858.62723660599704</v>
      </c>
      <c r="N907" s="43">
        <f t="shared" si="114"/>
        <v>-4594.0834156536939</v>
      </c>
      <c r="O907" s="43">
        <f t="shared" si="115"/>
        <v>1062.7007162113541</v>
      </c>
      <c r="Q907" s="42">
        <f t="shared" si="116"/>
        <v>0</v>
      </c>
      <c r="R907" s="42">
        <f t="shared" si="117"/>
        <v>0</v>
      </c>
      <c r="S907" s="42">
        <f t="shared" si="118"/>
        <v>0</v>
      </c>
      <c r="T907" s="42">
        <f t="shared" si="119"/>
        <v>1</v>
      </c>
    </row>
    <row r="908" spans="1:20" x14ac:dyDescent="0.2">
      <c r="A908" s="30">
        <v>901</v>
      </c>
      <c r="C908" s="31">
        <v>0.99240132097483857</v>
      </c>
      <c r="D908" s="32">
        <v>15678.373049125277</v>
      </c>
      <c r="E908" s="31">
        <v>0.88614109897055549</v>
      </c>
      <c r="F908" s="32">
        <v>6821.5281996833264</v>
      </c>
      <c r="G908" s="31">
        <v>0.9389512724355682</v>
      </c>
      <c r="H908" s="32">
        <v>9511.0148134434676</v>
      </c>
      <c r="I908" s="31">
        <v>0.87952057821725305</v>
      </c>
      <c r="J908" s="32">
        <v>5209.9599078082865</v>
      </c>
      <c r="L908" s="43">
        <f t="shared" si="112"/>
        <v>-10716.366444251085</v>
      </c>
      <c r="M908" s="43">
        <f t="shared" si="113"/>
        <v>-2390.8227048305489</v>
      </c>
      <c r="N908" s="43">
        <f t="shared" si="114"/>
        <v>-4816.2584512656267</v>
      </c>
      <c r="O908" s="43">
        <f t="shared" si="115"/>
        <v>-812.3570167220214</v>
      </c>
      <c r="Q908" s="42">
        <f t="shared" si="116"/>
        <v>0</v>
      </c>
      <c r="R908" s="42">
        <f t="shared" si="117"/>
        <v>0</v>
      </c>
      <c r="S908" s="42">
        <f t="shared" si="118"/>
        <v>0</v>
      </c>
      <c r="T908" s="42">
        <f t="shared" si="119"/>
        <v>1</v>
      </c>
    </row>
    <row r="909" spans="1:20" x14ac:dyDescent="0.2">
      <c r="A909" s="30">
        <v>902</v>
      </c>
      <c r="C909" s="31">
        <v>0.9730898936214013</v>
      </c>
      <c r="D909" s="32">
        <v>16449.948709414497</v>
      </c>
      <c r="E909" s="31">
        <v>0.91203938405097718</v>
      </c>
      <c r="F909" s="32">
        <v>5553.8680126075478</v>
      </c>
      <c r="G909" s="31">
        <v>0.91031753661285131</v>
      </c>
      <c r="H909" s="32">
        <v>9474.132440910822</v>
      </c>
      <c r="I909" s="31">
        <v>0.91032029714051599</v>
      </c>
      <c r="J909" s="32">
        <v>5373.8409783361631</v>
      </c>
      <c r="L909" s="43">
        <f t="shared" si="112"/>
        <v>-11584.499241307491</v>
      </c>
      <c r="M909" s="43">
        <f t="shared" si="113"/>
        <v>-993.67109235266162</v>
      </c>
      <c r="N909" s="43">
        <f t="shared" si="114"/>
        <v>-4922.5447578465655</v>
      </c>
      <c r="O909" s="43">
        <f t="shared" si="115"/>
        <v>-822.23949263358281</v>
      </c>
      <c r="Q909" s="42">
        <f t="shared" si="116"/>
        <v>0</v>
      </c>
      <c r="R909" s="42">
        <f t="shared" si="117"/>
        <v>0</v>
      </c>
      <c r="S909" s="42">
        <f t="shared" si="118"/>
        <v>0</v>
      </c>
      <c r="T909" s="42">
        <f t="shared" si="119"/>
        <v>1</v>
      </c>
    </row>
    <row r="910" spans="1:20" x14ac:dyDescent="0.2">
      <c r="A910" s="30">
        <v>903</v>
      </c>
      <c r="C910" s="31">
        <v>0.99828751241269875</v>
      </c>
      <c r="D910" s="32">
        <v>15955.681532905985</v>
      </c>
      <c r="E910" s="31">
        <v>0.77335251217633116</v>
      </c>
      <c r="F910" s="32">
        <v>2428.5244985241729</v>
      </c>
      <c r="G910" s="31">
        <v>0.94606134890277582</v>
      </c>
      <c r="H910" s="32">
        <v>9498.6258554807118</v>
      </c>
      <c r="I910" s="31">
        <v>0.76977691808855075</v>
      </c>
      <c r="J910" s="32">
        <v>2199.1934841326388</v>
      </c>
      <c r="L910" s="43">
        <f t="shared" si="112"/>
        <v>-10964.24397084249</v>
      </c>
      <c r="M910" s="43">
        <f t="shared" si="113"/>
        <v>1438.2380623574827</v>
      </c>
      <c r="N910" s="43">
        <f t="shared" si="114"/>
        <v>-4768.3191109668323</v>
      </c>
      <c r="O910" s="43">
        <f t="shared" si="115"/>
        <v>1649.6911063101152</v>
      </c>
      <c r="Q910" s="42">
        <f t="shared" si="116"/>
        <v>0</v>
      </c>
      <c r="R910" s="42">
        <f t="shared" si="117"/>
        <v>0</v>
      </c>
      <c r="S910" s="42">
        <f t="shared" si="118"/>
        <v>0</v>
      </c>
      <c r="T910" s="42">
        <f t="shared" si="119"/>
        <v>1</v>
      </c>
    </row>
    <row r="911" spans="1:20" x14ac:dyDescent="0.2">
      <c r="A911" s="30">
        <v>904</v>
      </c>
      <c r="C911" s="31">
        <v>0.96511446386772837</v>
      </c>
      <c r="D911" s="32">
        <v>14130.88728037108</v>
      </c>
      <c r="E911" s="31">
        <v>0.94014507104450029</v>
      </c>
      <c r="F911" s="32">
        <v>10694.568556625436</v>
      </c>
      <c r="G911" s="31">
        <v>0.9343050870587033</v>
      </c>
      <c r="H911" s="32">
        <v>8016.3299913803066</v>
      </c>
      <c r="I911" s="31">
        <v>0.93430508705870341</v>
      </c>
      <c r="J911" s="32">
        <v>6459.7857526088455</v>
      </c>
      <c r="L911" s="43">
        <f t="shared" si="112"/>
        <v>-9305.3149610324381</v>
      </c>
      <c r="M911" s="43">
        <f t="shared" si="113"/>
        <v>-5993.8432014029349</v>
      </c>
      <c r="N911" s="43">
        <f t="shared" si="114"/>
        <v>-3344.8045560867904</v>
      </c>
      <c r="O911" s="43">
        <f t="shared" si="115"/>
        <v>-1788.2603173153284</v>
      </c>
      <c r="Q911" s="42">
        <f t="shared" si="116"/>
        <v>0</v>
      </c>
      <c r="R911" s="42">
        <f t="shared" si="117"/>
        <v>0</v>
      </c>
      <c r="S911" s="42">
        <f t="shared" si="118"/>
        <v>0</v>
      </c>
      <c r="T911" s="42">
        <f t="shared" si="119"/>
        <v>1</v>
      </c>
    </row>
    <row r="912" spans="1:20" x14ac:dyDescent="0.2">
      <c r="A912" s="30">
        <v>905</v>
      </c>
      <c r="C912" s="31">
        <v>0.98504460583874542</v>
      </c>
      <c r="D912" s="32">
        <v>11735.039279465649</v>
      </c>
      <c r="E912" s="31">
        <v>0.8791277901741692</v>
      </c>
      <c r="F912" s="32">
        <v>3880.1414903253899</v>
      </c>
      <c r="G912" s="31">
        <v>0.9211986458125303</v>
      </c>
      <c r="H912" s="32">
        <v>7223.257461511339</v>
      </c>
      <c r="I912" s="31">
        <v>0.87090461039348877</v>
      </c>
      <c r="J912" s="32">
        <v>3651.1998152720494</v>
      </c>
      <c r="L912" s="43">
        <f t="shared" si="112"/>
        <v>-6809.8162502719224</v>
      </c>
      <c r="M912" s="43">
        <f t="shared" si="113"/>
        <v>515.49746054545631</v>
      </c>
      <c r="N912" s="43">
        <f t="shared" si="114"/>
        <v>-2617.2642324486878</v>
      </c>
      <c r="O912" s="43">
        <f t="shared" si="115"/>
        <v>703.32323669539483</v>
      </c>
      <c r="Q912" s="42">
        <f t="shared" si="116"/>
        <v>0</v>
      </c>
      <c r="R912" s="42">
        <f t="shared" si="117"/>
        <v>0</v>
      </c>
      <c r="S912" s="42">
        <f t="shared" si="118"/>
        <v>0</v>
      </c>
      <c r="T912" s="42">
        <f t="shared" si="119"/>
        <v>1</v>
      </c>
    </row>
    <row r="913" spans="1:20" x14ac:dyDescent="0.2">
      <c r="A913" s="30">
        <v>906</v>
      </c>
      <c r="C913" s="31">
        <v>0.97647855620717061</v>
      </c>
      <c r="D913" s="32">
        <v>16594.030920903409</v>
      </c>
      <c r="E913" s="31">
        <v>0.82728520204863987</v>
      </c>
      <c r="F913" s="32">
        <v>6114.9477594076325</v>
      </c>
      <c r="G913" s="31">
        <v>0.96474508960930971</v>
      </c>
      <c r="H913" s="32">
        <v>10444.114588621129</v>
      </c>
      <c r="I913" s="31">
        <v>0.82560453449864402</v>
      </c>
      <c r="J913" s="32">
        <v>4504.8454986895231</v>
      </c>
      <c r="L913" s="43">
        <f t="shared" si="112"/>
        <v>-11711.638139867557</v>
      </c>
      <c r="M913" s="43">
        <f t="shared" si="113"/>
        <v>-1978.5217491644335</v>
      </c>
      <c r="N913" s="43">
        <f t="shared" si="114"/>
        <v>-5620.3891405745799</v>
      </c>
      <c r="O913" s="43">
        <f t="shared" si="115"/>
        <v>-376.82282619630314</v>
      </c>
      <c r="Q913" s="42">
        <f t="shared" si="116"/>
        <v>0</v>
      </c>
      <c r="R913" s="42">
        <f t="shared" si="117"/>
        <v>0</v>
      </c>
      <c r="S913" s="42">
        <f t="shared" si="118"/>
        <v>0</v>
      </c>
      <c r="T913" s="42">
        <f t="shared" si="119"/>
        <v>1</v>
      </c>
    </row>
    <row r="914" spans="1:20" x14ac:dyDescent="0.2">
      <c r="A914" s="30">
        <v>907</v>
      </c>
      <c r="C914" s="31">
        <v>0.98667872563635017</v>
      </c>
      <c r="D914" s="32">
        <v>12439.521238169082</v>
      </c>
      <c r="E914" s="31">
        <v>0.95864275176299685</v>
      </c>
      <c r="F914" s="32">
        <v>4106.9649768915724</v>
      </c>
      <c r="G914" s="31">
        <v>0.96569547129662725</v>
      </c>
      <c r="H914" s="32">
        <v>7985.8248025793282</v>
      </c>
      <c r="I914" s="31">
        <v>0.95439047162210677</v>
      </c>
      <c r="J914" s="32">
        <v>3906.083821006926</v>
      </c>
      <c r="L914" s="43">
        <f t="shared" si="112"/>
        <v>-7506.1276099873312</v>
      </c>
      <c r="M914" s="43">
        <f t="shared" si="113"/>
        <v>686.24878192341203</v>
      </c>
      <c r="N914" s="43">
        <f t="shared" si="114"/>
        <v>-3157.3474460961916</v>
      </c>
      <c r="O914" s="43">
        <f t="shared" si="115"/>
        <v>865.86853710360811</v>
      </c>
      <c r="Q914" s="42">
        <f t="shared" si="116"/>
        <v>0</v>
      </c>
      <c r="R914" s="42">
        <f t="shared" si="117"/>
        <v>0</v>
      </c>
      <c r="S914" s="42">
        <f t="shared" si="118"/>
        <v>0</v>
      </c>
      <c r="T914" s="42">
        <f t="shared" si="119"/>
        <v>1</v>
      </c>
    </row>
    <row r="915" spans="1:20" x14ac:dyDescent="0.2">
      <c r="A915" s="30">
        <v>908</v>
      </c>
      <c r="C915" s="31">
        <v>0.99571772719300833</v>
      </c>
      <c r="D915" s="32">
        <v>16352.944610103461</v>
      </c>
      <c r="E915" s="31">
        <v>0.79059070795766406</v>
      </c>
      <c r="F915" s="32">
        <v>3503.619600237294</v>
      </c>
      <c r="G915" s="31">
        <v>0.9600312723785398</v>
      </c>
      <c r="H915" s="32">
        <v>9711.4374215170919</v>
      </c>
      <c r="I915" s="31">
        <v>0.78765077409815776</v>
      </c>
      <c r="J915" s="32">
        <v>2711.4802408344567</v>
      </c>
      <c r="L915" s="43">
        <f t="shared" si="112"/>
        <v>-11374.35597413842</v>
      </c>
      <c r="M915" s="43">
        <f t="shared" si="113"/>
        <v>449.33393955102656</v>
      </c>
      <c r="N915" s="43">
        <f t="shared" si="114"/>
        <v>-4911.2810596243926</v>
      </c>
      <c r="O915" s="43">
        <f t="shared" si="115"/>
        <v>1226.7736296563321</v>
      </c>
      <c r="Q915" s="42">
        <f t="shared" si="116"/>
        <v>0</v>
      </c>
      <c r="R915" s="42">
        <f t="shared" si="117"/>
        <v>0</v>
      </c>
      <c r="S915" s="42">
        <f t="shared" si="118"/>
        <v>0</v>
      </c>
      <c r="T915" s="42">
        <f t="shared" si="119"/>
        <v>1</v>
      </c>
    </row>
    <row r="916" spans="1:20" x14ac:dyDescent="0.2">
      <c r="A916" s="30">
        <v>909</v>
      </c>
      <c r="C916" s="31">
        <v>0.99541312978850016</v>
      </c>
      <c r="D916" s="32">
        <v>15019.261782167934</v>
      </c>
      <c r="E916" s="31">
        <v>0.92681113723475905</v>
      </c>
      <c r="F916" s="32">
        <v>8601.2195175727647</v>
      </c>
      <c r="G916" s="31">
        <v>0.94655219430081183</v>
      </c>
      <c r="H916" s="32">
        <v>8961.7356479645714</v>
      </c>
      <c r="I916" s="31">
        <v>0.92545418999281936</v>
      </c>
      <c r="J916" s="32">
        <v>6115.0579170018764</v>
      </c>
      <c r="L916" s="43">
        <f t="shared" si="112"/>
        <v>-10042.196133225432</v>
      </c>
      <c r="M916" s="43">
        <f t="shared" si="113"/>
        <v>-3967.1638313989697</v>
      </c>
      <c r="N916" s="43">
        <f t="shared" si="114"/>
        <v>-4228.9746764605125</v>
      </c>
      <c r="O916" s="43">
        <f t="shared" si="115"/>
        <v>-1487.7869670377795</v>
      </c>
      <c r="Q916" s="42">
        <f t="shared" si="116"/>
        <v>0</v>
      </c>
      <c r="R916" s="42">
        <f t="shared" si="117"/>
        <v>0</v>
      </c>
      <c r="S916" s="42">
        <f t="shared" si="118"/>
        <v>0</v>
      </c>
      <c r="T916" s="42">
        <f t="shared" si="119"/>
        <v>1</v>
      </c>
    </row>
    <row r="917" spans="1:20" x14ac:dyDescent="0.2">
      <c r="A917" s="30">
        <v>910</v>
      </c>
      <c r="C917" s="31">
        <v>0.99415161540150254</v>
      </c>
      <c r="D917" s="32">
        <v>17054.26610924369</v>
      </c>
      <c r="E917" s="31">
        <v>0.97627924828602164</v>
      </c>
      <c r="F917" s="32">
        <v>5541.544599668031</v>
      </c>
      <c r="G917" s="31">
        <v>0.97627924773993713</v>
      </c>
      <c r="H917" s="32">
        <v>9889.2293047457715</v>
      </c>
      <c r="I917" s="31">
        <v>0.97627924828999402</v>
      </c>
      <c r="J917" s="32">
        <v>5366.0016980840246</v>
      </c>
      <c r="L917" s="43">
        <f t="shared" si="112"/>
        <v>-12083.508032236177</v>
      </c>
      <c r="M917" s="43">
        <f t="shared" si="113"/>
        <v>-660.14835823792237</v>
      </c>
      <c r="N917" s="43">
        <f t="shared" si="114"/>
        <v>-5007.8330660460861</v>
      </c>
      <c r="O917" s="43">
        <f t="shared" si="115"/>
        <v>-484.60545663405446</v>
      </c>
      <c r="Q917" s="42">
        <f t="shared" si="116"/>
        <v>0</v>
      </c>
      <c r="R917" s="42">
        <f t="shared" si="117"/>
        <v>0</v>
      </c>
      <c r="S917" s="42">
        <f t="shared" si="118"/>
        <v>0</v>
      </c>
      <c r="T917" s="42">
        <f t="shared" si="119"/>
        <v>1</v>
      </c>
    </row>
    <row r="918" spans="1:20" x14ac:dyDescent="0.2">
      <c r="A918" s="30">
        <v>911</v>
      </c>
      <c r="C918" s="31">
        <v>0.99555275800572107</v>
      </c>
      <c r="D918" s="32">
        <v>15643.038525045329</v>
      </c>
      <c r="E918" s="31">
        <v>0.95887230723581474</v>
      </c>
      <c r="F918" s="32">
        <v>12924.879712203689</v>
      </c>
      <c r="G918" s="31">
        <v>0.95409739621097445</v>
      </c>
      <c r="H918" s="32">
        <v>9852.0100767532531</v>
      </c>
      <c r="I918" s="31">
        <v>0.95409739621097445</v>
      </c>
      <c r="J918" s="32">
        <v>8424.6877571231526</v>
      </c>
      <c r="L918" s="43">
        <f t="shared" si="112"/>
        <v>-10665.274735016723</v>
      </c>
      <c r="M918" s="43">
        <f t="shared" si="113"/>
        <v>-8130.5181760246151</v>
      </c>
      <c r="N918" s="43">
        <f t="shared" si="114"/>
        <v>-5081.5230956983805</v>
      </c>
      <c r="O918" s="43">
        <f t="shared" si="115"/>
        <v>-3654.20077606828</v>
      </c>
      <c r="Q918" s="42">
        <f t="shared" si="116"/>
        <v>0</v>
      </c>
      <c r="R918" s="42">
        <f t="shared" si="117"/>
        <v>0</v>
      </c>
      <c r="S918" s="42">
        <f t="shared" si="118"/>
        <v>0</v>
      </c>
      <c r="T918" s="42">
        <f t="shared" si="119"/>
        <v>1</v>
      </c>
    </row>
    <row r="919" spans="1:20" x14ac:dyDescent="0.2">
      <c r="A919" s="30">
        <v>912</v>
      </c>
      <c r="C919" s="31">
        <v>0.99820754259040567</v>
      </c>
      <c r="D919" s="32">
        <v>14675.862615467695</v>
      </c>
      <c r="E919" s="31">
        <v>0.95685116503776912</v>
      </c>
      <c r="F919" s="32">
        <v>10656.247135617554</v>
      </c>
      <c r="G919" s="31">
        <v>0.94891695230279605</v>
      </c>
      <c r="H919" s="32">
        <v>9105.0770700800331</v>
      </c>
      <c r="I919" s="31">
        <v>0.94891695230279605</v>
      </c>
      <c r="J919" s="32">
        <v>7406.9210647870459</v>
      </c>
      <c r="L919" s="43">
        <f t="shared" si="112"/>
        <v>-9684.8249025156656</v>
      </c>
      <c r="M919" s="43">
        <f t="shared" si="113"/>
        <v>-5871.9913104287079</v>
      </c>
      <c r="N919" s="43">
        <f t="shared" si="114"/>
        <v>-4360.492308566053</v>
      </c>
      <c r="O919" s="43">
        <f t="shared" si="115"/>
        <v>-2662.3363032730658</v>
      </c>
      <c r="Q919" s="42">
        <f t="shared" si="116"/>
        <v>0</v>
      </c>
      <c r="R919" s="42">
        <f t="shared" si="117"/>
        <v>0</v>
      </c>
      <c r="S919" s="42">
        <f t="shared" si="118"/>
        <v>0</v>
      </c>
      <c r="T919" s="42">
        <f t="shared" si="119"/>
        <v>1</v>
      </c>
    </row>
    <row r="920" spans="1:20" x14ac:dyDescent="0.2">
      <c r="A920" s="30">
        <v>913</v>
      </c>
      <c r="C920" s="31">
        <v>0.9903506745088746</v>
      </c>
      <c r="D920" s="32">
        <v>17478.899227608996</v>
      </c>
      <c r="E920" s="31">
        <v>0.94960441728686695</v>
      </c>
      <c r="F920" s="32">
        <v>8372.7338583221372</v>
      </c>
      <c r="G920" s="31">
        <v>0.94713550146459258</v>
      </c>
      <c r="H920" s="32">
        <v>10803.73464235758</v>
      </c>
      <c r="I920" s="31">
        <v>0.94713550146459458</v>
      </c>
      <c r="J920" s="32">
        <v>6608.3256764209154</v>
      </c>
      <c r="L920" s="43">
        <f t="shared" si="112"/>
        <v>-12527.145855064624</v>
      </c>
      <c r="M920" s="43">
        <f t="shared" si="113"/>
        <v>-3624.7117718878026</v>
      </c>
      <c r="N920" s="43">
        <f t="shared" si="114"/>
        <v>-6068.0571350346172</v>
      </c>
      <c r="O920" s="43">
        <f t="shared" si="115"/>
        <v>-1872.6481690979426</v>
      </c>
      <c r="Q920" s="42">
        <f t="shared" si="116"/>
        <v>0</v>
      </c>
      <c r="R920" s="42">
        <f t="shared" si="117"/>
        <v>0</v>
      </c>
      <c r="S920" s="42">
        <f t="shared" si="118"/>
        <v>0</v>
      </c>
      <c r="T920" s="42">
        <f t="shared" si="119"/>
        <v>1</v>
      </c>
    </row>
    <row r="921" spans="1:20" x14ac:dyDescent="0.2">
      <c r="A921" s="30">
        <v>914</v>
      </c>
      <c r="C921" s="31">
        <v>0.95094263696198056</v>
      </c>
      <c r="D921" s="32">
        <v>16873.200603323476</v>
      </c>
      <c r="E921" s="31">
        <v>0.91332395836337232</v>
      </c>
      <c r="F921" s="32">
        <v>9501.1899398496244</v>
      </c>
      <c r="G921" s="31">
        <v>0.90725243794215471</v>
      </c>
      <c r="H921" s="32">
        <v>10298.884066212107</v>
      </c>
      <c r="I921" s="31">
        <v>0.90725243794215471</v>
      </c>
      <c r="J921" s="32">
        <v>7341.948515595981</v>
      </c>
      <c r="L921" s="43">
        <f t="shared" si="112"/>
        <v>-12118.487418513574</v>
      </c>
      <c r="M921" s="43">
        <f t="shared" si="113"/>
        <v>-4934.5701480327625</v>
      </c>
      <c r="N921" s="43">
        <f t="shared" si="114"/>
        <v>-5762.6218765013336</v>
      </c>
      <c r="O921" s="43">
        <f t="shared" si="115"/>
        <v>-2805.6863258852072</v>
      </c>
      <c r="Q921" s="42">
        <f t="shared" si="116"/>
        <v>0</v>
      </c>
      <c r="R921" s="42">
        <f t="shared" si="117"/>
        <v>0</v>
      </c>
      <c r="S921" s="42">
        <f t="shared" si="118"/>
        <v>0</v>
      </c>
      <c r="T921" s="42">
        <f t="shared" si="119"/>
        <v>1</v>
      </c>
    </row>
    <row r="922" spans="1:20" x14ac:dyDescent="0.2">
      <c r="A922" s="30">
        <v>915</v>
      </c>
      <c r="C922" s="31">
        <v>0.97925765823400346</v>
      </c>
      <c r="D922" s="32">
        <v>13725.096169020651</v>
      </c>
      <c r="E922" s="31">
        <v>0.87129795745385685</v>
      </c>
      <c r="F922" s="32">
        <v>3464.0276321269539</v>
      </c>
      <c r="G922" s="31">
        <v>0.95233533621709066</v>
      </c>
      <c r="H922" s="32">
        <v>8291.1267355922937</v>
      </c>
      <c r="I922" s="31">
        <v>0.86656010560738972</v>
      </c>
      <c r="J922" s="32">
        <v>3209.845082504748</v>
      </c>
      <c r="L922" s="43">
        <f t="shared" si="112"/>
        <v>-8828.8078778506351</v>
      </c>
      <c r="M922" s="43">
        <f t="shared" si="113"/>
        <v>892.46215514233063</v>
      </c>
      <c r="N922" s="43">
        <f t="shared" si="114"/>
        <v>-3529.4500545068404</v>
      </c>
      <c r="O922" s="43">
        <f t="shared" si="115"/>
        <v>1122.9554455322009</v>
      </c>
      <c r="Q922" s="42">
        <f t="shared" si="116"/>
        <v>0</v>
      </c>
      <c r="R922" s="42">
        <f t="shared" si="117"/>
        <v>0</v>
      </c>
      <c r="S922" s="42">
        <f t="shared" si="118"/>
        <v>0</v>
      </c>
      <c r="T922" s="42">
        <f t="shared" si="119"/>
        <v>1</v>
      </c>
    </row>
    <row r="923" spans="1:20" x14ac:dyDescent="0.2">
      <c r="A923" s="30">
        <v>916</v>
      </c>
      <c r="C923" s="31">
        <v>0.99496275379625199</v>
      </c>
      <c r="D923" s="32">
        <v>14429.737435197785</v>
      </c>
      <c r="E923" s="31">
        <v>0.93790753205924327</v>
      </c>
      <c r="F923" s="32">
        <v>6114.2027503252175</v>
      </c>
      <c r="G923" s="31">
        <v>0.93027243812904126</v>
      </c>
      <c r="H923" s="32">
        <v>9448.7755714936648</v>
      </c>
      <c r="I923" s="31">
        <v>0.93027243812904126</v>
      </c>
      <c r="J923" s="32">
        <v>5264.6281925096619</v>
      </c>
      <c r="L923" s="43">
        <f t="shared" si="112"/>
        <v>-9454.923666216524</v>
      </c>
      <c r="M923" s="43">
        <f t="shared" si="113"/>
        <v>-1424.6650900290015</v>
      </c>
      <c r="N923" s="43">
        <f t="shared" si="114"/>
        <v>-4797.4133808484585</v>
      </c>
      <c r="O923" s="43">
        <f t="shared" si="115"/>
        <v>-613.26600186445557</v>
      </c>
      <c r="Q923" s="42">
        <f t="shared" si="116"/>
        <v>0</v>
      </c>
      <c r="R923" s="42">
        <f t="shared" si="117"/>
        <v>0</v>
      </c>
      <c r="S923" s="42">
        <f t="shared" si="118"/>
        <v>0</v>
      </c>
      <c r="T923" s="42">
        <f t="shared" si="119"/>
        <v>1</v>
      </c>
    </row>
    <row r="924" spans="1:20" x14ac:dyDescent="0.2">
      <c r="A924" s="30">
        <v>917</v>
      </c>
      <c r="C924" s="31">
        <v>0.98058644578823229</v>
      </c>
      <c r="D924" s="32">
        <v>15013.88968338323</v>
      </c>
      <c r="E924" s="31">
        <v>0.73181768579486206</v>
      </c>
      <c r="F924" s="32">
        <v>5343.5818262016028</v>
      </c>
      <c r="G924" s="31">
        <v>0.88153564603564105</v>
      </c>
      <c r="H924" s="32">
        <v>9149.8492201850331</v>
      </c>
      <c r="I924" s="31">
        <v>0.72853198572225453</v>
      </c>
      <c r="J924" s="32">
        <v>3517.6367637916096</v>
      </c>
      <c r="L924" s="43">
        <f t="shared" si="112"/>
        <v>-10110.957454442068</v>
      </c>
      <c r="M924" s="43">
        <f t="shared" si="113"/>
        <v>-1684.4933972272925</v>
      </c>
      <c r="N924" s="43">
        <f t="shared" si="114"/>
        <v>-4742.1709900068281</v>
      </c>
      <c r="O924" s="43">
        <f t="shared" si="115"/>
        <v>125.02316481966318</v>
      </c>
      <c r="Q924" s="42">
        <f t="shared" si="116"/>
        <v>0</v>
      </c>
      <c r="R924" s="42">
        <f t="shared" si="117"/>
        <v>0</v>
      </c>
      <c r="S924" s="42">
        <f t="shared" si="118"/>
        <v>0</v>
      </c>
      <c r="T924" s="42">
        <f t="shared" si="119"/>
        <v>1</v>
      </c>
    </row>
    <row r="925" spans="1:20" x14ac:dyDescent="0.2">
      <c r="A925" s="30">
        <v>918</v>
      </c>
      <c r="C925" s="31">
        <v>0.98280431500128229</v>
      </c>
      <c r="D925" s="32">
        <v>11664.898217102389</v>
      </c>
      <c r="E925" s="31">
        <v>0.92957344203599312</v>
      </c>
      <c r="F925" s="32">
        <v>4493.2125020589738</v>
      </c>
      <c r="G925" s="31">
        <v>0.92211916779287173</v>
      </c>
      <c r="H925" s="32">
        <v>7233.830080972356</v>
      </c>
      <c r="I925" s="31">
        <v>0.92211916779287173</v>
      </c>
      <c r="J925" s="32">
        <v>3976.5597788435812</v>
      </c>
      <c r="L925" s="43">
        <f t="shared" si="112"/>
        <v>-6750.8766420959773</v>
      </c>
      <c r="M925" s="43">
        <f t="shared" si="113"/>
        <v>154.65470812099193</v>
      </c>
      <c r="N925" s="43">
        <f t="shared" si="114"/>
        <v>-2623.2342420079976</v>
      </c>
      <c r="O925" s="43">
        <f t="shared" si="115"/>
        <v>634.03606012077717</v>
      </c>
      <c r="Q925" s="42">
        <f t="shared" si="116"/>
        <v>0</v>
      </c>
      <c r="R925" s="42">
        <f t="shared" si="117"/>
        <v>0</v>
      </c>
      <c r="S925" s="42">
        <f t="shared" si="118"/>
        <v>0</v>
      </c>
      <c r="T925" s="42">
        <f t="shared" si="119"/>
        <v>1</v>
      </c>
    </row>
    <row r="926" spans="1:20" x14ac:dyDescent="0.2">
      <c r="A926" s="30">
        <v>919</v>
      </c>
      <c r="C926" s="31">
        <v>0.98153755448723778</v>
      </c>
      <c r="D926" s="32">
        <v>14915.755592599962</v>
      </c>
      <c r="E926" s="31">
        <v>0.90016869086189433</v>
      </c>
      <c r="F926" s="32">
        <v>3601.2327890056104</v>
      </c>
      <c r="G926" s="31">
        <v>0.97036793753142825</v>
      </c>
      <c r="H926" s="32">
        <v>8348.8179666288615</v>
      </c>
      <c r="I926" s="31">
        <v>0.89179331787604355</v>
      </c>
      <c r="J926" s="32">
        <v>3263.8221183517321</v>
      </c>
      <c r="L926" s="43">
        <f t="shared" si="112"/>
        <v>-10008.067820163773</v>
      </c>
      <c r="M926" s="43">
        <f t="shared" si="113"/>
        <v>899.61066530386142</v>
      </c>
      <c r="N926" s="43">
        <f t="shared" si="114"/>
        <v>-3496.9782789717201</v>
      </c>
      <c r="O926" s="43">
        <f t="shared" si="115"/>
        <v>1195.1444710284854</v>
      </c>
      <c r="Q926" s="42">
        <f t="shared" si="116"/>
        <v>0</v>
      </c>
      <c r="R926" s="42">
        <f t="shared" si="117"/>
        <v>0</v>
      </c>
      <c r="S926" s="42">
        <f t="shared" si="118"/>
        <v>0</v>
      </c>
      <c r="T926" s="42">
        <f t="shared" si="119"/>
        <v>1</v>
      </c>
    </row>
    <row r="927" spans="1:20" x14ac:dyDescent="0.2">
      <c r="A927" s="30">
        <v>920</v>
      </c>
      <c r="C927" s="31">
        <v>0.99757080175368351</v>
      </c>
      <c r="D927" s="32">
        <v>12964.802158504541</v>
      </c>
      <c r="E927" s="31">
        <v>0.73846418485893461</v>
      </c>
      <c r="F927" s="32">
        <v>1872.1517059846708</v>
      </c>
      <c r="G927" s="31">
        <v>0.93795371518626813</v>
      </c>
      <c r="H927" s="32">
        <v>7741.9642014898318</v>
      </c>
      <c r="I927" s="31">
        <v>0.73672905654040566</v>
      </c>
      <c r="J927" s="32">
        <v>1712.2853291954593</v>
      </c>
      <c r="L927" s="43">
        <f t="shared" si="112"/>
        <v>-7976.948149736123</v>
      </c>
      <c r="M927" s="43">
        <f t="shared" si="113"/>
        <v>1820.1692183100024</v>
      </c>
      <c r="N927" s="43">
        <f t="shared" si="114"/>
        <v>-3052.195625558491</v>
      </c>
      <c r="O927" s="43">
        <f t="shared" si="115"/>
        <v>1971.3599535065691</v>
      </c>
      <c r="Q927" s="42">
        <f t="shared" si="116"/>
        <v>0</v>
      </c>
      <c r="R927" s="42">
        <f t="shared" si="117"/>
        <v>0</v>
      </c>
      <c r="S927" s="42">
        <f t="shared" si="118"/>
        <v>0</v>
      </c>
      <c r="T927" s="42">
        <f t="shared" si="119"/>
        <v>1</v>
      </c>
    </row>
    <row r="928" spans="1:20" x14ac:dyDescent="0.2">
      <c r="A928" s="30">
        <v>921</v>
      </c>
      <c r="C928" s="31">
        <v>0.95148339723863695</v>
      </c>
      <c r="D928" s="32">
        <v>16801.12214299566</v>
      </c>
      <c r="E928" s="31">
        <v>0.94524593433772375</v>
      </c>
      <c r="F928" s="32">
        <v>5742.0131082186499</v>
      </c>
      <c r="G928" s="31">
        <v>0.93783655954991296</v>
      </c>
      <c r="H928" s="32">
        <v>9511.0738031964938</v>
      </c>
      <c r="I928" s="31">
        <v>0.93783655954991307</v>
      </c>
      <c r="J928" s="32">
        <v>5459.4307346724609</v>
      </c>
      <c r="L928" s="43">
        <f t="shared" si="112"/>
        <v>-12043.705156802476</v>
      </c>
      <c r="M928" s="43">
        <f t="shared" si="113"/>
        <v>-1015.7834365300314</v>
      </c>
      <c r="N928" s="43">
        <f t="shared" si="114"/>
        <v>-4821.8910054469288</v>
      </c>
      <c r="O928" s="43">
        <f t="shared" si="115"/>
        <v>-770.24793692289586</v>
      </c>
      <c r="Q928" s="42">
        <f t="shared" si="116"/>
        <v>0</v>
      </c>
      <c r="R928" s="42">
        <f t="shared" si="117"/>
        <v>0</v>
      </c>
      <c r="S928" s="42">
        <f t="shared" si="118"/>
        <v>0</v>
      </c>
      <c r="T928" s="42">
        <f t="shared" si="119"/>
        <v>1</v>
      </c>
    </row>
    <row r="929" spans="1:20" x14ac:dyDescent="0.2">
      <c r="A929" s="30">
        <v>922</v>
      </c>
      <c r="C929" s="31">
        <v>0.99072477593006536</v>
      </c>
      <c r="D929" s="32">
        <v>16560.149025540803</v>
      </c>
      <c r="E929" s="31">
        <v>0.83057415655855726</v>
      </c>
      <c r="F929" s="32">
        <v>4419.9910488190289</v>
      </c>
      <c r="G929" s="31">
        <v>0.93124380151041564</v>
      </c>
      <c r="H929" s="32">
        <v>9691.1304129795335</v>
      </c>
      <c r="I929" s="31">
        <v>0.8246340986461751</v>
      </c>
      <c r="J929" s="32">
        <v>4179.5906875342926</v>
      </c>
      <c r="L929" s="43">
        <f t="shared" si="112"/>
        <v>-11606.525145890475</v>
      </c>
      <c r="M929" s="43">
        <f t="shared" si="113"/>
        <v>-267.12026602624246</v>
      </c>
      <c r="N929" s="43">
        <f t="shared" si="114"/>
        <v>-5034.9114054274551</v>
      </c>
      <c r="O929" s="43">
        <f t="shared" si="115"/>
        <v>-56.420194303416793</v>
      </c>
      <c r="Q929" s="42">
        <f t="shared" si="116"/>
        <v>0</v>
      </c>
      <c r="R929" s="42">
        <f t="shared" si="117"/>
        <v>0</v>
      </c>
      <c r="S929" s="42">
        <f t="shared" si="118"/>
        <v>0</v>
      </c>
      <c r="T929" s="42">
        <f t="shared" si="119"/>
        <v>1</v>
      </c>
    </row>
    <row r="930" spans="1:20" x14ac:dyDescent="0.2">
      <c r="A930" s="30">
        <v>923</v>
      </c>
      <c r="C930" s="31">
        <v>0.91855733949381413</v>
      </c>
      <c r="D930" s="32">
        <v>15694.187751144282</v>
      </c>
      <c r="E930" s="31">
        <v>0.93969420762310418</v>
      </c>
      <c r="F930" s="32">
        <v>5941.4967758030143</v>
      </c>
      <c r="G930" s="31">
        <v>0.93636314152023292</v>
      </c>
      <c r="H930" s="32">
        <v>10096.808510306453</v>
      </c>
      <c r="I930" s="31">
        <v>0.93636314152023314</v>
      </c>
      <c r="J930" s="32">
        <v>5795.7794690164819</v>
      </c>
      <c r="L930" s="43">
        <f t="shared" si="112"/>
        <v>-11101.40105367521</v>
      </c>
      <c r="M930" s="43">
        <f t="shared" si="113"/>
        <v>-1243.0257376874933</v>
      </c>
      <c r="N930" s="43">
        <f t="shared" si="114"/>
        <v>-5414.9928027052883</v>
      </c>
      <c r="O930" s="43">
        <f t="shared" si="115"/>
        <v>-1113.9637614153162</v>
      </c>
      <c r="Q930" s="42">
        <f t="shared" si="116"/>
        <v>0</v>
      </c>
      <c r="R930" s="42">
        <f t="shared" si="117"/>
        <v>0</v>
      </c>
      <c r="S930" s="42">
        <f t="shared" si="118"/>
        <v>0</v>
      </c>
      <c r="T930" s="42">
        <f t="shared" si="119"/>
        <v>1</v>
      </c>
    </row>
    <row r="931" spans="1:20" x14ac:dyDescent="0.2">
      <c r="A931" s="30">
        <v>924</v>
      </c>
      <c r="C931" s="31">
        <v>0.99126740861126683</v>
      </c>
      <c r="D931" s="32">
        <v>16838.753713220882</v>
      </c>
      <c r="E931" s="31">
        <v>0.94111541050700342</v>
      </c>
      <c r="F931" s="32">
        <v>5869.3941746370174</v>
      </c>
      <c r="G931" s="31">
        <v>0.94937710646802742</v>
      </c>
      <c r="H931" s="32">
        <v>10348.003833397497</v>
      </c>
      <c r="I931" s="31">
        <v>0.93044178006206502</v>
      </c>
      <c r="J931" s="32">
        <v>5523.3479128709878</v>
      </c>
      <c r="L931" s="43">
        <f t="shared" si="112"/>
        <v>-11882.416670164548</v>
      </c>
      <c r="M931" s="43">
        <f t="shared" si="113"/>
        <v>-1163.8171221020002</v>
      </c>
      <c r="N931" s="43">
        <f t="shared" si="114"/>
        <v>-5601.1183010573604</v>
      </c>
      <c r="O931" s="43">
        <f t="shared" si="115"/>
        <v>-871.1390125606631</v>
      </c>
      <c r="Q931" s="42">
        <f t="shared" si="116"/>
        <v>0</v>
      </c>
      <c r="R931" s="42">
        <f t="shared" si="117"/>
        <v>0</v>
      </c>
      <c r="S931" s="42">
        <f t="shared" si="118"/>
        <v>0</v>
      </c>
      <c r="T931" s="42">
        <f t="shared" si="119"/>
        <v>1</v>
      </c>
    </row>
    <row r="932" spans="1:20" x14ac:dyDescent="0.2">
      <c r="A932" s="30">
        <v>925</v>
      </c>
      <c r="C932" s="31">
        <v>0.9990055875429229</v>
      </c>
      <c r="D932" s="32">
        <v>12351.956782923162</v>
      </c>
      <c r="E932" s="31">
        <v>0.96771930306420484</v>
      </c>
      <c r="F932" s="32">
        <v>5205.8831160787868</v>
      </c>
      <c r="G932" s="31">
        <v>0.96339058715843051</v>
      </c>
      <c r="H932" s="32">
        <v>7588.7860588698823</v>
      </c>
      <c r="I932" s="31">
        <v>0.96339058715843051</v>
      </c>
      <c r="J932" s="32">
        <v>4626.6557693397262</v>
      </c>
      <c r="L932" s="43">
        <f t="shared" si="112"/>
        <v>-7356.9288452085475</v>
      </c>
      <c r="M932" s="43">
        <f t="shared" si="113"/>
        <v>-367.28660075776224</v>
      </c>
      <c r="N932" s="43">
        <f t="shared" si="114"/>
        <v>-2771.8331230777294</v>
      </c>
      <c r="O932" s="43">
        <f t="shared" si="115"/>
        <v>190.29716645242661</v>
      </c>
      <c r="Q932" s="42">
        <f t="shared" si="116"/>
        <v>0</v>
      </c>
      <c r="R932" s="42">
        <f t="shared" si="117"/>
        <v>0</v>
      </c>
      <c r="S932" s="42">
        <f t="shared" si="118"/>
        <v>0</v>
      </c>
      <c r="T932" s="42">
        <f t="shared" si="119"/>
        <v>1</v>
      </c>
    </row>
    <row r="933" spans="1:20" x14ac:dyDescent="0.2">
      <c r="A933" s="30">
        <v>926</v>
      </c>
      <c r="C933" s="31">
        <v>0.98599968786522763</v>
      </c>
      <c r="D933" s="32">
        <v>18219.676911187762</v>
      </c>
      <c r="E933" s="31">
        <v>0.95195736994293245</v>
      </c>
      <c r="F933" s="32">
        <v>15215.92247420672</v>
      </c>
      <c r="G933" s="31">
        <v>0.94746469734882122</v>
      </c>
      <c r="H933" s="32">
        <v>10217.86513977753</v>
      </c>
      <c r="I933" s="31">
        <v>0.93908590211817544</v>
      </c>
      <c r="J933" s="32">
        <v>8914.7133690800529</v>
      </c>
      <c r="L933" s="43">
        <f t="shared" si="112"/>
        <v>-13289.678471861624</v>
      </c>
      <c r="M933" s="43">
        <f t="shared" si="113"/>
        <v>-10456.135624492057</v>
      </c>
      <c r="N933" s="43">
        <f t="shared" si="114"/>
        <v>-5480.5416530334242</v>
      </c>
      <c r="O933" s="43">
        <f t="shared" si="115"/>
        <v>-4219.2838584891761</v>
      </c>
      <c r="Q933" s="42">
        <f t="shared" si="116"/>
        <v>0</v>
      </c>
      <c r="R933" s="42">
        <f t="shared" si="117"/>
        <v>0</v>
      </c>
      <c r="S933" s="42">
        <f t="shared" si="118"/>
        <v>0</v>
      </c>
      <c r="T933" s="42">
        <f t="shared" si="119"/>
        <v>1</v>
      </c>
    </row>
    <row r="934" spans="1:20" x14ac:dyDescent="0.2">
      <c r="A934" s="30">
        <v>927</v>
      </c>
      <c r="C934" s="31">
        <v>0.94462355807094622</v>
      </c>
      <c r="D934" s="32">
        <v>17730.698615770078</v>
      </c>
      <c r="E934" s="31">
        <v>0.80386758961079607</v>
      </c>
      <c r="F934" s="32">
        <v>5155.3749820566727</v>
      </c>
      <c r="G934" s="31">
        <v>0.89818444500163441</v>
      </c>
      <c r="H934" s="32">
        <v>10304.482617424503</v>
      </c>
      <c r="I934" s="31">
        <v>0.79647544679428695</v>
      </c>
      <c r="J934" s="32">
        <v>4389.4017361529714</v>
      </c>
      <c r="L934" s="43">
        <f t="shared" si="112"/>
        <v>-13007.580825415345</v>
      </c>
      <c r="M934" s="43">
        <f t="shared" si="113"/>
        <v>-1136.0370340026925</v>
      </c>
      <c r="N934" s="43">
        <f t="shared" si="114"/>
        <v>-5813.5603924163306</v>
      </c>
      <c r="O934" s="43">
        <f t="shared" si="115"/>
        <v>-407.02450218153672</v>
      </c>
      <c r="Q934" s="42">
        <f t="shared" si="116"/>
        <v>0</v>
      </c>
      <c r="R934" s="42">
        <f t="shared" si="117"/>
        <v>0</v>
      </c>
      <c r="S934" s="42">
        <f t="shared" si="118"/>
        <v>0</v>
      </c>
      <c r="T934" s="42">
        <f t="shared" si="119"/>
        <v>1</v>
      </c>
    </row>
    <row r="935" spans="1:20" x14ac:dyDescent="0.2">
      <c r="A935" s="30">
        <v>928</v>
      </c>
      <c r="C935" s="31">
        <v>0.99858525635910078</v>
      </c>
      <c r="D935" s="32">
        <v>17284.151917646246</v>
      </c>
      <c r="E935" s="31">
        <v>0.93944896207950412</v>
      </c>
      <c r="F935" s="32">
        <v>5958.7355451379935</v>
      </c>
      <c r="G935" s="31">
        <v>0.93750161730854498</v>
      </c>
      <c r="H935" s="32">
        <v>10263.831000029826</v>
      </c>
      <c r="I935" s="31">
        <v>0.93750161730854509</v>
      </c>
      <c r="J935" s="32">
        <v>5796.4928443046292</v>
      </c>
      <c r="L935" s="43">
        <f t="shared" si="112"/>
        <v>-12291.225635850742</v>
      </c>
      <c r="M935" s="43">
        <f t="shared" si="113"/>
        <v>-1261.4907347404733</v>
      </c>
      <c r="N935" s="43">
        <f t="shared" si="114"/>
        <v>-5576.3229134871008</v>
      </c>
      <c r="O935" s="43">
        <f t="shared" si="115"/>
        <v>-1108.9847577619039</v>
      </c>
      <c r="Q935" s="42">
        <f t="shared" si="116"/>
        <v>0</v>
      </c>
      <c r="R935" s="42">
        <f t="shared" si="117"/>
        <v>0</v>
      </c>
      <c r="S935" s="42">
        <f t="shared" si="118"/>
        <v>0</v>
      </c>
      <c r="T935" s="42">
        <f t="shared" si="119"/>
        <v>1</v>
      </c>
    </row>
    <row r="936" spans="1:20" x14ac:dyDescent="0.2">
      <c r="A936" s="30">
        <v>929</v>
      </c>
      <c r="C936" s="31">
        <v>0.9750887337228229</v>
      </c>
      <c r="D936" s="32">
        <v>11108.564755453293</v>
      </c>
      <c r="E936" s="31">
        <v>0.72069726040368653</v>
      </c>
      <c r="F936" s="32">
        <v>1302.9195499230841</v>
      </c>
      <c r="G936" s="31">
        <v>0.93072925956182062</v>
      </c>
      <c r="H936" s="32">
        <v>6459.9472948963175</v>
      </c>
      <c r="I936" s="31">
        <v>0.72009860726750563</v>
      </c>
      <c r="J936" s="32">
        <v>1172.645136349211</v>
      </c>
      <c r="L936" s="43">
        <f t="shared" si="112"/>
        <v>-6233.121086839179</v>
      </c>
      <c r="M936" s="43">
        <f t="shared" si="113"/>
        <v>2300.5667520953484</v>
      </c>
      <c r="N936" s="43">
        <f t="shared" si="114"/>
        <v>-1806.3009970872145</v>
      </c>
      <c r="O936" s="43">
        <f t="shared" si="115"/>
        <v>2427.8478999883173</v>
      </c>
      <c r="Q936" s="42">
        <f t="shared" si="116"/>
        <v>0</v>
      </c>
      <c r="R936" s="42">
        <f t="shared" si="117"/>
        <v>0</v>
      </c>
      <c r="S936" s="42">
        <f t="shared" si="118"/>
        <v>0</v>
      </c>
      <c r="T936" s="42">
        <f t="shared" si="119"/>
        <v>1</v>
      </c>
    </row>
    <row r="937" spans="1:20" x14ac:dyDescent="0.2">
      <c r="A937" s="30">
        <v>930</v>
      </c>
      <c r="C937" s="31">
        <v>0.95468183736688794</v>
      </c>
      <c r="D937" s="32">
        <v>12223.528748565375</v>
      </c>
      <c r="E937" s="31">
        <v>0.90651972293706096</v>
      </c>
      <c r="F937" s="32">
        <v>7673.412343203202</v>
      </c>
      <c r="G937" s="31">
        <v>0.95731000051776283</v>
      </c>
      <c r="H937" s="32">
        <v>7928.7612432462056</v>
      </c>
      <c r="I937" s="31">
        <v>0.89923951257030099</v>
      </c>
      <c r="J937" s="32">
        <v>5249.5871014939057</v>
      </c>
      <c r="L937" s="43">
        <f t="shared" si="112"/>
        <v>-7450.1195617309359</v>
      </c>
      <c r="M937" s="43">
        <f t="shared" si="113"/>
        <v>-3140.8137285178973</v>
      </c>
      <c r="N937" s="43">
        <f t="shared" si="114"/>
        <v>-3142.2112406573915</v>
      </c>
      <c r="O937" s="43">
        <f t="shared" si="115"/>
        <v>-753.38953864240102</v>
      </c>
      <c r="Q937" s="42">
        <f t="shared" si="116"/>
        <v>0</v>
      </c>
      <c r="R937" s="42">
        <f t="shared" si="117"/>
        <v>0</v>
      </c>
      <c r="S937" s="42">
        <f t="shared" si="118"/>
        <v>0</v>
      </c>
      <c r="T937" s="42">
        <f t="shared" si="119"/>
        <v>1</v>
      </c>
    </row>
    <row r="938" spans="1:20" x14ac:dyDescent="0.2">
      <c r="A938" s="30">
        <v>931</v>
      </c>
      <c r="C938" s="31">
        <v>0.99084237490183591</v>
      </c>
      <c r="D938" s="32">
        <v>16972.649020435518</v>
      </c>
      <c r="E938" s="31">
        <v>0.8581946403387769</v>
      </c>
      <c r="F938" s="32">
        <v>4683.2499414811464</v>
      </c>
      <c r="G938" s="31">
        <v>0.93849567703644543</v>
      </c>
      <c r="H938" s="32">
        <v>11020.345787441631</v>
      </c>
      <c r="I938" s="31">
        <v>0.85299390475166703</v>
      </c>
      <c r="J938" s="32">
        <v>4448.9052218788756</v>
      </c>
      <c r="L938" s="43">
        <f t="shared" si="112"/>
        <v>-12018.437145926338</v>
      </c>
      <c r="M938" s="43">
        <f t="shared" si="113"/>
        <v>-392.27673978726216</v>
      </c>
      <c r="N938" s="43">
        <f t="shared" si="114"/>
        <v>-6327.8674022594041</v>
      </c>
      <c r="O938" s="43">
        <f t="shared" si="115"/>
        <v>-183.93569812054011</v>
      </c>
      <c r="Q938" s="42">
        <f t="shared" si="116"/>
        <v>0</v>
      </c>
      <c r="R938" s="42">
        <f t="shared" si="117"/>
        <v>0</v>
      </c>
      <c r="S938" s="42">
        <f t="shared" si="118"/>
        <v>0</v>
      </c>
      <c r="T938" s="42">
        <f t="shared" si="119"/>
        <v>1</v>
      </c>
    </row>
    <row r="939" spans="1:20" x14ac:dyDescent="0.2">
      <c r="A939" s="30">
        <v>932</v>
      </c>
      <c r="C939" s="31">
        <v>0.99524305344296626</v>
      </c>
      <c r="D939" s="32">
        <v>13614.855907757248</v>
      </c>
      <c r="E939" s="31">
        <v>0.83390973111750788</v>
      </c>
      <c r="F939" s="32">
        <v>3926.0995403840011</v>
      </c>
      <c r="G939" s="31">
        <v>0.94866502957363297</v>
      </c>
      <c r="H939" s="32">
        <v>8498.4549292877127</v>
      </c>
      <c r="I939" s="31">
        <v>0.83390973111750788</v>
      </c>
      <c r="J939" s="32">
        <v>3573.6194137496459</v>
      </c>
      <c r="L939" s="43">
        <f t="shared" si="112"/>
        <v>-8638.6406405424168</v>
      </c>
      <c r="M939" s="43">
        <f t="shared" si="113"/>
        <v>243.44911520353844</v>
      </c>
      <c r="N939" s="43">
        <f t="shared" si="114"/>
        <v>-3755.1297814195477</v>
      </c>
      <c r="O939" s="43">
        <f t="shared" si="115"/>
        <v>595.92924183789364</v>
      </c>
      <c r="Q939" s="42">
        <f t="shared" si="116"/>
        <v>0</v>
      </c>
      <c r="R939" s="42">
        <f t="shared" si="117"/>
        <v>0</v>
      </c>
      <c r="S939" s="42">
        <f t="shared" si="118"/>
        <v>0</v>
      </c>
      <c r="T939" s="42">
        <f t="shared" si="119"/>
        <v>1</v>
      </c>
    </row>
    <row r="940" spans="1:20" x14ac:dyDescent="0.2">
      <c r="A940" s="30">
        <v>933</v>
      </c>
      <c r="C940" s="31">
        <v>0.96350123692720357</v>
      </c>
      <c r="D940" s="32">
        <v>12480.59467950709</v>
      </c>
      <c r="E940" s="31">
        <v>0.94943609283356123</v>
      </c>
      <c r="F940" s="32">
        <v>6417.7595868088056</v>
      </c>
      <c r="G940" s="31">
        <v>0.94707833449373158</v>
      </c>
      <c r="H940" s="32">
        <v>7549.6668544296963</v>
      </c>
      <c r="I940" s="31">
        <v>0.94707833449373169</v>
      </c>
      <c r="J940" s="32">
        <v>4995.6691692662198</v>
      </c>
      <c r="L940" s="43">
        <f t="shared" si="112"/>
        <v>-7663.0884948710727</v>
      </c>
      <c r="M940" s="43">
        <f t="shared" si="113"/>
        <v>-1670.5791226409992</v>
      </c>
      <c r="N940" s="43">
        <f t="shared" si="114"/>
        <v>-2814.2751819610385</v>
      </c>
      <c r="O940" s="43">
        <f t="shared" si="115"/>
        <v>-260.27749679756107</v>
      </c>
      <c r="Q940" s="42">
        <f t="shared" si="116"/>
        <v>0</v>
      </c>
      <c r="R940" s="42">
        <f t="shared" si="117"/>
        <v>0</v>
      </c>
      <c r="S940" s="42">
        <f t="shared" si="118"/>
        <v>0</v>
      </c>
      <c r="T940" s="42">
        <f t="shared" si="119"/>
        <v>1</v>
      </c>
    </row>
    <row r="941" spans="1:20" x14ac:dyDescent="0.2">
      <c r="A941" s="30">
        <v>934</v>
      </c>
      <c r="C941" s="31">
        <v>0.98797989194021962</v>
      </c>
      <c r="D941" s="32">
        <v>13509.30280638327</v>
      </c>
      <c r="E941" s="31">
        <v>0.76978088791953025</v>
      </c>
      <c r="F941" s="32">
        <v>2176.4542160844594</v>
      </c>
      <c r="G941" s="31">
        <v>0.96015537556049058</v>
      </c>
      <c r="H941" s="32">
        <v>8227.8391213460691</v>
      </c>
      <c r="I941" s="31">
        <v>0.76893644920283255</v>
      </c>
      <c r="J941" s="32">
        <v>2003.8795226638731</v>
      </c>
      <c r="L941" s="43">
        <f t="shared" si="112"/>
        <v>-8569.4033466821711</v>
      </c>
      <c r="M941" s="43">
        <f t="shared" si="113"/>
        <v>1672.4502235131918</v>
      </c>
      <c r="N941" s="43">
        <f t="shared" si="114"/>
        <v>-3427.0622435436162</v>
      </c>
      <c r="O941" s="43">
        <f t="shared" si="115"/>
        <v>1840.8027233502899</v>
      </c>
      <c r="Q941" s="42">
        <f t="shared" si="116"/>
        <v>0</v>
      </c>
      <c r="R941" s="42">
        <f t="shared" si="117"/>
        <v>0</v>
      </c>
      <c r="S941" s="42">
        <f t="shared" si="118"/>
        <v>0</v>
      </c>
      <c r="T941" s="42">
        <f t="shared" si="119"/>
        <v>1</v>
      </c>
    </row>
    <row r="942" spans="1:20" x14ac:dyDescent="0.2">
      <c r="A942" s="30">
        <v>935</v>
      </c>
      <c r="C942" s="31">
        <v>0.99639010989956911</v>
      </c>
      <c r="D942" s="32">
        <v>15690.088108034264</v>
      </c>
      <c r="E942" s="31">
        <v>0.94763768644613222</v>
      </c>
      <c r="F942" s="32">
        <v>5581.335419258543</v>
      </c>
      <c r="G942" s="31">
        <v>0.93528661443028527</v>
      </c>
      <c r="H942" s="32">
        <v>10318.294810798858</v>
      </c>
      <c r="I942" s="31">
        <v>0.93528661443028538</v>
      </c>
      <c r="J942" s="32">
        <v>5291.2593615925825</v>
      </c>
      <c r="L942" s="43">
        <f t="shared" si="112"/>
        <v>-10708.137558536419</v>
      </c>
      <c r="M942" s="43">
        <f t="shared" si="113"/>
        <v>-843.14698702788155</v>
      </c>
      <c r="N942" s="43">
        <f t="shared" si="114"/>
        <v>-5641.8617386474316</v>
      </c>
      <c r="O942" s="43">
        <f t="shared" si="115"/>
        <v>-614.8262894411555</v>
      </c>
      <c r="Q942" s="42">
        <f t="shared" si="116"/>
        <v>0</v>
      </c>
      <c r="R942" s="42">
        <f t="shared" si="117"/>
        <v>0</v>
      </c>
      <c r="S942" s="42">
        <f t="shared" si="118"/>
        <v>0</v>
      </c>
      <c r="T942" s="42">
        <f t="shared" si="119"/>
        <v>1</v>
      </c>
    </row>
    <row r="943" spans="1:20" x14ac:dyDescent="0.2">
      <c r="A943" s="30">
        <v>936</v>
      </c>
      <c r="C943" s="31">
        <v>0.97321606749093392</v>
      </c>
      <c r="D943" s="32">
        <v>15389.244205479485</v>
      </c>
      <c r="E943" s="31">
        <v>0.74367245404792492</v>
      </c>
      <c r="F943" s="32">
        <v>4346.6888959980752</v>
      </c>
      <c r="G943" s="31">
        <v>0.96522122577439273</v>
      </c>
      <c r="H943" s="32">
        <v>8503.2956479073273</v>
      </c>
      <c r="I943" s="31">
        <v>0.74362067528012121</v>
      </c>
      <c r="J943" s="32">
        <v>2370.9874230831397</v>
      </c>
      <c r="L943" s="43">
        <f t="shared" si="112"/>
        <v>-10523.163868024814</v>
      </c>
      <c r="M943" s="43">
        <f t="shared" si="113"/>
        <v>-628.32662575845052</v>
      </c>
      <c r="N943" s="43">
        <f t="shared" si="114"/>
        <v>-3677.1895190353634</v>
      </c>
      <c r="O943" s="43">
        <f t="shared" si="115"/>
        <v>1347.1159533174664</v>
      </c>
      <c r="Q943" s="42">
        <f t="shared" si="116"/>
        <v>0</v>
      </c>
      <c r="R943" s="42">
        <f t="shared" si="117"/>
        <v>0</v>
      </c>
      <c r="S943" s="42">
        <f t="shared" si="118"/>
        <v>0</v>
      </c>
      <c r="T943" s="42">
        <f t="shared" si="119"/>
        <v>1</v>
      </c>
    </row>
    <row r="944" spans="1:20" x14ac:dyDescent="0.2">
      <c r="A944" s="30">
        <v>937</v>
      </c>
      <c r="C944" s="31">
        <v>0.99835051848173728</v>
      </c>
      <c r="D944" s="32">
        <v>16068.816498601855</v>
      </c>
      <c r="E944" s="31">
        <v>0.77926996433721629</v>
      </c>
      <c r="F944" s="32">
        <v>7035.3687454143319</v>
      </c>
      <c r="G944" s="31">
        <v>0.88002096363376803</v>
      </c>
      <c r="H944" s="32">
        <v>9711.7971941387514</v>
      </c>
      <c r="I944" s="31">
        <v>0.77285883432150981</v>
      </c>
      <c r="J944" s="32">
        <v>4773.4669098191744</v>
      </c>
      <c r="L944" s="43">
        <f t="shared" si="112"/>
        <v>-11077.063906193169</v>
      </c>
      <c r="M944" s="43">
        <f t="shared" si="113"/>
        <v>-3139.0189237282502</v>
      </c>
      <c r="N944" s="43">
        <f t="shared" si="114"/>
        <v>-5311.6923759699112</v>
      </c>
      <c r="O944" s="43">
        <f t="shared" si="115"/>
        <v>-909.17273821162507</v>
      </c>
      <c r="Q944" s="42">
        <f t="shared" si="116"/>
        <v>0</v>
      </c>
      <c r="R944" s="42">
        <f t="shared" si="117"/>
        <v>0</v>
      </c>
      <c r="S944" s="42">
        <f t="shared" si="118"/>
        <v>0</v>
      </c>
      <c r="T944" s="42">
        <f t="shared" si="119"/>
        <v>1</v>
      </c>
    </row>
    <row r="945" spans="1:20" x14ac:dyDescent="0.2">
      <c r="A945" s="30">
        <v>938</v>
      </c>
      <c r="C945" s="31">
        <v>0.98919859768537577</v>
      </c>
      <c r="D945" s="32">
        <v>13557.264654227725</v>
      </c>
      <c r="E945" s="31">
        <v>0.95121135155342806</v>
      </c>
      <c r="F945" s="32">
        <v>5072.3650516542311</v>
      </c>
      <c r="G945" s="31">
        <v>0.95121135155342795</v>
      </c>
      <c r="H945" s="32">
        <v>8286.8660181020459</v>
      </c>
      <c r="I945" s="31">
        <v>0.95121135155342795</v>
      </c>
      <c r="J945" s="32">
        <v>4925.6192504405326</v>
      </c>
      <c r="L945" s="43">
        <f t="shared" si="112"/>
        <v>-8611.2716658008467</v>
      </c>
      <c r="M945" s="43">
        <f t="shared" si="113"/>
        <v>-316.30829388709117</v>
      </c>
      <c r="N945" s="43">
        <f t="shared" si="114"/>
        <v>-3530.809260334906</v>
      </c>
      <c r="O945" s="43">
        <f t="shared" si="115"/>
        <v>-169.56249267339263</v>
      </c>
      <c r="Q945" s="42">
        <f t="shared" si="116"/>
        <v>0</v>
      </c>
      <c r="R945" s="42">
        <f t="shared" si="117"/>
        <v>0</v>
      </c>
      <c r="S945" s="42">
        <f t="shared" si="118"/>
        <v>0</v>
      </c>
      <c r="T945" s="42">
        <f t="shared" si="119"/>
        <v>1</v>
      </c>
    </row>
    <row r="946" spans="1:20" x14ac:dyDescent="0.2">
      <c r="A946" s="30">
        <v>939</v>
      </c>
      <c r="C946" s="31">
        <v>0.98383178877662214</v>
      </c>
      <c r="D946" s="32">
        <v>18263.215488663813</v>
      </c>
      <c r="E946" s="31">
        <v>0.93738934740494928</v>
      </c>
      <c r="F946" s="32">
        <v>15370.765722708513</v>
      </c>
      <c r="G946" s="31">
        <v>0.93738934740494928</v>
      </c>
      <c r="H946" s="32">
        <v>11312.443489715448</v>
      </c>
      <c r="I946" s="31">
        <v>0.93738934740494928</v>
      </c>
      <c r="J946" s="32">
        <v>9993.043325644483</v>
      </c>
      <c r="L946" s="43">
        <f t="shared" si="112"/>
        <v>-13344.056544780702</v>
      </c>
      <c r="M946" s="43">
        <f t="shared" si="113"/>
        <v>-10683.818985683767</v>
      </c>
      <c r="N946" s="43">
        <f t="shared" si="114"/>
        <v>-6625.4967526907012</v>
      </c>
      <c r="O946" s="43">
        <f t="shared" si="115"/>
        <v>-5306.0965886197364</v>
      </c>
      <c r="Q946" s="42">
        <f t="shared" si="116"/>
        <v>0</v>
      </c>
      <c r="R946" s="42">
        <f t="shared" si="117"/>
        <v>0</v>
      </c>
      <c r="S946" s="42">
        <f t="shared" si="118"/>
        <v>0</v>
      </c>
      <c r="T946" s="42">
        <f t="shared" si="119"/>
        <v>1</v>
      </c>
    </row>
    <row r="947" spans="1:20" x14ac:dyDescent="0.2">
      <c r="A947" s="30">
        <v>940</v>
      </c>
      <c r="C947" s="31">
        <v>0.99969796472190309</v>
      </c>
      <c r="D947" s="32">
        <v>15708.902435062137</v>
      </c>
      <c r="E947" s="31">
        <v>0.92311435952741927</v>
      </c>
      <c r="F947" s="32">
        <v>6365.1475063093758</v>
      </c>
      <c r="G947" s="31">
        <v>0.91268889462757552</v>
      </c>
      <c r="H947" s="32">
        <v>9960.4447655004042</v>
      </c>
      <c r="I947" s="31">
        <v>0.91268889462757541</v>
      </c>
      <c r="J947" s="32">
        <v>6050.67493187115</v>
      </c>
      <c r="L947" s="43">
        <f t="shared" si="112"/>
        <v>-10710.412611452623</v>
      </c>
      <c r="M947" s="43">
        <f t="shared" si="113"/>
        <v>-1749.5757086722797</v>
      </c>
      <c r="N947" s="43">
        <f t="shared" si="114"/>
        <v>-5397.0002923625261</v>
      </c>
      <c r="O947" s="43">
        <f t="shared" si="115"/>
        <v>-1487.2304587332728</v>
      </c>
      <c r="Q947" s="42">
        <f t="shared" si="116"/>
        <v>0</v>
      </c>
      <c r="R947" s="42">
        <f t="shared" si="117"/>
        <v>0</v>
      </c>
      <c r="S947" s="42">
        <f t="shared" si="118"/>
        <v>0</v>
      </c>
      <c r="T947" s="42">
        <f t="shared" si="119"/>
        <v>1</v>
      </c>
    </row>
    <row r="948" spans="1:20" x14ac:dyDescent="0.2">
      <c r="A948" s="30">
        <v>941</v>
      </c>
      <c r="C948" s="31">
        <v>0.96417354625307505</v>
      </c>
      <c r="D948" s="32">
        <v>12494.826470147464</v>
      </c>
      <c r="E948" s="31">
        <v>0.92289604943525427</v>
      </c>
      <c r="F948" s="32">
        <v>4727.5503155420447</v>
      </c>
      <c r="G948" s="31">
        <v>0.92153470134525606</v>
      </c>
      <c r="H948" s="32">
        <v>7669.5910297059199</v>
      </c>
      <c r="I948" s="31">
        <v>0.92153470134525606</v>
      </c>
      <c r="J948" s="32">
        <v>4559.7697975473657</v>
      </c>
      <c r="L948" s="43">
        <f t="shared" si="112"/>
        <v>-7673.9587388820883</v>
      </c>
      <c r="M948" s="43">
        <f t="shared" si="113"/>
        <v>-113.0700683657733</v>
      </c>
      <c r="N948" s="43">
        <f t="shared" si="114"/>
        <v>-3061.9175229796392</v>
      </c>
      <c r="O948" s="43">
        <f t="shared" si="115"/>
        <v>47.903709178915051</v>
      </c>
      <c r="Q948" s="42">
        <f t="shared" si="116"/>
        <v>0</v>
      </c>
      <c r="R948" s="42">
        <f t="shared" si="117"/>
        <v>0</v>
      </c>
      <c r="S948" s="42">
        <f t="shared" si="118"/>
        <v>0</v>
      </c>
      <c r="T948" s="42">
        <f t="shared" si="119"/>
        <v>1</v>
      </c>
    </row>
    <row r="949" spans="1:20" x14ac:dyDescent="0.2">
      <c r="A949" s="30">
        <v>942</v>
      </c>
      <c r="C949" s="31">
        <v>0.98292494108720807</v>
      </c>
      <c r="D949" s="32">
        <v>15624.360241403816</v>
      </c>
      <c r="E949" s="31">
        <v>0.94409673910144609</v>
      </c>
      <c r="F949" s="32">
        <v>5173.644342710707</v>
      </c>
      <c r="G949" s="31">
        <v>0.93526025874827445</v>
      </c>
      <c r="H949" s="32">
        <v>9821.8291991096376</v>
      </c>
      <c r="I949" s="31">
        <v>0.93526025874827445</v>
      </c>
      <c r="J949" s="32">
        <v>4897.7511305957451</v>
      </c>
      <c r="L949" s="43">
        <f t="shared" si="112"/>
        <v>-10709.735535967775</v>
      </c>
      <c r="M949" s="43">
        <f t="shared" si="113"/>
        <v>-453.1606472034764</v>
      </c>
      <c r="N949" s="43">
        <f t="shared" si="114"/>
        <v>-5145.5279053682652</v>
      </c>
      <c r="O949" s="43">
        <f t="shared" si="115"/>
        <v>-221.44983685437273</v>
      </c>
      <c r="Q949" s="42">
        <f t="shared" si="116"/>
        <v>0</v>
      </c>
      <c r="R949" s="42">
        <f t="shared" si="117"/>
        <v>0</v>
      </c>
      <c r="S949" s="42">
        <f t="shared" si="118"/>
        <v>0</v>
      </c>
      <c r="T949" s="42">
        <f t="shared" si="119"/>
        <v>1</v>
      </c>
    </row>
    <row r="950" spans="1:20" x14ac:dyDescent="0.2">
      <c r="A950" s="30">
        <v>943</v>
      </c>
      <c r="C950" s="31">
        <v>0.99763359236725024</v>
      </c>
      <c r="D950" s="32">
        <v>12814.354603392394</v>
      </c>
      <c r="E950" s="31">
        <v>0.83802097902393435</v>
      </c>
      <c r="F950" s="32">
        <v>3287.4240986450068</v>
      </c>
      <c r="G950" s="31">
        <v>0.92642063773433203</v>
      </c>
      <c r="H950" s="32">
        <v>7497.7349279202954</v>
      </c>
      <c r="I950" s="31">
        <v>0.83110086635160063</v>
      </c>
      <c r="J950" s="32">
        <v>3068.0752227148414</v>
      </c>
      <c r="L950" s="43">
        <f t="shared" si="112"/>
        <v>-7826.1866415561426</v>
      </c>
      <c r="M950" s="43">
        <f t="shared" si="113"/>
        <v>902.68079647466493</v>
      </c>
      <c r="N950" s="43">
        <f t="shared" si="114"/>
        <v>-2865.6317392486353</v>
      </c>
      <c r="O950" s="43">
        <f t="shared" si="115"/>
        <v>1087.4291090431616</v>
      </c>
      <c r="Q950" s="42">
        <f t="shared" si="116"/>
        <v>0</v>
      </c>
      <c r="R950" s="42">
        <f t="shared" si="117"/>
        <v>0</v>
      </c>
      <c r="S950" s="42">
        <f t="shared" si="118"/>
        <v>0</v>
      </c>
      <c r="T950" s="42">
        <f t="shared" si="119"/>
        <v>1</v>
      </c>
    </row>
    <row r="951" spans="1:20" x14ac:dyDescent="0.2">
      <c r="A951" s="30">
        <v>944</v>
      </c>
      <c r="C951" s="31">
        <v>0.99526261660155479</v>
      </c>
      <c r="D951" s="32">
        <v>13652.473783968198</v>
      </c>
      <c r="E951" s="31">
        <v>0.85540630700051645</v>
      </c>
      <c r="F951" s="32">
        <v>2800.7704889700954</v>
      </c>
      <c r="G951" s="31">
        <v>0.96356352436706738</v>
      </c>
      <c r="H951" s="32">
        <v>7866.1148989788107</v>
      </c>
      <c r="I951" s="31">
        <v>0.85249398672291365</v>
      </c>
      <c r="J951" s="32">
        <v>2624.8417421640575</v>
      </c>
      <c r="L951" s="43">
        <f t="shared" si="112"/>
        <v>-8676.1607009604231</v>
      </c>
      <c r="M951" s="43">
        <f t="shared" si="113"/>
        <v>1476.2610460324868</v>
      </c>
      <c r="N951" s="43">
        <f t="shared" si="114"/>
        <v>-3048.2972771434743</v>
      </c>
      <c r="O951" s="43">
        <f t="shared" si="115"/>
        <v>1637.6281914505112</v>
      </c>
      <c r="Q951" s="42">
        <f t="shared" si="116"/>
        <v>0</v>
      </c>
      <c r="R951" s="42">
        <f t="shared" si="117"/>
        <v>0</v>
      </c>
      <c r="S951" s="42">
        <f t="shared" si="118"/>
        <v>0</v>
      </c>
      <c r="T951" s="42">
        <f t="shared" si="119"/>
        <v>1</v>
      </c>
    </row>
    <row r="952" spans="1:20" x14ac:dyDescent="0.2">
      <c r="A952" s="30">
        <v>945</v>
      </c>
      <c r="C952" s="31">
        <v>0.9506356437677097</v>
      </c>
      <c r="D952" s="32">
        <v>12651.737959114531</v>
      </c>
      <c r="E952" s="31">
        <v>0.82562007781545588</v>
      </c>
      <c r="F952" s="32">
        <v>3634.1939002141821</v>
      </c>
      <c r="G952" s="31">
        <v>0.8883575354930946</v>
      </c>
      <c r="H952" s="32">
        <v>7753.0905160890779</v>
      </c>
      <c r="I952" s="31">
        <v>0.82381804048830487</v>
      </c>
      <c r="J952" s="32">
        <v>3401.0916426632007</v>
      </c>
      <c r="L952" s="43">
        <f t="shared" si="112"/>
        <v>-7898.5597402759822</v>
      </c>
      <c r="M952" s="43">
        <f t="shared" si="113"/>
        <v>493.90648886309691</v>
      </c>
      <c r="N952" s="43">
        <f t="shared" si="114"/>
        <v>-3311.3028386236047</v>
      </c>
      <c r="O952" s="43">
        <f t="shared" si="115"/>
        <v>717.99855977832385</v>
      </c>
      <c r="Q952" s="42">
        <f t="shared" si="116"/>
        <v>0</v>
      </c>
      <c r="R952" s="42">
        <f t="shared" si="117"/>
        <v>0</v>
      </c>
      <c r="S952" s="42">
        <f t="shared" si="118"/>
        <v>0</v>
      </c>
      <c r="T952" s="42">
        <f t="shared" si="119"/>
        <v>1</v>
      </c>
    </row>
    <row r="953" spans="1:20" x14ac:dyDescent="0.2">
      <c r="A953" s="30">
        <v>946</v>
      </c>
      <c r="C953" s="31">
        <v>0.92578589825732682</v>
      </c>
      <c r="D953" s="32">
        <v>14726.026154788649</v>
      </c>
      <c r="E953" s="31">
        <v>0.92891562448862319</v>
      </c>
      <c r="F953" s="32">
        <v>6342.1005723800463</v>
      </c>
      <c r="G953" s="31">
        <v>0.92062019637718362</v>
      </c>
      <c r="H953" s="32">
        <v>8885.3144288182884</v>
      </c>
      <c r="I953" s="31">
        <v>0.92062019637718362</v>
      </c>
      <c r="J953" s="32">
        <v>5524.1684525683095</v>
      </c>
      <c r="L953" s="43">
        <f t="shared" si="112"/>
        <v>-10097.096663502016</v>
      </c>
      <c r="M953" s="43">
        <f t="shared" si="113"/>
        <v>-1697.5224499369306</v>
      </c>
      <c r="N953" s="43">
        <f t="shared" si="114"/>
        <v>-4282.2134469323701</v>
      </c>
      <c r="O953" s="43">
        <f t="shared" si="115"/>
        <v>-921.0674706823911</v>
      </c>
      <c r="Q953" s="42">
        <f t="shared" si="116"/>
        <v>0</v>
      </c>
      <c r="R953" s="42">
        <f t="shared" si="117"/>
        <v>0</v>
      </c>
      <c r="S953" s="42">
        <f t="shared" si="118"/>
        <v>0</v>
      </c>
      <c r="T953" s="42">
        <f t="shared" si="119"/>
        <v>1</v>
      </c>
    </row>
    <row r="954" spans="1:20" x14ac:dyDescent="0.2">
      <c r="A954" s="30">
        <v>947</v>
      </c>
      <c r="C954" s="31">
        <v>0.96727509224144237</v>
      </c>
      <c r="D954" s="32">
        <v>16306.835412197304</v>
      </c>
      <c r="E954" s="31">
        <v>0.96934944569659187</v>
      </c>
      <c r="F954" s="32">
        <v>5850.122809624173</v>
      </c>
      <c r="G954" s="31">
        <v>0.96242258564223437</v>
      </c>
      <c r="H954" s="32">
        <v>9560.450966657103</v>
      </c>
      <c r="I954" s="31">
        <v>0.96242258564223415</v>
      </c>
      <c r="J954" s="32">
        <v>5581.094938976079</v>
      </c>
      <c r="L954" s="43">
        <f t="shared" si="112"/>
        <v>-11470.459950990093</v>
      </c>
      <c r="M954" s="43">
        <f t="shared" si="113"/>
        <v>-1003.3755811412138</v>
      </c>
      <c r="N954" s="43">
        <f t="shared" si="114"/>
        <v>-4748.3380384459315</v>
      </c>
      <c r="O954" s="43">
        <f t="shared" si="115"/>
        <v>-768.98201076490841</v>
      </c>
      <c r="Q954" s="42">
        <f t="shared" si="116"/>
        <v>0</v>
      </c>
      <c r="R954" s="42">
        <f t="shared" si="117"/>
        <v>0</v>
      </c>
      <c r="S954" s="42">
        <f t="shared" si="118"/>
        <v>0</v>
      </c>
      <c r="T954" s="42">
        <f t="shared" si="119"/>
        <v>1</v>
      </c>
    </row>
    <row r="955" spans="1:20" x14ac:dyDescent="0.2">
      <c r="A955" s="30">
        <v>948</v>
      </c>
      <c r="C955" s="31">
        <v>0.99828418948402242</v>
      </c>
      <c r="D955" s="32">
        <v>12907.714274137961</v>
      </c>
      <c r="E955" s="31">
        <v>0.87829760901914888</v>
      </c>
      <c r="F955" s="32">
        <v>3461.7359935839672</v>
      </c>
      <c r="G955" s="31">
        <v>0.95014018505757258</v>
      </c>
      <c r="H955" s="32">
        <v>7617.8765767951627</v>
      </c>
      <c r="I955" s="31">
        <v>0.87236769123322278</v>
      </c>
      <c r="J955" s="32">
        <v>3216.4465613099501</v>
      </c>
      <c r="L955" s="43">
        <f t="shared" si="112"/>
        <v>-7916.2933267178487</v>
      </c>
      <c r="M955" s="43">
        <f t="shared" si="113"/>
        <v>929.75205151177715</v>
      </c>
      <c r="N955" s="43">
        <f t="shared" si="114"/>
        <v>-2867.1756515072993</v>
      </c>
      <c r="O955" s="43">
        <f t="shared" si="115"/>
        <v>1145.3918948561641</v>
      </c>
      <c r="Q955" s="42">
        <f t="shared" si="116"/>
        <v>0</v>
      </c>
      <c r="R955" s="42">
        <f t="shared" si="117"/>
        <v>0</v>
      </c>
      <c r="S955" s="42">
        <f t="shared" si="118"/>
        <v>0</v>
      </c>
      <c r="T955" s="42">
        <f t="shared" si="119"/>
        <v>1</v>
      </c>
    </row>
    <row r="956" spans="1:20" x14ac:dyDescent="0.2">
      <c r="A956" s="30">
        <v>949</v>
      </c>
      <c r="C956" s="31">
        <v>0.9889601658556737</v>
      </c>
      <c r="D956" s="32">
        <v>15631.373913044727</v>
      </c>
      <c r="E956" s="31">
        <v>0.85498447257718846</v>
      </c>
      <c r="F956" s="32">
        <v>3694.2503920359022</v>
      </c>
      <c r="G956" s="31">
        <v>0.96292857228364304</v>
      </c>
      <c r="H956" s="32">
        <v>9438.3766209675996</v>
      </c>
      <c r="I956" s="31">
        <v>0.85343587430062795</v>
      </c>
      <c r="J956" s="32">
        <v>3507.0781099864494</v>
      </c>
      <c r="L956" s="43">
        <f t="shared" si="112"/>
        <v>-10686.573083766358</v>
      </c>
      <c r="M956" s="43">
        <f t="shared" si="113"/>
        <v>580.67197085004045</v>
      </c>
      <c r="N956" s="43">
        <f t="shared" si="114"/>
        <v>-4623.7337595493846</v>
      </c>
      <c r="O956" s="43">
        <f t="shared" si="115"/>
        <v>760.10126151669056</v>
      </c>
      <c r="Q956" s="42">
        <f t="shared" si="116"/>
        <v>0</v>
      </c>
      <c r="R956" s="42">
        <f t="shared" si="117"/>
        <v>0</v>
      </c>
      <c r="S956" s="42">
        <f t="shared" si="118"/>
        <v>0</v>
      </c>
      <c r="T956" s="42">
        <f t="shared" si="119"/>
        <v>1</v>
      </c>
    </row>
    <row r="957" spans="1:20" x14ac:dyDescent="0.2">
      <c r="A957" s="30">
        <v>950</v>
      </c>
      <c r="C957" s="31">
        <v>0.99117473811356605</v>
      </c>
      <c r="D957" s="32">
        <v>17787.529337018117</v>
      </c>
      <c r="E957" s="31">
        <v>0.78657919746376681</v>
      </c>
      <c r="F957" s="32">
        <v>3498.5519571672044</v>
      </c>
      <c r="G957" s="31">
        <v>0.92231971877913232</v>
      </c>
      <c r="H957" s="32">
        <v>10061.76689149103</v>
      </c>
      <c r="I957" s="31">
        <v>0.78632454195927703</v>
      </c>
      <c r="J957" s="32">
        <v>3293.0084900900802</v>
      </c>
      <c r="L957" s="43">
        <f t="shared" si="112"/>
        <v>-12831.655646450286</v>
      </c>
      <c r="M957" s="43">
        <f t="shared" si="113"/>
        <v>434.3440301516298</v>
      </c>
      <c r="N957" s="43">
        <f t="shared" si="114"/>
        <v>-5450.1682975953681</v>
      </c>
      <c r="O957" s="43">
        <f t="shared" si="115"/>
        <v>638.61421970630499</v>
      </c>
      <c r="Q957" s="42">
        <f t="shared" si="116"/>
        <v>0</v>
      </c>
      <c r="R957" s="42">
        <f t="shared" si="117"/>
        <v>0</v>
      </c>
      <c r="S957" s="42">
        <f t="shared" si="118"/>
        <v>0</v>
      </c>
      <c r="T957" s="42">
        <f t="shared" si="119"/>
        <v>1</v>
      </c>
    </row>
    <row r="958" spans="1:20" x14ac:dyDescent="0.2">
      <c r="A958" s="30">
        <v>951</v>
      </c>
      <c r="C958" s="31">
        <v>0.99342144611763739</v>
      </c>
      <c r="D958" s="32">
        <v>15035.223230412512</v>
      </c>
      <c r="E958" s="31">
        <v>0.80254586325573063</v>
      </c>
      <c r="F958" s="32">
        <v>5541.8661785671438</v>
      </c>
      <c r="G958" s="31">
        <v>0.93006519851476277</v>
      </c>
      <c r="H958" s="32">
        <v>9173.5704607154439</v>
      </c>
      <c r="I958" s="31">
        <v>0.80254586325573074</v>
      </c>
      <c r="J958" s="32">
        <v>3907.8109584096896</v>
      </c>
      <c r="L958" s="43">
        <f t="shared" si="112"/>
        <v>-10068.115999824324</v>
      </c>
      <c r="M958" s="43">
        <f t="shared" si="113"/>
        <v>-1529.1368622884906</v>
      </c>
      <c r="N958" s="43">
        <f t="shared" si="114"/>
        <v>-4523.24446814163</v>
      </c>
      <c r="O958" s="43">
        <f t="shared" si="115"/>
        <v>104.91835786896399</v>
      </c>
      <c r="Q958" s="42">
        <f t="shared" si="116"/>
        <v>0</v>
      </c>
      <c r="R958" s="42">
        <f t="shared" si="117"/>
        <v>0</v>
      </c>
      <c r="S958" s="42">
        <f t="shared" si="118"/>
        <v>0</v>
      </c>
      <c r="T958" s="42">
        <f t="shared" si="119"/>
        <v>1</v>
      </c>
    </row>
    <row r="959" spans="1:20" x14ac:dyDescent="0.2">
      <c r="A959" s="30">
        <v>952</v>
      </c>
      <c r="C959" s="31">
        <v>0.99990390997968814</v>
      </c>
      <c r="D959" s="32">
        <v>18420.42207060388</v>
      </c>
      <c r="E959" s="31">
        <v>0.90514992794270421</v>
      </c>
      <c r="F959" s="32">
        <v>11136.534291787937</v>
      </c>
      <c r="G959" s="31">
        <v>0.92767388955106167</v>
      </c>
      <c r="H959" s="32">
        <v>10597.048209125103</v>
      </c>
      <c r="I959" s="31">
        <v>0.90160227211846378</v>
      </c>
      <c r="J959" s="32">
        <v>7692.5400976677911</v>
      </c>
      <c r="L959" s="43">
        <f t="shared" si="112"/>
        <v>-13420.90252070544</v>
      </c>
      <c r="M959" s="43">
        <f t="shared" si="113"/>
        <v>-6610.784652074416</v>
      </c>
      <c r="N959" s="43">
        <f t="shared" si="114"/>
        <v>-5958.6787613697952</v>
      </c>
      <c r="O959" s="43">
        <f t="shared" si="115"/>
        <v>-3184.5287370754722</v>
      </c>
      <c r="Q959" s="42">
        <f t="shared" si="116"/>
        <v>0</v>
      </c>
      <c r="R959" s="42">
        <f t="shared" si="117"/>
        <v>0</v>
      </c>
      <c r="S959" s="42">
        <f t="shared" si="118"/>
        <v>0</v>
      </c>
      <c r="T959" s="42">
        <f t="shared" si="119"/>
        <v>1</v>
      </c>
    </row>
    <row r="960" spans="1:20" x14ac:dyDescent="0.2">
      <c r="A960" s="30">
        <v>953</v>
      </c>
      <c r="C960" s="31">
        <v>0.9988478713451564</v>
      </c>
      <c r="D960" s="32">
        <v>14757.716050201598</v>
      </c>
      <c r="E960" s="31">
        <v>0.77818456820275728</v>
      </c>
      <c r="F960" s="32">
        <v>3798.8472544283391</v>
      </c>
      <c r="G960" s="31">
        <v>0.91845664182553854</v>
      </c>
      <c r="H960" s="32">
        <v>8897.0623062940449</v>
      </c>
      <c r="I960" s="31">
        <v>0.77487594458517117</v>
      </c>
      <c r="J960" s="32">
        <v>3344.8159603210902</v>
      </c>
      <c r="L960" s="43">
        <f t="shared" si="112"/>
        <v>-9763.4766934758154</v>
      </c>
      <c r="M960" s="43">
        <f t="shared" si="113"/>
        <v>92.075586585447127</v>
      </c>
      <c r="N960" s="43">
        <f t="shared" si="114"/>
        <v>-4304.7790971663526</v>
      </c>
      <c r="O960" s="43">
        <f t="shared" si="115"/>
        <v>529.56376260476554</v>
      </c>
      <c r="Q960" s="42">
        <f t="shared" si="116"/>
        <v>0</v>
      </c>
      <c r="R960" s="42">
        <f t="shared" si="117"/>
        <v>0</v>
      </c>
      <c r="S960" s="42">
        <f t="shared" si="118"/>
        <v>0</v>
      </c>
      <c r="T960" s="42">
        <f t="shared" si="119"/>
        <v>1</v>
      </c>
    </row>
    <row r="961" spans="1:20" x14ac:dyDescent="0.2">
      <c r="A961" s="30">
        <v>954</v>
      </c>
      <c r="C961" s="31">
        <v>0.99942245170149324</v>
      </c>
      <c r="D961" s="32">
        <v>14105.042519025505</v>
      </c>
      <c r="E961" s="31">
        <v>0.92723534753961623</v>
      </c>
      <c r="F961" s="32">
        <v>6176.356339808669</v>
      </c>
      <c r="G961" s="31">
        <v>0.93869339878185509</v>
      </c>
      <c r="H961" s="32">
        <v>8688.6025593120685</v>
      </c>
      <c r="I961" s="31">
        <v>0.92706622037863662</v>
      </c>
      <c r="J961" s="32">
        <v>5112.3137725983133</v>
      </c>
      <c r="L961" s="43">
        <f t="shared" si="112"/>
        <v>-9107.9302605180383</v>
      </c>
      <c r="M961" s="43">
        <f t="shared" si="113"/>
        <v>-1540.1796021105874</v>
      </c>
      <c r="N961" s="43">
        <f t="shared" si="114"/>
        <v>-3995.135565402793</v>
      </c>
      <c r="O961" s="43">
        <f t="shared" si="115"/>
        <v>-476.98267070513066</v>
      </c>
      <c r="Q961" s="42">
        <f t="shared" si="116"/>
        <v>0</v>
      </c>
      <c r="R961" s="42">
        <f t="shared" si="117"/>
        <v>0</v>
      </c>
      <c r="S961" s="42">
        <f t="shared" si="118"/>
        <v>0</v>
      </c>
      <c r="T961" s="42">
        <f t="shared" si="119"/>
        <v>1</v>
      </c>
    </row>
    <row r="962" spans="1:20" x14ac:dyDescent="0.2">
      <c r="A962" s="30">
        <v>955</v>
      </c>
      <c r="C962" s="31">
        <v>0.99938087732032166</v>
      </c>
      <c r="D962" s="32">
        <v>14057.917433742534</v>
      </c>
      <c r="E962" s="31">
        <v>0.98063144757458409</v>
      </c>
      <c r="F962" s="32">
        <v>4772.4249883691418</v>
      </c>
      <c r="G962" s="31">
        <v>0.97401233237585205</v>
      </c>
      <c r="H962" s="32">
        <v>8162.3440560180243</v>
      </c>
      <c r="I962" s="31">
        <v>0.97401233237585216</v>
      </c>
      <c r="J962" s="32">
        <v>4559.5048702630565</v>
      </c>
      <c r="L962" s="43">
        <f t="shared" si="112"/>
        <v>-9061.0130471409248</v>
      </c>
      <c r="M962" s="43">
        <f t="shared" si="113"/>
        <v>130.7322495037788</v>
      </c>
      <c r="N962" s="43">
        <f t="shared" si="114"/>
        <v>-3292.2823941387642</v>
      </c>
      <c r="O962" s="43">
        <f t="shared" si="115"/>
        <v>310.55679161620446</v>
      </c>
      <c r="Q962" s="42">
        <f t="shared" si="116"/>
        <v>0</v>
      </c>
      <c r="R962" s="42">
        <f t="shared" si="117"/>
        <v>0</v>
      </c>
      <c r="S962" s="42">
        <f t="shared" si="118"/>
        <v>0</v>
      </c>
      <c r="T962" s="42">
        <f t="shared" si="119"/>
        <v>1</v>
      </c>
    </row>
    <row r="963" spans="1:20" x14ac:dyDescent="0.2">
      <c r="A963" s="30">
        <v>956</v>
      </c>
      <c r="C963" s="31">
        <v>0.94509489755929665</v>
      </c>
      <c r="D963" s="32">
        <v>17054.76893396927</v>
      </c>
      <c r="E963" s="31">
        <v>0.91628455558342159</v>
      </c>
      <c r="F963" s="32">
        <v>9302.9048639640205</v>
      </c>
      <c r="G963" s="31">
        <v>0.91086266255005466</v>
      </c>
      <c r="H963" s="32">
        <v>10920.129073331153</v>
      </c>
      <c r="I963" s="31">
        <v>0.91086266255005466</v>
      </c>
      <c r="J963" s="32">
        <v>7443.5424226802843</v>
      </c>
      <c r="L963" s="43">
        <f t="shared" si="112"/>
        <v>-12329.294446172786</v>
      </c>
      <c r="M963" s="43">
        <f t="shared" si="113"/>
        <v>-4721.4820860469126</v>
      </c>
      <c r="N963" s="43">
        <f t="shared" si="114"/>
        <v>-6365.8157605808792</v>
      </c>
      <c r="O963" s="43">
        <f t="shared" si="115"/>
        <v>-2889.229109930011</v>
      </c>
      <c r="Q963" s="42">
        <f t="shared" si="116"/>
        <v>0</v>
      </c>
      <c r="R963" s="42">
        <f t="shared" si="117"/>
        <v>0</v>
      </c>
      <c r="S963" s="42">
        <f t="shared" si="118"/>
        <v>0</v>
      </c>
      <c r="T963" s="42">
        <f t="shared" si="119"/>
        <v>1</v>
      </c>
    </row>
    <row r="964" spans="1:20" x14ac:dyDescent="0.2">
      <c r="A964" s="30">
        <v>957</v>
      </c>
      <c r="C964" s="31">
        <v>0.97185041734844424</v>
      </c>
      <c r="D964" s="32">
        <v>17296.694429055457</v>
      </c>
      <c r="E964" s="31">
        <v>0.86603499212887158</v>
      </c>
      <c r="F964" s="32">
        <v>4990.1039842720256</v>
      </c>
      <c r="G964" s="31">
        <v>0.92227116600429171</v>
      </c>
      <c r="H964" s="32">
        <v>10665.249119770879</v>
      </c>
      <c r="I964" s="31">
        <v>0.86097993013179064</v>
      </c>
      <c r="J964" s="32">
        <v>4744.8680791559036</v>
      </c>
      <c r="L964" s="43">
        <f t="shared" si="112"/>
        <v>-12437.442342313236</v>
      </c>
      <c r="M964" s="43">
        <f t="shared" si="113"/>
        <v>-659.92902362766745</v>
      </c>
      <c r="N964" s="43">
        <f t="shared" si="114"/>
        <v>-6053.8932897494205</v>
      </c>
      <c r="O964" s="43">
        <f t="shared" si="115"/>
        <v>-439.96842849695076</v>
      </c>
      <c r="Q964" s="42">
        <f t="shared" si="116"/>
        <v>0</v>
      </c>
      <c r="R964" s="42">
        <f t="shared" si="117"/>
        <v>0</v>
      </c>
      <c r="S964" s="42">
        <f t="shared" si="118"/>
        <v>0</v>
      </c>
      <c r="T964" s="42">
        <f t="shared" si="119"/>
        <v>1</v>
      </c>
    </row>
    <row r="965" spans="1:20" x14ac:dyDescent="0.2">
      <c r="A965" s="30">
        <v>958</v>
      </c>
      <c r="C965" s="31">
        <v>0.96416578373888562</v>
      </c>
      <c r="D965" s="32">
        <v>12471.046454467652</v>
      </c>
      <c r="E965" s="31">
        <v>0.90008691528419393</v>
      </c>
      <c r="F965" s="32">
        <v>4226.7848636258668</v>
      </c>
      <c r="G965" s="31">
        <v>0.947851026091169</v>
      </c>
      <c r="H965" s="32">
        <v>7754.2355701263059</v>
      </c>
      <c r="I965" s="31">
        <v>0.8987392713440856</v>
      </c>
      <c r="J965" s="32">
        <v>4074.0537798596524</v>
      </c>
      <c r="L965" s="43">
        <f t="shared" si="112"/>
        <v>-7650.217535773224</v>
      </c>
      <c r="M965" s="43">
        <f t="shared" si="113"/>
        <v>273.64971279510246</v>
      </c>
      <c r="N965" s="43">
        <f t="shared" si="114"/>
        <v>-3014.9804396704612</v>
      </c>
      <c r="O965" s="43">
        <f t="shared" si="115"/>
        <v>419.64257686077599</v>
      </c>
      <c r="Q965" s="42">
        <f t="shared" si="116"/>
        <v>0</v>
      </c>
      <c r="R965" s="42">
        <f t="shared" si="117"/>
        <v>0</v>
      </c>
      <c r="S965" s="42">
        <f t="shared" si="118"/>
        <v>0</v>
      </c>
      <c r="T965" s="42">
        <f t="shared" si="119"/>
        <v>1</v>
      </c>
    </row>
    <row r="966" spans="1:20" x14ac:dyDescent="0.2">
      <c r="A966" s="30">
        <v>959</v>
      </c>
      <c r="C966" s="31">
        <v>0.99977057922602175</v>
      </c>
      <c r="D966" s="32">
        <v>17646.311977188649</v>
      </c>
      <c r="E966" s="31">
        <v>0.92381889289999819</v>
      </c>
      <c r="F966" s="32">
        <v>5410.9052838443813</v>
      </c>
      <c r="G966" s="31">
        <v>0.94741190833015421</v>
      </c>
      <c r="H966" s="32">
        <v>10295.915660579278</v>
      </c>
      <c r="I966" s="31">
        <v>0.921424675050736</v>
      </c>
      <c r="J966" s="32">
        <v>5221.9714685313111</v>
      </c>
      <c r="L966" s="43">
        <f t="shared" si="112"/>
        <v>-12647.45908105854</v>
      </c>
      <c r="M966" s="43">
        <f t="shared" si="113"/>
        <v>-791.81081934439044</v>
      </c>
      <c r="N966" s="43">
        <f t="shared" si="114"/>
        <v>-5558.8561189285065</v>
      </c>
      <c r="O966" s="43">
        <f t="shared" si="115"/>
        <v>-614.84809327763105</v>
      </c>
      <c r="Q966" s="42">
        <f t="shared" si="116"/>
        <v>0</v>
      </c>
      <c r="R966" s="42">
        <f t="shared" si="117"/>
        <v>0</v>
      </c>
      <c r="S966" s="42">
        <f t="shared" si="118"/>
        <v>0</v>
      </c>
      <c r="T966" s="42">
        <f t="shared" si="119"/>
        <v>1</v>
      </c>
    </row>
    <row r="967" spans="1:20" x14ac:dyDescent="0.2">
      <c r="A967" s="30">
        <v>960</v>
      </c>
      <c r="C967" s="31">
        <v>0.94948753916920225</v>
      </c>
      <c r="D967" s="32">
        <v>15765.821172309876</v>
      </c>
      <c r="E967" s="31">
        <v>0.95193949985839721</v>
      </c>
      <c r="F967" s="32">
        <v>5998.4811078441571</v>
      </c>
      <c r="G967" s="31">
        <v>0.94771162033152367</v>
      </c>
      <c r="H967" s="32">
        <v>9875.2778934761864</v>
      </c>
      <c r="I967" s="31">
        <v>0.9477116203315239</v>
      </c>
      <c r="J967" s="32">
        <v>5558.9441969881645</v>
      </c>
      <c r="L967" s="43">
        <f t="shared" si="112"/>
        <v>-11018.383476463863</v>
      </c>
      <c r="M967" s="43">
        <f t="shared" si="113"/>
        <v>-1238.7836085521712</v>
      </c>
      <c r="N967" s="43">
        <f t="shared" si="114"/>
        <v>-5136.7197918185684</v>
      </c>
      <c r="O967" s="43">
        <f t="shared" si="115"/>
        <v>-820.38609533054478</v>
      </c>
      <c r="Q967" s="42">
        <f t="shared" si="116"/>
        <v>0</v>
      </c>
      <c r="R967" s="42">
        <f t="shared" si="117"/>
        <v>0</v>
      </c>
      <c r="S967" s="42">
        <f t="shared" si="118"/>
        <v>0</v>
      </c>
      <c r="T967" s="42">
        <f t="shared" si="119"/>
        <v>1</v>
      </c>
    </row>
    <row r="968" spans="1:20" x14ac:dyDescent="0.2">
      <c r="A968" s="30">
        <v>961</v>
      </c>
      <c r="C968" s="31">
        <v>0.96797103931807171</v>
      </c>
      <c r="D968" s="32">
        <v>14546.037020168678</v>
      </c>
      <c r="E968" s="31">
        <v>0.91917138419601452</v>
      </c>
      <c r="F968" s="32">
        <v>5412.6159134626469</v>
      </c>
      <c r="G968" s="31">
        <v>0.92299030680649519</v>
      </c>
      <c r="H968" s="32">
        <v>8935.85067454009</v>
      </c>
      <c r="I968" s="31">
        <v>0.91417718828693639</v>
      </c>
      <c r="J968" s="32">
        <v>4772.9946651735745</v>
      </c>
      <c r="L968" s="43">
        <f t="shared" ref="L968:L1007" si="120">C968*Rc_-D968</f>
        <v>-9706.1818235783194</v>
      </c>
      <c r="M968" s="43">
        <f t="shared" ref="M968:M1007" si="121">E968*Rc_-F968</f>
        <v>-816.75899248257429</v>
      </c>
      <c r="N968" s="43">
        <f t="shared" ref="N968:N1007" si="122">G968*Rc_-H968</f>
        <v>-4320.899140507614</v>
      </c>
      <c r="O968" s="43">
        <f t="shared" ref="O968:O1007" si="123">I968*Rc_-J968</f>
        <v>-202.10872373889288</v>
      </c>
      <c r="Q968" s="42">
        <f t="shared" si="116"/>
        <v>0</v>
      </c>
      <c r="R968" s="42">
        <f t="shared" si="117"/>
        <v>0</v>
      </c>
      <c r="S968" s="42">
        <f t="shared" si="118"/>
        <v>0</v>
      </c>
      <c r="T968" s="42">
        <f t="shared" si="119"/>
        <v>1</v>
      </c>
    </row>
    <row r="969" spans="1:20" x14ac:dyDescent="0.2">
      <c r="A969" s="30">
        <v>962</v>
      </c>
      <c r="C969" s="31">
        <v>0.98988795251462358</v>
      </c>
      <c r="D969" s="32">
        <v>18418.334524526708</v>
      </c>
      <c r="E969" s="31">
        <v>0.94843660715285649</v>
      </c>
      <c r="F969" s="32">
        <v>7202.4196102181577</v>
      </c>
      <c r="G969" s="31">
        <v>0.94843660715285649</v>
      </c>
      <c r="H969" s="32">
        <v>10677.281555573198</v>
      </c>
      <c r="I969" s="31">
        <v>0.94843660715285649</v>
      </c>
      <c r="J969" s="32">
        <v>6462.1427172457679</v>
      </c>
      <c r="L969" s="43">
        <f t="shared" si="120"/>
        <v>-13468.89476195359</v>
      </c>
      <c r="M969" s="43">
        <f t="shared" si="121"/>
        <v>-2460.2365744538756</v>
      </c>
      <c r="N969" s="43">
        <f t="shared" si="122"/>
        <v>-5935.0985198089156</v>
      </c>
      <c r="O969" s="43">
        <f t="shared" si="123"/>
        <v>-1719.9596814814859</v>
      </c>
      <c r="Q969" s="42">
        <f t="shared" ref="Q969:Q1007" si="124">IF(L969&gt;$M969,IF(L969&gt;$N969,IF(L969&gt;$O969,1,0),0),0)</f>
        <v>0</v>
      </c>
      <c r="R969" s="42">
        <f t="shared" ref="R969:R1007" si="125">IF(M969&gt;$L969,IF(M969&gt;$N969,IF(M969&gt;$O969,1,0),0),0)</f>
        <v>0</v>
      </c>
      <c r="S969" s="42">
        <f t="shared" ref="S969:S1007" si="126">IF(N969&gt;$M969,IF(N969&gt;$L969,IF(N969&gt;$O969,1,0),0),0)</f>
        <v>0</v>
      </c>
      <c r="T969" s="42">
        <f t="shared" ref="T969:T1007" si="127">IF(O969&gt;$M969,IF(O969&gt;$N969,IF(O969&gt;$L969,1,0),0),0)</f>
        <v>1</v>
      </c>
    </row>
    <row r="970" spans="1:20" x14ac:dyDescent="0.2">
      <c r="A970" s="30">
        <v>963</v>
      </c>
      <c r="C970" s="31">
        <v>0.96688954047314191</v>
      </c>
      <c r="D970" s="32">
        <v>19428.468030068601</v>
      </c>
      <c r="E970" s="31">
        <v>0.77407658190469364</v>
      </c>
      <c r="F970" s="32">
        <v>3698.0553618577324</v>
      </c>
      <c r="G970" s="31">
        <v>0.94115885002961253</v>
      </c>
      <c r="H970" s="32">
        <v>11681.970091415247</v>
      </c>
      <c r="I970" s="31">
        <v>0.7694124067643251</v>
      </c>
      <c r="J970" s="32">
        <v>3428.7517743270755</v>
      </c>
      <c r="L970" s="43">
        <f t="shared" si="120"/>
        <v>-14594.020327702892</v>
      </c>
      <c r="M970" s="43">
        <f t="shared" si="121"/>
        <v>172.32754766573589</v>
      </c>
      <c r="N970" s="43">
        <f t="shared" si="122"/>
        <v>-6976.1758412671843</v>
      </c>
      <c r="O970" s="43">
        <f t="shared" si="123"/>
        <v>418.31025949454988</v>
      </c>
      <c r="Q970" s="42">
        <f t="shared" si="124"/>
        <v>0</v>
      </c>
      <c r="R970" s="42">
        <f t="shared" si="125"/>
        <v>0</v>
      </c>
      <c r="S970" s="42">
        <f t="shared" si="126"/>
        <v>0</v>
      </c>
      <c r="T970" s="42">
        <f t="shared" si="127"/>
        <v>1</v>
      </c>
    </row>
    <row r="971" spans="1:20" x14ac:dyDescent="0.2">
      <c r="A971" s="30">
        <v>964</v>
      </c>
      <c r="C971" s="31">
        <v>0.99466765599503359</v>
      </c>
      <c r="D971" s="32">
        <v>15089.770674700545</v>
      </c>
      <c r="E971" s="31">
        <v>0.96069327775963387</v>
      </c>
      <c r="F971" s="32">
        <v>5538.8864412846451</v>
      </c>
      <c r="G971" s="31">
        <v>0.9549236685431759</v>
      </c>
      <c r="H971" s="32">
        <v>8851.1684316876417</v>
      </c>
      <c r="I971" s="31">
        <v>0.95306409871935838</v>
      </c>
      <c r="J971" s="32">
        <v>5252.7438554221699</v>
      </c>
      <c r="L971" s="43">
        <f t="shared" si="120"/>
        <v>-10116.432394725376</v>
      </c>
      <c r="M971" s="43">
        <f t="shared" si="121"/>
        <v>-735.42005248647547</v>
      </c>
      <c r="N971" s="43">
        <f t="shared" si="122"/>
        <v>-4076.5500889717623</v>
      </c>
      <c r="O971" s="43">
        <f t="shared" si="123"/>
        <v>-487.42336182537838</v>
      </c>
      <c r="Q971" s="42">
        <f t="shared" si="124"/>
        <v>0</v>
      </c>
      <c r="R971" s="42">
        <f t="shared" si="125"/>
        <v>0</v>
      </c>
      <c r="S971" s="42">
        <f t="shared" si="126"/>
        <v>0</v>
      </c>
      <c r="T971" s="42">
        <f t="shared" si="127"/>
        <v>1</v>
      </c>
    </row>
    <row r="972" spans="1:20" x14ac:dyDescent="0.2">
      <c r="A972" s="30">
        <v>965</v>
      </c>
      <c r="C972" s="31">
        <v>0.99175511592226007</v>
      </c>
      <c r="D972" s="32">
        <v>14699.727693182056</v>
      </c>
      <c r="E972" s="31">
        <v>0.8153144328549784</v>
      </c>
      <c r="F972" s="32">
        <v>3201.3358312958208</v>
      </c>
      <c r="G972" s="31">
        <v>0.92937761869582203</v>
      </c>
      <c r="H972" s="32">
        <v>8511.1429691458015</v>
      </c>
      <c r="I972" s="31">
        <v>0.81377448376171824</v>
      </c>
      <c r="J972" s="32">
        <v>3035.8601826081194</v>
      </c>
      <c r="L972" s="43">
        <f t="shared" si="120"/>
        <v>-9740.9521135707546</v>
      </c>
      <c r="M972" s="43">
        <f t="shared" si="121"/>
        <v>875.23633297907145</v>
      </c>
      <c r="N972" s="43">
        <f t="shared" si="122"/>
        <v>-3864.2548756666911</v>
      </c>
      <c r="O972" s="43">
        <f t="shared" si="123"/>
        <v>1033.0122362004718</v>
      </c>
      <c r="Q972" s="42">
        <f t="shared" si="124"/>
        <v>0</v>
      </c>
      <c r="R972" s="42">
        <f t="shared" si="125"/>
        <v>0</v>
      </c>
      <c r="S972" s="42">
        <f t="shared" si="126"/>
        <v>0</v>
      </c>
      <c r="T972" s="42">
        <f t="shared" si="127"/>
        <v>1</v>
      </c>
    </row>
    <row r="973" spans="1:20" x14ac:dyDescent="0.2">
      <c r="A973" s="30">
        <v>966</v>
      </c>
      <c r="C973" s="31">
        <v>0.98294341862840651</v>
      </c>
      <c r="D973" s="32">
        <v>17336.405462873194</v>
      </c>
      <c r="E973" s="31">
        <v>0.82853265870380788</v>
      </c>
      <c r="F973" s="32">
        <v>3676.9134350924505</v>
      </c>
      <c r="G973" s="31">
        <v>0.95373696397274799</v>
      </c>
      <c r="H973" s="32">
        <v>10716.753634100467</v>
      </c>
      <c r="I973" s="31">
        <v>0.82716021148366248</v>
      </c>
      <c r="J973" s="32">
        <v>3523.6561521366289</v>
      </c>
      <c r="L973" s="43">
        <f t="shared" si="120"/>
        <v>-12421.68836973116</v>
      </c>
      <c r="M973" s="43">
        <f t="shared" si="121"/>
        <v>465.74985842658862</v>
      </c>
      <c r="N973" s="43">
        <f t="shared" si="122"/>
        <v>-5948.0688142367271</v>
      </c>
      <c r="O973" s="43">
        <f t="shared" si="123"/>
        <v>612.1449052816838</v>
      </c>
      <c r="Q973" s="42">
        <f t="shared" si="124"/>
        <v>0</v>
      </c>
      <c r="R973" s="42">
        <f t="shared" si="125"/>
        <v>0</v>
      </c>
      <c r="S973" s="42">
        <f t="shared" si="126"/>
        <v>0</v>
      </c>
      <c r="T973" s="42">
        <f t="shared" si="127"/>
        <v>1</v>
      </c>
    </row>
    <row r="974" spans="1:20" x14ac:dyDescent="0.2">
      <c r="A974" s="30">
        <v>967</v>
      </c>
      <c r="C974" s="31">
        <v>0.99209277619919212</v>
      </c>
      <c r="D974" s="32">
        <v>16757.973616534749</v>
      </c>
      <c r="E974" s="31">
        <v>0.84606549600347281</v>
      </c>
      <c r="F974" s="32">
        <v>4888.2446258328591</v>
      </c>
      <c r="G974" s="31">
        <v>0.91534810712721526</v>
      </c>
      <c r="H974" s="32">
        <v>10285.868124684655</v>
      </c>
      <c r="I974" s="31">
        <v>0.83837268930021147</v>
      </c>
      <c r="J974" s="32">
        <v>4594.29819758143</v>
      </c>
      <c r="L974" s="43">
        <f t="shared" si="120"/>
        <v>-11797.509735538788</v>
      </c>
      <c r="M974" s="43">
        <f t="shared" si="121"/>
        <v>-657.91714581549513</v>
      </c>
      <c r="N974" s="43">
        <f t="shared" si="122"/>
        <v>-5709.1275890485795</v>
      </c>
      <c r="O974" s="43">
        <f t="shared" si="123"/>
        <v>-402.43475108037273</v>
      </c>
      <c r="Q974" s="42">
        <f t="shared" si="124"/>
        <v>0</v>
      </c>
      <c r="R974" s="42">
        <f t="shared" si="125"/>
        <v>0</v>
      </c>
      <c r="S974" s="42">
        <f t="shared" si="126"/>
        <v>0</v>
      </c>
      <c r="T974" s="42">
        <f t="shared" si="127"/>
        <v>1</v>
      </c>
    </row>
    <row r="975" spans="1:20" x14ac:dyDescent="0.2">
      <c r="A975" s="30">
        <v>968</v>
      </c>
      <c r="C975" s="31">
        <v>0.98542352895343466</v>
      </c>
      <c r="D975" s="32">
        <v>15068.293058060743</v>
      </c>
      <c r="E975" s="31">
        <v>0.9376825777964336</v>
      </c>
      <c r="F975" s="32">
        <v>6623.2462672829879</v>
      </c>
      <c r="G975" s="31">
        <v>0.92995192945776817</v>
      </c>
      <c r="H975" s="32">
        <v>10207.111275701009</v>
      </c>
      <c r="I975" s="31">
        <v>0.92995192945776806</v>
      </c>
      <c r="J975" s="32">
        <v>6402.1040458103153</v>
      </c>
      <c r="L975" s="43">
        <f t="shared" si="120"/>
        <v>-10141.175413293569</v>
      </c>
      <c r="M975" s="43">
        <f t="shared" si="121"/>
        <v>-1934.8333783008202</v>
      </c>
      <c r="N975" s="43">
        <f t="shared" si="122"/>
        <v>-5557.3516284121679</v>
      </c>
      <c r="O975" s="43">
        <f t="shared" si="123"/>
        <v>-1752.3443985214753</v>
      </c>
      <c r="Q975" s="42">
        <f t="shared" si="124"/>
        <v>0</v>
      </c>
      <c r="R975" s="42">
        <f t="shared" si="125"/>
        <v>0</v>
      </c>
      <c r="S975" s="42">
        <f t="shared" si="126"/>
        <v>0</v>
      </c>
      <c r="T975" s="42">
        <f t="shared" si="127"/>
        <v>1</v>
      </c>
    </row>
    <row r="976" spans="1:20" x14ac:dyDescent="0.2">
      <c r="A976" s="30">
        <v>969</v>
      </c>
      <c r="C976" s="31">
        <v>0.99022003471734255</v>
      </c>
      <c r="D976" s="32">
        <v>16848.505482700049</v>
      </c>
      <c r="E976" s="31">
        <v>0.89118059816959927</v>
      </c>
      <c r="F976" s="32">
        <v>6948.0011125764076</v>
      </c>
      <c r="G976" s="31">
        <v>0.93186441746383042</v>
      </c>
      <c r="H976" s="32">
        <v>10045.632084978735</v>
      </c>
      <c r="I976" s="31">
        <v>0.89118059816959927</v>
      </c>
      <c r="J976" s="32">
        <v>5761.9690364283442</v>
      </c>
      <c r="L976" s="43">
        <f t="shared" si="120"/>
        <v>-11897.405309113336</v>
      </c>
      <c r="M976" s="43">
        <f t="shared" si="121"/>
        <v>-2492.0981217284116</v>
      </c>
      <c r="N976" s="43">
        <f t="shared" si="122"/>
        <v>-5386.3099976595831</v>
      </c>
      <c r="O976" s="43">
        <f t="shared" si="123"/>
        <v>-1306.0660455803481</v>
      </c>
      <c r="Q976" s="42">
        <f t="shared" si="124"/>
        <v>0</v>
      </c>
      <c r="R976" s="42">
        <f t="shared" si="125"/>
        <v>0</v>
      </c>
      <c r="S976" s="42">
        <f t="shared" si="126"/>
        <v>0</v>
      </c>
      <c r="T976" s="42">
        <f t="shared" si="127"/>
        <v>1</v>
      </c>
    </row>
    <row r="977" spans="1:20" x14ac:dyDescent="0.2">
      <c r="A977" s="30">
        <v>970</v>
      </c>
      <c r="C977" s="31">
        <v>0.98861562442600237</v>
      </c>
      <c r="D977" s="32">
        <v>11279.005866923086</v>
      </c>
      <c r="E977" s="31">
        <v>0.95130132980812943</v>
      </c>
      <c r="F977" s="32">
        <v>4038.612412173939</v>
      </c>
      <c r="G977" s="31">
        <v>0.94060356011742208</v>
      </c>
      <c r="H977" s="32">
        <v>6649.1331753357053</v>
      </c>
      <c r="I977" s="31">
        <v>0.94060356011742219</v>
      </c>
      <c r="J977" s="32">
        <v>3814.507100000787</v>
      </c>
      <c r="L977" s="43">
        <f t="shared" si="120"/>
        <v>-6335.9277447930735</v>
      </c>
      <c r="M977" s="43">
        <f t="shared" si="121"/>
        <v>717.89423686670807</v>
      </c>
      <c r="N977" s="43">
        <f t="shared" si="122"/>
        <v>-1946.1153747485951</v>
      </c>
      <c r="O977" s="43">
        <f t="shared" si="123"/>
        <v>888.51070058632422</v>
      </c>
      <c r="Q977" s="42">
        <f t="shared" si="124"/>
        <v>0</v>
      </c>
      <c r="R977" s="42">
        <f t="shared" si="125"/>
        <v>0</v>
      </c>
      <c r="S977" s="42">
        <f t="shared" si="126"/>
        <v>0</v>
      </c>
      <c r="T977" s="42">
        <f t="shared" si="127"/>
        <v>1</v>
      </c>
    </row>
    <row r="978" spans="1:20" x14ac:dyDescent="0.2">
      <c r="A978" s="30">
        <v>971</v>
      </c>
      <c r="C978" s="31">
        <v>0.94825218468230954</v>
      </c>
      <c r="D978" s="32">
        <v>15386.916086629686</v>
      </c>
      <c r="E978" s="31">
        <v>0.81809048383094374</v>
      </c>
      <c r="F978" s="32">
        <v>4221.0903123649368</v>
      </c>
      <c r="G978" s="31">
        <v>0.95918944958576913</v>
      </c>
      <c r="H978" s="32">
        <v>9404.2303534024759</v>
      </c>
      <c r="I978" s="31">
        <v>0.81809048383094374</v>
      </c>
      <c r="J978" s="32">
        <v>3550.4825469927014</v>
      </c>
      <c r="L978" s="43">
        <f t="shared" si="120"/>
        <v>-10645.655163218138</v>
      </c>
      <c r="M978" s="43">
        <f t="shared" si="121"/>
        <v>-130.63789321021795</v>
      </c>
      <c r="N978" s="43">
        <f t="shared" si="122"/>
        <v>-4608.2831054736298</v>
      </c>
      <c r="O978" s="43">
        <f t="shared" si="123"/>
        <v>539.96987216201751</v>
      </c>
      <c r="Q978" s="42">
        <f t="shared" si="124"/>
        <v>0</v>
      </c>
      <c r="R978" s="42">
        <f t="shared" si="125"/>
        <v>0</v>
      </c>
      <c r="S978" s="42">
        <f t="shared" si="126"/>
        <v>0</v>
      </c>
      <c r="T978" s="42">
        <f t="shared" si="127"/>
        <v>1</v>
      </c>
    </row>
    <row r="979" spans="1:20" x14ac:dyDescent="0.2">
      <c r="A979" s="30">
        <v>972</v>
      </c>
      <c r="C979" s="31">
        <v>0.97780956497007676</v>
      </c>
      <c r="D979" s="32">
        <v>14801.96014165893</v>
      </c>
      <c r="E979" s="31">
        <v>0.85965087413721464</v>
      </c>
      <c r="F979" s="32">
        <v>3801.5244448525077</v>
      </c>
      <c r="G979" s="31">
        <v>0.94162276592420535</v>
      </c>
      <c r="H979" s="32">
        <v>8905.7938066404386</v>
      </c>
      <c r="I979" s="31">
        <v>0.8546145083303831</v>
      </c>
      <c r="J979" s="32">
        <v>3600.7379536004282</v>
      </c>
      <c r="L979" s="43">
        <f t="shared" si="120"/>
        <v>-9912.9123168085462</v>
      </c>
      <c r="M979" s="43">
        <f t="shared" si="121"/>
        <v>496.72992583356563</v>
      </c>
      <c r="N979" s="43">
        <f t="shared" si="122"/>
        <v>-4197.679977019412</v>
      </c>
      <c r="O979" s="43">
        <f t="shared" si="123"/>
        <v>672.33458805148712</v>
      </c>
      <c r="Q979" s="42">
        <f t="shared" si="124"/>
        <v>0</v>
      </c>
      <c r="R979" s="42">
        <f t="shared" si="125"/>
        <v>0</v>
      </c>
      <c r="S979" s="42">
        <f t="shared" si="126"/>
        <v>0</v>
      </c>
      <c r="T979" s="42">
        <f t="shared" si="127"/>
        <v>1</v>
      </c>
    </row>
    <row r="980" spans="1:20" x14ac:dyDescent="0.2">
      <c r="A980" s="30">
        <v>973</v>
      </c>
      <c r="C980" s="31">
        <v>0.9966052529172309</v>
      </c>
      <c r="D980" s="32">
        <v>18188.618507930954</v>
      </c>
      <c r="E980" s="31">
        <v>0.92447719434758868</v>
      </c>
      <c r="F980" s="32">
        <v>10410.175578727261</v>
      </c>
      <c r="G980" s="31">
        <v>0.91361483960582834</v>
      </c>
      <c r="H980" s="32">
        <v>10255.380586225827</v>
      </c>
      <c r="I980" s="31">
        <v>0.91361653493470363</v>
      </c>
      <c r="J980" s="32">
        <v>7433.9621741115334</v>
      </c>
      <c r="L980" s="43">
        <f t="shared" si="120"/>
        <v>-13205.592243344799</v>
      </c>
      <c r="M980" s="43">
        <f t="shared" si="121"/>
        <v>-5787.7896069893177</v>
      </c>
      <c r="N980" s="43">
        <f t="shared" si="122"/>
        <v>-5687.3063881966855</v>
      </c>
      <c r="O980" s="43">
        <f t="shared" si="123"/>
        <v>-2865.879499438015</v>
      </c>
      <c r="Q980" s="42">
        <f t="shared" si="124"/>
        <v>0</v>
      </c>
      <c r="R980" s="42">
        <f t="shared" si="125"/>
        <v>0</v>
      </c>
      <c r="S980" s="42">
        <f t="shared" si="126"/>
        <v>0</v>
      </c>
      <c r="T980" s="42">
        <f t="shared" si="127"/>
        <v>1</v>
      </c>
    </row>
    <row r="981" spans="1:20" x14ac:dyDescent="0.2">
      <c r="A981" s="30">
        <v>974</v>
      </c>
      <c r="C981" s="31">
        <v>0.99406954666386349</v>
      </c>
      <c r="D981" s="32">
        <v>17833.382761835586</v>
      </c>
      <c r="E981" s="31">
        <v>0.95522935405489739</v>
      </c>
      <c r="F981" s="32">
        <v>7568.4595082461929</v>
      </c>
      <c r="G981" s="31">
        <v>0.96212610546397581</v>
      </c>
      <c r="H981" s="32">
        <v>10472.299892374238</v>
      </c>
      <c r="I981" s="31">
        <v>0.94747064374033352</v>
      </c>
      <c r="J981" s="32">
        <v>6161.264390060669</v>
      </c>
      <c r="L981" s="43">
        <f t="shared" si="120"/>
        <v>-12863.035028516268</v>
      </c>
      <c r="M981" s="43">
        <f t="shared" si="121"/>
        <v>-2792.3127379717062</v>
      </c>
      <c r="N981" s="43">
        <f t="shared" si="122"/>
        <v>-5661.6693650543593</v>
      </c>
      <c r="O981" s="43">
        <f t="shared" si="123"/>
        <v>-1423.9111713590019</v>
      </c>
      <c r="Q981" s="42">
        <f t="shared" si="124"/>
        <v>0</v>
      </c>
      <c r="R981" s="42">
        <f t="shared" si="125"/>
        <v>0</v>
      </c>
      <c r="S981" s="42">
        <f t="shared" si="126"/>
        <v>0</v>
      </c>
      <c r="T981" s="42">
        <f t="shared" si="127"/>
        <v>1</v>
      </c>
    </row>
    <row r="982" spans="1:20" x14ac:dyDescent="0.2">
      <c r="A982" s="30">
        <v>975</v>
      </c>
      <c r="C982" s="31">
        <v>0.98748820817719929</v>
      </c>
      <c r="D982" s="32">
        <v>12783.591333686809</v>
      </c>
      <c r="E982" s="31">
        <v>0.98665892724159698</v>
      </c>
      <c r="F982" s="32">
        <v>4765.5988346503564</v>
      </c>
      <c r="G982" s="31">
        <v>0.9796613590742913</v>
      </c>
      <c r="H982" s="32">
        <v>8225.272836532984</v>
      </c>
      <c r="I982" s="31">
        <v>0.97966135907429175</v>
      </c>
      <c r="J982" s="32">
        <v>4553.558923257553</v>
      </c>
      <c r="L982" s="43">
        <f t="shared" si="120"/>
        <v>-7846.1502928008122</v>
      </c>
      <c r="M982" s="43">
        <f t="shared" si="121"/>
        <v>167.69580155762833</v>
      </c>
      <c r="N982" s="43">
        <f t="shared" si="122"/>
        <v>-3326.9660411615278</v>
      </c>
      <c r="O982" s="43">
        <f t="shared" si="123"/>
        <v>344.74787211390594</v>
      </c>
      <c r="Q982" s="42">
        <f t="shared" si="124"/>
        <v>0</v>
      </c>
      <c r="R982" s="42">
        <f t="shared" si="125"/>
        <v>0</v>
      </c>
      <c r="S982" s="42">
        <f t="shared" si="126"/>
        <v>0</v>
      </c>
      <c r="T982" s="42">
        <f t="shared" si="127"/>
        <v>1</v>
      </c>
    </row>
    <row r="983" spans="1:20" x14ac:dyDescent="0.2">
      <c r="A983" s="30">
        <v>976</v>
      </c>
      <c r="C983" s="31">
        <v>0.99649149556423822</v>
      </c>
      <c r="D983" s="32">
        <v>13793.012863303305</v>
      </c>
      <c r="E983" s="31">
        <v>0.73389755927806699</v>
      </c>
      <c r="F983" s="32">
        <v>3213.399717869228</v>
      </c>
      <c r="G983" s="31">
        <v>0.9214637246017634</v>
      </c>
      <c r="H983" s="32">
        <v>8493.1002082085142</v>
      </c>
      <c r="I983" s="31">
        <v>0.72598414413639833</v>
      </c>
      <c r="J983" s="32">
        <v>2694.2066353616783</v>
      </c>
      <c r="L983" s="43">
        <f t="shared" si="120"/>
        <v>-8810.5553854821155</v>
      </c>
      <c r="M983" s="43">
        <f t="shared" si="121"/>
        <v>456.08807852110704</v>
      </c>
      <c r="N983" s="43">
        <f t="shared" si="122"/>
        <v>-3885.7815851996975</v>
      </c>
      <c r="O983" s="43">
        <f t="shared" si="123"/>
        <v>935.71408532031319</v>
      </c>
      <c r="Q983" s="42">
        <f t="shared" si="124"/>
        <v>0</v>
      </c>
      <c r="R983" s="42">
        <f t="shared" si="125"/>
        <v>0</v>
      </c>
      <c r="S983" s="42">
        <f t="shared" si="126"/>
        <v>0</v>
      </c>
      <c r="T983" s="42">
        <f t="shared" si="127"/>
        <v>1</v>
      </c>
    </row>
    <row r="984" spans="1:20" x14ac:dyDescent="0.2">
      <c r="A984" s="30">
        <v>977</v>
      </c>
      <c r="C984" s="31">
        <v>0.99976889110381295</v>
      </c>
      <c r="D984" s="32">
        <v>15343.324975603902</v>
      </c>
      <c r="E984" s="31">
        <v>0.79444953640802596</v>
      </c>
      <c r="F984" s="32">
        <v>2949.9600769081508</v>
      </c>
      <c r="G984" s="31">
        <v>0.91370192901496372</v>
      </c>
      <c r="H984" s="32">
        <v>9143.0264175258762</v>
      </c>
      <c r="I984" s="31">
        <v>0.78944543500465536</v>
      </c>
      <c r="J984" s="32">
        <v>2660.2856872880716</v>
      </c>
      <c r="L984" s="43">
        <f t="shared" si="120"/>
        <v>-10344.480520084839</v>
      </c>
      <c r="M984" s="43">
        <f t="shared" si="121"/>
        <v>1022.287605131979</v>
      </c>
      <c r="N984" s="43">
        <f t="shared" si="122"/>
        <v>-4574.5167724510575</v>
      </c>
      <c r="O984" s="43">
        <f t="shared" si="123"/>
        <v>1286.9414877352051</v>
      </c>
      <c r="Q984" s="42">
        <f t="shared" si="124"/>
        <v>0</v>
      </c>
      <c r="R984" s="42">
        <f t="shared" si="125"/>
        <v>0</v>
      </c>
      <c r="S984" s="42">
        <f t="shared" si="126"/>
        <v>0</v>
      </c>
      <c r="T984" s="42">
        <f t="shared" si="127"/>
        <v>1</v>
      </c>
    </row>
    <row r="985" spans="1:20" x14ac:dyDescent="0.2">
      <c r="A985" s="30">
        <v>978</v>
      </c>
      <c r="C985" s="31">
        <v>0.98593097623849757</v>
      </c>
      <c r="D985" s="32">
        <v>13954.999337629915</v>
      </c>
      <c r="E985" s="31">
        <v>0.96239759481535581</v>
      </c>
      <c r="F985" s="32">
        <v>7822.2721415467395</v>
      </c>
      <c r="G985" s="31">
        <v>0.95944871955550037</v>
      </c>
      <c r="H985" s="32">
        <v>8522.2839562145437</v>
      </c>
      <c r="I985" s="31">
        <v>0.95944871955550037</v>
      </c>
      <c r="J985" s="32">
        <v>6033.5298883572723</v>
      </c>
      <c r="L985" s="43">
        <f t="shared" si="120"/>
        <v>-9025.3444564374277</v>
      </c>
      <c r="M985" s="43">
        <f t="shared" si="121"/>
        <v>-3010.2841674699603</v>
      </c>
      <c r="N985" s="43">
        <f t="shared" si="122"/>
        <v>-3725.0403584370415</v>
      </c>
      <c r="O985" s="43">
        <f t="shared" si="123"/>
        <v>-1236.2862905797701</v>
      </c>
      <c r="Q985" s="42">
        <f t="shared" si="124"/>
        <v>0</v>
      </c>
      <c r="R985" s="42">
        <f t="shared" si="125"/>
        <v>0</v>
      </c>
      <c r="S985" s="42">
        <f t="shared" si="126"/>
        <v>0</v>
      </c>
      <c r="T985" s="42">
        <f t="shared" si="127"/>
        <v>1</v>
      </c>
    </row>
    <row r="986" spans="1:20" x14ac:dyDescent="0.2">
      <c r="A986" s="30">
        <v>979</v>
      </c>
      <c r="C986" s="31">
        <v>0.99542260467741828</v>
      </c>
      <c r="D986" s="32">
        <v>14226.615411843735</v>
      </c>
      <c r="E986" s="31">
        <v>0.95277659970657191</v>
      </c>
      <c r="F986" s="32">
        <v>4688.8725712102178</v>
      </c>
      <c r="G986" s="31">
        <v>0.96256219773954976</v>
      </c>
      <c r="H986" s="32">
        <v>8193.6826092721276</v>
      </c>
      <c r="I986" s="31">
        <v>0.94783061983905648</v>
      </c>
      <c r="J986" s="32">
        <v>4455.4812118146019</v>
      </c>
      <c r="L986" s="43">
        <f t="shared" si="120"/>
        <v>-9249.5023884566435</v>
      </c>
      <c r="M986" s="43">
        <f t="shared" si="121"/>
        <v>75.01042732264159</v>
      </c>
      <c r="N986" s="43">
        <f t="shared" si="122"/>
        <v>-3380.8716205743785</v>
      </c>
      <c r="O986" s="43">
        <f t="shared" si="123"/>
        <v>283.67188738068035</v>
      </c>
      <c r="Q986" s="42">
        <f t="shared" si="124"/>
        <v>0</v>
      </c>
      <c r="R986" s="42">
        <f t="shared" si="125"/>
        <v>0</v>
      </c>
      <c r="S986" s="42">
        <f t="shared" si="126"/>
        <v>0</v>
      </c>
      <c r="T986" s="42">
        <f t="shared" si="127"/>
        <v>1</v>
      </c>
    </row>
    <row r="987" spans="1:20" x14ac:dyDescent="0.2">
      <c r="A987" s="30">
        <v>980</v>
      </c>
      <c r="C987" s="31">
        <v>0.94943322641592831</v>
      </c>
      <c r="D987" s="32">
        <v>18123.97820646561</v>
      </c>
      <c r="E987" s="31">
        <v>0.85190637523930168</v>
      </c>
      <c r="F987" s="32">
        <v>9259.0523118101937</v>
      </c>
      <c r="G987" s="31">
        <v>0.93778317674350298</v>
      </c>
      <c r="H987" s="32">
        <v>11300.392549213302</v>
      </c>
      <c r="I987" s="31">
        <v>0.84807017844265142</v>
      </c>
      <c r="J987" s="32">
        <v>6522.0185354594742</v>
      </c>
      <c r="L987" s="43">
        <f t="shared" si="120"/>
        <v>-13376.812074385969</v>
      </c>
      <c r="M987" s="43">
        <f t="shared" si="121"/>
        <v>-4999.5204356136855</v>
      </c>
      <c r="N987" s="43">
        <f t="shared" si="122"/>
        <v>-6611.4766654957875</v>
      </c>
      <c r="O987" s="43">
        <f t="shared" si="123"/>
        <v>-2281.6676432462173</v>
      </c>
      <c r="Q987" s="42">
        <f t="shared" si="124"/>
        <v>0</v>
      </c>
      <c r="R987" s="42">
        <f t="shared" si="125"/>
        <v>0</v>
      </c>
      <c r="S987" s="42">
        <f t="shared" si="126"/>
        <v>0</v>
      </c>
      <c r="T987" s="42">
        <f t="shared" si="127"/>
        <v>1</v>
      </c>
    </row>
    <row r="988" spans="1:20" x14ac:dyDescent="0.2">
      <c r="A988" s="30">
        <v>981</v>
      </c>
      <c r="C988" s="31">
        <v>0.94662958719804202</v>
      </c>
      <c r="D988" s="32">
        <v>17521.04705589974</v>
      </c>
      <c r="E988" s="31">
        <v>0.86356547867659428</v>
      </c>
      <c r="F988" s="32">
        <v>4712.5452716963509</v>
      </c>
      <c r="G988" s="31">
        <v>0.9271311445217626</v>
      </c>
      <c r="H988" s="32">
        <v>10895.907656873904</v>
      </c>
      <c r="I988" s="31">
        <v>0.8523848015846055</v>
      </c>
      <c r="J988" s="32">
        <v>4360.1931727950105</v>
      </c>
      <c r="L988" s="43">
        <f t="shared" si="120"/>
        <v>-12787.899119909529</v>
      </c>
      <c r="M988" s="43">
        <f t="shared" si="121"/>
        <v>-394.71787831337952</v>
      </c>
      <c r="N988" s="43">
        <f t="shared" si="122"/>
        <v>-6260.2519342650912</v>
      </c>
      <c r="O988" s="43">
        <f t="shared" si="123"/>
        <v>-98.269164871982866</v>
      </c>
      <c r="Q988" s="42">
        <f t="shared" si="124"/>
        <v>0</v>
      </c>
      <c r="R988" s="42">
        <f t="shared" si="125"/>
        <v>0</v>
      </c>
      <c r="S988" s="42">
        <f t="shared" si="126"/>
        <v>0</v>
      </c>
      <c r="T988" s="42">
        <f t="shared" si="127"/>
        <v>1</v>
      </c>
    </row>
    <row r="989" spans="1:20" x14ac:dyDescent="0.2">
      <c r="A989" s="30">
        <v>982</v>
      </c>
      <c r="C989" s="31">
        <v>0.99374743237071628</v>
      </c>
      <c r="D989" s="32">
        <v>15421.00099834637</v>
      </c>
      <c r="E989" s="31">
        <v>0.84011077322066152</v>
      </c>
      <c r="F989" s="32">
        <v>5790.8485754072526</v>
      </c>
      <c r="G989" s="31">
        <v>0.96873220509823166</v>
      </c>
      <c r="H989" s="32">
        <v>9214.8225713959728</v>
      </c>
      <c r="I989" s="31">
        <v>0.83833033352243524</v>
      </c>
      <c r="J989" s="32">
        <v>3859.3977432907127</v>
      </c>
      <c r="L989" s="43">
        <f t="shared" si="120"/>
        <v>-10452.263836492788</v>
      </c>
      <c r="M989" s="43">
        <f t="shared" si="121"/>
        <v>-1590.2947093039447</v>
      </c>
      <c r="N989" s="43">
        <f t="shared" si="122"/>
        <v>-4371.1615459048144</v>
      </c>
      <c r="O989" s="43">
        <f t="shared" si="123"/>
        <v>332.25392432146373</v>
      </c>
      <c r="Q989" s="42">
        <f t="shared" si="124"/>
        <v>0</v>
      </c>
      <c r="R989" s="42">
        <f t="shared" si="125"/>
        <v>0</v>
      </c>
      <c r="S989" s="42">
        <f t="shared" si="126"/>
        <v>0</v>
      </c>
      <c r="T989" s="42">
        <f t="shared" si="127"/>
        <v>1</v>
      </c>
    </row>
    <row r="990" spans="1:20" x14ac:dyDescent="0.2">
      <c r="A990" s="30">
        <v>983</v>
      </c>
      <c r="C990" s="31">
        <v>0.98940900410338306</v>
      </c>
      <c r="D990" s="32">
        <v>14417.673550532385</v>
      </c>
      <c r="E990" s="31">
        <v>0.95589785363769253</v>
      </c>
      <c r="F990" s="32">
        <v>4937.6776929926828</v>
      </c>
      <c r="G990" s="31">
        <v>0.95079745148851091</v>
      </c>
      <c r="H990" s="32">
        <v>8420.7906557032256</v>
      </c>
      <c r="I990" s="31">
        <v>0.95079745148851091</v>
      </c>
      <c r="J990" s="32">
        <v>4751.5782001198641</v>
      </c>
      <c r="L990" s="43">
        <f t="shared" si="120"/>
        <v>-9470.6285300154705</v>
      </c>
      <c r="M990" s="43">
        <f t="shared" si="121"/>
        <v>-158.18842480421972</v>
      </c>
      <c r="N990" s="43">
        <f t="shared" si="122"/>
        <v>-3666.8033982606712</v>
      </c>
      <c r="O990" s="43">
        <f t="shared" si="123"/>
        <v>2.4090573226903871</v>
      </c>
      <c r="Q990" s="42">
        <f t="shared" si="124"/>
        <v>0</v>
      </c>
      <c r="R990" s="42">
        <f t="shared" si="125"/>
        <v>0</v>
      </c>
      <c r="S990" s="42">
        <f t="shared" si="126"/>
        <v>0</v>
      </c>
      <c r="T990" s="42">
        <f t="shared" si="127"/>
        <v>1</v>
      </c>
    </row>
    <row r="991" spans="1:20" x14ac:dyDescent="0.2">
      <c r="A991" s="30">
        <v>984</v>
      </c>
      <c r="C991" s="31">
        <v>0.98144849485513563</v>
      </c>
      <c r="D991" s="32">
        <v>16314.908697432082</v>
      </c>
      <c r="E991" s="31">
        <v>0.83710908251800009</v>
      </c>
      <c r="F991" s="32">
        <v>4518.27116574717</v>
      </c>
      <c r="G991" s="31">
        <v>0.95292659740950947</v>
      </c>
      <c r="H991" s="32">
        <v>10491.087351156591</v>
      </c>
      <c r="I991" s="31">
        <v>0.83566222207286467</v>
      </c>
      <c r="J991" s="32">
        <v>4368.7067562667289</v>
      </c>
      <c r="L991" s="43">
        <f t="shared" si="120"/>
        <v>-11407.666223156404</v>
      </c>
      <c r="M991" s="43">
        <f t="shared" si="121"/>
        <v>-332.72575315716949</v>
      </c>
      <c r="N991" s="43">
        <f t="shared" si="122"/>
        <v>-5726.454364109044</v>
      </c>
      <c r="O991" s="43">
        <f t="shared" si="123"/>
        <v>-190.3956459024057</v>
      </c>
      <c r="Q991" s="42">
        <f t="shared" si="124"/>
        <v>0</v>
      </c>
      <c r="R991" s="42">
        <f t="shared" si="125"/>
        <v>0</v>
      </c>
      <c r="S991" s="42">
        <f t="shared" si="126"/>
        <v>0</v>
      </c>
      <c r="T991" s="42">
        <f t="shared" si="127"/>
        <v>1</v>
      </c>
    </row>
    <row r="992" spans="1:20" x14ac:dyDescent="0.2">
      <c r="A992" s="30">
        <v>985</v>
      </c>
      <c r="C992" s="31">
        <v>0.99951109044163755</v>
      </c>
      <c r="D992" s="32">
        <v>14400.32466900709</v>
      </c>
      <c r="E992" s="31">
        <v>0.82137250153576313</v>
      </c>
      <c r="F992" s="32">
        <v>3998.2765040809786</v>
      </c>
      <c r="G992" s="31">
        <v>0.90687051991326961</v>
      </c>
      <c r="H992" s="32">
        <v>8403.9643267251467</v>
      </c>
      <c r="I992" s="31">
        <v>0.81491785536098416</v>
      </c>
      <c r="J992" s="32">
        <v>3756.3885598423517</v>
      </c>
      <c r="L992" s="43">
        <f t="shared" si="120"/>
        <v>-9402.7692167989026</v>
      </c>
      <c r="M992" s="43">
        <f t="shared" si="121"/>
        <v>108.58600359783713</v>
      </c>
      <c r="N992" s="43">
        <f t="shared" si="122"/>
        <v>-3869.6117271587991</v>
      </c>
      <c r="O992" s="43">
        <f t="shared" si="123"/>
        <v>318.200716962569</v>
      </c>
      <c r="Q992" s="42">
        <f t="shared" si="124"/>
        <v>0</v>
      </c>
      <c r="R992" s="42">
        <f t="shared" si="125"/>
        <v>0</v>
      </c>
      <c r="S992" s="42">
        <f t="shared" si="126"/>
        <v>0</v>
      </c>
      <c r="T992" s="42">
        <f t="shared" si="127"/>
        <v>1</v>
      </c>
    </row>
    <row r="993" spans="1:20" x14ac:dyDescent="0.2">
      <c r="A993" s="30">
        <v>986</v>
      </c>
      <c r="C993" s="31">
        <v>0.99930740718481859</v>
      </c>
      <c r="D993" s="32">
        <v>15526.371225124129</v>
      </c>
      <c r="E993" s="31">
        <v>0.86475656621758146</v>
      </c>
      <c r="F993" s="32">
        <v>5961.54285769338</v>
      </c>
      <c r="G993" s="31">
        <v>0.93048443788642721</v>
      </c>
      <c r="H993" s="32">
        <v>9156.7012552562755</v>
      </c>
      <c r="I993" s="31">
        <v>0.85309500500383562</v>
      </c>
      <c r="J993" s="32">
        <v>4473.2471649989166</v>
      </c>
      <c r="L993" s="43">
        <f t="shared" si="120"/>
        <v>-10529.834189200035</v>
      </c>
      <c r="M993" s="43">
        <f t="shared" si="121"/>
        <v>-1637.7600266054724</v>
      </c>
      <c r="N993" s="43">
        <f t="shared" si="122"/>
        <v>-4504.2790658241393</v>
      </c>
      <c r="O993" s="43">
        <f t="shared" si="123"/>
        <v>-207.77213997973831</v>
      </c>
      <c r="Q993" s="42">
        <f t="shared" si="124"/>
        <v>0</v>
      </c>
      <c r="R993" s="42">
        <f t="shared" si="125"/>
        <v>0</v>
      </c>
      <c r="S993" s="42">
        <f t="shared" si="126"/>
        <v>0</v>
      </c>
      <c r="T993" s="42">
        <f t="shared" si="127"/>
        <v>1</v>
      </c>
    </row>
    <row r="994" spans="1:20" x14ac:dyDescent="0.2">
      <c r="A994" s="30">
        <v>987</v>
      </c>
      <c r="C994" s="31">
        <v>0.99794613802220256</v>
      </c>
      <c r="D994" s="32">
        <v>15929.345898185949</v>
      </c>
      <c r="E994" s="31">
        <v>0.9684088132299824</v>
      </c>
      <c r="F994" s="32">
        <v>5830.8765323361886</v>
      </c>
      <c r="G994" s="31">
        <v>0.96663925008135521</v>
      </c>
      <c r="H994" s="32">
        <v>8926.650754110764</v>
      </c>
      <c r="I994" s="31">
        <v>0.96663925008135521</v>
      </c>
      <c r="J994" s="32">
        <v>5077.0531152745134</v>
      </c>
      <c r="L994" s="43">
        <f t="shared" si="120"/>
        <v>-10939.615208074938</v>
      </c>
      <c r="M994" s="43">
        <f t="shared" si="121"/>
        <v>-988.83246618627618</v>
      </c>
      <c r="N994" s="43">
        <f t="shared" si="122"/>
        <v>-4093.4545037039879</v>
      </c>
      <c r="O994" s="43">
        <f t="shared" si="123"/>
        <v>-243.85686486773739</v>
      </c>
      <c r="Q994" s="42">
        <f t="shared" si="124"/>
        <v>0</v>
      </c>
      <c r="R994" s="42">
        <f t="shared" si="125"/>
        <v>0</v>
      </c>
      <c r="S994" s="42">
        <f t="shared" si="126"/>
        <v>0</v>
      </c>
      <c r="T994" s="42">
        <f t="shared" si="127"/>
        <v>1</v>
      </c>
    </row>
    <row r="995" spans="1:20" x14ac:dyDescent="0.2">
      <c r="A995" s="30">
        <v>988</v>
      </c>
      <c r="C995" s="31">
        <v>0.95726658540973442</v>
      </c>
      <c r="D995" s="32">
        <v>18191.574107928638</v>
      </c>
      <c r="E995" s="31">
        <v>0.91714200011194413</v>
      </c>
      <c r="F995" s="32">
        <v>7435.5149573861945</v>
      </c>
      <c r="G995" s="31">
        <v>0.91714198621393639</v>
      </c>
      <c r="H995" s="32">
        <v>11340.80821875011</v>
      </c>
      <c r="I995" s="31">
        <v>0.91714200152934755</v>
      </c>
      <c r="J995" s="32">
        <v>6879.9175582046073</v>
      </c>
      <c r="L995" s="43">
        <f t="shared" si="120"/>
        <v>-13405.241180879966</v>
      </c>
      <c r="M995" s="43">
        <f t="shared" si="121"/>
        <v>-2849.8049568264742</v>
      </c>
      <c r="N995" s="43">
        <f t="shared" si="122"/>
        <v>-6755.0982876804273</v>
      </c>
      <c r="O995" s="43">
        <f t="shared" si="123"/>
        <v>-2294.2075505578696</v>
      </c>
      <c r="Q995" s="42">
        <f t="shared" si="124"/>
        <v>0</v>
      </c>
      <c r="R995" s="42">
        <f t="shared" si="125"/>
        <v>0</v>
      </c>
      <c r="S995" s="42">
        <f t="shared" si="126"/>
        <v>0</v>
      </c>
      <c r="T995" s="42">
        <f t="shared" si="127"/>
        <v>1</v>
      </c>
    </row>
    <row r="996" spans="1:20" x14ac:dyDescent="0.2">
      <c r="A996" s="30">
        <v>989</v>
      </c>
      <c r="C996" s="31">
        <v>0.99856707791409149</v>
      </c>
      <c r="D996" s="32">
        <v>16818.809249021437</v>
      </c>
      <c r="E996" s="31">
        <v>0.85267232660837333</v>
      </c>
      <c r="F996" s="32">
        <v>3694.3471722484574</v>
      </c>
      <c r="G996" s="31">
        <v>0.96735560487119399</v>
      </c>
      <c r="H996" s="32">
        <v>9921.648674973696</v>
      </c>
      <c r="I996" s="31">
        <v>0.85009890897092655</v>
      </c>
      <c r="J996" s="32">
        <v>3507.4338022735615</v>
      </c>
      <c r="L996" s="43">
        <f t="shared" si="120"/>
        <v>-11825.97385945098</v>
      </c>
      <c r="M996" s="43">
        <f t="shared" si="121"/>
        <v>569.01446079340894</v>
      </c>
      <c r="N996" s="43">
        <f t="shared" si="122"/>
        <v>-5084.8706506177259</v>
      </c>
      <c r="O996" s="43">
        <f t="shared" si="123"/>
        <v>743.06074258107083</v>
      </c>
      <c r="Q996" s="42">
        <f t="shared" si="124"/>
        <v>0</v>
      </c>
      <c r="R996" s="42">
        <f t="shared" si="125"/>
        <v>0</v>
      </c>
      <c r="S996" s="42">
        <f t="shared" si="126"/>
        <v>0</v>
      </c>
      <c r="T996" s="42">
        <f t="shared" si="127"/>
        <v>1</v>
      </c>
    </row>
    <row r="997" spans="1:20" x14ac:dyDescent="0.2">
      <c r="A997" s="30">
        <v>990</v>
      </c>
      <c r="C997" s="31">
        <v>0.99459262033707529</v>
      </c>
      <c r="D997" s="32">
        <v>17437.524758931781</v>
      </c>
      <c r="E997" s="31">
        <v>0.87441965824635703</v>
      </c>
      <c r="F997" s="32">
        <v>3768.5325403303491</v>
      </c>
      <c r="G997" s="31">
        <v>0.98575940079571311</v>
      </c>
      <c r="H997" s="32">
        <v>11204.199041364458</v>
      </c>
      <c r="I997" s="31">
        <v>0.87441085248371908</v>
      </c>
      <c r="J997" s="32">
        <v>3652.0304926274748</v>
      </c>
      <c r="L997" s="43">
        <f t="shared" si="120"/>
        <v>-12464.561657246404</v>
      </c>
      <c r="M997" s="43">
        <f t="shared" si="121"/>
        <v>603.56575090143588</v>
      </c>
      <c r="N997" s="43">
        <f t="shared" si="122"/>
        <v>-6275.4020373858921</v>
      </c>
      <c r="O997" s="43">
        <f t="shared" si="123"/>
        <v>720.02376979112069</v>
      </c>
      <c r="Q997" s="42">
        <f t="shared" si="124"/>
        <v>0</v>
      </c>
      <c r="R997" s="42">
        <f t="shared" si="125"/>
        <v>0</v>
      </c>
      <c r="S997" s="42">
        <f t="shared" si="126"/>
        <v>0</v>
      </c>
      <c r="T997" s="42">
        <f t="shared" si="127"/>
        <v>1</v>
      </c>
    </row>
    <row r="998" spans="1:20" x14ac:dyDescent="0.2">
      <c r="A998" s="30">
        <v>991</v>
      </c>
      <c r="C998" s="31">
        <v>0.99918807800087472</v>
      </c>
      <c r="D998" s="32">
        <v>14474.058788903352</v>
      </c>
      <c r="E998" s="31">
        <v>0.971241146673403</v>
      </c>
      <c r="F998" s="32">
        <v>5110.3104462978745</v>
      </c>
      <c r="G998" s="31">
        <v>0.96754841733420194</v>
      </c>
      <c r="H998" s="32">
        <v>9053.6251234146639</v>
      </c>
      <c r="I998" s="31">
        <v>0.96754841733420194</v>
      </c>
      <c r="J998" s="32">
        <v>4946.6897877613737</v>
      </c>
      <c r="L998" s="43">
        <f t="shared" si="120"/>
        <v>-9478.1183988989796</v>
      </c>
      <c r="M998" s="43">
        <f t="shared" si="121"/>
        <v>-254.10471293085993</v>
      </c>
      <c r="N998" s="43">
        <f t="shared" si="122"/>
        <v>-4215.883036743654</v>
      </c>
      <c r="O998" s="43">
        <f t="shared" si="123"/>
        <v>-108.94770109036381</v>
      </c>
      <c r="Q998" s="42">
        <f t="shared" si="124"/>
        <v>0</v>
      </c>
      <c r="R998" s="42">
        <f t="shared" si="125"/>
        <v>0</v>
      </c>
      <c r="S998" s="42">
        <f t="shared" si="126"/>
        <v>0</v>
      </c>
      <c r="T998" s="42">
        <f t="shared" si="127"/>
        <v>1</v>
      </c>
    </row>
    <row r="999" spans="1:20" x14ac:dyDescent="0.2">
      <c r="A999" s="30">
        <v>992</v>
      </c>
      <c r="C999" s="31">
        <v>0.9814343221705859</v>
      </c>
      <c r="D999" s="32">
        <v>13306.470031824354</v>
      </c>
      <c r="E999" s="31">
        <v>0.93618701328142417</v>
      </c>
      <c r="F999" s="32">
        <v>3804.2541962362102</v>
      </c>
      <c r="G999" s="31">
        <v>0.93417958405022317</v>
      </c>
      <c r="H999" s="32">
        <v>7615.8174892255556</v>
      </c>
      <c r="I999" s="31">
        <v>0.93417958405022339</v>
      </c>
      <c r="J999" s="32">
        <v>3654.2690772001306</v>
      </c>
      <c r="L999" s="43">
        <f t="shared" si="120"/>
        <v>-8399.2984209714232</v>
      </c>
      <c r="M999" s="43">
        <f t="shared" si="121"/>
        <v>876.68087017091057</v>
      </c>
      <c r="N999" s="43">
        <f t="shared" si="122"/>
        <v>-2944.9195689744402</v>
      </c>
      <c r="O999" s="43">
        <f t="shared" si="123"/>
        <v>1016.6288430509867</v>
      </c>
      <c r="Q999" s="42">
        <f t="shared" si="124"/>
        <v>0</v>
      </c>
      <c r="R999" s="42">
        <f t="shared" si="125"/>
        <v>0</v>
      </c>
      <c r="S999" s="42">
        <f t="shared" si="126"/>
        <v>0</v>
      </c>
      <c r="T999" s="42">
        <f t="shared" si="127"/>
        <v>1</v>
      </c>
    </row>
    <row r="1000" spans="1:20" x14ac:dyDescent="0.2">
      <c r="A1000" s="30">
        <v>993</v>
      </c>
      <c r="C1000" s="31">
        <v>0.98775723319262632</v>
      </c>
      <c r="D1000" s="32">
        <v>13961.248210010219</v>
      </c>
      <c r="E1000" s="31">
        <v>0.73262855992449549</v>
      </c>
      <c r="F1000" s="32">
        <v>3779.7411618314372</v>
      </c>
      <c r="G1000" s="31">
        <v>0.91043095256055628</v>
      </c>
      <c r="H1000" s="32">
        <v>8850.0294574727905</v>
      </c>
      <c r="I1000" s="31">
        <v>0.72811681831451036</v>
      </c>
      <c r="J1000" s="32">
        <v>2847.932720358579</v>
      </c>
      <c r="L1000" s="43">
        <f t="shared" si="120"/>
        <v>-9022.4620440470862</v>
      </c>
      <c r="M1000" s="43">
        <f t="shared" si="121"/>
        <v>-116.59836220895977</v>
      </c>
      <c r="N1000" s="43">
        <f t="shared" si="122"/>
        <v>-4297.8746946700094</v>
      </c>
      <c r="O1000" s="43">
        <f t="shared" si="123"/>
        <v>792.65137121397265</v>
      </c>
      <c r="Q1000" s="42">
        <f t="shared" si="124"/>
        <v>0</v>
      </c>
      <c r="R1000" s="42">
        <f t="shared" si="125"/>
        <v>0</v>
      </c>
      <c r="S1000" s="42">
        <f t="shared" si="126"/>
        <v>0</v>
      </c>
      <c r="T1000" s="42">
        <f t="shared" si="127"/>
        <v>1</v>
      </c>
    </row>
    <row r="1001" spans="1:20" x14ac:dyDescent="0.2">
      <c r="A1001" s="30">
        <v>994</v>
      </c>
      <c r="C1001" s="31">
        <v>0.99951908411014223</v>
      </c>
      <c r="D1001" s="32">
        <v>16067.899232922748</v>
      </c>
      <c r="E1001" s="31">
        <v>0.96032253743614038</v>
      </c>
      <c r="F1001" s="32">
        <v>8037.604867703295</v>
      </c>
      <c r="G1001" s="31">
        <v>0.95076118797444042</v>
      </c>
      <c r="H1001" s="32">
        <v>10112.611810631341</v>
      </c>
      <c r="I1001" s="31">
        <v>0.95076118797444054</v>
      </c>
      <c r="J1001" s="32">
        <v>6641.1690977037188</v>
      </c>
      <c r="L1001" s="43">
        <f t="shared" si="120"/>
        <v>-11070.303812372036</v>
      </c>
      <c r="M1001" s="43">
        <f t="shared" si="121"/>
        <v>-3235.9921805225931</v>
      </c>
      <c r="N1001" s="43">
        <f t="shared" si="122"/>
        <v>-5358.8058707591381</v>
      </c>
      <c r="O1001" s="43">
        <f t="shared" si="123"/>
        <v>-1887.3631578315162</v>
      </c>
      <c r="Q1001" s="42">
        <f t="shared" si="124"/>
        <v>0</v>
      </c>
      <c r="R1001" s="42">
        <f t="shared" si="125"/>
        <v>0</v>
      </c>
      <c r="S1001" s="42">
        <f t="shared" si="126"/>
        <v>0</v>
      </c>
      <c r="T1001" s="42">
        <f t="shared" si="127"/>
        <v>1</v>
      </c>
    </row>
    <row r="1002" spans="1:20" x14ac:dyDescent="0.2">
      <c r="A1002" s="30">
        <v>995</v>
      </c>
      <c r="C1002" s="31">
        <v>0.99230872284305327</v>
      </c>
      <c r="D1002" s="32">
        <v>16838.289803595111</v>
      </c>
      <c r="E1002" s="31">
        <v>0.95885495322808223</v>
      </c>
      <c r="F1002" s="32">
        <v>6776.1215627016054</v>
      </c>
      <c r="G1002" s="31">
        <v>0.95451103066657472</v>
      </c>
      <c r="H1002" s="32">
        <v>11395.70384302976</v>
      </c>
      <c r="I1002" s="31">
        <v>0.95451103066657494</v>
      </c>
      <c r="J1002" s="32">
        <v>6589.6208982110975</v>
      </c>
      <c r="L1002" s="43">
        <f t="shared" si="120"/>
        <v>-11876.746189379845</v>
      </c>
      <c r="M1002" s="43">
        <f t="shared" si="121"/>
        <v>-1981.8467965611944</v>
      </c>
      <c r="N1002" s="43">
        <f t="shared" si="122"/>
        <v>-6623.1486896968863</v>
      </c>
      <c r="O1002" s="43">
        <f t="shared" si="123"/>
        <v>-1817.0657448782231</v>
      </c>
      <c r="Q1002" s="42">
        <f t="shared" si="124"/>
        <v>0</v>
      </c>
      <c r="R1002" s="42">
        <f t="shared" si="125"/>
        <v>0</v>
      </c>
      <c r="S1002" s="42">
        <f t="shared" si="126"/>
        <v>0</v>
      </c>
      <c r="T1002" s="42">
        <f t="shared" si="127"/>
        <v>1</v>
      </c>
    </row>
    <row r="1003" spans="1:20" x14ac:dyDescent="0.2">
      <c r="A1003" s="30">
        <v>996</v>
      </c>
      <c r="C1003" s="31">
        <v>0.93066255028330624</v>
      </c>
      <c r="D1003" s="32">
        <v>14068.570859785788</v>
      </c>
      <c r="E1003" s="31">
        <v>0.79524928040861254</v>
      </c>
      <c r="F1003" s="32">
        <v>3751.3331991910072</v>
      </c>
      <c r="G1003" s="31">
        <v>0.93091900865622912</v>
      </c>
      <c r="H1003" s="32">
        <v>8444.4098190172845</v>
      </c>
      <c r="I1003" s="31">
        <v>0.79238814898193777</v>
      </c>
      <c r="J1003" s="32">
        <v>3038.8833610733641</v>
      </c>
      <c r="L1003" s="43">
        <f t="shared" si="120"/>
        <v>-9415.2581083692567</v>
      </c>
      <c r="M1003" s="43">
        <f t="shared" si="121"/>
        <v>224.91320285205529</v>
      </c>
      <c r="N1003" s="43">
        <f t="shared" si="122"/>
        <v>-3789.8147757361385</v>
      </c>
      <c r="O1003" s="43">
        <f t="shared" si="123"/>
        <v>923.05738383632479</v>
      </c>
      <c r="Q1003" s="42">
        <f t="shared" si="124"/>
        <v>0</v>
      </c>
      <c r="R1003" s="42">
        <f t="shared" si="125"/>
        <v>0</v>
      </c>
      <c r="S1003" s="42">
        <f t="shared" si="126"/>
        <v>0</v>
      </c>
      <c r="T1003" s="42">
        <f t="shared" si="127"/>
        <v>1</v>
      </c>
    </row>
    <row r="1004" spans="1:20" x14ac:dyDescent="0.2">
      <c r="A1004" s="30">
        <v>997</v>
      </c>
      <c r="C1004" s="31">
        <v>0.92980518848958893</v>
      </c>
      <c r="D1004" s="32">
        <v>18292.94039029102</v>
      </c>
      <c r="E1004" s="31">
        <v>0.81072384520526042</v>
      </c>
      <c r="F1004" s="32">
        <v>8235.8274613668382</v>
      </c>
      <c r="G1004" s="31">
        <v>0.88091460022166235</v>
      </c>
      <c r="H1004" s="32">
        <v>10243.627852455515</v>
      </c>
      <c r="I1004" s="31">
        <v>0.80282495847207036</v>
      </c>
      <c r="J1004" s="32">
        <v>5492.0758803691315</v>
      </c>
      <c r="L1004" s="43">
        <f t="shared" si="120"/>
        <v>-13643.914447843075</v>
      </c>
      <c r="M1004" s="43">
        <f t="shared" si="121"/>
        <v>-4182.2082353405367</v>
      </c>
      <c r="N1004" s="43">
        <f t="shared" si="122"/>
        <v>-5839.0548513472031</v>
      </c>
      <c r="O1004" s="43">
        <f t="shared" si="123"/>
        <v>-1477.9510880087796</v>
      </c>
      <c r="Q1004" s="42">
        <f t="shared" si="124"/>
        <v>0</v>
      </c>
      <c r="R1004" s="42">
        <f t="shared" si="125"/>
        <v>0</v>
      </c>
      <c r="S1004" s="42">
        <f t="shared" si="126"/>
        <v>0</v>
      </c>
      <c r="T1004" s="42">
        <f t="shared" si="127"/>
        <v>1</v>
      </c>
    </row>
    <row r="1005" spans="1:20" x14ac:dyDescent="0.2">
      <c r="A1005" s="30">
        <v>998</v>
      </c>
      <c r="C1005" s="31">
        <v>0.96039735152637185</v>
      </c>
      <c r="D1005" s="32">
        <v>18036.862899370954</v>
      </c>
      <c r="E1005" s="31">
        <v>0.94096972942032031</v>
      </c>
      <c r="F1005" s="32">
        <v>12971.033774967085</v>
      </c>
      <c r="G1005" s="31">
        <v>0.94218809302855266</v>
      </c>
      <c r="H1005" s="32">
        <v>10882.176898129363</v>
      </c>
      <c r="I1005" s="31">
        <v>0.93473091702229061</v>
      </c>
      <c r="J1005" s="32">
        <v>8642.6791997639411</v>
      </c>
      <c r="L1005" s="43">
        <f t="shared" si="120"/>
        <v>-13234.876141739094</v>
      </c>
      <c r="M1005" s="43">
        <f t="shared" si="121"/>
        <v>-8266.1851278654831</v>
      </c>
      <c r="N1005" s="43">
        <f t="shared" si="122"/>
        <v>-6171.2364329865995</v>
      </c>
      <c r="O1005" s="43">
        <f t="shared" si="123"/>
        <v>-3969.0246146524878</v>
      </c>
      <c r="Q1005" s="42">
        <f t="shared" si="124"/>
        <v>0</v>
      </c>
      <c r="R1005" s="42">
        <f t="shared" si="125"/>
        <v>0</v>
      </c>
      <c r="S1005" s="42">
        <f t="shared" si="126"/>
        <v>0</v>
      </c>
      <c r="T1005" s="42">
        <f t="shared" si="127"/>
        <v>1</v>
      </c>
    </row>
    <row r="1006" spans="1:20" x14ac:dyDescent="0.2">
      <c r="A1006" s="30">
        <v>999</v>
      </c>
      <c r="C1006" s="31">
        <v>0.98238237034637876</v>
      </c>
      <c r="D1006" s="32">
        <v>17525.063024511539</v>
      </c>
      <c r="E1006" s="31">
        <v>0.82285921213903013</v>
      </c>
      <c r="F1006" s="32">
        <v>3557.5394632221751</v>
      </c>
      <c r="G1006" s="31">
        <v>0.94540347023169446</v>
      </c>
      <c r="H1006" s="32">
        <v>9997.5399274782758</v>
      </c>
      <c r="I1006" s="31">
        <v>0.82221739277656058</v>
      </c>
      <c r="J1006" s="32">
        <v>3357.6048223559214</v>
      </c>
      <c r="L1006" s="43">
        <f t="shared" si="120"/>
        <v>-12613.151172779646</v>
      </c>
      <c r="M1006" s="43">
        <f t="shared" si="121"/>
        <v>556.75659747297595</v>
      </c>
      <c r="N1006" s="43">
        <f t="shared" si="122"/>
        <v>-5270.5225763198032</v>
      </c>
      <c r="O1006" s="43">
        <f t="shared" si="123"/>
        <v>753.48214152688115</v>
      </c>
      <c r="Q1006" s="42">
        <f t="shared" si="124"/>
        <v>0</v>
      </c>
      <c r="R1006" s="42">
        <f t="shared" si="125"/>
        <v>0</v>
      </c>
      <c r="S1006" s="42">
        <f t="shared" si="126"/>
        <v>0</v>
      </c>
      <c r="T1006" s="42">
        <f t="shared" si="127"/>
        <v>1</v>
      </c>
    </row>
    <row r="1007" spans="1:20" x14ac:dyDescent="0.2">
      <c r="A1007" s="30">
        <v>1000</v>
      </c>
      <c r="C1007" s="31">
        <v>0.9837213654993372</v>
      </c>
      <c r="D1007" s="32">
        <v>15825.923993744855</v>
      </c>
      <c r="E1007" s="31">
        <v>0.95493868686942229</v>
      </c>
      <c r="F1007" s="32">
        <v>5951.8854667771047</v>
      </c>
      <c r="G1007" s="31">
        <v>0.95157357757179983</v>
      </c>
      <c r="H1007" s="32">
        <v>9407.3818219563127</v>
      </c>
      <c r="I1007" s="31">
        <v>0.95157357757179994</v>
      </c>
      <c r="J1007" s="32">
        <v>5777.5666515994226</v>
      </c>
      <c r="L1007" s="43">
        <f t="shared" si="120"/>
        <v>-10907.317166248169</v>
      </c>
      <c r="M1007" s="43">
        <f t="shared" si="121"/>
        <v>-1177.1920324299936</v>
      </c>
      <c r="N1007" s="43">
        <f t="shared" si="122"/>
        <v>-4649.5139340973137</v>
      </c>
      <c r="O1007" s="43">
        <f t="shared" si="123"/>
        <v>-1019.6987637404227</v>
      </c>
      <c r="Q1007" s="42">
        <f t="shared" si="124"/>
        <v>0</v>
      </c>
      <c r="R1007" s="42">
        <f t="shared" si="125"/>
        <v>0</v>
      </c>
      <c r="S1007" s="42">
        <f t="shared" si="126"/>
        <v>0</v>
      </c>
      <c r="T1007" s="42">
        <f t="shared" si="127"/>
        <v>1</v>
      </c>
    </row>
    <row r="1008" spans="1:20" x14ac:dyDescent="0.2">
      <c r="L1008" s="43"/>
      <c r="M1008" s="43"/>
      <c r="N1008" s="43"/>
      <c r="O1008" s="43"/>
      <c r="Q1008" s="44"/>
      <c r="R1008" s="44"/>
      <c r="S1008" s="44"/>
      <c r="T1008" s="44"/>
    </row>
    <row r="1009" spans="3:20" x14ac:dyDescent="0.2">
      <c r="C1009" s="31">
        <f>AVERAGE(C8:C1007)</f>
        <v>0.98294754877098656</v>
      </c>
      <c r="D1009" s="31">
        <f t="shared" ref="D1009:I1009" si="128">AVERAGE(D8:D1007)</f>
        <v>15472.631902151677</v>
      </c>
      <c r="E1009" s="31">
        <f t="shared" si="128"/>
        <v>0.88514619419300344</v>
      </c>
      <c r="F1009" s="31">
        <f t="shared" si="128"/>
        <v>5558.4354552611176</v>
      </c>
      <c r="G1009" s="31">
        <f t="shared" si="128"/>
        <v>0.94316214171914337</v>
      </c>
      <c r="H1009" s="31">
        <f t="shared" si="128"/>
        <v>9358.6402750995421</v>
      </c>
      <c r="I1009" s="31">
        <f t="shared" si="128"/>
        <v>0.88105101497326821</v>
      </c>
      <c r="J1009" s="31">
        <f>AVERAGE(J8:J1007)</f>
        <v>4681.1946946775261</v>
      </c>
      <c r="L1009" s="43"/>
      <c r="M1009" s="43"/>
      <c r="N1009" s="43"/>
      <c r="O1009" s="43"/>
      <c r="Q1009" s="44"/>
      <c r="R1009" s="44"/>
      <c r="S1009" s="44"/>
      <c r="T1009" s="44"/>
    </row>
    <row r="1010" spans="3:20" x14ac:dyDescent="0.2">
      <c r="L1010" s="43"/>
      <c r="M1010" s="43"/>
      <c r="N1010" s="43"/>
      <c r="O1010" s="43"/>
      <c r="Q1010" s="44"/>
      <c r="R1010" s="44"/>
      <c r="S1010" s="44"/>
      <c r="T1010" s="44"/>
    </row>
    <row r="1011" spans="3:20" x14ac:dyDescent="0.2">
      <c r="L1011" s="43"/>
      <c r="M1011" s="43"/>
      <c r="N1011" s="43"/>
      <c r="O1011" s="43"/>
      <c r="Q1011" s="44"/>
      <c r="R1011" s="44"/>
      <c r="S1011" s="44"/>
      <c r="T1011" s="44"/>
    </row>
    <row r="1012" spans="3:20" x14ac:dyDescent="0.2">
      <c r="L1012" s="43"/>
      <c r="M1012" s="43"/>
      <c r="N1012" s="43"/>
      <c r="O1012" s="43"/>
      <c r="Q1012" s="44"/>
      <c r="R1012" s="44"/>
      <c r="S1012" s="44"/>
      <c r="T1012" s="44"/>
    </row>
    <row r="1013" spans="3:20" x14ac:dyDescent="0.2">
      <c r="L1013" s="43"/>
      <c r="M1013" s="43"/>
      <c r="N1013" s="43"/>
      <c r="O1013" s="43"/>
      <c r="Q1013" s="44"/>
      <c r="R1013" s="44"/>
      <c r="S1013" s="44"/>
      <c r="T1013" s="44"/>
    </row>
    <row r="1014" spans="3:20" x14ac:dyDescent="0.2">
      <c r="L1014" s="43"/>
      <c r="M1014" s="43"/>
      <c r="N1014" s="43"/>
      <c r="O1014" s="43"/>
      <c r="Q1014" s="44"/>
      <c r="R1014" s="44"/>
      <c r="S1014" s="44"/>
      <c r="T1014" s="44"/>
    </row>
    <row r="1015" spans="3:20" x14ac:dyDescent="0.2">
      <c r="L1015" s="43"/>
      <c r="M1015" s="43"/>
      <c r="N1015" s="43"/>
      <c r="O1015" s="43"/>
      <c r="Q1015" s="44"/>
      <c r="R1015" s="44"/>
      <c r="S1015" s="44"/>
      <c r="T1015" s="44"/>
    </row>
    <row r="1016" spans="3:20" x14ac:dyDescent="0.2">
      <c r="L1016" s="43"/>
      <c r="M1016" s="43"/>
      <c r="N1016" s="43"/>
      <c r="O1016" s="43"/>
      <c r="Q1016" s="44"/>
      <c r="R1016" s="44"/>
      <c r="S1016" s="44"/>
      <c r="T1016" s="44"/>
    </row>
    <row r="1017" spans="3:20" x14ac:dyDescent="0.2">
      <c r="L1017" s="43"/>
      <c r="M1017" s="43"/>
      <c r="N1017" s="43"/>
      <c r="O1017" s="43"/>
      <c r="Q1017" s="44"/>
      <c r="R1017" s="44"/>
      <c r="S1017" s="44"/>
      <c r="T1017" s="44"/>
    </row>
    <row r="1018" spans="3:20" x14ac:dyDescent="0.2">
      <c r="L1018" s="43"/>
      <c r="M1018" s="43"/>
      <c r="N1018" s="43"/>
      <c r="O1018" s="43"/>
      <c r="Q1018" s="44"/>
      <c r="R1018" s="44"/>
      <c r="S1018" s="44"/>
      <c r="T1018" s="44"/>
    </row>
    <row r="1019" spans="3:20" x14ac:dyDescent="0.2">
      <c r="L1019" s="43"/>
      <c r="M1019" s="43"/>
      <c r="N1019" s="43"/>
      <c r="O1019" s="43"/>
      <c r="Q1019" s="44"/>
      <c r="R1019" s="44"/>
      <c r="S1019" s="44"/>
      <c r="T1019" s="44"/>
    </row>
    <row r="1020" spans="3:20" x14ac:dyDescent="0.2">
      <c r="L1020" s="43"/>
      <c r="M1020" s="43"/>
      <c r="N1020" s="43"/>
      <c r="O1020" s="43"/>
      <c r="Q1020" s="44"/>
      <c r="R1020" s="44"/>
      <c r="S1020" s="44"/>
      <c r="T1020" s="44"/>
    </row>
    <row r="1021" spans="3:20" x14ac:dyDescent="0.2">
      <c r="L1021" s="43"/>
      <c r="M1021" s="43"/>
      <c r="N1021" s="43"/>
      <c r="O1021" s="43"/>
      <c r="Q1021" s="44"/>
      <c r="R1021" s="44"/>
      <c r="S1021" s="44"/>
      <c r="T1021" s="44"/>
    </row>
    <row r="1022" spans="3:20" x14ac:dyDescent="0.2">
      <c r="L1022" s="43"/>
      <c r="M1022" s="43"/>
      <c r="N1022" s="43"/>
      <c r="O1022" s="43"/>
      <c r="Q1022" s="44"/>
      <c r="R1022" s="44"/>
      <c r="S1022" s="44"/>
      <c r="T1022" s="44"/>
    </row>
    <row r="1023" spans="3:20" x14ac:dyDescent="0.2">
      <c r="L1023" s="43"/>
      <c r="M1023" s="43"/>
      <c r="N1023" s="43"/>
      <c r="O1023" s="43"/>
      <c r="Q1023" s="44"/>
      <c r="R1023" s="44"/>
      <c r="S1023" s="44"/>
      <c r="T1023" s="44"/>
    </row>
    <row r="1024" spans="3:20" x14ac:dyDescent="0.2">
      <c r="L1024" s="43"/>
      <c r="M1024" s="43"/>
      <c r="N1024" s="43"/>
      <c r="O1024" s="43"/>
      <c r="Q1024" s="44"/>
      <c r="R1024" s="44"/>
      <c r="S1024" s="44"/>
      <c r="T1024" s="44"/>
    </row>
    <row r="1025" spans="12:20" x14ac:dyDescent="0.2">
      <c r="L1025" s="43"/>
      <c r="M1025" s="43"/>
      <c r="N1025" s="43"/>
      <c r="O1025" s="43"/>
      <c r="Q1025" s="44"/>
      <c r="R1025" s="44"/>
      <c r="S1025" s="44"/>
      <c r="T1025" s="44"/>
    </row>
    <row r="1026" spans="12:20" x14ac:dyDescent="0.2">
      <c r="L1026" s="43"/>
      <c r="M1026" s="43"/>
      <c r="N1026" s="43"/>
      <c r="O1026" s="43"/>
      <c r="Q1026" s="44"/>
      <c r="R1026" s="44"/>
      <c r="S1026" s="44"/>
      <c r="T1026" s="44"/>
    </row>
    <row r="1027" spans="12:20" x14ac:dyDescent="0.2">
      <c r="L1027" s="43"/>
      <c r="M1027" s="43"/>
      <c r="N1027" s="43"/>
      <c r="O1027" s="43"/>
      <c r="Q1027" s="44"/>
      <c r="R1027" s="44"/>
      <c r="S1027" s="44"/>
      <c r="T1027" s="44"/>
    </row>
    <row r="1028" spans="12:20" x14ac:dyDescent="0.2">
      <c r="L1028" s="43"/>
      <c r="M1028" s="43"/>
      <c r="N1028" s="43"/>
      <c r="O1028" s="43"/>
      <c r="Q1028" s="44"/>
      <c r="R1028" s="44"/>
      <c r="S1028" s="44"/>
      <c r="T1028" s="44"/>
    </row>
    <row r="1029" spans="12:20" x14ac:dyDescent="0.2">
      <c r="L1029" s="43"/>
      <c r="M1029" s="43"/>
      <c r="N1029" s="43"/>
      <c r="O1029" s="43"/>
      <c r="Q1029" s="44"/>
      <c r="R1029" s="44"/>
      <c r="S1029" s="44"/>
      <c r="T1029" s="44"/>
    </row>
    <row r="1030" spans="12:20" x14ac:dyDescent="0.2">
      <c r="L1030" s="43"/>
      <c r="M1030" s="43"/>
      <c r="N1030" s="43"/>
      <c r="O1030" s="43"/>
      <c r="Q1030" s="44"/>
      <c r="R1030" s="44"/>
      <c r="S1030" s="44"/>
      <c r="T1030" s="44"/>
    </row>
    <row r="1031" spans="12:20" x14ac:dyDescent="0.2">
      <c r="L1031" s="43"/>
      <c r="M1031" s="43"/>
      <c r="N1031" s="43"/>
      <c r="O1031" s="43"/>
      <c r="Q1031" s="44"/>
      <c r="R1031" s="44"/>
      <c r="S1031" s="44"/>
      <c r="T1031" s="44"/>
    </row>
    <row r="1032" spans="12:20" x14ac:dyDescent="0.2">
      <c r="L1032" s="43"/>
      <c r="M1032" s="43"/>
      <c r="N1032" s="43"/>
      <c r="O1032" s="43"/>
      <c r="Q1032" s="44"/>
      <c r="R1032" s="44"/>
      <c r="S1032" s="44"/>
      <c r="T1032" s="44"/>
    </row>
    <row r="1033" spans="12:20" x14ac:dyDescent="0.2">
      <c r="L1033" s="43"/>
      <c r="M1033" s="43"/>
      <c r="N1033" s="43"/>
      <c r="O1033" s="43"/>
      <c r="Q1033" s="44"/>
      <c r="R1033" s="44"/>
      <c r="S1033" s="44"/>
      <c r="T1033" s="44"/>
    </row>
    <row r="1034" spans="12:20" x14ac:dyDescent="0.2">
      <c r="L1034" s="43"/>
      <c r="M1034" s="43"/>
      <c r="N1034" s="43"/>
      <c r="O1034" s="43"/>
      <c r="Q1034" s="44"/>
      <c r="R1034" s="44"/>
      <c r="S1034" s="44"/>
      <c r="T1034" s="44"/>
    </row>
    <row r="1035" spans="12:20" x14ac:dyDescent="0.2">
      <c r="L1035" s="43"/>
      <c r="M1035" s="43"/>
      <c r="N1035" s="43"/>
      <c r="O1035" s="43"/>
      <c r="Q1035" s="44"/>
      <c r="R1035" s="44"/>
      <c r="S1035" s="44"/>
      <c r="T1035" s="44"/>
    </row>
    <row r="1036" spans="12:20" x14ac:dyDescent="0.2">
      <c r="L1036" s="43"/>
      <c r="M1036" s="43"/>
      <c r="N1036" s="43"/>
      <c r="O1036" s="43"/>
      <c r="Q1036" s="44"/>
      <c r="R1036" s="44"/>
      <c r="S1036" s="44"/>
      <c r="T1036" s="44"/>
    </row>
    <row r="1037" spans="12:20" x14ac:dyDescent="0.2">
      <c r="L1037" s="43"/>
      <c r="M1037" s="43"/>
      <c r="N1037" s="43"/>
      <c r="O1037" s="43"/>
      <c r="Q1037" s="44"/>
      <c r="R1037" s="44"/>
      <c r="S1037" s="44"/>
      <c r="T1037" s="44"/>
    </row>
    <row r="1038" spans="12:20" x14ac:dyDescent="0.2">
      <c r="L1038" s="43"/>
      <c r="M1038" s="43"/>
      <c r="N1038" s="43"/>
      <c r="O1038" s="43"/>
      <c r="Q1038" s="44"/>
      <c r="R1038" s="44"/>
      <c r="S1038" s="44"/>
      <c r="T1038" s="44"/>
    </row>
    <row r="1039" spans="12:20" x14ac:dyDescent="0.2">
      <c r="L1039" s="43"/>
      <c r="M1039" s="43"/>
      <c r="N1039" s="43"/>
      <c r="O1039" s="43"/>
      <c r="Q1039" s="44"/>
      <c r="R1039" s="44"/>
      <c r="S1039" s="44"/>
      <c r="T1039" s="44"/>
    </row>
    <row r="1040" spans="12:20" x14ac:dyDescent="0.2">
      <c r="L1040" s="43"/>
      <c r="M1040" s="43"/>
      <c r="N1040" s="43"/>
      <c r="O1040" s="43"/>
      <c r="Q1040" s="44"/>
      <c r="R1040" s="44"/>
      <c r="S1040" s="44"/>
      <c r="T1040" s="44"/>
    </row>
    <row r="1041" spans="12:20" x14ac:dyDescent="0.2">
      <c r="L1041" s="43"/>
      <c r="M1041" s="43"/>
      <c r="N1041" s="43"/>
      <c r="O1041" s="43"/>
      <c r="Q1041" s="44"/>
      <c r="R1041" s="44"/>
      <c r="S1041" s="44"/>
      <c r="T1041" s="44"/>
    </row>
    <row r="1042" spans="12:20" x14ac:dyDescent="0.2">
      <c r="L1042" s="43"/>
      <c r="M1042" s="43"/>
      <c r="N1042" s="43"/>
      <c r="O1042" s="43"/>
      <c r="Q1042" s="44"/>
      <c r="R1042" s="44"/>
      <c r="S1042" s="44"/>
      <c r="T1042" s="44"/>
    </row>
    <row r="1043" spans="12:20" x14ac:dyDescent="0.2">
      <c r="L1043" s="43"/>
      <c r="M1043" s="43"/>
      <c r="N1043" s="43"/>
      <c r="O1043" s="43"/>
      <c r="Q1043" s="44"/>
      <c r="R1043" s="44"/>
      <c r="S1043" s="44"/>
      <c r="T1043" s="44"/>
    </row>
    <row r="1044" spans="12:20" x14ac:dyDescent="0.2">
      <c r="L1044" s="43"/>
      <c r="M1044" s="43"/>
      <c r="N1044" s="43"/>
      <c r="O1044" s="43"/>
      <c r="Q1044" s="44"/>
      <c r="R1044" s="44"/>
      <c r="S1044" s="44"/>
      <c r="T1044" s="44"/>
    </row>
    <row r="1045" spans="12:20" x14ac:dyDescent="0.2">
      <c r="L1045" s="43"/>
      <c r="M1045" s="43"/>
      <c r="N1045" s="43"/>
      <c r="O1045" s="43"/>
      <c r="Q1045" s="44"/>
      <c r="R1045" s="44"/>
      <c r="S1045" s="44"/>
      <c r="T1045" s="44"/>
    </row>
    <row r="1046" spans="12:20" x14ac:dyDescent="0.2">
      <c r="L1046" s="43"/>
      <c r="M1046" s="43"/>
      <c r="N1046" s="43"/>
      <c r="O1046" s="43"/>
      <c r="Q1046" s="44"/>
      <c r="R1046" s="44"/>
      <c r="S1046" s="44"/>
      <c r="T1046" s="44"/>
    </row>
    <row r="1047" spans="12:20" x14ac:dyDescent="0.2">
      <c r="L1047" s="43"/>
      <c r="M1047" s="43"/>
      <c r="N1047" s="43"/>
      <c r="O1047" s="43"/>
      <c r="Q1047" s="44"/>
      <c r="R1047" s="44"/>
      <c r="S1047" s="44"/>
      <c r="T1047" s="44"/>
    </row>
    <row r="1048" spans="12:20" x14ac:dyDescent="0.2">
      <c r="L1048" s="43"/>
      <c r="M1048" s="43"/>
      <c r="N1048" s="43"/>
      <c r="O1048" s="43"/>
      <c r="Q1048" s="44"/>
      <c r="R1048" s="44"/>
      <c r="S1048" s="44"/>
      <c r="T1048" s="44"/>
    </row>
    <row r="1049" spans="12:20" x14ac:dyDescent="0.2">
      <c r="L1049" s="43"/>
      <c r="M1049" s="43"/>
      <c r="N1049" s="43"/>
      <c r="O1049" s="43"/>
      <c r="Q1049" s="44"/>
      <c r="R1049" s="44"/>
      <c r="S1049" s="44"/>
      <c r="T1049" s="44"/>
    </row>
    <row r="1050" spans="12:20" x14ac:dyDescent="0.2">
      <c r="L1050" s="43"/>
      <c r="M1050" s="43"/>
      <c r="N1050" s="43"/>
      <c r="O1050" s="43"/>
      <c r="Q1050" s="44"/>
      <c r="R1050" s="44"/>
      <c r="S1050" s="44"/>
      <c r="T1050" s="44"/>
    </row>
    <row r="1051" spans="12:20" x14ac:dyDescent="0.2">
      <c r="L1051" s="43"/>
      <c r="M1051" s="43"/>
      <c r="N1051" s="43"/>
      <c r="O1051" s="43"/>
      <c r="Q1051" s="44"/>
      <c r="R1051" s="44"/>
      <c r="S1051" s="44"/>
      <c r="T1051" s="44"/>
    </row>
    <row r="1052" spans="12:20" x14ac:dyDescent="0.2">
      <c r="L1052" s="43"/>
      <c r="M1052" s="43"/>
      <c r="N1052" s="43"/>
      <c r="O1052" s="43"/>
      <c r="Q1052" s="44"/>
      <c r="R1052" s="44"/>
      <c r="S1052" s="44"/>
      <c r="T1052" s="44"/>
    </row>
    <row r="1053" spans="12:20" x14ac:dyDescent="0.2">
      <c r="L1053" s="43"/>
      <c r="M1053" s="43"/>
      <c r="N1053" s="43"/>
      <c r="O1053" s="43"/>
      <c r="Q1053" s="44"/>
      <c r="R1053" s="44"/>
      <c r="S1053" s="44"/>
      <c r="T1053" s="44"/>
    </row>
    <row r="1054" spans="12:20" x14ac:dyDescent="0.2">
      <c r="L1054" s="43"/>
      <c r="M1054" s="43"/>
      <c r="N1054" s="43"/>
      <c r="O1054" s="43"/>
      <c r="Q1054" s="44"/>
      <c r="R1054" s="44"/>
      <c r="S1054" s="44"/>
      <c r="T1054" s="44"/>
    </row>
    <row r="1055" spans="12:20" x14ac:dyDescent="0.2">
      <c r="L1055" s="43"/>
      <c r="M1055" s="43"/>
      <c r="N1055" s="43"/>
      <c r="O1055" s="43"/>
      <c r="Q1055" s="44"/>
      <c r="R1055" s="44"/>
      <c r="S1055" s="44"/>
      <c r="T1055" s="44"/>
    </row>
    <row r="1056" spans="12:20" x14ac:dyDescent="0.2">
      <c r="L1056" s="43"/>
      <c r="M1056" s="43"/>
      <c r="N1056" s="43"/>
      <c r="O1056" s="43"/>
      <c r="Q1056" s="44"/>
      <c r="R1056" s="44"/>
      <c r="S1056" s="44"/>
      <c r="T1056" s="44"/>
    </row>
    <row r="1057" spans="12:20" x14ac:dyDescent="0.2">
      <c r="L1057" s="43"/>
      <c r="M1057" s="43"/>
      <c r="N1057" s="43"/>
      <c r="O1057" s="43"/>
      <c r="Q1057" s="44"/>
      <c r="R1057" s="44"/>
      <c r="S1057" s="44"/>
      <c r="T1057" s="44"/>
    </row>
    <row r="1058" spans="12:20" x14ac:dyDescent="0.2">
      <c r="L1058" s="43"/>
      <c r="M1058" s="43"/>
      <c r="N1058" s="43"/>
      <c r="O1058" s="43"/>
      <c r="Q1058" s="44"/>
      <c r="R1058" s="44"/>
      <c r="S1058" s="44"/>
      <c r="T1058" s="44"/>
    </row>
    <row r="1059" spans="12:20" x14ac:dyDescent="0.2">
      <c r="L1059" s="43"/>
      <c r="M1059" s="43"/>
      <c r="N1059" s="43"/>
      <c r="O1059" s="43"/>
      <c r="Q1059" s="44"/>
      <c r="R1059" s="44"/>
      <c r="S1059" s="44"/>
      <c r="T1059" s="44"/>
    </row>
    <row r="1060" spans="12:20" x14ac:dyDescent="0.2">
      <c r="L1060" s="43"/>
      <c r="M1060" s="43"/>
      <c r="N1060" s="43"/>
      <c r="O1060" s="43"/>
      <c r="Q1060" s="44"/>
      <c r="R1060" s="44"/>
      <c r="S1060" s="44"/>
      <c r="T1060" s="44"/>
    </row>
    <row r="1061" spans="12:20" x14ac:dyDescent="0.2">
      <c r="L1061" s="43"/>
      <c r="M1061" s="43"/>
      <c r="N1061" s="43"/>
      <c r="O1061" s="43"/>
      <c r="Q1061" s="44"/>
      <c r="R1061" s="44"/>
      <c r="S1061" s="44"/>
      <c r="T1061" s="44"/>
    </row>
    <row r="1062" spans="12:20" x14ac:dyDescent="0.2">
      <c r="L1062" s="43"/>
      <c r="M1062" s="43"/>
      <c r="N1062" s="43"/>
      <c r="O1062" s="43"/>
      <c r="Q1062" s="44"/>
      <c r="R1062" s="44"/>
      <c r="S1062" s="44"/>
      <c r="T1062" s="44"/>
    </row>
    <row r="1063" spans="12:20" x14ac:dyDescent="0.2">
      <c r="L1063" s="43"/>
      <c r="M1063" s="43"/>
      <c r="N1063" s="43"/>
      <c r="O1063" s="43"/>
      <c r="Q1063" s="44"/>
      <c r="R1063" s="44"/>
      <c r="S1063" s="44"/>
      <c r="T1063" s="44"/>
    </row>
    <row r="1064" spans="12:20" x14ac:dyDescent="0.2">
      <c r="L1064" s="43"/>
      <c r="M1064" s="43"/>
      <c r="N1064" s="43"/>
      <c r="O1064" s="43"/>
      <c r="Q1064" s="44"/>
      <c r="R1064" s="44"/>
      <c r="S1064" s="44"/>
      <c r="T1064" s="44"/>
    </row>
    <row r="1065" spans="12:20" x14ac:dyDescent="0.2">
      <c r="L1065" s="43"/>
      <c r="M1065" s="43"/>
      <c r="N1065" s="43"/>
      <c r="O1065" s="43"/>
      <c r="Q1065" s="44"/>
      <c r="R1065" s="44"/>
      <c r="S1065" s="44"/>
      <c r="T1065" s="44"/>
    </row>
    <row r="1066" spans="12:20" x14ac:dyDescent="0.2">
      <c r="L1066" s="43"/>
      <c r="M1066" s="43"/>
      <c r="N1066" s="43"/>
      <c r="O1066" s="43"/>
      <c r="Q1066" s="44"/>
      <c r="R1066" s="44"/>
      <c r="S1066" s="44"/>
      <c r="T1066" s="44"/>
    </row>
    <row r="1067" spans="12:20" x14ac:dyDescent="0.2">
      <c r="L1067" s="43"/>
      <c r="M1067" s="43"/>
      <c r="N1067" s="43"/>
      <c r="O1067" s="43"/>
      <c r="Q1067" s="44"/>
      <c r="R1067" s="44"/>
      <c r="S1067" s="44"/>
      <c r="T1067" s="44"/>
    </row>
    <row r="1068" spans="12:20" x14ac:dyDescent="0.2">
      <c r="L1068" s="43"/>
      <c r="M1068" s="43"/>
      <c r="N1068" s="43"/>
      <c r="O1068" s="43"/>
      <c r="Q1068" s="44"/>
      <c r="R1068" s="44"/>
      <c r="S1068" s="44"/>
      <c r="T1068" s="44"/>
    </row>
    <row r="1069" spans="12:20" x14ac:dyDescent="0.2">
      <c r="L1069" s="43"/>
      <c r="M1069" s="43"/>
      <c r="N1069" s="43"/>
      <c r="O1069" s="43"/>
      <c r="Q1069" s="44"/>
      <c r="R1069" s="44"/>
      <c r="S1069" s="44"/>
      <c r="T1069" s="44"/>
    </row>
    <row r="1070" spans="12:20" x14ac:dyDescent="0.2">
      <c r="L1070" s="43"/>
      <c r="M1070" s="43"/>
      <c r="N1070" s="43"/>
      <c r="O1070" s="43"/>
      <c r="Q1070" s="44"/>
      <c r="R1070" s="44"/>
      <c r="S1070" s="44"/>
      <c r="T1070" s="44"/>
    </row>
    <row r="1071" spans="12:20" x14ac:dyDescent="0.2">
      <c r="L1071" s="43"/>
      <c r="M1071" s="43"/>
      <c r="N1071" s="43"/>
      <c r="O1071" s="43"/>
      <c r="Q1071" s="44"/>
      <c r="R1071" s="44"/>
      <c r="S1071" s="44"/>
      <c r="T1071" s="44"/>
    </row>
    <row r="1072" spans="12:20" x14ac:dyDescent="0.2">
      <c r="L1072" s="43"/>
      <c r="M1072" s="43"/>
      <c r="N1072" s="43"/>
      <c r="O1072" s="43"/>
      <c r="Q1072" s="44"/>
      <c r="R1072" s="44"/>
      <c r="S1072" s="44"/>
      <c r="T1072" s="44"/>
    </row>
    <row r="1073" spans="12:20" x14ac:dyDescent="0.2">
      <c r="L1073" s="43"/>
      <c r="M1073" s="43"/>
      <c r="N1073" s="43"/>
      <c r="O1073" s="43"/>
      <c r="Q1073" s="44"/>
      <c r="R1073" s="44"/>
      <c r="S1073" s="44"/>
      <c r="T1073" s="44"/>
    </row>
    <row r="1074" spans="12:20" x14ac:dyDescent="0.2">
      <c r="L1074" s="43"/>
      <c r="M1074" s="43"/>
      <c r="N1074" s="43"/>
      <c r="O1074" s="43"/>
      <c r="Q1074" s="44"/>
      <c r="R1074" s="44"/>
      <c r="S1074" s="44"/>
      <c r="T1074" s="44"/>
    </row>
    <row r="1075" spans="12:20" x14ac:dyDescent="0.2">
      <c r="L1075" s="43"/>
      <c r="M1075" s="43"/>
      <c r="N1075" s="43"/>
      <c r="O1075" s="43"/>
      <c r="Q1075" s="44"/>
      <c r="R1075" s="44"/>
      <c r="S1075" s="44"/>
      <c r="T1075" s="44"/>
    </row>
    <row r="1076" spans="12:20" x14ac:dyDescent="0.2">
      <c r="L1076" s="43"/>
      <c r="M1076" s="43"/>
      <c r="N1076" s="43"/>
      <c r="O1076" s="43"/>
      <c r="Q1076" s="44"/>
      <c r="R1076" s="44"/>
      <c r="S1076" s="44"/>
      <c r="T1076" s="44"/>
    </row>
    <row r="1077" spans="12:20" x14ac:dyDescent="0.2">
      <c r="L1077" s="43"/>
      <c r="M1077" s="43"/>
      <c r="N1077" s="43"/>
      <c r="O1077" s="43"/>
      <c r="Q1077" s="44"/>
      <c r="R1077" s="44"/>
      <c r="S1077" s="44"/>
      <c r="T1077" s="44"/>
    </row>
    <row r="1078" spans="12:20" x14ac:dyDescent="0.2">
      <c r="L1078" s="43"/>
      <c r="M1078" s="43"/>
      <c r="N1078" s="43"/>
      <c r="O1078" s="43"/>
      <c r="Q1078" s="44"/>
      <c r="R1078" s="44"/>
      <c r="S1078" s="44"/>
      <c r="T1078" s="44"/>
    </row>
    <row r="1079" spans="12:20" x14ac:dyDescent="0.2">
      <c r="L1079" s="43"/>
      <c r="M1079" s="43"/>
      <c r="N1079" s="43"/>
      <c r="O1079" s="43"/>
      <c r="Q1079" s="44"/>
      <c r="R1079" s="44"/>
      <c r="S1079" s="44"/>
      <c r="T1079" s="44"/>
    </row>
    <row r="1080" spans="12:20" x14ac:dyDescent="0.2">
      <c r="L1080" s="43"/>
      <c r="M1080" s="43"/>
      <c r="N1080" s="43"/>
      <c r="O1080" s="43"/>
      <c r="Q1080" s="44"/>
      <c r="R1080" s="44"/>
      <c r="S1080" s="44"/>
      <c r="T1080" s="44"/>
    </row>
    <row r="1081" spans="12:20" x14ac:dyDescent="0.2">
      <c r="L1081" s="43"/>
      <c r="M1081" s="43"/>
      <c r="N1081" s="43"/>
      <c r="O1081" s="43"/>
      <c r="Q1081" s="44"/>
      <c r="R1081" s="44"/>
      <c r="S1081" s="44"/>
      <c r="T1081" s="44"/>
    </row>
    <row r="1082" spans="12:20" x14ac:dyDescent="0.2">
      <c r="L1082" s="43"/>
      <c r="M1082" s="43"/>
      <c r="N1082" s="43"/>
      <c r="O1082" s="43"/>
      <c r="Q1082" s="44"/>
      <c r="R1082" s="44"/>
      <c r="S1082" s="44"/>
      <c r="T1082" s="44"/>
    </row>
    <row r="1083" spans="12:20" x14ac:dyDescent="0.2">
      <c r="L1083" s="43"/>
      <c r="M1083" s="43"/>
      <c r="N1083" s="43"/>
      <c r="O1083" s="43"/>
      <c r="Q1083" s="44"/>
      <c r="R1083" s="44"/>
      <c r="S1083" s="44"/>
      <c r="T1083" s="44"/>
    </row>
    <row r="1084" spans="12:20" x14ac:dyDescent="0.2">
      <c r="L1084" s="43"/>
      <c r="M1084" s="43"/>
      <c r="N1084" s="43"/>
      <c r="O1084" s="43"/>
      <c r="Q1084" s="44"/>
      <c r="R1084" s="44"/>
      <c r="S1084" s="44"/>
      <c r="T1084" s="44"/>
    </row>
    <row r="1085" spans="12:20" x14ac:dyDescent="0.2">
      <c r="L1085" s="43"/>
      <c r="M1085" s="43"/>
      <c r="N1085" s="43"/>
      <c r="O1085" s="43"/>
      <c r="Q1085" s="44"/>
      <c r="R1085" s="44"/>
      <c r="S1085" s="44"/>
      <c r="T1085" s="44"/>
    </row>
    <row r="1086" spans="12:20" x14ac:dyDescent="0.2">
      <c r="L1086" s="43"/>
      <c r="M1086" s="43"/>
      <c r="N1086" s="43"/>
      <c r="O1086" s="43"/>
      <c r="Q1086" s="44"/>
      <c r="R1086" s="44"/>
      <c r="S1086" s="44"/>
      <c r="T1086" s="44"/>
    </row>
    <row r="1087" spans="12:20" x14ac:dyDescent="0.2">
      <c r="L1087" s="43"/>
      <c r="M1087" s="43"/>
      <c r="N1087" s="43"/>
      <c r="O1087" s="43"/>
      <c r="Q1087" s="44"/>
      <c r="R1087" s="44"/>
      <c r="S1087" s="44"/>
      <c r="T1087" s="44"/>
    </row>
    <row r="1088" spans="12:20" x14ac:dyDescent="0.2">
      <c r="L1088" s="43"/>
      <c r="M1088" s="43"/>
      <c r="N1088" s="43"/>
      <c r="O1088" s="43"/>
      <c r="Q1088" s="44"/>
      <c r="R1088" s="44"/>
      <c r="S1088" s="44"/>
      <c r="T1088" s="44"/>
    </row>
    <row r="1089" spans="12:20" x14ac:dyDescent="0.2">
      <c r="L1089" s="43"/>
      <c r="M1089" s="43"/>
      <c r="N1089" s="43"/>
      <c r="O1089" s="43"/>
      <c r="Q1089" s="44"/>
      <c r="R1089" s="44"/>
      <c r="S1089" s="44"/>
      <c r="T1089" s="44"/>
    </row>
    <row r="1090" spans="12:20" x14ac:dyDescent="0.2">
      <c r="L1090" s="43"/>
      <c r="M1090" s="43"/>
      <c r="N1090" s="43"/>
      <c r="O1090" s="43"/>
      <c r="Q1090" s="44"/>
      <c r="R1090" s="44"/>
      <c r="S1090" s="44"/>
      <c r="T1090" s="44"/>
    </row>
    <row r="1091" spans="12:20" x14ac:dyDescent="0.2">
      <c r="L1091" s="43"/>
      <c r="M1091" s="43"/>
      <c r="N1091" s="43"/>
      <c r="O1091" s="43"/>
      <c r="Q1091" s="44"/>
      <c r="R1091" s="44"/>
      <c r="S1091" s="44"/>
      <c r="T1091" s="44"/>
    </row>
    <row r="1092" spans="12:20" x14ac:dyDescent="0.2">
      <c r="L1092" s="43"/>
      <c r="M1092" s="43"/>
      <c r="N1092" s="43"/>
      <c r="O1092" s="43"/>
      <c r="Q1092" s="44"/>
      <c r="R1092" s="44"/>
      <c r="S1092" s="44"/>
      <c r="T1092" s="44"/>
    </row>
    <row r="1093" spans="12:20" x14ac:dyDescent="0.2">
      <c r="L1093" s="43"/>
      <c r="M1093" s="43"/>
      <c r="N1093" s="43"/>
      <c r="O1093" s="43"/>
      <c r="Q1093" s="44"/>
      <c r="R1093" s="44"/>
      <c r="S1093" s="44"/>
      <c r="T1093" s="44"/>
    </row>
    <row r="1094" spans="12:20" x14ac:dyDescent="0.2">
      <c r="L1094" s="43"/>
      <c r="M1094" s="43"/>
      <c r="N1094" s="43"/>
      <c r="O1094" s="43"/>
      <c r="Q1094" s="44"/>
      <c r="R1094" s="44"/>
      <c r="S1094" s="44"/>
      <c r="T1094" s="44"/>
    </row>
    <row r="1095" spans="12:20" x14ac:dyDescent="0.2">
      <c r="L1095" s="43"/>
      <c r="M1095" s="43"/>
      <c r="N1095" s="43"/>
      <c r="O1095" s="43"/>
      <c r="Q1095" s="44"/>
      <c r="R1095" s="44"/>
      <c r="S1095" s="44"/>
      <c r="T1095" s="44"/>
    </row>
    <row r="1096" spans="12:20" x14ac:dyDescent="0.2">
      <c r="L1096" s="43"/>
      <c r="M1096" s="43"/>
      <c r="N1096" s="43"/>
      <c r="O1096" s="43"/>
      <c r="Q1096" s="44"/>
      <c r="R1096" s="44"/>
      <c r="S1096" s="44"/>
      <c r="T1096" s="44"/>
    </row>
    <row r="1097" spans="12:20" x14ac:dyDescent="0.2">
      <c r="L1097" s="43"/>
      <c r="M1097" s="43"/>
      <c r="N1097" s="43"/>
      <c r="O1097" s="43"/>
      <c r="Q1097" s="44"/>
      <c r="R1097" s="44"/>
      <c r="S1097" s="44"/>
      <c r="T1097" s="44"/>
    </row>
    <row r="1098" spans="12:20" x14ac:dyDescent="0.2">
      <c r="L1098" s="43"/>
      <c r="M1098" s="43"/>
      <c r="N1098" s="43"/>
      <c r="O1098" s="43"/>
      <c r="Q1098" s="44"/>
      <c r="R1098" s="44"/>
      <c r="S1098" s="44"/>
      <c r="T1098" s="44"/>
    </row>
    <row r="1099" spans="12:20" x14ac:dyDescent="0.2">
      <c r="L1099" s="43"/>
      <c r="M1099" s="43"/>
      <c r="N1099" s="43"/>
      <c r="O1099" s="43"/>
      <c r="Q1099" s="44"/>
      <c r="R1099" s="44"/>
      <c r="S1099" s="44"/>
      <c r="T1099" s="44"/>
    </row>
    <row r="1100" spans="12:20" x14ac:dyDescent="0.2">
      <c r="L1100" s="43"/>
      <c r="M1100" s="43"/>
      <c r="N1100" s="43"/>
      <c r="O1100" s="43"/>
      <c r="Q1100" s="44"/>
      <c r="R1100" s="44"/>
      <c r="S1100" s="44"/>
      <c r="T1100" s="44"/>
    </row>
    <row r="1101" spans="12:20" x14ac:dyDescent="0.2">
      <c r="L1101" s="43"/>
      <c r="M1101" s="43"/>
      <c r="N1101" s="43"/>
      <c r="O1101" s="43"/>
      <c r="Q1101" s="44"/>
      <c r="R1101" s="44"/>
      <c r="S1101" s="44"/>
      <c r="T1101" s="44"/>
    </row>
    <row r="1102" spans="12:20" x14ac:dyDescent="0.2">
      <c r="L1102" s="43"/>
      <c r="M1102" s="43"/>
      <c r="N1102" s="43"/>
      <c r="O1102" s="43"/>
      <c r="Q1102" s="44"/>
      <c r="R1102" s="44"/>
      <c r="S1102" s="44"/>
      <c r="T1102" s="44"/>
    </row>
    <row r="1103" spans="12:20" x14ac:dyDescent="0.2">
      <c r="L1103" s="43"/>
      <c r="M1103" s="43"/>
      <c r="N1103" s="43"/>
      <c r="O1103" s="43"/>
      <c r="Q1103" s="44"/>
      <c r="R1103" s="44"/>
      <c r="S1103" s="44"/>
      <c r="T1103" s="44"/>
    </row>
    <row r="1104" spans="12:20" x14ac:dyDescent="0.2">
      <c r="L1104" s="43"/>
      <c r="M1104" s="43"/>
      <c r="N1104" s="43"/>
      <c r="O1104" s="43"/>
      <c r="Q1104" s="44"/>
      <c r="R1104" s="44"/>
      <c r="S1104" s="44"/>
      <c r="T1104" s="44"/>
    </row>
    <row r="1105" spans="12:20" x14ac:dyDescent="0.2">
      <c r="L1105" s="43"/>
      <c r="M1105" s="43"/>
      <c r="N1105" s="43"/>
      <c r="O1105" s="43"/>
      <c r="Q1105" s="44"/>
      <c r="R1105" s="44"/>
      <c r="S1105" s="44"/>
      <c r="T1105" s="44"/>
    </row>
    <row r="1106" spans="12:20" x14ac:dyDescent="0.2">
      <c r="L1106" s="43"/>
      <c r="M1106" s="43"/>
      <c r="N1106" s="43"/>
      <c r="O1106" s="43"/>
      <c r="Q1106" s="44"/>
      <c r="R1106" s="44"/>
      <c r="S1106" s="44"/>
      <c r="T1106" s="44"/>
    </row>
    <row r="1107" spans="12:20" x14ac:dyDescent="0.2">
      <c r="L1107" s="43"/>
      <c r="M1107" s="43"/>
      <c r="N1107" s="43"/>
      <c r="O1107" s="43"/>
      <c r="Q1107" s="44"/>
      <c r="R1107" s="44"/>
      <c r="S1107" s="44"/>
      <c r="T1107" s="44"/>
    </row>
    <row r="1108" spans="12:20" x14ac:dyDescent="0.2">
      <c r="L1108" s="43"/>
      <c r="M1108" s="43"/>
      <c r="N1108" s="43"/>
      <c r="O1108" s="43"/>
      <c r="Q1108" s="44"/>
      <c r="R1108" s="44"/>
      <c r="S1108" s="44"/>
      <c r="T1108" s="44"/>
    </row>
    <row r="1109" spans="12:20" x14ac:dyDescent="0.2">
      <c r="L1109" s="43"/>
      <c r="M1109" s="43"/>
      <c r="N1109" s="43"/>
      <c r="O1109" s="43"/>
      <c r="Q1109" s="44"/>
      <c r="R1109" s="44"/>
      <c r="S1109" s="44"/>
      <c r="T1109" s="44"/>
    </row>
    <row r="1110" spans="12:20" x14ac:dyDescent="0.2">
      <c r="L1110" s="43"/>
      <c r="M1110" s="43"/>
      <c r="N1110" s="43"/>
      <c r="O1110" s="43"/>
      <c r="Q1110" s="44"/>
      <c r="R1110" s="44"/>
      <c r="S1110" s="44"/>
      <c r="T1110" s="44"/>
    </row>
    <row r="1111" spans="12:20" x14ac:dyDescent="0.2">
      <c r="L1111" s="43"/>
      <c r="M1111" s="43"/>
      <c r="N1111" s="43"/>
      <c r="O1111" s="43"/>
      <c r="Q1111" s="44"/>
      <c r="R1111" s="44"/>
      <c r="S1111" s="44"/>
      <c r="T1111" s="44"/>
    </row>
    <row r="1112" spans="12:20" x14ac:dyDescent="0.2">
      <c r="L1112" s="43"/>
      <c r="M1112" s="43"/>
      <c r="N1112" s="43"/>
      <c r="O1112" s="43"/>
      <c r="Q1112" s="44"/>
      <c r="R1112" s="44"/>
      <c r="S1112" s="44"/>
      <c r="T1112" s="44"/>
    </row>
    <row r="1113" spans="12:20" x14ac:dyDescent="0.2">
      <c r="L1113" s="43"/>
      <c r="M1113" s="43"/>
      <c r="N1113" s="43"/>
      <c r="O1113" s="43"/>
      <c r="Q1113" s="44"/>
      <c r="R1113" s="44"/>
      <c r="S1113" s="44"/>
      <c r="T1113" s="44"/>
    </row>
    <row r="1114" spans="12:20" x14ac:dyDescent="0.2">
      <c r="L1114" s="43"/>
      <c r="M1114" s="43"/>
      <c r="N1114" s="43"/>
      <c r="O1114" s="43"/>
      <c r="Q1114" s="44"/>
      <c r="R1114" s="44"/>
      <c r="S1114" s="44"/>
      <c r="T1114" s="44"/>
    </row>
    <row r="1115" spans="12:20" x14ac:dyDescent="0.2">
      <c r="L1115" s="43"/>
      <c r="M1115" s="43"/>
      <c r="N1115" s="43"/>
      <c r="O1115" s="43"/>
      <c r="Q1115" s="44"/>
      <c r="R1115" s="44"/>
      <c r="S1115" s="44"/>
      <c r="T1115" s="44"/>
    </row>
    <row r="1116" spans="12:20" x14ac:dyDescent="0.2">
      <c r="L1116" s="43"/>
      <c r="M1116" s="43"/>
      <c r="N1116" s="43"/>
      <c r="O1116" s="43"/>
      <c r="Q1116" s="44"/>
      <c r="R1116" s="44"/>
      <c r="S1116" s="44"/>
      <c r="T1116" s="44"/>
    </row>
    <row r="1117" spans="12:20" x14ac:dyDescent="0.2">
      <c r="L1117" s="43"/>
      <c r="M1117" s="43"/>
      <c r="N1117" s="43"/>
      <c r="O1117" s="43"/>
      <c r="Q1117" s="44"/>
      <c r="R1117" s="44"/>
      <c r="S1117" s="44"/>
      <c r="T1117" s="44"/>
    </row>
    <row r="1118" spans="12:20" x14ac:dyDescent="0.2">
      <c r="L1118" s="43"/>
      <c r="M1118" s="43"/>
      <c r="N1118" s="43"/>
      <c r="O1118" s="43"/>
      <c r="Q1118" s="44"/>
      <c r="R1118" s="44"/>
      <c r="S1118" s="44"/>
      <c r="T1118" s="44"/>
    </row>
    <row r="1119" spans="12:20" x14ac:dyDescent="0.2">
      <c r="L1119" s="43"/>
      <c r="M1119" s="43"/>
      <c r="N1119" s="43"/>
      <c r="O1119" s="43"/>
      <c r="Q1119" s="44"/>
      <c r="R1119" s="44"/>
      <c r="S1119" s="44"/>
      <c r="T1119" s="44"/>
    </row>
    <row r="1120" spans="12:20" x14ac:dyDescent="0.2">
      <c r="L1120" s="43"/>
      <c r="M1120" s="43"/>
      <c r="N1120" s="43"/>
      <c r="O1120" s="43"/>
      <c r="Q1120" s="44"/>
      <c r="R1120" s="44"/>
      <c r="S1120" s="44"/>
      <c r="T1120" s="44"/>
    </row>
    <row r="1121" spans="12:20" x14ac:dyDescent="0.2">
      <c r="L1121" s="43"/>
      <c r="M1121" s="43"/>
      <c r="N1121" s="43"/>
      <c r="O1121" s="43"/>
      <c r="Q1121" s="44"/>
      <c r="R1121" s="44"/>
      <c r="S1121" s="44"/>
      <c r="T1121" s="44"/>
    </row>
    <row r="1122" spans="12:20" x14ac:dyDescent="0.2">
      <c r="L1122" s="43"/>
      <c r="M1122" s="43"/>
      <c r="N1122" s="43"/>
      <c r="O1122" s="43"/>
      <c r="Q1122" s="44"/>
      <c r="R1122" s="44"/>
      <c r="S1122" s="44"/>
      <c r="T1122" s="44"/>
    </row>
    <row r="1123" spans="12:20" x14ac:dyDescent="0.2">
      <c r="L1123" s="43"/>
      <c r="M1123" s="43"/>
      <c r="N1123" s="43"/>
      <c r="O1123" s="43"/>
      <c r="Q1123" s="44"/>
      <c r="R1123" s="44"/>
      <c r="S1123" s="44"/>
      <c r="T1123" s="44"/>
    </row>
    <row r="1124" spans="12:20" x14ac:dyDescent="0.2">
      <c r="L1124" s="43"/>
      <c r="M1124" s="43"/>
      <c r="N1124" s="43"/>
      <c r="O1124" s="43"/>
      <c r="Q1124" s="44"/>
      <c r="R1124" s="44"/>
      <c r="S1124" s="44"/>
      <c r="T1124" s="44"/>
    </row>
    <row r="1125" spans="12:20" x14ac:dyDescent="0.2">
      <c r="L1125" s="43"/>
      <c r="M1125" s="43"/>
      <c r="N1125" s="43"/>
      <c r="O1125" s="43"/>
      <c r="Q1125" s="44"/>
      <c r="R1125" s="44"/>
      <c r="S1125" s="44"/>
      <c r="T1125" s="44"/>
    </row>
    <row r="1126" spans="12:20" x14ac:dyDescent="0.2">
      <c r="L1126" s="43"/>
      <c r="M1126" s="43"/>
      <c r="N1126" s="43"/>
      <c r="O1126" s="43"/>
      <c r="Q1126" s="44"/>
      <c r="R1126" s="44"/>
      <c r="S1126" s="44"/>
      <c r="T1126" s="44"/>
    </row>
    <row r="1127" spans="12:20" x14ac:dyDescent="0.2">
      <c r="L1127" s="43"/>
      <c r="M1127" s="43"/>
      <c r="N1127" s="43"/>
      <c r="O1127" s="43"/>
      <c r="Q1127" s="44"/>
      <c r="R1127" s="44"/>
      <c r="S1127" s="44"/>
      <c r="T1127" s="44"/>
    </row>
    <row r="1128" spans="12:20" x14ac:dyDescent="0.2">
      <c r="L1128" s="43"/>
      <c r="M1128" s="43"/>
      <c r="N1128" s="43"/>
      <c r="O1128" s="43"/>
      <c r="Q1128" s="44"/>
      <c r="R1128" s="44"/>
      <c r="S1128" s="44"/>
      <c r="T1128" s="44"/>
    </row>
    <row r="1129" spans="12:20" x14ac:dyDescent="0.2">
      <c r="L1129" s="43"/>
      <c r="M1129" s="43"/>
      <c r="N1129" s="43"/>
      <c r="O1129" s="43"/>
      <c r="Q1129" s="44"/>
      <c r="R1129" s="44"/>
      <c r="S1129" s="44"/>
      <c r="T1129" s="44"/>
    </row>
    <row r="1130" spans="12:20" x14ac:dyDescent="0.2">
      <c r="L1130" s="43"/>
      <c r="M1130" s="43"/>
      <c r="N1130" s="43"/>
      <c r="O1130" s="43"/>
      <c r="Q1130" s="44"/>
      <c r="R1130" s="44"/>
      <c r="S1130" s="44"/>
      <c r="T1130" s="44"/>
    </row>
    <row r="1131" spans="12:20" x14ac:dyDescent="0.2">
      <c r="L1131" s="43"/>
      <c r="M1131" s="43"/>
      <c r="N1131" s="43"/>
      <c r="O1131" s="43"/>
      <c r="Q1131" s="44"/>
      <c r="R1131" s="44"/>
      <c r="S1131" s="44"/>
      <c r="T1131" s="44"/>
    </row>
    <row r="1132" spans="12:20" x14ac:dyDescent="0.2">
      <c r="L1132" s="43"/>
      <c r="M1132" s="43"/>
      <c r="N1132" s="43"/>
      <c r="O1132" s="43"/>
      <c r="Q1132" s="44"/>
      <c r="R1132" s="44"/>
      <c r="S1132" s="44"/>
      <c r="T1132" s="44"/>
    </row>
    <row r="1133" spans="12:20" x14ac:dyDescent="0.2">
      <c r="L1133" s="43"/>
      <c r="M1133" s="43"/>
      <c r="N1133" s="43"/>
      <c r="O1133" s="43"/>
      <c r="Q1133" s="44"/>
      <c r="R1133" s="44"/>
      <c r="S1133" s="44"/>
      <c r="T1133" s="44"/>
    </row>
    <row r="1134" spans="12:20" x14ac:dyDescent="0.2">
      <c r="L1134" s="43"/>
      <c r="M1134" s="43"/>
      <c r="N1134" s="43"/>
      <c r="O1134" s="43"/>
      <c r="Q1134" s="44"/>
      <c r="R1134" s="44"/>
      <c r="S1134" s="44"/>
      <c r="T1134" s="44"/>
    </row>
    <row r="1135" spans="12:20" x14ac:dyDescent="0.2">
      <c r="L1135" s="43"/>
      <c r="M1135" s="43"/>
      <c r="N1135" s="43"/>
      <c r="O1135" s="43"/>
      <c r="Q1135" s="44"/>
      <c r="R1135" s="44"/>
      <c r="S1135" s="44"/>
      <c r="T1135" s="44"/>
    </row>
    <row r="1136" spans="12:20" x14ac:dyDescent="0.2">
      <c r="L1136" s="43"/>
      <c r="M1136" s="43"/>
      <c r="N1136" s="43"/>
      <c r="O1136" s="43"/>
      <c r="Q1136" s="44"/>
      <c r="R1136" s="44"/>
      <c r="S1136" s="44"/>
      <c r="T1136" s="44"/>
    </row>
    <row r="1137" spans="12:20" x14ac:dyDescent="0.2">
      <c r="L1137" s="43"/>
      <c r="M1137" s="43"/>
      <c r="N1137" s="43"/>
      <c r="O1137" s="43"/>
      <c r="Q1137" s="44"/>
      <c r="R1137" s="44"/>
      <c r="S1137" s="44"/>
      <c r="T1137" s="44"/>
    </row>
    <row r="1138" spans="12:20" x14ac:dyDescent="0.2">
      <c r="L1138" s="43"/>
      <c r="M1138" s="43"/>
      <c r="N1138" s="43"/>
      <c r="O1138" s="43"/>
      <c r="Q1138" s="44"/>
      <c r="R1138" s="44"/>
      <c r="S1138" s="44"/>
      <c r="T1138" s="44"/>
    </row>
    <row r="1139" spans="12:20" x14ac:dyDescent="0.2">
      <c r="L1139" s="43"/>
      <c r="M1139" s="43"/>
      <c r="N1139" s="43"/>
      <c r="O1139" s="43"/>
      <c r="Q1139" s="44"/>
      <c r="R1139" s="44"/>
      <c r="S1139" s="44"/>
      <c r="T1139" s="44"/>
    </row>
    <row r="1140" spans="12:20" x14ac:dyDescent="0.2">
      <c r="L1140" s="43"/>
      <c r="M1140" s="43"/>
      <c r="N1140" s="43"/>
      <c r="O1140" s="43"/>
      <c r="Q1140" s="44"/>
      <c r="R1140" s="44"/>
      <c r="S1140" s="44"/>
      <c r="T1140" s="44"/>
    </row>
    <row r="1141" spans="12:20" x14ac:dyDescent="0.2">
      <c r="L1141" s="43"/>
      <c r="M1141" s="43"/>
      <c r="N1141" s="43"/>
      <c r="O1141" s="43"/>
      <c r="Q1141" s="44"/>
      <c r="R1141" s="44"/>
      <c r="S1141" s="44"/>
      <c r="T1141" s="44"/>
    </row>
    <row r="1142" spans="12:20" x14ac:dyDescent="0.2">
      <c r="L1142" s="43"/>
      <c r="M1142" s="43"/>
      <c r="N1142" s="43"/>
      <c r="O1142" s="43"/>
      <c r="Q1142" s="44"/>
      <c r="R1142" s="44"/>
      <c r="S1142" s="44"/>
      <c r="T1142" s="44"/>
    </row>
    <row r="1143" spans="12:20" x14ac:dyDescent="0.2">
      <c r="L1143" s="43"/>
      <c r="M1143" s="43"/>
      <c r="N1143" s="43"/>
      <c r="O1143" s="43"/>
      <c r="Q1143" s="44"/>
      <c r="R1143" s="44"/>
      <c r="S1143" s="44"/>
      <c r="T1143" s="44"/>
    </row>
    <row r="1144" spans="12:20" x14ac:dyDescent="0.2">
      <c r="L1144" s="43"/>
      <c r="M1144" s="43"/>
      <c r="N1144" s="43"/>
      <c r="O1144" s="43"/>
      <c r="Q1144" s="44"/>
      <c r="R1144" s="44"/>
      <c r="S1144" s="44"/>
      <c r="T1144" s="44"/>
    </row>
    <row r="1145" spans="12:20" x14ac:dyDescent="0.2">
      <c r="L1145" s="43"/>
      <c r="M1145" s="43"/>
      <c r="N1145" s="43"/>
      <c r="O1145" s="43"/>
      <c r="Q1145" s="44"/>
      <c r="R1145" s="44"/>
      <c r="S1145" s="44"/>
      <c r="T1145" s="44"/>
    </row>
    <row r="1146" spans="12:20" x14ac:dyDescent="0.2">
      <c r="L1146" s="43"/>
      <c r="M1146" s="43"/>
      <c r="N1146" s="43"/>
      <c r="O1146" s="43"/>
      <c r="Q1146" s="44"/>
      <c r="R1146" s="44"/>
      <c r="S1146" s="44"/>
      <c r="T1146" s="44"/>
    </row>
    <row r="1147" spans="12:20" x14ac:dyDescent="0.2">
      <c r="L1147" s="43"/>
      <c r="M1147" s="43"/>
      <c r="N1147" s="43"/>
      <c r="O1147" s="43"/>
      <c r="Q1147" s="44"/>
      <c r="R1147" s="44"/>
      <c r="S1147" s="44"/>
      <c r="T1147" s="44"/>
    </row>
    <row r="1148" spans="12:20" x14ac:dyDescent="0.2">
      <c r="L1148" s="43"/>
      <c r="M1148" s="43"/>
      <c r="N1148" s="43"/>
      <c r="O1148" s="43"/>
      <c r="Q1148" s="44"/>
      <c r="R1148" s="44"/>
      <c r="S1148" s="44"/>
      <c r="T1148" s="44"/>
    </row>
    <row r="1149" spans="12:20" x14ac:dyDescent="0.2">
      <c r="L1149" s="43"/>
      <c r="M1149" s="43"/>
      <c r="N1149" s="43"/>
      <c r="O1149" s="43"/>
      <c r="Q1149" s="44"/>
      <c r="R1149" s="44"/>
      <c r="S1149" s="44"/>
      <c r="T1149" s="44"/>
    </row>
    <row r="1150" spans="12:20" x14ac:dyDescent="0.2">
      <c r="L1150" s="43"/>
      <c r="M1150" s="43"/>
      <c r="N1150" s="43"/>
      <c r="O1150" s="43"/>
      <c r="Q1150" s="44"/>
      <c r="R1150" s="44"/>
      <c r="S1150" s="44"/>
      <c r="T1150" s="44"/>
    </row>
    <row r="1151" spans="12:20" x14ac:dyDescent="0.2">
      <c r="L1151" s="43"/>
      <c r="M1151" s="43"/>
      <c r="N1151" s="43"/>
      <c r="O1151" s="43"/>
      <c r="Q1151" s="44"/>
      <c r="R1151" s="44"/>
      <c r="S1151" s="44"/>
      <c r="T1151" s="44"/>
    </row>
    <row r="1152" spans="12:20" x14ac:dyDescent="0.2">
      <c r="L1152" s="43"/>
      <c r="M1152" s="43"/>
      <c r="N1152" s="43"/>
      <c r="O1152" s="43"/>
      <c r="Q1152" s="44"/>
      <c r="R1152" s="44"/>
      <c r="S1152" s="44"/>
      <c r="T1152" s="44"/>
    </row>
    <row r="1153" spans="12:20" x14ac:dyDescent="0.2">
      <c r="L1153" s="43"/>
      <c r="M1153" s="43"/>
      <c r="N1153" s="43"/>
      <c r="O1153" s="43"/>
      <c r="Q1153" s="44"/>
      <c r="R1153" s="44"/>
      <c r="S1153" s="44"/>
      <c r="T1153" s="44"/>
    </row>
    <row r="1154" spans="12:20" x14ac:dyDescent="0.2">
      <c r="L1154" s="43"/>
      <c r="M1154" s="43"/>
      <c r="N1154" s="43"/>
      <c r="O1154" s="43"/>
      <c r="Q1154" s="44"/>
      <c r="R1154" s="44"/>
      <c r="S1154" s="44"/>
      <c r="T1154" s="44"/>
    </row>
    <row r="1155" spans="12:20" x14ac:dyDescent="0.2">
      <c r="L1155" s="43"/>
      <c r="M1155" s="43"/>
      <c r="N1155" s="43"/>
      <c r="O1155" s="43"/>
      <c r="Q1155" s="44"/>
      <c r="R1155" s="44"/>
      <c r="S1155" s="44"/>
      <c r="T1155" s="44"/>
    </row>
    <row r="1156" spans="12:20" x14ac:dyDescent="0.2">
      <c r="L1156" s="43"/>
      <c r="M1156" s="43"/>
      <c r="N1156" s="43"/>
      <c r="O1156" s="43"/>
      <c r="Q1156" s="44"/>
      <c r="R1156" s="44"/>
      <c r="S1156" s="44"/>
      <c r="T1156" s="44"/>
    </row>
    <row r="1157" spans="12:20" x14ac:dyDescent="0.2">
      <c r="L1157" s="43"/>
      <c r="M1157" s="43"/>
      <c r="N1157" s="43"/>
      <c r="O1157" s="43"/>
      <c r="Q1157" s="44"/>
      <c r="R1157" s="44"/>
      <c r="S1157" s="44"/>
      <c r="T1157" s="44"/>
    </row>
    <row r="1158" spans="12:20" x14ac:dyDescent="0.2">
      <c r="L1158" s="43"/>
      <c r="M1158" s="43"/>
      <c r="N1158" s="43"/>
      <c r="O1158" s="43"/>
      <c r="Q1158" s="44"/>
      <c r="R1158" s="44"/>
      <c r="S1158" s="44"/>
      <c r="T1158" s="44"/>
    </row>
    <row r="1159" spans="12:20" x14ac:dyDescent="0.2">
      <c r="L1159" s="43"/>
      <c r="M1159" s="43"/>
      <c r="N1159" s="43"/>
      <c r="O1159" s="43"/>
      <c r="Q1159" s="44"/>
      <c r="R1159" s="44"/>
      <c r="S1159" s="44"/>
      <c r="T1159" s="44"/>
    </row>
    <row r="1160" spans="12:20" x14ac:dyDescent="0.2">
      <c r="L1160" s="43"/>
      <c r="M1160" s="43"/>
      <c r="N1160" s="43"/>
      <c r="O1160" s="43"/>
      <c r="Q1160" s="44"/>
      <c r="R1160" s="44"/>
      <c r="S1160" s="44"/>
      <c r="T1160" s="44"/>
    </row>
    <row r="1161" spans="12:20" x14ac:dyDescent="0.2">
      <c r="L1161" s="43"/>
      <c r="M1161" s="43"/>
      <c r="N1161" s="43"/>
      <c r="O1161" s="43"/>
      <c r="Q1161" s="44"/>
      <c r="R1161" s="44"/>
      <c r="S1161" s="44"/>
      <c r="T1161" s="44"/>
    </row>
    <row r="1162" spans="12:20" x14ac:dyDescent="0.2">
      <c r="L1162" s="43"/>
      <c r="M1162" s="43"/>
      <c r="N1162" s="43"/>
      <c r="O1162" s="43"/>
      <c r="Q1162" s="44"/>
      <c r="R1162" s="44"/>
      <c r="S1162" s="44"/>
      <c r="T1162" s="44"/>
    </row>
    <row r="1163" spans="12:20" x14ac:dyDescent="0.2">
      <c r="L1163" s="43"/>
      <c r="M1163" s="43"/>
      <c r="N1163" s="43"/>
      <c r="O1163" s="43"/>
      <c r="Q1163" s="44"/>
      <c r="R1163" s="44"/>
      <c r="S1163" s="44"/>
      <c r="T1163" s="44"/>
    </row>
    <row r="1164" spans="12:20" x14ac:dyDescent="0.2">
      <c r="L1164" s="43"/>
      <c r="M1164" s="43"/>
      <c r="N1164" s="43"/>
      <c r="O1164" s="43"/>
      <c r="Q1164" s="44"/>
      <c r="R1164" s="44"/>
      <c r="S1164" s="44"/>
      <c r="T1164" s="44"/>
    </row>
    <row r="1165" spans="12:20" x14ac:dyDescent="0.2">
      <c r="L1165" s="43"/>
      <c r="M1165" s="43"/>
      <c r="N1165" s="43"/>
      <c r="O1165" s="43"/>
      <c r="Q1165" s="44"/>
      <c r="R1165" s="44"/>
      <c r="S1165" s="44"/>
      <c r="T1165" s="44"/>
    </row>
    <row r="1166" spans="12:20" x14ac:dyDescent="0.2">
      <c r="L1166" s="43"/>
      <c r="M1166" s="43"/>
      <c r="N1166" s="43"/>
      <c r="O1166" s="43"/>
      <c r="Q1166" s="44"/>
      <c r="R1166" s="44"/>
      <c r="S1166" s="44"/>
      <c r="T1166" s="44"/>
    </row>
    <row r="1167" spans="12:20" x14ac:dyDescent="0.2">
      <c r="L1167" s="43"/>
      <c r="M1167" s="43"/>
      <c r="N1167" s="43"/>
      <c r="O1167" s="43"/>
      <c r="Q1167" s="44"/>
      <c r="R1167" s="44"/>
      <c r="S1167" s="44"/>
      <c r="T1167" s="44"/>
    </row>
    <row r="1168" spans="12:20" x14ac:dyDescent="0.2">
      <c r="L1168" s="43"/>
      <c r="M1168" s="43"/>
      <c r="N1168" s="43"/>
      <c r="O1168" s="43"/>
      <c r="Q1168" s="44"/>
      <c r="R1168" s="44"/>
      <c r="S1168" s="44"/>
      <c r="T1168" s="44"/>
    </row>
    <row r="1169" spans="12:20" x14ac:dyDescent="0.2">
      <c r="L1169" s="43"/>
      <c r="M1169" s="43"/>
      <c r="N1169" s="43"/>
      <c r="O1169" s="43"/>
      <c r="Q1169" s="44"/>
      <c r="R1169" s="44"/>
      <c r="S1169" s="44"/>
      <c r="T1169" s="44"/>
    </row>
    <row r="1170" spans="12:20" x14ac:dyDescent="0.2">
      <c r="L1170" s="43"/>
      <c r="M1170" s="43"/>
      <c r="N1170" s="43"/>
      <c r="O1170" s="43"/>
      <c r="Q1170" s="44"/>
      <c r="R1170" s="44"/>
      <c r="S1170" s="44"/>
      <c r="T1170" s="44"/>
    </row>
    <row r="1171" spans="12:20" x14ac:dyDescent="0.2">
      <c r="L1171" s="43"/>
      <c r="M1171" s="43"/>
      <c r="N1171" s="43"/>
      <c r="O1171" s="43"/>
      <c r="Q1171" s="44"/>
      <c r="R1171" s="44"/>
      <c r="S1171" s="44"/>
      <c r="T1171" s="44"/>
    </row>
    <row r="1172" spans="12:20" x14ac:dyDescent="0.2">
      <c r="L1172" s="43"/>
      <c r="M1172" s="43"/>
      <c r="N1172" s="43"/>
      <c r="O1172" s="43"/>
      <c r="Q1172" s="44"/>
      <c r="R1172" s="44"/>
      <c r="S1172" s="44"/>
      <c r="T1172" s="44"/>
    </row>
    <row r="1173" spans="12:20" x14ac:dyDescent="0.2">
      <c r="L1173" s="43"/>
      <c r="M1173" s="43"/>
      <c r="N1173" s="43"/>
      <c r="O1173" s="43"/>
      <c r="Q1173" s="44"/>
      <c r="R1173" s="44"/>
      <c r="S1173" s="44"/>
      <c r="T1173" s="44"/>
    </row>
    <row r="1174" spans="12:20" x14ac:dyDescent="0.2">
      <c r="L1174" s="43"/>
      <c r="M1174" s="43"/>
      <c r="N1174" s="43"/>
      <c r="O1174" s="43"/>
      <c r="Q1174" s="44"/>
      <c r="R1174" s="44"/>
      <c r="S1174" s="44"/>
      <c r="T1174" s="44"/>
    </row>
    <row r="1175" spans="12:20" x14ac:dyDescent="0.2">
      <c r="L1175" s="43"/>
      <c r="M1175" s="43"/>
      <c r="N1175" s="43"/>
      <c r="O1175" s="43"/>
      <c r="Q1175" s="44"/>
      <c r="R1175" s="44"/>
      <c r="S1175" s="44"/>
      <c r="T1175" s="44"/>
    </row>
    <row r="1176" spans="12:20" x14ac:dyDescent="0.2">
      <c r="L1176" s="43"/>
      <c r="M1176" s="43"/>
      <c r="N1176" s="43"/>
      <c r="O1176" s="43"/>
      <c r="Q1176" s="44"/>
      <c r="R1176" s="44"/>
      <c r="S1176" s="44"/>
      <c r="T1176" s="44"/>
    </row>
    <row r="1177" spans="12:20" x14ac:dyDescent="0.2">
      <c r="L1177" s="43"/>
      <c r="M1177" s="43"/>
      <c r="N1177" s="43"/>
      <c r="O1177" s="43"/>
      <c r="Q1177" s="44"/>
      <c r="R1177" s="44"/>
      <c r="S1177" s="44"/>
      <c r="T1177" s="44"/>
    </row>
    <row r="1178" spans="12:20" x14ac:dyDescent="0.2">
      <c r="L1178" s="43"/>
      <c r="M1178" s="43"/>
      <c r="N1178" s="43"/>
      <c r="O1178" s="43"/>
      <c r="Q1178" s="44"/>
      <c r="R1178" s="44"/>
      <c r="S1178" s="44"/>
      <c r="T1178" s="44"/>
    </row>
    <row r="1179" spans="12:20" x14ac:dyDescent="0.2">
      <c r="L1179" s="43"/>
      <c r="M1179" s="43"/>
      <c r="N1179" s="43"/>
      <c r="O1179" s="43"/>
      <c r="Q1179" s="44"/>
      <c r="R1179" s="44"/>
      <c r="S1179" s="44"/>
      <c r="T1179" s="44"/>
    </row>
    <row r="1180" spans="12:20" x14ac:dyDescent="0.2">
      <c r="L1180" s="43"/>
      <c r="M1180" s="43"/>
      <c r="N1180" s="43"/>
      <c r="O1180" s="43"/>
      <c r="Q1180" s="44"/>
      <c r="R1180" s="44"/>
      <c r="S1180" s="44"/>
      <c r="T1180" s="44"/>
    </row>
    <row r="1181" spans="12:20" x14ac:dyDescent="0.2">
      <c r="L1181" s="43"/>
      <c r="M1181" s="43"/>
      <c r="N1181" s="43"/>
      <c r="O1181" s="43"/>
      <c r="Q1181" s="44"/>
      <c r="R1181" s="44"/>
      <c r="S1181" s="44"/>
      <c r="T1181" s="44"/>
    </row>
    <row r="1182" spans="12:20" x14ac:dyDescent="0.2">
      <c r="L1182" s="43"/>
      <c r="M1182" s="43"/>
      <c r="N1182" s="43"/>
      <c r="O1182" s="43"/>
      <c r="Q1182" s="44"/>
      <c r="R1182" s="44"/>
      <c r="S1182" s="44"/>
      <c r="T1182" s="44"/>
    </row>
    <row r="1183" spans="12:20" x14ac:dyDescent="0.2">
      <c r="L1183" s="43"/>
      <c r="M1183" s="43"/>
      <c r="N1183" s="43"/>
      <c r="O1183" s="43"/>
      <c r="Q1183" s="44"/>
      <c r="R1183" s="44"/>
      <c r="S1183" s="44"/>
      <c r="T1183" s="44"/>
    </row>
    <row r="1184" spans="12:20" x14ac:dyDescent="0.2">
      <c r="L1184" s="43"/>
      <c r="M1184" s="43"/>
      <c r="N1184" s="43"/>
      <c r="O1184" s="43"/>
      <c r="Q1184" s="44"/>
      <c r="R1184" s="44"/>
      <c r="S1184" s="44"/>
      <c r="T1184" s="44"/>
    </row>
    <row r="1185" spans="12:20" x14ac:dyDescent="0.2">
      <c r="L1185" s="43"/>
      <c r="M1185" s="43"/>
      <c r="N1185" s="43"/>
      <c r="O1185" s="43"/>
      <c r="Q1185" s="44"/>
      <c r="R1185" s="44"/>
      <c r="S1185" s="44"/>
      <c r="T1185" s="44"/>
    </row>
    <row r="1186" spans="12:20" x14ac:dyDescent="0.2">
      <c r="L1186" s="43"/>
      <c r="M1186" s="43"/>
      <c r="N1186" s="43"/>
      <c r="O1186" s="43"/>
      <c r="Q1186" s="44"/>
      <c r="R1186" s="44"/>
      <c r="S1186" s="44"/>
      <c r="T1186" s="44"/>
    </row>
    <row r="1187" spans="12:20" x14ac:dyDescent="0.2">
      <c r="L1187" s="43"/>
      <c r="M1187" s="43"/>
      <c r="N1187" s="43"/>
      <c r="O1187" s="43"/>
      <c r="Q1187" s="44"/>
      <c r="R1187" s="44"/>
      <c r="S1187" s="44"/>
      <c r="T1187" s="44"/>
    </row>
    <row r="1188" spans="12:20" x14ac:dyDescent="0.2">
      <c r="L1188" s="43"/>
      <c r="M1188" s="43"/>
      <c r="N1188" s="43"/>
      <c r="O1188" s="43"/>
      <c r="Q1188" s="44"/>
      <c r="R1188" s="44"/>
      <c r="S1188" s="44"/>
      <c r="T1188" s="44"/>
    </row>
    <row r="1189" spans="12:20" x14ac:dyDescent="0.2">
      <c r="L1189" s="43"/>
      <c r="M1189" s="43"/>
      <c r="N1189" s="43"/>
      <c r="O1189" s="43"/>
      <c r="Q1189" s="44"/>
      <c r="R1189" s="44"/>
      <c r="S1189" s="44"/>
      <c r="T1189" s="44"/>
    </row>
    <row r="1190" spans="12:20" x14ac:dyDescent="0.2">
      <c r="L1190" s="43"/>
      <c r="M1190" s="43"/>
      <c r="N1190" s="43"/>
      <c r="O1190" s="43"/>
      <c r="Q1190" s="44"/>
      <c r="R1190" s="44"/>
      <c r="S1190" s="44"/>
      <c r="T1190" s="44"/>
    </row>
    <row r="1191" spans="12:20" x14ac:dyDescent="0.2">
      <c r="L1191" s="43"/>
      <c r="M1191" s="43"/>
      <c r="N1191" s="43"/>
      <c r="O1191" s="43"/>
      <c r="Q1191" s="44"/>
      <c r="R1191" s="44"/>
      <c r="S1191" s="44"/>
      <c r="T1191" s="44"/>
    </row>
    <row r="1192" spans="12:20" x14ac:dyDescent="0.2">
      <c r="L1192" s="43"/>
      <c r="M1192" s="43"/>
      <c r="N1192" s="43"/>
      <c r="O1192" s="43"/>
      <c r="Q1192" s="44"/>
      <c r="R1192" s="44"/>
      <c r="S1192" s="44"/>
      <c r="T1192" s="44"/>
    </row>
    <row r="1193" spans="12:20" x14ac:dyDescent="0.2">
      <c r="L1193" s="43"/>
      <c r="M1193" s="43"/>
      <c r="N1193" s="43"/>
      <c r="O1193" s="43"/>
      <c r="Q1193" s="44"/>
      <c r="R1193" s="44"/>
      <c r="S1193" s="44"/>
      <c r="T1193" s="44"/>
    </row>
    <row r="1194" spans="12:20" x14ac:dyDescent="0.2">
      <c r="L1194" s="43"/>
      <c r="M1194" s="43"/>
      <c r="N1194" s="43"/>
      <c r="O1194" s="43"/>
      <c r="Q1194" s="44"/>
      <c r="R1194" s="44"/>
      <c r="S1194" s="44"/>
      <c r="T1194" s="44"/>
    </row>
    <row r="1195" spans="12:20" x14ac:dyDescent="0.2">
      <c r="L1195" s="43"/>
      <c r="M1195" s="43"/>
      <c r="N1195" s="43"/>
      <c r="O1195" s="43"/>
      <c r="Q1195" s="44"/>
      <c r="R1195" s="44"/>
      <c r="S1195" s="44"/>
      <c r="T1195" s="44"/>
    </row>
    <row r="1196" spans="12:20" x14ac:dyDescent="0.2">
      <c r="L1196" s="43"/>
      <c r="M1196" s="43"/>
      <c r="N1196" s="43"/>
      <c r="O1196" s="43"/>
      <c r="Q1196" s="44"/>
      <c r="R1196" s="44"/>
      <c r="S1196" s="44"/>
      <c r="T1196" s="44"/>
    </row>
    <row r="1197" spans="12:20" x14ac:dyDescent="0.2">
      <c r="L1197" s="43"/>
      <c r="M1197" s="43"/>
      <c r="N1197" s="43"/>
      <c r="O1197" s="43"/>
      <c r="Q1197" s="44"/>
      <c r="R1197" s="44"/>
      <c r="S1197" s="44"/>
      <c r="T1197" s="44"/>
    </row>
    <row r="1198" spans="12:20" x14ac:dyDescent="0.2">
      <c r="L1198" s="43"/>
      <c r="M1198" s="43"/>
      <c r="N1198" s="43"/>
      <c r="O1198" s="43"/>
      <c r="Q1198" s="44"/>
      <c r="R1198" s="44"/>
      <c r="S1198" s="44"/>
      <c r="T1198" s="44"/>
    </row>
    <row r="1199" spans="12:20" x14ac:dyDescent="0.2">
      <c r="L1199" s="43"/>
      <c r="M1199" s="43"/>
      <c r="N1199" s="43"/>
      <c r="O1199" s="43"/>
      <c r="Q1199" s="44"/>
      <c r="R1199" s="44"/>
      <c r="S1199" s="44"/>
      <c r="T1199" s="44"/>
    </row>
    <row r="1200" spans="12:20" x14ac:dyDescent="0.2">
      <c r="L1200" s="43"/>
      <c r="M1200" s="43"/>
      <c r="N1200" s="43"/>
      <c r="O1200" s="43"/>
      <c r="Q1200" s="44"/>
      <c r="R1200" s="44"/>
      <c r="S1200" s="44"/>
      <c r="T1200" s="44"/>
    </row>
    <row r="1201" spans="12:20" x14ac:dyDescent="0.2">
      <c r="L1201" s="43"/>
      <c r="M1201" s="43"/>
      <c r="N1201" s="43"/>
      <c r="O1201" s="43"/>
      <c r="Q1201" s="44"/>
      <c r="R1201" s="44"/>
      <c r="S1201" s="44"/>
      <c r="T1201" s="44"/>
    </row>
    <row r="1202" spans="12:20" x14ac:dyDescent="0.2">
      <c r="L1202" s="43"/>
      <c r="M1202" s="43"/>
      <c r="N1202" s="43"/>
      <c r="O1202" s="43"/>
      <c r="Q1202" s="44"/>
      <c r="R1202" s="44"/>
      <c r="S1202" s="44"/>
      <c r="T1202" s="44"/>
    </row>
    <row r="1203" spans="12:20" x14ac:dyDescent="0.2">
      <c r="L1203" s="43"/>
      <c r="M1203" s="43"/>
      <c r="N1203" s="43"/>
      <c r="O1203" s="43"/>
      <c r="Q1203" s="44"/>
      <c r="R1203" s="44"/>
      <c r="S1203" s="44"/>
      <c r="T1203" s="44"/>
    </row>
    <row r="1204" spans="12:20" x14ac:dyDescent="0.2">
      <c r="L1204" s="43"/>
      <c r="M1204" s="43"/>
      <c r="N1204" s="43"/>
      <c r="O1204" s="43"/>
      <c r="Q1204" s="44"/>
      <c r="R1204" s="44"/>
      <c r="S1204" s="44"/>
      <c r="T1204" s="44"/>
    </row>
    <row r="1205" spans="12:20" x14ac:dyDescent="0.2">
      <c r="L1205" s="43"/>
      <c r="M1205" s="43"/>
      <c r="N1205" s="43"/>
      <c r="O1205" s="43"/>
      <c r="Q1205" s="44"/>
      <c r="R1205" s="44"/>
      <c r="S1205" s="44"/>
      <c r="T1205" s="44"/>
    </row>
    <row r="1206" spans="12:20" x14ac:dyDescent="0.2">
      <c r="L1206" s="43"/>
      <c r="M1206" s="43"/>
      <c r="N1206" s="43"/>
      <c r="O1206" s="43"/>
      <c r="Q1206" s="44"/>
      <c r="R1206" s="44"/>
      <c r="S1206" s="44"/>
      <c r="T1206" s="44"/>
    </row>
    <row r="1207" spans="12:20" x14ac:dyDescent="0.2">
      <c r="L1207" s="43"/>
      <c r="M1207" s="43"/>
      <c r="N1207" s="43"/>
      <c r="O1207" s="43"/>
      <c r="Q1207" s="44"/>
      <c r="R1207" s="44"/>
      <c r="S1207" s="44"/>
      <c r="T1207" s="44"/>
    </row>
    <row r="1208" spans="12:20" x14ac:dyDescent="0.2">
      <c r="L1208" s="43"/>
      <c r="M1208" s="43"/>
      <c r="N1208" s="43"/>
      <c r="O1208" s="43"/>
      <c r="Q1208" s="44"/>
      <c r="R1208" s="44"/>
      <c r="S1208" s="44"/>
      <c r="T1208" s="44"/>
    </row>
    <row r="1209" spans="12:20" x14ac:dyDescent="0.2">
      <c r="L1209" s="43"/>
      <c r="M1209" s="43"/>
      <c r="N1209" s="43"/>
      <c r="O1209" s="43"/>
      <c r="Q1209" s="44"/>
      <c r="R1209" s="44"/>
      <c r="S1209" s="44"/>
      <c r="T1209" s="44"/>
    </row>
    <row r="1210" spans="12:20" x14ac:dyDescent="0.2">
      <c r="L1210" s="43"/>
      <c r="M1210" s="43"/>
      <c r="N1210" s="43"/>
      <c r="O1210" s="43"/>
      <c r="Q1210" s="44"/>
      <c r="R1210" s="44"/>
      <c r="S1210" s="44"/>
      <c r="T1210" s="44"/>
    </row>
    <row r="1211" spans="12:20" x14ac:dyDescent="0.2">
      <c r="L1211" s="43"/>
      <c r="M1211" s="43"/>
      <c r="N1211" s="43"/>
      <c r="O1211" s="43"/>
      <c r="Q1211" s="44"/>
      <c r="R1211" s="44"/>
      <c r="S1211" s="44"/>
      <c r="T1211" s="44"/>
    </row>
    <row r="1212" spans="12:20" x14ac:dyDescent="0.2">
      <c r="L1212" s="43"/>
      <c r="M1212" s="43"/>
      <c r="N1212" s="43"/>
      <c r="O1212" s="43"/>
      <c r="Q1212" s="44"/>
      <c r="R1212" s="44"/>
      <c r="S1212" s="44"/>
      <c r="T1212" s="44"/>
    </row>
    <row r="1213" spans="12:20" x14ac:dyDescent="0.2">
      <c r="L1213" s="43"/>
      <c r="M1213" s="43"/>
      <c r="N1213" s="43"/>
      <c r="O1213" s="43"/>
      <c r="Q1213" s="44"/>
      <c r="R1213" s="44"/>
      <c r="S1213" s="44"/>
      <c r="T1213" s="44"/>
    </row>
    <row r="1214" spans="12:20" x14ac:dyDescent="0.2">
      <c r="L1214" s="43"/>
      <c r="M1214" s="43"/>
      <c r="N1214" s="43"/>
      <c r="O1214" s="43"/>
      <c r="Q1214" s="44"/>
      <c r="R1214" s="44"/>
      <c r="S1214" s="44"/>
      <c r="T1214" s="44"/>
    </row>
    <row r="1215" spans="12:20" x14ac:dyDescent="0.2">
      <c r="L1215" s="43"/>
      <c r="M1215" s="43"/>
      <c r="N1215" s="43"/>
      <c r="O1215" s="43"/>
      <c r="Q1215" s="44"/>
      <c r="R1215" s="44"/>
      <c r="S1215" s="44"/>
      <c r="T1215" s="44"/>
    </row>
    <row r="1216" spans="12:20" x14ac:dyDescent="0.2">
      <c r="L1216" s="43"/>
      <c r="M1216" s="43"/>
      <c r="N1216" s="43"/>
      <c r="O1216" s="43"/>
      <c r="Q1216" s="44"/>
      <c r="R1216" s="44"/>
      <c r="S1216" s="44"/>
      <c r="T1216" s="44"/>
    </row>
    <row r="1217" spans="12:20" x14ac:dyDescent="0.2">
      <c r="L1217" s="43"/>
      <c r="M1217" s="43"/>
      <c r="N1217" s="43"/>
      <c r="O1217" s="43"/>
      <c r="Q1217" s="44"/>
      <c r="R1217" s="44"/>
      <c r="S1217" s="44"/>
      <c r="T1217" s="44"/>
    </row>
    <row r="1218" spans="12:20" x14ac:dyDescent="0.2">
      <c r="L1218" s="43"/>
      <c r="M1218" s="43"/>
      <c r="N1218" s="43"/>
      <c r="O1218" s="43"/>
      <c r="Q1218" s="44"/>
      <c r="R1218" s="44"/>
      <c r="S1218" s="44"/>
      <c r="T1218" s="44"/>
    </row>
    <row r="1219" spans="12:20" x14ac:dyDescent="0.2">
      <c r="L1219" s="43"/>
      <c r="M1219" s="43"/>
      <c r="N1219" s="43"/>
      <c r="O1219" s="43"/>
      <c r="Q1219" s="44"/>
      <c r="R1219" s="44"/>
      <c r="S1219" s="44"/>
      <c r="T1219" s="44"/>
    </row>
    <row r="1220" spans="12:20" x14ac:dyDescent="0.2">
      <c r="L1220" s="43"/>
      <c r="M1220" s="43"/>
      <c r="N1220" s="43"/>
      <c r="O1220" s="43"/>
      <c r="Q1220" s="44"/>
      <c r="R1220" s="44"/>
      <c r="S1220" s="44"/>
      <c r="T1220" s="44"/>
    </row>
    <row r="1221" spans="12:20" x14ac:dyDescent="0.2">
      <c r="L1221" s="43"/>
      <c r="M1221" s="43"/>
      <c r="N1221" s="43"/>
      <c r="O1221" s="43"/>
      <c r="Q1221" s="44"/>
      <c r="R1221" s="44"/>
      <c r="S1221" s="44"/>
      <c r="T1221" s="44"/>
    </row>
    <row r="1222" spans="12:20" x14ac:dyDescent="0.2">
      <c r="L1222" s="43"/>
      <c r="M1222" s="43"/>
      <c r="N1222" s="43"/>
      <c r="O1222" s="43"/>
      <c r="Q1222" s="44"/>
      <c r="R1222" s="44"/>
      <c r="S1222" s="44"/>
      <c r="T1222" s="44"/>
    </row>
    <row r="1223" spans="12:20" x14ac:dyDescent="0.2">
      <c r="L1223" s="43"/>
      <c r="M1223" s="43"/>
      <c r="N1223" s="43"/>
      <c r="O1223" s="43"/>
      <c r="Q1223" s="44"/>
      <c r="R1223" s="44"/>
      <c r="S1223" s="44"/>
      <c r="T1223" s="44"/>
    </row>
    <row r="1224" spans="12:20" x14ac:dyDescent="0.2">
      <c r="L1224" s="43"/>
      <c r="M1224" s="43"/>
      <c r="N1224" s="43"/>
      <c r="O1224" s="43"/>
      <c r="Q1224" s="44"/>
      <c r="R1224" s="44"/>
      <c r="S1224" s="44"/>
      <c r="T1224" s="44"/>
    </row>
    <row r="1225" spans="12:20" x14ac:dyDescent="0.2">
      <c r="L1225" s="43"/>
      <c r="M1225" s="43"/>
      <c r="N1225" s="43"/>
      <c r="O1225" s="43"/>
      <c r="Q1225" s="44"/>
      <c r="R1225" s="44"/>
      <c r="S1225" s="44"/>
      <c r="T1225" s="44"/>
    </row>
    <row r="1226" spans="12:20" x14ac:dyDescent="0.2">
      <c r="L1226" s="43"/>
      <c r="M1226" s="43"/>
      <c r="N1226" s="43"/>
      <c r="O1226" s="43"/>
      <c r="Q1226" s="44"/>
      <c r="R1226" s="44"/>
      <c r="S1226" s="44"/>
      <c r="T1226" s="44"/>
    </row>
    <row r="1227" spans="12:20" x14ac:dyDescent="0.2">
      <c r="L1227" s="43"/>
      <c r="M1227" s="43"/>
      <c r="N1227" s="43"/>
      <c r="O1227" s="43"/>
      <c r="Q1227" s="44"/>
      <c r="R1227" s="44"/>
      <c r="S1227" s="44"/>
      <c r="T1227" s="44"/>
    </row>
    <row r="1228" spans="12:20" x14ac:dyDescent="0.2">
      <c r="L1228" s="43"/>
      <c r="M1228" s="43"/>
      <c r="N1228" s="43"/>
      <c r="O1228" s="43"/>
      <c r="Q1228" s="44"/>
      <c r="R1228" s="44"/>
      <c r="S1228" s="44"/>
      <c r="T1228" s="44"/>
    </row>
    <row r="1229" spans="12:20" x14ac:dyDescent="0.2">
      <c r="L1229" s="43"/>
      <c r="M1229" s="43"/>
      <c r="N1229" s="43"/>
      <c r="O1229" s="43"/>
      <c r="Q1229" s="44"/>
      <c r="R1229" s="44"/>
      <c r="S1229" s="44"/>
      <c r="T1229" s="44"/>
    </row>
    <row r="1230" spans="12:20" x14ac:dyDescent="0.2">
      <c r="L1230" s="43"/>
      <c r="M1230" s="43"/>
      <c r="N1230" s="43"/>
      <c r="O1230" s="43"/>
      <c r="Q1230" s="44"/>
      <c r="R1230" s="44"/>
      <c r="S1230" s="44"/>
      <c r="T1230" s="44"/>
    </row>
    <row r="1231" spans="12:20" x14ac:dyDescent="0.2">
      <c r="L1231" s="43"/>
      <c r="M1231" s="43"/>
      <c r="N1231" s="43"/>
      <c r="O1231" s="43"/>
      <c r="Q1231" s="44"/>
      <c r="R1231" s="44"/>
      <c r="S1231" s="44"/>
      <c r="T1231" s="44"/>
    </row>
    <row r="1232" spans="12:20" x14ac:dyDescent="0.2">
      <c r="L1232" s="43"/>
      <c r="M1232" s="43"/>
      <c r="N1232" s="43"/>
      <c r="O1232" s="43"/>
      <c r="Q1232" s="44"/>
      <c r="R1232" s="44"/>
      <c r="S1232" s="44"/>
      <c r="T1232" s="44"/>
    </row>
    <row r="1233" spans="12:20" x14ac:dyDescent="0.2">
      <c r="L1233" s="43"/>
      <c r="M1233" s="43"/>
      <c r="N1233" s="43"/>
      <c r="O1233" s="43"/>
      <c r="Q1233" s="44"/>
      <c r="R1233" s="44"/>
      <c r="S1233" s="44"/>
      <c r="T1233" s="44"/>
    </row>
    <row r="1234" spans="12:20" x14ac:dyDescent="0.2">
      <c r="L1234" s="43"/>
      <c r="M1234" s="43"/>
      <c r="N1234" s="43"/>
      <c r="O1234" s="43"/>
      <c r="Q1234" s="44"/>
      <c r="R1234" s="44"/>
      <c r="S1234" s="44"/>
      <c r="T1234" s="44"/>
    </row>
    <row r="1235" spans="12:20" x14ac:dyDescent="0.2">
      <c r="L1235" s="43"/>
      <c r="M1235" s="43"/>
      <c r="N1235" s="43"/>
      <c r="O1235" s="43"/>
      <c r="Q1235" s="44"/>
      <c r="R1235" s="44"/>
      <c r="S1235" s="44"/>
      <c r="T1235" s="44"/>
    </row>
    <row r="1236" spans="12:20" x14ac:dyDescent="0.2">
      <c r="L1236" s="43"/>
      <c r="M1236" s="43"/>
      <c r="N1236" s="43"/>
      <c r="O1236" s="43"/>
      <c r="Q1236" s="44"/>
      <c r="R1236" s="44"/>
      <c r="S1236" s="44"/>
      <c r="T1236" s="44"/>
    </row>
    <row r="1237" spans="12:20" x14ac:dyDescent="0.2">
      <c r="L1237" s="43"/>
      <c r="M1237" s="43"/>
      <c r="N1237" s="43"/>
      <c r="O1237" s="43"/>
      <c r="Q1237" s="44"/>
      <c r="R1237" s="44"/>
      <c r="S1237" s="44"/>
      <c r="T1237" s="44"/>
    </row>
    <row r="1238" spans="12:20" x14ac:dyDescent="0.2">
      <c r="L1238" s="43"/>
      <c r="M1238" s="43"/>
      <c r="N1238" s="43"/>
      <c r="O1238" s="43"/>
      <c r="Q1238" s="44"/>
      <c r="R1238" s="44"/>
      <c r="S1238" s="44"/>
      <c r="T1238" s="44"/>
    </row>
    <row r="1239" spans="12:20" x14ac:dyDescent="0.2">
      <c r="L1239" s="43"/>
      <c r="M1239" s="43"/>
      <c r="N1239" s="43"/>
      <c r="O1239" s="43"/>
      <c r="Q1239" s="44"/>
      <c r="R1239" s="44"/>
      <c r="S1239" s="44"/>
      <c r="T1239" s="44"/>
    </row>
    <row r="1240" spans="12:20" x14ac:dyDescent="0.2">
      <c r="L1240" s="43"/>
      <c r="M1240" s="43"/>
      <c r="N1240" s="43"/>
      <c r="O1240" s="43"/>
      <c r="Q1240" s="44"/>
      <c r="R1240" s="44"/>
      <c r="S1240" s="44"/>
      <c r="T1240" s="44"/>
    </row>
    <row r="1241" spans="12:20" x14ac:dyDescent="0.2">
      <c r="L1241" s="43"/>
      <c r="M1241" s="43"/>
      <c r="N1241" s="43"/>
      <c r="O1241" s="43"/>
      <c r="Q1241" s="44"/>
      <c r="R1241" s="44"/>
      <c r="S1241" s="44"/>
      <c r="T1241" s="44"/>
    </row>
    <row r="1242" spans="12:20" x14ac:dyDescent="0.2">
      <c r="L1242" s="43"/>
      <c r="M1242" s="43"/>
      <c r="N1242" s="43"/>
      <c r="O1242" s="43"/>
      <c r="Q1242" s="44"/>
      <c r="R1242" s="44"/>
      <c r="S1242" s="44"/>
      <c r="T1242" s="44"/>
    </row>
    <row r="1243" spans="12:20" x14ac:dyDescent="0.2">
      <c r="L1243" s="43"/>
      <c r="M1243" s="43"/>
      <c r="N1243" s="43"/>
      <c r="O1243" s="43"/>
      <c r="Q1243" s="44"/>
      <c r="R1243" s="44"/>
      <c r="S1243" s="44"/>
      <c r="T1243" s="44"/>
    </row>
    <row r="1244" spans="12:20" x14ac:dyDescent="0.2">
      <c r="L1244" s="43"/>
      <c r="M1244" s="43"/>
      <c r="N1244" s="43"/>
      <c r="O1244" s="43"/>
      <c r="Q1244" s="44"/>
      <c r="R1244" s="44"/>
      <c r="S1244" s="44"/>
      <c r="T1244" s="44"/>
    </row>
    <row r="1245" spans="12:20" x14ac:dyDescent="0.2">
      <c r="L1245" s="43"/>
      <c r="M1245" s="43"/>
      <c r="N1245" s="43"/>
      <c r="O1245" s="43"/>
      <c r="Q1245" s="44"/>
      <c r="R1245" s="44"/>
      <c r="S1245" s="44"/>
      <c r="T1245" s="44"/>
    </row>
    <row r="1246" spans="12:20" x14ac:dyDescent="0.2">
      <c r="L1246" s="43"/>
      <c r="M1246" s="43"/>
      <c r="N1246" s="43"/>
      <c r="O1246" s="43"/>
      <c r="Q1246" s="44"/>
      <c r="R1246" s="44"/>
      <c r="S1246" s="44"/>
      <c r="T1246" s="44"/>
    </row>
    <row r="1247" spans="12:20" x14ac:dyDescent="0.2">
      <c r="L1247" s="43"/>
      <c r="M1247" s="43"/>
      <c r="N1247" s="43"/>
      <c r="O1247" s="43"/>
      <c r="Q1247" s="44"/>
      <c r="R1247" s="44"/>
      <c r="S1247" s="44"/>
      <c r="T1247" s="44"/>
    </row>
    <row r="1248" spans="12:20" x14ac:dyDescent="0.2">
      <c r="L1248" s="43"/>
      <c r="M1248" s="43"/>
      <c r="N1248" s="43"/>
      <c r="O1248" s="43"/>
      <c r="Q1248" s="44"/>
      <c r="R1248" s="44"/>
      <c r="S1248" s="44"/>
      <c r="T1248" s="44"/>
    </row>
    <row r="1249" spans="12:20" x14ac:dyDescent="0.2">
      <c r="L1249" s="43"/>
      <c r="M1249" s="43"/>
      <c r="N1249" s="43"/>
      <c r="O1249" s="43"/>
      <c r="Q1249" s="44"/>
      <c r="R1249" s="44"/>
      <c r="S1249" s="44"/>
      <c r="T1249" s="44"/>
    </row>
    <row r="1250" spans="12:20" x14ac:dyDescent="0.2">
      <c r="L1250" s="43"/>
      <c r="M1250" s="43"/>
      <c r="N1250" s="43"/>
      <c r="O1250" s="43"/>
      <c r="Q1250" s="44"/>
      <c r="R1250" s="44"/>
      <c r="S1250" s="44"/>
      <c r="T1250" s="44"/>
    </row>
    <row r="1251" spans="12:20" x14ac:dyDescent="0.2">
      <c r="L1251" s="43"/>
      <c r="M1251" s="43"/>
      <c r="N1251" s="43"/>
      <c r="O1251" s="43"/>
      <c r="Q1251" s="44"/>
      <c r="R1251" s="44"/>
      <c r="S1251" s="44"/>
      <c r="T1251" s="44"/>
    </row>
    <row r="1252" spans="12:20" x14ac:dyDescent="0.2">
      <c r="L1252" s="43"/>
      <c r="M1252" s="43"/>
      <c r="N1252" s="43"/>
      <c r="O1252" s="43"/>
      <c r="Q1252" s="44"/>
      <c r="R1252" s="44"/>
      <c r="S1252" s="44"/>
      <c r="T1252" s="44"/>
    </row>
    <row r="1253" spans="12:20" x14ac:dyDescent="0.2">
      <c r="L1253" s="43"/>
      <c r="M1253" s="43"/>
      <c r="N1253" s="43"/>
      <c r="O1253" s="43"/>
      <c r="Q1253" s="44"/>
      <c r="R1253" s="44"/>
      <c r="S1253" s="44"/>
      <c r="T1253" s="44"/>
    </row>
    <row r="1254" spans="12:20" x14ac:dyDescent="0.2">
      <c r="L1254" s="43"/>
      <c r="M1254" s="43"/>
      <c r="N1254" s="43"/>
      <c r="O1254" s="43"/>
      <c r="Q1254" s="44"/>
      <c r="R1254" s="44"/>
      <c r="S1254" s="44"/>
      <c r="T1254" s="44"/>
    </row>
    <row r="1255" spans="12:20" x14ac:dyDescent="0.2">
      <c r="L1255" s="43"/>
      <c r="M1255" s="43"/>
      <c r="N1255" s="43"/>
      <c r="O1255" s="43"/>
      <c r="Q1255" s="44"/>
      <c r="R1255" s="44"/>
      <c r="S1255" s="44"/>
      <c r="T1255" s="44"/>
    </row>
    <row r="1256" spans="12:20" x14ac:dyDescent="0.2">
      <c r="L1256" s="43"/>
      <c r="M1256" s="43"/>
      <c r="N1256" s="43"/>
      <c r="O1256" s="43"/>
      <c r="Q1256" s="44"/>
      <c r="R1256" s="44"/>
      <c r="S1256" s="44"/>
      <c r="T1256" s="44"/>
    </row>
    <row r="1257" spans="12:20" x14ac:dyDescent="0.2">
      <c r="L1257" s="43"/>
      <c r="M1257" s="43"/>
      <c r="N1257" s="43"/>
      <c r="O1257" s="43"/>
      <c r="Q1257" s="44"/>
      <c r="R1257" s="44"/>
      <c r="S1257" s="44"/>
      <c r="T1257" s="44"/>
    </row>
    <row r="1258" spans="12:20" x14ac:dyDescent="0.2">
      <c r="L1258" s="43"/>
      <c r="M1258" s="43"/>
      <c r="N1258" s="43"/>
      <c r="O1258" s="43"/>
      <c r="Q1258" s="44"/>
      <c r="R1258" s="44"/>
      <c r="S1258" s="44"/>
      <c r="T1258" s="44"/>
    </row>
    <row r="1259" spans="12:20" x14ac:dyDescent="0.2">
      <c r="L1259" s="43"/>
      <c r="M1259" s="43"/>
      <c r="N1259" s="43"/>
      <c r="O1259" s="43"/>
      <c r="Q1259" s="44"/>
      <c r="R1259" s="44"/>
      <c r="S1259" s="44"/>
      <c r="T1259" s="44"/>
    </row>
    <row r="1260" spans="12:20" x14ac:dyDescent="0.2">
      <c r="L1260" s="43"/>
      <c r="M1260" s="43"/>
      <c r="N1260" s="43"/>
      <c r="O1260" s="43"/>
      <c r="Q1260" s="44"/>
      <c r="R1260" s="44"/>
      <c r="S1260" s="44"/>
      <c r="T1260" s="44"/>
    </row>
    <row r="1261" spans="12:20" x14ac:dyDescent="0.2">
      <c r="L1261" s="43"/>
      <c r="M1261" s="43"/>
      <c r="N1261" s="43"/>
      <c r="O1261" s="43"/>
      <c r="Q1261" s="44"/>
      <c r="R1261" s="44"/>
      <c r="S1261" s="44"/>
      <c r="T1261" s="44"/>
    </row>
    <row r="1262" spans="12:20" x14ac:dyDescent="0.2">
      <c r="L1262" s="43"/>
      <c r="M1262" s="43"/>
      <c r="N1262" s="43"/>
      <c r="O1262" s="43"/>
      <c r="Q1262" s="44"/>
      <c r="R1262" s="44"/>
      <c r="S1262" s="44"/>
      <c r="T1262" s="44"/>
    </row>
    <row r="1263" spans="12:20" x14ac:dyDescent="0.2">
      <c r="L1263" s="43"/>
      <c r="M1263" s="43"/>
      <c r="N1263" s="43"/>
      <c r="O1263" s="43"/>
      <c r="Q1263" s="44"/>
      <c r="R1263" s="44"/>
      <c r="S1263" s="44"/>
      <c r="T1263" s="44"/>
    </row>
    <row r="1264" spans="12:20" x14ac:dyDescent="0.2">
      <c r="L1264" s="43"/>
      <c r="M1264" s="43"/>
      <c r="N1264" s="43"/>
      <c r="O1264" s="43"/>
      <c r="Q1264" s="44"/>
      <c r="R1264" s="44"/>
      <c r="S1264" s="44"/>
      <c r="T1264" s="44"/>
    </row>
    <row r="1265" spans="12:20" x14ac:dyDescent="0.2">
      <c r="L1265" s="43"/>
      <c r="M1265" s="43"/>
      <c r="N1265" s="43"/>
      <c r="O1265" s="43"/>
      <c r="Q1265" s="44"/>
      <c r="R1265" s="44"/>
      <c r="S1265" s="44"/>
      <c r="T1265" s="44"/>
    </row>
    <row r="1266" spans="12:20" x14ac:dyDescent="0.2">
      <c r="L1266" s="43"/>
      <c r="M1266" s="43"/>
      <c r="N1266" s="43"/>
      <c r="O1266" s="43"/>
      <c r="Q1266" s="44"/>
      <c r="R1266" s="44"/>
      <c r="S1266" s="44"/>
      <c r="T1266" s="44"/>
    </row>
    <row r="1267" spans="12:20" x14ac:dyDescent="0.2">
      <c r="L1267" s="43"/>
      <c r="M1267" s="43"/>
      <c r="N1267" s="43"/>
      <c r="O1267" s="43"/>
      <c r="Q1267" s="44"/>
      <c r="R1267" s="44"/>
      <c r="S1267" s="44"/>
      <c r="T1267" s="44"/>
    </row>
    <row r="1268" spans="12:20" x14ac:dyDescent="0.2">
      <c r="L1268" s="43"/>
      <c r="M1268" s="43"/>
      <c r="N1268" s="43"/>
      <c r="O1268" s="43"/>
      <c r="Q1268" s="44"/>
      <c r="R1268" s="44"/>
      <c r="S1268" s="44"/>
      <c r="T1268" s="44"/>
    </row>
    <row r="1269" spans="12:20" x14ac:dyDescent="0.2">
      <c r="L1269" s="43"/>
      <c r="M1269" s="43"/>
      <c r="N1269" s="43"/>
      <c r="O1269" s="43"/>
      <c r="Q1269" s="44"/>
      <c r="R1269" s="44"/>
      <c r="S1269" s="44"/>
      <c r="T1269" s="44"/>
    </row>
    <row r="1270" spans="12:20" x14ac:dyDescent="0.2">
      <c r="L1270" s="43"/>
      <c r="M1270" s="43"/>
      <c r="N1270" s="43"/>
      <c r="O1270" s="43"/>
      <c r="Q1270" s="44"/>
      <c r="R1270" s="44"/>
      <c r="S1270" s="44"/>
      <c r="T1270" s="44"/>
    </row>
    <row r="1271" spans="12:20" x14ac:dyDescent="0.2">
      <c r="L1271" s="43"/>
      <c r="M1271" s="43"/>
      <c r="N1271" s="43"/>
      <c r="O1271" s="43"/>
      <c r="Q1271" s="44"/>
      <c r="R1271" s="44"/>
      <c r="S1271" s="44"/>
      <c r="T1271" s="44"/>
    </row>
    <row r="1272" spans="12:20" x14ac:dyDescent="0.2">
      <c r="L1272" s="43"/>
      <c r="M1272" s="43"/>
      <c r="N1272" s="43"/>
      <c r="O1272" s="43"/>
      <c r="Q1272" s="44"/>
      <c r="R1272" s="44"/>
      <c r="S1272" s="44"/>
      <c r="T1272" s="44"/>
    </row>
    <row r="1273" spans="12:20" x14ac:dyDescent="0.2">
      <c r="L1273" s="43"/>
      <c r="M1273" s="43"/>
      <c r="N1273" s="43"/>
      <c r="O1273" s="43"/>
      <c r="Q1273" s="44"/>
      <c r="R1273" s="44"/>
      <c r="S1273" s="44"/>
      <c r="T1273" s="44"/>
    </row>
    <row r="1274" spans="12:20" x14ac:dyDescent="0.2">
      <c r="L1274" s="43"/>
      <c r="M1274" s="43"/>
      <c r="N1274" s="43"/>
      <c r="O1274" s="43"/>
      <c r="Q1274" s="44"/>
      <c r="R1274" s="44"/>
      <c r="S1274" s="44"/>
      <c r="T1274" s="44"/>
    </row>
    <row r="1275" spans="12:20" x14ac:dyDescent="0.2">
      <c r="L1275" s="43"/>
      <c r="M1275" s="43"/>
      <c r="N1275" s="43"/>
      <c r="O1275" s="43"/>
      <c r="Q1275" s="44"/>
      <c r="R1275" s="44"/>
      <c r="S1275" s="44"/>
      <c r="T1275" s="44"/>
    </row>
    <row r="1276" spans="12:20" x14ac:dyDescent="0.2">
      <c r="L1276" s="43"/>
      <c r="M1276" s="43"/>
      <c r="N1276" s="43"/>
      <c r="O1276" s="43"/>
      <c r="Q1276" s="44"/>
      <c r="R1276" s="44"/>
      <c r="S1276" s="44"/>
      <c r="T1276" s="44"/>
    </row>
    <row r="1277" spans="12:20" x14ac:dyDescent="0.2">
      <c r="L1277" s="43"/>
      <c r="M1277" s="43"/>
      <c r="N1277" s="43"/>
      <c r="O1277" s="43"/>
      <c r="Q1277" s="44"/>
      <c r="R1277" s="44"/>
      <c r="S1277" s="44"/>
      <c r="T1277" s="44"/>
    </row>
    <row r="1278" spans="12:20" x14ac:dyDescent="0.2">
      <c r="L1278" s="43"/>
      <c r="M1278" s="43"/>
      <c r="N1278" s="43"/>
      <c r="O1278" s="43"/>
      <c r="Q1278" s="44"/>
      <c r="R1278" s="44"/>
      <c r="S1278" s="44"/>
      <c r="T1278" s="44"/>
    </row>
    <row r="1279" spans="12:20" x14ac:dyDescent="0.2">
      <c r="L1279" s="43"/>
      <c r="M1279" s="43"/>
      <c r="N1279" s="43"/>
      <c r="O1279" s="43"/>
      <c r="Q1279" s="44"/>
      <c r="R1279" s="44"/>
      <c r="S1279" s="44"/>
      <c r="T1279" s="44"/>
    </row>
    <row r="1280" spans="12:20" x14ac:dyDescent="0.2">
      <c r="L1280" s="43"/>
      <c r="M1280" s="43"/>
      <c r="N1280" s="43"/>
      <c r="O1280" s="43"/>
      <c r="Q1280" s="44"/>
      <c r="R1280" s="44"/>
      <c r="S1280" s="44"/>
      <c r="T1280" s="44"/>
    </row>
    <row r="1281" spans="12:20" x14ac:dyDescent="0.2">
      <c r="L1281" s="43"/>
      <c r="M1281" s="43"/>
      <c r="N1281" s="43"/>
      <c r="O1281" s="43"/>
      <c r="Q1281" s="44"/>
      <c r="R1281" s="44"/>
      <c r="S1281" s="44"/>
      <c r="T1281" s="44"/>
    </row>
    <row r="1282" spans="12:20" x14ac:dyDescent="0.2">
      <c r="L1282" s="43"/>
      <c r="M1282" s="43"/>
      <c r="N1282" s="43"/>
      <c r="O1282" s="43"/>
      <c r="Q1282" s="44"/>
      <c r="R1282" s="44"/>
      <c r="S1282" s="44"/>
      <c r="T1282" s="44"/>
    </row>
    <row r="1283" spans="12:20" x14ac:dyDescent="0.2">
      <c r="L1283" s="43"/>
      <c r="M1283" s="43"/>
      <c r="N1283" s="43"/>
      <c r="O1283" s="43"/>
      <c r="Q1283" s="44"/>
      <c r="R1283" s="44"/>
      <c r="S1283" s="44"/>
      <c r="T1283" s="44"/>
    </row>
    <row r="1284" spans="12:20" x14ac:dyDescent="0.2">
      <c r="L1284" s="43"/>
      <c r="M1284" s="43"/>
      <c r="N1284" s="43"/>
      <c r="O1284" s="43"/>
      <c r="Q1284" s="44"/>
      <c r="R1284" s="44"/>
      <c r="S1284" s="44"/>
      <c r="T1284" s="44"/>
    </row>
    <row r="1285" spans="12:20" x14ac:dyDescent="0.2">
      <c r="L1285" s="43"/>
      <c r="M1285" s="43"/>
      <c r="N1285" s="43"/>
      <c r="O1285" s="43"/>
      <c r="Q1285" s="44"/>
      <c r="R1285" s="44"/>
      <c r="S1285" s="44"/>
      <c r="T1285" s="44"/>
    </row>
    <row r="1286" spans="12:20" x14ac:dyDescent="0.2">
      <c r="L1286" s="43"/>
      <c r="M1286" s="43"/>
      <c r="N1286" s="43"/>
      <c r="O1286" s="43"/>
      <c r="Q1286" s="44"/>
      <c r="R1286" s="44"/>
      <c r="S1286" s="44"/>
      <c r="T1286" s="44"/>
    </row>
    <row r="1287" spans="12:20" x14ac:dyDescent="0.2">
      <c r="L1287" s="43"/>
      <c r="M1287" s="43"/>
      <c r="N1287" s="43"/>
      <c r="O1287" s="43"/>
      <c r="Q1287" s="44"/>
      <c r="R1287" s="44"/>
      <c r="S1287" s="44"/>
      <c r="T1287" s="44"/>
    </row>
    <row r="1288" spans="12:20" x14ac:dyDescent="0.2">
      <c r="L1288" s="43"/>
      <c r="M1288" s="43"/>
      <c r="N1288" s="43"/>
      <c r="O1288" s="43"/>
      <c r="Q1288" s="44"/>
      <c r="R1288" s="44"/>
      <c r="S1288" s="44"/>
      <c r="T1288" s="44"/>
    </row>
    <row r="1289" spans="12:20" x14ac:dyDescent="0.2">
      <c r="L1289" s="43"/>
      <c r="M1289" s="43"/>
      <c r="N1289" s="43"/>
      <c r="O1289" s="43"/>
      <c r="Q1289" s="44"/>
      <c r="R1289" s="44"/>
      <c r="S1289" s="44"/>
      <c r="T1289" s="44"/>
    </row>
    <row r="1290" spans="12:20" x14ac:dyDescent="0.2">
      <c r="L1290" s="43"/>
      <c r="M1290" s="43"/>
      <c r="N1290" s="43"/>
      <c r="O1290" s="43"/>
      <c r="Q1290" s="44"/>
      <c r="R1290" s="44"/>
      <c r="S1290" s="44"/>
      <c r="T1290" s="44"/>
    </row>
    <row r="1291" spans="12:20" x14ac:dyDescent="0.2">
      <c r="L1291" s="43"/>
      <c r="M1291" s="43"/>
      <c r="N1291" s="43"/>
      <c r="O1291" s="43"/>
      <c r="Q1291" s="44"/>
      <c r="R1291" s="44"/>
      <c r="S1291" s="44"/>
      <c r="T1291" s="44"/>
    </row>
    <row r="1292" spans="12:20" x14ac:dyDescent="0.2">
      <c r="L1292" s="43"/>
      <c r="M1292" s="43"/>
      <c r="N1292" s="43"/>
      <c r="O1292" s="43"/>
      <c r="Q1292" s="44"/>
      <c r="R1292" s="44"/>
      <c r="S1292" s="44"/>
      <c r="T1292" s="44"/>
    </row>
    <row r="1293" spans="12:20" x14ac:dyDescent="0.2">
      <c r="L1293" s="43"/>
      <c r="M1293" s="43"/>
      <c r="N1293" s="43"/>
      <c r="O1293" s="43"/>
      <c r="Q1293" s="44"/>
      <c r="R1293" s="44"/>
      <c r="S1293" s="44"/>
      <c r="T1293" s="44"/>
    </row>
    <row r="1294" spans="12:20" x14ac:dyDescent="0.2">
      <c r="L1294" s="43"/>
      <c r="M1294" s="43"/>
      <c r="N1294" s="43"/>
      <c r="O1294" s="43"/>
      <c r="Q1294" s="44"/>
      <c r="R1294" s="44"/>
      <c r="S1294" s="44"/>
      <c r="T1294" s="44"/>
    </row>
    <row r="1295" spans="12:20" x14ac:dyDescent="0.2">
      <c r="L1295" s="43"/>
      <c r="M1295" s="43"/>
      <c r="N1295" s="43"/>
      <c r="O1295" s="43"/>
      <c r="Q1295" s="44"/>
      <c r="R1295" s="44"/>
      <c r="S1295" s="44"/>
      <c r="T1295" s="44"/>
    </row>
    <row r="1296" spans="12:20" x14ac:dyDescent="0.2">
      <c r="L1296" s="43"/>
      <c r="M1296" s="43"/>
      <c r="N1296" s="43"/>
      <c r="O1296" s="43"/>
      <c r="Q1296" s="44"/>
      <c r="R1296" s="44"/>
      <c r="S1296" s="44"/>
      <c r="T1296" s="44"/>
    </row>
    <row r="1297" spans="12:20" x14ac:dyDescent="0.2">
      <c r="L1297" s="43"/>
      <c r="M1297" s="43"/>
      <c r="N1297" s="43"/>
      <c r="O1297" s="43"/>
      <c r="Q1297" s="44"/>
      <c r="R1297" s="44"/>
      <c r="S1297" s="44"/>
      <c r="T1297" s="44"/>
    </row>
    <row r="1298" spans="12:20" x14ac:dyDescent="0.2">
      <c r="L1298" s="43"/>
      <c r="M1298" s="43"/>
      <c r="N1298" s="43"/>
      <c r="O1298" s="43"/>
      <c r="Q1298" s="44"/>
      <c r="R1298" s="44"/>
      <c r="S1298" s="44"/>
      <c r="T1298" s="44"/>
    </row>
    <row r="1299" spans="12:20" x14ac:dyDescent="0.2">
      <c r="L1299" s="43"/>
      <c r="M1299" s="43"/>
      <c r="N1299" s="43"/>
      <c r="O1299" s="43"/>
      <c r="Q1299" s="44"/>
      <c r="R1299" s="44"/>
      <c r="S1299" s="44"/>
      <c r="T1299" s="44"/>
    </row>
    <row r="1300" spans="12:20" x14ac:dyDescent="0.2">
      <c r="L1300" s="43"/>
      <c r="M1300" s="43"/>
      <c r="N1300" s="43"/>
      <c r="O1300" s="43"/>
      <c r="Q1300" s="44"/>
      <c r="R1300" s="44"/>
      <c r="S1300" s="44"/>
      <c r="T1300" s="44"/>
    </row>
    <row r="1301" spans="12:20" x14ac:dyDescent="0.2">
      <c r="L1301" s="43"/>
      <c r="M1301" s="43"/>
      <c r="N1301" s="43"/>
      <c r="O1301" s="43"/>
      <c r="Q1301" s="44"/>
      <c r="R1301" s="44"/>
      <c r="S1301" s="44"/>
      <c r="T1301" s="44"/>
    </row>
    <row r="1302" spans="12:20" x14ac:dyDescent="0.2">
      <c r="L1302" s="43"/>
      <c r="M1302" s="43"/>
      <c r="N1302" s="43"/>
      <c r="O1302" s="43"/>
      <c r="Q1302" s="44"/>
      <c r="R1302" s="44"/>
      <c r="S1302" s="44"/>
      <c r="T1302" s="44"/>
    </row>
    <row r="1303" spans="12:20" x14ac:dyDescent="0.2">
      <c r="L1303" s="43"/>
      <c r="M1303" s="43"/>
      <c r="N1303" s="43"/>
      <c r="O1303" s="43"/>
      <c r="Q1303" s="44"/>
      <c r="R1303" s="44"/>
      <c r="S1303" s="44"/>
      <c r="T1303" s="44"/>
    </row>
    <row r="1304" spans="12:20" x14ac:dyDescent="0.2">
      <c r="L1304" s="43"/>
      <c r="M1304" s="43"/>
      <c r="N1304" s="43"/>
      <c r="O1304" s="43"/>
      <c r="Q1304" s="44"/>
      <c r="R1304" s="44"/>
      <c r="S1304" s="44"/>
      <c r="T1304" s="44"/>
    </row>
    <row r="1305" spans="12:20" x14ac:dyDescent="0.2">
      <c r="L1305" s="43"/>
      <c r="M1305" s="43"/>
      <c r="N1305" s="43"/>
      <c r="O1305" s="43"/>
      <c r="Q1305" s="44"/>
      <c r="R1305" s="44"/>
      <c r="S1305" s="44"/>
      <c r="T1305" s="44"/>
    </row>
    <row r="1306" spans="12:20" x14ac:dyDescent="0.2">
      <c r="L1306" s="43"/>
      <c r="M1306" s="43"/>
      <c r="N1306" s="43"/>
      <c r="O1306" s="43"/>
      <c r="Q1306" s="44"/>
      <c r="R1306" s="44"/>
      <c r="S1306" s="44"/>
      <c r="T1306" s="44"/>
    </row>
    <row r="1307" spans="12:20" x14ac:dyDescent="0.2">
      <c r="L1307" s="43"/>
      <c r="M1307" s="43"/>
      <c r="N1307" s="43"/>
      <c r="O1307" s="43"/>
      <c r="Q1307" s="44"/>
      <c r="R1307" s="44"/>
      <c r="S1307" s="44"/>
      <c r="T1307" s="44"/>
    </row>
    <row r="1308" spans="12:20" x14ac:dyDescent="0.2">
      <c r="L1308" s="43"/>
      <c r="M1308" s="43"/>
      <c r="N1308" s="43"/>
      <c r="O1308" s="43"/>
      <c r="Q1308" s="44"/>
      <c r="R1308" s="44"/>
      <c r="S1308" s="44"/>
      <c r="T1308" s="44"/>
    </row>
    <row r="1309" spans="12:20" x14ac:dyDescent="0.2">
      <c r="L1309" s="43"/>
      <c r="M1309" s="43"/>
      <c r="N1309" s="43"/>
      <c r="O1309" s="43"/>
      <c r="Q1309" s="44"/>
      <c r="R1309" s="44"/>
      <c r="S1309" s="44"/>
      <c r="T1309" s="44"/>
    </row>
    <row r="1310" spans="12:20" x14ac:dyDescent="0.2">
      <c r="L1310" s="43"/>
      <c r="M1310" s="43"/>
      <c r="N1310" s="43"/>
      <c r="O1310" s="43"/>
      <c r="Q1310" s="44"/>
      <c r="R1310" s="44"/>
      <c r="S1310" s="44"/>
      <c r="T1310" s="44"/>
    </row>
    <row r="1311" spans="12:20" x14ac:dyDescent="0.2">
      <c r="L1311" s="43"/>
      <c r="M1311" s="43"/>
      <c r="N1311" s="43"/>
      <c r="O1311" s="43"/>
      <c r="Q1311" s="44"/>
      <c r="R1311" s="44"/>
      <c r="S1311" s="44"/>
      <c r="T1311" s="44"/>
    </row>
    <row r="1312" spans="12:20" x14ac:dyDescent="0.2">
      <c r="L1312" s="43"/>
      <c r="M1312" s="43"/>
      <c r="N1312" s="43"/>
      <c r="O1312" s="43"/>
      <c r="Q1312" s="44"/>
      <c r="R1312" s="44"/>
      <c r="S1312" s="44"/>
      <c r="T1312" s="44"/>
    </row>
    <row r="1313" spans="12:20" x14ac:dyDescent="0.2">
      <c r="L1313" s="43"/>
      <c r="M1313" s="43"/>
      <c r="N1313" s="43"/>
      <c r="O1313" s="43"/>
      <c r="Q1313" s="44"/>
      <c r="R1313" s="44"/>
      <c r="S1313" s="44"/>
      <c r="T1313" s="44"/>
    </row>
    <row r="1314" spans="12:20" x14ac:dyDescent="0.2">
      <c r="L1314" s="43"/>
      <c r="M1314" s="43"/>
      <c r="N1314" s="43"/>
      <c r="O1314" s="43"/>
      <c r="Q1314" s="44"/>
      <c r="R1314" s="44"/>
      <c r="S1314" s="44"/>
      <c r="T1314" s="44"/>
    </row>
    <row r="1315" spans="12:20" x14ac:dyDescent="0.2">
      <c r="L1315" s="43"/>
      <c r="M1315" s="43"/>
      <c r="N1315" s="43"/>
      <c r="O1315" s="43"/>
      <c r="Q1315" s="44"/>
      <c r="R1315" s="44"/>
      <c r="S1315" s="44"/>
      <c r="T1315" s="44"/>
    </row>
    <row r="1316" spans="12:20" x14ac:dyDescent="0.2">
      <c r="L1316" s="43"/>
      <c r="M1316" s="43"/>
      <c r="N1316" s="43"/>
      <c r="O1316" s="43"/>
      <c r="Q1316" s="44"/>
      <c r="R1316" s="44"/>
      <c r="S1316" s="44"/>
      <c r="T1316" s="44"/>
    </row>
    <row r="1317" spans="12:20" x14ac:dyDescent="0.2">
      <c r="L1317" s="43"/>
      <c r="M1317" s="43"/>
      <c r="N1317" s="43"/>
      <c r="O1317" s="43"/>
      <c r="Q1317" s="44"/>
      <c r="R1317" s="44"/>
      <c r="S1317" s="44"/>
      <c r="T1317" s="44"/>
    </row>
    <row r="1318" spans="12:20" x14ac:dyDescent="0.2">
      <c r="L1318" s="43"/>
      <c r="M1318" s="43"/>
      <c r="N1318" s="43"/>
      <c r="O1318" s="43"/>
      <c r="Q1318" s="44"/>
      <c r="R1318" s="44"/>
      <c r="S1318" s="44"/>
      <c r="T1318" s="44"/>
    </row>
    <row r="1319" spans="12:20" x14ac:dyDescent="0.2">
      <c r="L1319" s="43"/>
      <c r="M1319" s="43"/>
      <c r="N1319" s="43"/>
      <c r="O1319" s="43"/>
      <c r="Q1319" s="44"/>
      <c r="R1319" s="44"/>
      <c r="S1319" s="44"/>
      <c r="T1319" s="44"/>
    </row>
    <row r="1320" spans="12:20" x14ac:dyDescent="0.2">
      <c r="L1320" s="43"/>
      <c r="M1320" s="43"/>
      <c r="N1320" s="43"/>
      <c r="O1320" s="43"/>
      <c r="Q1320" s="44"/>
      <c r="R1320" s="44"/>
      <c r="S1320" s="44"/>
      <c r="T1320" s="44"/>
    </row>
    <row r="1321" spans="12:20" x14ac:dyDescent="0.2">
      <c r="L1321" s="43"/>
      <c r="M1321" s="43"/>
      <c r="N1321" s="43"/>
      <c r="O1321" s="43"/>
      <c r="Q1321" s="44"/>
      <c r="R1321" s="44"/>
      <c r="S1321" s="44"/>
      <c r="T1321" s="44"/>
    </row>
    <row r="1322" spans="12:20" x14ac:dyDescent="0.2">
      <c r="L1322" s="43"/>
      <c r="M1322" s="43"/>
      <c r="N1322" s="43"/>
      <c r="O1322" s="43"/>
      <c r="Q1322" s="44"/>
      <c r="R1322" s="44"/>
      <c r="S1322" s="44"/>
      <c r="T1322" s="44"/>
    </row>
    <row r="1323" spans="12:20" x14ac:dyDescent="0.2">
      <c r="L1323" s="43"/>
      <c r="M1323" s="43"/>
      <c r="N1323" s="43"/>
      <c r="O1323" s="43"/>
      <c r="Q1323" s="44"/>
      <c r="R1323" s="44"/>
      <c r="S1323" s="44"/>
      <c r="T1323" s="44"/>
    </row>
    <row r="1324" spans="12:20" x14ac:dyDescent="0.2">
      <c r="L1324" s="43"/>
      <c r="M1324" s="43"/>
      <c r="N1324" s="43"/>
      <c r="O1324" s="43"/>
      <c r="Q1324" s="44"/>
      <c r="R1324" s="44"/>
      <c r="S1324" s="44"/>
      <c r="T1324" s="44"/>
    </row>
    <row r="1325" spans="12:20" x14ac:dyDescent="0.2">
      <c r="L1325" s="43"/>
      <c r="M1325" s="43"/>
      <c r="N1325" s="43"/>
      <c r="O1325" s="43"/>
      <c r="Q1325" s="44"/>
      <c r="R1325" s="44"/>
      <c r="S1325" s="44"/>
      <c r="T1325" s="44"/>
    </row>
    <row r="1326" spans="12:20" x14ac:dyDescent="0.2">
      <c r="L1326" s="43"/>
      <c r="M1326" s="43"/>
      <c r="N1326" s="43"/>
      <c r="O1326" s="43"/>
      <c r="Q1326" s="44"/>
      <c r="R1326" s="44"/>
      <c r="S1326" s="44"/>
      <c r="T1326" s="44"/>
    </row>
    <row r="1327" spans="12:20" x14ac:dyDescent="0.2">
      <c r="L1327" s="43"/>
      <c r="M1327" s="43"/>
      <c r="N1327" s="43"/>
      <c r="O1327" s="43"/>
      <c r="Q1327" s="44"/>
      <c r="R1327" s="44"/>
      <c r="S1327" s="44"/>
      <c r="T1327" s="44"/>
    </row>
    <row r="1328" spans="12:20" x14ac:dyDescent="0.2">
      <c r="L1328" s="43"/>
      <c r="M1328" s="43"/>
      <c r="N1328" s="43"/>
      <c r="O1328" s="43"/>
      <c r="Q1328" s="44"/>
      <c r="R1328" s="44"/>
      <c r="S1328" s="44"/>
      <c r="T1328" s="44"/>
    </row>
    <row r="1329" spans="12:20" x14ac:dyDescent="0.2">
      <c r="L1329" s="43"/>
      <c r="M1329" s="43"/>
      <c r="N1329" s="43"/>
      <c r="O1329" s="43"/>
      <c r="Q1329" s="44"/>
      <c r="R1329" s="44"/>
      <c r="S1329" s="44"/>
      <c r="T1329" s="44"/>
    </row>
    <row r="1330" spans="12:20" x14ac:dyDescent="0.2">
      <c r="L1330" s="43"/>
      <c r="M1330" s="43"/>
      <c r="N1330" s="43"/>
      <c r="O1330" s="43"/>
      <c r="Q1330" s="44"/>
      <c r="R1330" s="44"/>
      <c r="S1330" s="44"/>
      <c r="T1330" s="44"/>
    </row>
    <row r="1331" spans="12:20" x14ac:dyDescent="0.2">
      <c r="L1331" s="43"/>
      <c r="M1331" s="43"/>
      <c r="N1331" s="43"/>
      <c r="O1331" s="43"/>
      <c r="Q1331" s="44"/>
      <c r="R1331" s="44"/>
      <c r="S1331" s="44"/>
      <c r="T1331" s="44"/>
    </row>
    <row r="1332" spans="12:20" x14ac:dyDescent="0.2">
      <c r="L1332" s="43"/>
      <c r="M1332" s="43"/>
      <c r="N1332" s="43"/>
      <c r="O1332" s="43"/>
      <c r="Q1332" s="44"/>
      <c r="R1332" s="44"/>
      <c r="S1332" s="44"/>
      <c r="T1332" s="44"/>
    </row>
    <row r="1333" spans="12:20" x14ac:dyDescent="0.2">
      <c r="L1333" s="43"/>
      <c r="M1333" s="43"/>
      <c r="N1333" s="43"/>
      <c r="O1333" s="43"/>
      <c r="Q1333" s="44"/>
      <c r="R1333" s="44"/>
      <c r="S1333" s="44"/>
      <c r="T1333" s="44"/>
    </row>
    <row r="1334" spans="12:20" x14ac:dyDescent="0.2">
      <c r="L1334" s="43"/>
      <c r="M1334" s="43"/>
      <c r="N1334" s="43"/>
      <c r="O1334" s="43"/>
      <c r="Q1334" s="44"/>
      <c r="R1334" s="44"/>
      <c r="S1334" s="44"/>
      <c r="T1334" s="44"/>
    </row>
    <row r="1335" spans="12:20" x14ac:dyDescent="0.2">
      <c r="L1335" s="43"/>
      <c r="M1335" s="43"/>
      <c r="N1335" s="43"/>
      <c r="O1335" s="43"/>
      <c r="Q1335" s="44"/>
      <c r="R1335" s="44"/>
      <c r="S1335" s="44"/>
      <c r="T1335" s="44"/>
    </row>
    <row r="1336" spans="12:20" x14ac:dyDescent="0.2">
      <c r="L1336" s="43"/>
      <c r="M1336" s="43"/>
      <c r="N1336" s="43"/>
      <c r="O1336" s="43"/>
      <c r="Q1336" s="44"/>
      <c r="R1336" s="44"/>
      <c r="S1336" s="44"/>
      <c r="T1336" s="44"/>
    </row>
    <row r="1337" spans="12:20" x14ac:dyDescent="0.2">
      <c r="L1337" s="43"/>
      <c r="M1337" s="43"/>
      <c r="N1337" s="43"/>
      <c r="O1337" s="43"/>
      <c r="Q1337" s="44"/>
      <c r="R1337" s="44"/>
      <c r="S1337" s="44"/>
      <c r="T1337" s="44"/>
    </row>
    <row r="1338" spans="12:20" x14ac:dyDescent="0.2">
      <c r="L1338" s="43"/>
      <c r="M1338" s="43"/>
      <c r="N1338" s="43"/>
      <c r="O1338" s="43"/>
      <c r="Q1338" s="44"/>
      <c r="R1338" s="44"/>
      <c r="S1338" s="44"/>
      <c r="T1338" s="44"/>
    </row>
    <row r="1339" spans="12:20" x14ac:dyDescent="0.2">
      <c r="L1339" s="43"/>
      <c r="M1339" s="43"/>
      <c r="N1339" s="43"/>
      <c r="O1339" s="43"/>
      <c r="Q1339" s="44"/>
      <c r="R1339" s="44"/>
      <c r="S1339" s="44"/>
      <c r="T1339" s="44"/>
    </row>
    <row r="1340" spans="12:20" x14ac:dyDescent="0.2">
      <c r="L1340" s="43"/>
      <c r="M1340" s="43"/>
      <c r="N1340" s="43"/>
      <c r="O1340" s="43"/>
      <c r="Q1340" s="44"/>
      <c r="R1340" s="44"/>
      <c r="S1340" s="44"/>
      <c r="T1340" s="44"/>
    </row>
    <row r="1341" spans="12:20" x14ac:dyDescent="0.2">
      <c r="L1341" s="43"/>
      <c r="M1341" s="43"/>
      <c r="N1341" s="43"/>
      <c r="O1341" s="43"/>
      <c r="Q1341" s="44"/>
      <c r="R1341" s="44"/>
      <c r="S1341" s="44"/>
      <c r="T1341" s="44"/>
    </row>
    <row r="1342" spans="12:20" x14ac:dyDescent="0.2">
      <c r="L1342" s="43"/>
      <c r="M1342" s="43"/>
      <c r="N1342" s="43"/>
      <c r="O1342" s="43"/>
      <c r="Q1342" s="44"/>
      <c r="R1342" s="44"/>
      <c r="S1342" s="44"/>
      <c r="T1342" s="44"/>
    </row>
    <row r="1343" spans="12:20" x14ac:dyDescent="0.2">
      <c r="L1343" s="43"/>
      <c r="M1343" s="43"/>
      <c r="N1343" s="43"/>
      <c r="O1343" s="43"/>
      <c r="Q1343" s="44"/>
      <c r="R1343" s="44"/>
      <c r="S1343" s="44"/>
      <c r="T1343" s="44"/>
    </row>
    <row r="1344" spans="12:20" x14ac:dyDescent="0.2">
      <c r="L1344" s="43"/>
      <c r="M1344" s="43"/>
      <c r="N1344" s="43"/>
      <c r="O1344" s="43"/>
      <c r="Q1344" s="44"/>
      <c r="R1344" s="44"/>
      <c r="S1344" s="44"/>
      <c r="T1344" s="44"/>
    </row>
    <row r="1345" spans="12:20" x14ac:dyDescent="0.2">
      <c r="L1345" s="43"/>
      <c r="M1345" s="43"/>
      <c r="N1345" s="43"/>
      <c r="O1345" s="43"/>
      <c r="Q1345" s="44"/>
      <c r="R1345" s="44"/>
      <c r="S1345" s="44"/>
      <c r="T1345" s="44"/>
    </row>
    <row r="1346" spans="12:20" x14ac:dyDescent="0.2">
      <c r="L1346" s="43"/>
      <c r="M1346" s="43"/>
      <c r="N1346" s="43"/>
      <c r="O1346" s="43"/>
      <c r="Q1346" s="44"/>
      <c r="R1346" s="44"/>
      <c r="S1346" s="44"/>
      <c r="T1346" s="44"/>
    </row>
    <row r="1347" spans="12:20" x14ac:dyDescent="0.2">
      <c r="L1347" s="43"/>
      <c r="M1347" s="43"/>
      <c r="N1347" s="43"/>
      <c r="O1347" s="43"/>
      <c r="Q1347" s="44"/>
      <c r="R1347" s="44"/>
      <c r="S1347" s="44"/>
      <c r="T1347" s="44"/>
    </row>
    <row r="1348" spans="12:20" x14ac:dyDescent="0.2">
      <c r="L1348" s="43"/>
      <c r="M1348" s="43"/>
      <c r="N1348" s="43"/>
      <c r="O1348" s="43"/>
      <c r="Q1348" s="44"/>
      <c r="R1348" s="44"/>
      <c r="S1348" s="44"/>
      <c r="T1348" s="44"/>
    </row>
    <row r="1349" spans="12:20" x14ac:dyDescent="0.2">
      <c r="L1349" s="43"/>
      <c r="M1349" s="43"/>
      <c r="N1349" s="43"/>
      <c r="O1349" s="43"/>
      <c r="Q1349" s="44"/>
      <c r="R1349" s="44"/>
      <c r="S1349" s="44"/>
      <c r="T1349" s="44"/>
    </row>
    <row r="1350" spans="12:20" x14ac:dyDescent="0.2">
      <c r="L1350" s="43"/>
      <c r="M1350" s="43"/>
      <c r="N1350" s="43"/>
      <c r="O1350" s="43"/>
      <c r="Q1350" s="44"/>
      <c r="R1350" s="44"/>
      <c r="S1350" s="44"/>
      <c r="T1350" s="44"/>
    </row>
    <row r="1351" spans="12:20" x14ac:dyDescent="0.2">
      <c r="L1351" s="43"/>
      <c r="M1351" s="43"/>
      <c r="N1351" s="43"/>
      <c r="O1351" s="43"/>
      <c r="Q1351" s="44"/>
      <c r="R1351" s="44"/>
      <c r="S1351" s="44"/>
      <c r="T1351" s="44"/>
    </row>
    <row r="1352" spans="12:20" x14ac:dyDescent="0.2">
      <c r="L1352" s="43"/>
      <c r="M1352" s="43"/>
      <c r="N1352" s="43"/>
      <c r="O1352" s="43"/>
      <c r="Q1352" s="44"/>
      <c r="R1352" s="44"/>
      <c r="S1352" s="44"/>
      <c r="T1352" s="44"/>
    </row>
    <row r="1353" spans="12:20" x14ac:dyDescent="0.2">
      <c r="L1353" s="43"/>
      <c r="M1353" s="43"/>
      <c r="N1353" s="43"/>
      <c r="O1353" s="43"/>
      <c r="Q1353" s="44"/>
      <c r="R1353" s="44"/>
      <c r="S1353" s="44"/>
      <c r="T1353" s="44"/>
    </row>
    <row r="1354" spans="12:20" x14ac:dyDescent="0.2">
      <c r="L1354" s="43"/>
      <c r="M1354" s="43"/>
      <c r="N1354" s="43"/>
      <c r="O1354" s="43"/>
      <c r="Q1354" s="44"/>
      <c r="R1354" s="44"/>
      <c r="S1354" s="44"/>
      <c r="T1354" s="44"/>
    </row>
    <row r="1355" spans="12:20" x14ac:dyDescent="0.2">
      <c r="L1355" s="43"/>
      <c r="M1355" s="43"/>
      <c r="N1355" s="43"/>
      <c r="O1355" s="43"/>
      <c r="Q1355" s="44"/>
      <c r="R1355" s="44"/>
      <c r="S1355" s="44"/>
      <c r="T1355" s="44"/>
    </row>
    <row r="1356" spans="12:20" x14ac:dyDescent="0.2">
      <c r="L1356" s="43"/>
      <c r="M1356" s="43"/>
      <c r="N1356" s="43"/>
      <c r="O1356" s="43"/>
      <c r="Q1356" s="44"/>
      <c r="R1356" s="44"/>
      <c r="S1356" s="44"/>
      <c r="T1356" s="44"/>
    </row>
    <row r="1357" spans="12:20" x14ac:dyDescent="0.2">
      <c r="L1357" s="43"/>
      <c r="M1357" s="43"/>
      <c r="N1357" s="43"/>
      <c r="O1357" s="43"/>
      <c r="Q1357" s="44"/>
      <c r="R1357" s="44"/>
      <c r="S1357" s="44"/>
      <c r="T1357" s="44"/>
    </row>
    <row r="1358" spans="12:20" x14ac:dyDescent="0.2">
      <c r="L1358" s="43"/>
      <c r="M1358" s="43"/>
      <c r="N1358" s="43"/>
      <c r="O1358" s="43"/>
      <c r="Q1358" s="44"/>
      <c r="R1358" s="44"/>
      <c r="S1358" s="44"/>
      <c r="T1358" s="44"/>
    </row>
    <row r="1359" spans="12:20" x14ac:dyDescent="0.2">
      <c r="L1359" s="43"/>
      <c r="M1359" s="43"/>
      <c r="N1359" s="43"/>
      <c r="O1359" s="43"/>
      <c r="Q1359" s="44"/>
      <c r="R1359" s="44"/>
      <c r="S1359" s="44"/>
      <c r="T1359" s="44"/>
    </row>
    <row r="1360" spans="12:20" x14ac:dyDescent="0.2">
      <c r="L1360" s="43"/>
      <c r="M1360" s="43"/>
      <c r="N1360" s="43"/>
      <c r="O1360" s="43"/>
      <c r="Q1360" s="44"/>
      <c r="R1360" s="44"/>
      <c r="S1360" s="44"/>
      <c r="T1360" s="44"/>
    </row>
    <row r="1361" spans="12:20" x14ac:dyDescent="0.2">
      <c r="L1361" s="43"/>
      <c r="M1361" s="43"/>
      <c r="N1361" s="43"/>
      <c r="O1361" s="43"/>
      <c r="Q1361" s="44"/>
      <c r="R1361" s="44"/>
      <c r="S1361" s="44"/>
      <c r="T1361" s="44"/>
    </row>
    <row r="1362" spans="12:20" x14ac:dyDescent="0.2">
      <c r="L1362" s="43"/>
      <c r="M1362" s="43"/>
      <c r="N1362" s="43"/>
      <c r="O1362" s="43"/>
      <c r="Q1362" s="44"/>
      <c r="R1362" s="44"/>
      <c r="S1362" s="44"/>
      <c r="T1362" s="44"/>
    </row>
    <row r="1363" spans="12:20" x14ac:dyDescent="0.2">
      <c r="L1363" s="43"/>
      <c r="M1363" s="43"/>
      <c r="N1363" s="43"/>
      <c r="O1363" s="43"/>
      <c r="Q1363" s="44"/>
      <c r="R1363" s="44"/>
      <c r="S1363" s="44"/>
      <c r="T1363" s="44"/>
    </row>
    <row r="1364" spans="12:20" x14ac:dyDescent="0.2">
      <c r="L1364" s="43"/>
      <c r="M1364" s="43"/>
      <c r="N1364" s="43"/>
      <c r="O1364" s="43"/>
      <c r="Q1364" s="44"/>
      <c r="R1364" s="44"/>
      <c r="S1364" s="44"/>
      <c r="T1364" s="44"/>
    </row>
    <row r="1365" spans="12:20" x14ac:dyDescent="0.2">
      <c r="L1365" s="43"/>
      <c r="M1365" s="43"/>
      <c r="N1365" s="43"/>
      <c r="O1365" s="43"/>
      <c r="Q1365" s="44"/>
      <c r="R1365" s="44"/>
      <c r="S1365" s="44"/>
      <c r="T1365" s="44"/>
    </row>
    <row r="1366" spans="12:20" x14ac:dyDescent="0.2">
      <c r="L1366" s="43"/>
      <c r="M1366" s="43"/>
      <c r="N1366" s="43"/>
      <c r="O1366" s="43"/>
      <c r="Q1366" s="44"/>
      <c r="R1366" s="44"/>
      <c r="S1366" s="44"/>
      <c r="T1366" s="44"/>
    </row>
    <row r="1367" spans="12:20" x14ac:dyDescent="0.2">
      <c r="L1367" s="43"/>
      <c r="M1367" s="43"/>
      <c r="N1367" s="43"/>
      <c r="O1367" s="43"/>
      <c r="Q1367" s="44"/>
      <c r="R1367" s="44"/>
      <c r="S1367" s="44"/>
      <c r="T1367" s="44"/>
    </row>
    <row r="1368" spans="12:20" x14ac:dyDescent="0.2">
      <c r="L1368" s="43"/>
      <c r="M1368" s="43"/>
      <c r="N1368" s="43"/>
      <c r="O1368" s="43"/>
      <c r="Q1368" s="44"/>
      <c r="R1368" s="44"/>
      <c r="S1368" s="44"/>
      <c r="T1368" s="44"/>
    </row>
    <row r="1369" spans="12:20" x14ac:dyDescent="0.2">
      <c r="L1369" s="43"/>
      <c r="M1369" s="43"/>
      <c r="N1369" s="43"/>
      <c r="O1369" s="43"/>
      <c r="Q1369" s="44"/>
      <c r="R1369" s="44"/>
      <c r="S1369" s="44"/>
      <c r="T1369" s="44"/>
    </row>
    <row r="1370" spans="12:20" x14ac:dyDescent="0.2">
      <c r="L1370" s="43"/>
      <c r="M1370" s="43"/>
      <c r="N1370" s="43"/>
      <c r="O1370" s="43"/>
      <c r="Q1370" s="44"/>
      <c r="R1370" s="44"/>
      <c r="S1370" s="44"/>
      <c r="T1370" s="44"/>
    </row>
    <row r="1371" spans="12:20" x14ac:dyDescent="0.2">
      <c r="L1371" s="43"/>
      <c r="M1371" s="43"/>
      <c r="N1371" s="43"/>
      <c r="O1371" s="43"/>
      <c r="Q1371" s="44"/>
      <c r="R1371" s="44"/>
      <c r="S1371" s="44"/>
      <c r="T1371" s="44"/>
    </row>
    <row r="1372" spans="12:20" x14ac:dyDescent="0.2">
      <c r="L1372" s="43"/>
      <c r="M1372" s="43"/>
      <c r="N1372" s="43"/>
      <c r="O1372" s="43"/>
      <c r="Q1372" s="44"/>
      <c r="R1372" s="44"/>
      <c r="S1372" s="44"/>
      <c r="T1372" s="44"/>
    </row>
    <row r="1373" spans="12:20" x14ac:dyDescent="0.2">
      <c r="L1373" s="43"/>
      <c r="M1373" s="43"/>
      <c r="N1373" s="43"/>
      <c r="O1373" s="43"/>
      <c r="Q1373" s="44"/>
      <c r="R1373" s="44"/>
      <c r="S1373" s="44"/>
      <c r="T1373" s="44"/>
    </row>
    <row r="1374" spans="12:20" x14ac:dyDescent="0.2">
      <c r="L1374" s="43"/>
      <c r="M1374" s="43"/>
      <c r="N1374" s="43"/>
      <c r="O1374" s="43"/>
      <c r="Q1374" s="44"/>
      <c r="R1374" s="44"/>
      <c r="S1374" s="44"/>
      <c r="T1374" s="44"/>
    </row>
    <row r="1375" spans="12:20" x14ac:dyDescent="0.2">
      <c r="L1375" s="43"/>
      <c r="M1375" s="43"/>
      <c r="N1375" s="43"/>
      <c r="O1375" s="43"/>
      <c r="Q1375" s="44"/>
      <c r="R1375" s="44"/>
      <c r="S1375" s="44"/>
      <c r="T1375" s="44"/>
    </row>
    <row r="1376" spans="12:20" x14ac:dyDescent="0.2">
      <c r="L1376" s="43"/>
      <c r="M1376" s="43"/>
      <c r="N1376" s="43"/>
      <c r="O1376" s="43"/>
      <c r="Q1376" s="44"/>
      <c r="R1376" s="44"/>
      <c r="S1376" s="44"/>
      <c r="T1376" s="44"/>
    </row>
    <row r="1377" spans="12:20" x14ac:dyDescent="0.2">
      <c r="L1377" s="43"/>
      <c r="M1377" s="43"/>
      <c r="N1377" s="43"/>
      <c r="O1377" s="43"/>
      <c r="Q1377" s="44"/>
      <c r="R1377" s="44"/>
      <c r="S1377" s="44"/>
      <c r="T1377" s="44"/>
    </row>
    <row r="1378" spans="12:20" x14ac:dyDescent="0.2">
      <c r="L1378" s="43"/>
      <c r="M1378" s="43"/>
      <c r="N1378" s="43"/>
      <c r="O1378" s="43"/>
      <c r="Q1378" s="44"/>
      <c r="R1378" s="44"/>
      <c r="S1378" s="44"/>
      <c r="T1378" s="44"/>
    </row>
    <row r="1379" spans="12:20" x14ac:dyDescent="0.2">
      <c r="L1379" s="43"/>
      <c r="M1379" s="43"/>
      <c r="N1379" s="43"/>
      <c r="O1379" s="43"/>
      <c r="Q1379" s="44"/>
      <c r="R1379" s="44"/>
      <c r="S1379" s="44"/>
      <c r="T1379" s="44"/>
    </row>
    <row r="1380" spans="12:20" x14ac:dyDescent="0.2">
      <c r="L1380" s="43"/>
      <c r="M1380" s="43"/>
      <c r="N1380" s="43"/>
      <c r="O1380" s="43"/>
      <c r="Q1380" s="44"/>
      <c r="R1380" s="44"/>
      <c r="S1380" s="44"/>
      <c r="T1380" s="44"/>
    </row>
    <row r="1381" spans="12:20" x14ac:dyDescent="0.2">
      <c r="L1381" s="43"/>
      <c r="M1381" s="43"/>
      <c r="N1381" s="43"/>
      <c r="O1381" s="43"/>
      <c r="Q1381" s="44"/>
      <c r="R1381" s="44"/>
      <c r="S1381" s="44"/>
      <c r="T1381" s="44"/>
    </row>
    <row r="1382" spans="12:20" x14ac:dyDescent="0.2">
      <c r="L1382" s="43"/>
      <c r="M1382" s="43"/>
      <c r="N1382" s="43"/>
      <c r="O1382" s="43"/>
      <c r="Q1382" s="44"/>
      <c r="R1382" s="44"/>
      <c r="S1382" s="44"/>
      <c r="T1382" s="44"/>
    </row>
    <row r="1383" spans="12:20" x14ac:dyDescent="0.2">
      <c r="L1383" s="43"/>
      <c r="M1383" s="43"/>
      <c r="N1383" s="43"/>
      <c r="O1383" s="43"/>
      <c r="Q1383" s="44"/>
      <c r="R1383" s="44"/>
      <c r="S1383" s="44"/>
      <c r="T1383" s="44"/>
    </row>
    <row r="1384" spans="12:20" x14ac:dyDescent="0.2">
      <c r="L1384" s="43"/>
      <c r="M1384" s="43"/>
      <c r="N1384" s="43"/>
      <c r="O1384" s="43"/>
      <c r="Q1384" s="44"/>
      <c r="R1384" s="44"/>
      <c r="S1384" s="44"/>
      <c r="T1384" s="44"/>
    </row>
    <row r="1385" spans="12:20" x14ac:dyDescent="0.2">
      <c r="L1385" s="43"/>
      <c r="M1385" s="43"/>
      <c r="N1385" s="43"/>
      <c r="O1385" s="43"/>
      <c r="Q1385" s="44"/>
      <c r="R1385" s="44"/>
      <c r="S1385" s="44"/>
      <c r="T1385" s="44"/>
    </row>
    <row r="1386" spans="12:20" x14ac:dyDescent="0.2">
      <c r="L1386" s="43"/>
      <c r="M1386" s="43"/>
      <c r="N1386" s="43"/>
      <c r="O1386" s="43"/>
      <c r="Q1386" s="44"/>
      <c r="R1386" s="44"/>
      <c r="S1386" s="44"/>
      <c r="T1386" s="44"/>
    </row>
    <row r="1387" spans="12:20" x14ac:dyDescent="0.2">
      <c r="L1387" s="43"/>
      <c r="M1387" s="43"/>
      <c r="N1387" s="43"/>
      <c r="O1387" s="43"/>
      <c r="Q1387" s="44"/>
      <c r="R1387" s="44"/>
      <c r="S1387" s="44"/>
      <c r="T1387" s="44"/>
    </row>
    <row r="1388" spans="12:20" x14ac:dyDescent="0.2">
      <c r="L1388" s="43"/>
      <c r="M1388" s="43"/>
      <c r="N1388" s="43"/>
      <c r="O1388" s="43"/>
      <c r="Q1388" s="44"/>
      <c r="R1388" s="44"/>
      <c r="S1388" s="44"/>
      <c r="T1388" s="44"/>
    </row>
    <row r="1389" spans="12:20" x14ac:dyDescent="0.2">
      <c r="L1389" s="43"/>
      <c r="M1389" s="43"/>
      <c r="N1389" s="43"/>
      <c r="O1389" s="43"/>
      <c r="Q1389" s="44"/>
      <c r="R1389" s="44"/>
      <c r="S1389" s="44"/>
      <c r="T1389" s="44"/>
    </row>
    <row r="1390" spans="12:20" x14ac:dyDescent="0.2">
      <c r="L1390" s="43"/>
      <c r="M1390" s="43"/>
      <c r="N1390" s="43"/>
      <c r="O1390" s="43"/>
      <c r="Q1390" s="44"/>
      <c r="R1390" s="44"/>
      <c r="S1390" s="44"/>
      <c r="T1390" s="44"/>
    </row>
    <row r="1391" spans="12:20" x14ac:dyDescent="0.2">
      <c r="L1391" s="43"/>
      <c r="M1391" s="43"/>
      <c r="N1391" s="43"/>
      <c r="O1391" s="43"/>
      <c r="Q1391" s="44"/>
      <c r="R1391" s="44"/>
      <c r="S1391" s="44"/>
      <c r="T1391" s="44"/>
    </row>
    <row r="1392" spans="12:20" x14ac:dyDescent="0.2">
      <c r="L1392" s="43"/>
      <c r="M1392" s="43"/>
      <c r="N1392" s="43"/>
      <c r="O1392" s="43"/>
      <c r="Q1392" s="44"/>
      <c r="R1392" s="44"/>
      <c r="S1392" s="44"/>
      <c r="T1392" s="44"/>
    </row>
    <row r="1393" spans="12:20" x14ac:dyDescent="0.2">
      <c r="L1393" s="43"/>
      <c r="M1393" s="43"/>
      <c r="N1393" s="43"/>
      <c r="O1393" s="43"/>
      <c r="Q1393" s="44"/>
      <c r="R1393" s="44"/>
      <c r="S1393" s="44"/>
      <c r="T1393" s="44"/>
    </row>
    <row r="1394" spans="12:20" x14ac:dyDescent="0.2">
      <c r="L1394" s="43"/>
      <c r="M1394" s="43"/>
      <c r="N1394" s="43"/>
      <c r="O1394" s="43"/>
      <c r="Q1394" s="44"/>
      <c r="R1394" s="44"/>
      <c r="S1394" s="44"/>
      <c r="T1394" s="44"/>
    </row>
    <row r="1395" spans="12:20" x14ac:dyDescent="0.2">
      <c r="L1395" s="43"/>
      <c r="M1395" s="43"/>
      <c r="N1395" s="43"/>
      <c r="O1395" s="43"/>
      <c r="Q1395" s="44"/>
      <c r="R1395" s="44"/>
      <c r="S1395" s="44"/>
      <c r="T1395" s="44"/>
    </row>
    <row r="1396" spans="12:20" x14ac:dyDescent="0.2">
      <c r="L1396" s="43"/>
      <c r="M1396" s="43"/>
      <c r="N1396" s="43"/>
      <c r="O1396" s="43"/>
      <c r="Q1396" s="44"/>
      <c r="R1396" s="44"/>
      <c r="S1396" s="44"/>
      <c r="T1396" s="44"/>
    </row>
    <row r="1397" spans="12:20" x14ac:dyDescent="0.2">
      <c r="L1397" s="43"/>
      <c r="M1397" s="43"/>
      <c r="N1397" s="43"/>
      <c r="O1397" s="43"/>
      <c r="Q1397" s="44"/>
      <c r="R1397" s="44"/>
      <c r="S1397" s="44"/>
      <c r="T1397" s="44"/>
    </row>
    <row r="1398" spans="12:20" x14ac:dyDescent="0.2">
      <c r="L1398" s="43"/>
      <c r="M1398" s="43"/>
      <c r="N1398" s="43"/>
      <c r="O1398" s="43"/>
      <c r="Q1398" s="44"/>
      <c r="R1398" s="44"/>
      <c r="S1398" s="44"/>
      <c r="T1398" s="44"/>
    </row>
    <row r="1399" spans="12:20" x14ac:dyDescent="0.2">
      <c r="L1399" s="43"/>
      <c r="M1399" s="43"/>
      <c r="N1399" s="43"/>
      <c r="O1399" s="43"/>
      <c r="Q1399" s="44"/>
      <c r="R1399" s="44"/>
      <c r="S1399" s="44"/>
      <c r="T1399" s="44"/>
    </row>
    <row r="1400" spans="12:20" x14ac:dyDescent="0.2">
      <c r="L1400" s="43"/>
      <c r="M1400" s="43"/>
      <c r="N1400" s="43"/>
      <c r="O1400" s="43"/>
      <c r="Q1400" s="44"/>
      <c r="R1400" s="44"/>
      <c r="S1400" s="44"/>
      <c r="T1400" s="44"/>
    </row>
    <row r="1401" spans="12:20" x14ac:dyDescent="0.2">
      <c r="L1401" s="43"/>
      <c r="M1401" s="43"/>
      <c r="N1401" s="43"/>
      <c r="O1401" s="43"/>
      <c r="Q1401" s="44"/>
      <c r="R1401" s="44"/>
      <c r="S1401" s="44"/>
      <c r="T1401" s="44"/>
    </row>
    <row r="1402" spans="12:20" x14ac:dyDescent="0.2">
      <c r="L1402" s="43"/>
      <c r="M1402" s="43"/>
      <c r="N1402" s="43"/>
      <c r="O1402" s="43"/>
      <c r="Q1402" s="44"/>
      <c r="R1402" s="44"/>
      <c r="S1402" s="44"/>
      <c r="T1402" s="44"/>
    </row>
    <row r="1403" spans="12:20" x14ac:dyDescent="0.2">
      <c r="L1403" s="43"/>
      <c r="M1403" s="43"/>
      <c r="N1403" s="43"/>
      <c r="O1403" s="43"/>
      <c r="Q1403" s="44"/>
      <c r="R1403" s="44"/>
      <c r="S1403" s="44"/>
      <c r="T1403" s="44"/>
    </row>
    <row r="1404" spans="12:20" x14ac:dyDescent="0.2">
      <c r="L1404" s="43"/>
      <c r="M1404" s="43"/>
      <c r="N1404" s="43"/>
      <c r="O1404" s="43"/>
      <c r="Q1404" s="44"/>
      <c r="R1404" s="44"/>
      <c r="S1404" s="44"/>
      <c r="T1404" s="44"/>
    </row>
    <row r="1405" spans="12:20" x14ac:dyDescent="0.2">
      <c r="L1405" s="43"/>
      <c r="M1405" s="43"/>
      <c r="N1405" s="43"/>
      <c r="O1405" s="43"/>
      <c r="Q1405" s="44"/>
      <c r="R1405" s="44"/>
      <c r="S1405" s="44"/>
      <c r="T1405" s="44"/>
    </row>
    <row r="1406" spans="12:20" x14ac:dyDescent="0.2">
      <c r="L1406" s="43"/>
      <c r="M1406" s="43"/>
      <c r="N1406" s="43"/>
      <c r="O1406" s="43"/>
      <c r="Q1406" s="44"/>
      <c r="R1406" s="44"/>
      <c r="S1406" s="44"/>
      <c r="T1406" s="44"/>
    </row>
    <row r="1407" spans="12:20" x14ac:dyDescent="0.2">
      <c r="L1407" s="43"/>
      <c r="M1407" s="43"/>
      <c r="N1407" s="43"/>
      <c r="O1407" s="43"/>
      <c r="Q1407" s="44"/>
      <c r="R1407" s="44"/>
      <c r="S1407" s="44"/>
      <c r="T1407" s="44"/>
    </row>
    <row r="1408" spans="12:20" x14ac:dyDescent="0.2">
      <c r="L1408" s="43"/>
      <c r="M1408" s="43"/>
      <c r="N1408" s="43"/>
      <c r="O1408" s="43"/>
      <c r="Q1408" s="44"/>
      <c r="R1408" s="44"/>
      <c r="S1408" s="44"/>
      <c r="T1408" s="44"/>
    </row>
    <row r="1409" spans="12:20" x14ac:dyDescent="0.2">
      <c r="L1409" s="43"/>
      <c r="M1409" s="43"/>
      <c r="N1409" s="43"/>
      <c r="O1409" s="43"/>
      <c r="Q1409" s="44"/>
      <c r="R1409" s="44"/>
      <c r="S1409" s="44"/>
      <c r="T1409" s="44"/>
    </row>
    <row r="1410" spans="12:20" x14ac:dyDescent="0.2">
      <c r="L1410" s="43"/>
      <c r="M1410" s="43"/>
      <c r="N1410" s="43"/>
      <c r="O1410" s="43"/>
      <c r="Q1410" s="44"/>
      <c r="R1410" s="44"/>
      <c r="S1410" s="44"/>
      <c r="T1410" s="44"/>
    </row>
    <row r="1411" spans="12:20" x14ac:dyDescent="0.2">
      <c r="L1411" s="43"/>
      <c r="M1411" s="43"/>
      <c r="N1411" s="43"/>
      <c r="O1411" s="43"/>
      <c r="Q1411" s="44"/>
      <c r="R1411" s="44"/>
      <c r="S1411" s="44"/>
      <c r="T1411" s="44"/>
    </row>
    <row r="1412" spans="12:20" x14ac:dyDescent="0.2">
      <c r="L1412" s="43"/>
      <c r="M1412" s="43"/>
      <c r="N1412" s="43"/>
      <c r="O1412" s="43"/>
      <c r="Q1412" s="44"/>
      <c r="R1412" s="44"/>
      <c r="S1412" s="44"/>
      <c r="T1412" s="44"/>
    </row>
    <row r="1413" spans="12:20" x14ac:dyDescent="0.2">
      <c r="L1413" s="43"/>
      <c r="M1413" s="43"/>
      <c r="N1413" s="43"/>
      <c r="O1413" s="43"/>
      <c r="Q1413" s="44"/>
      <c r="R1413" s="44"/>
      <c r="S1413" s="44"/>
      <c r="T1413" s="44"/>
    </row>
    <row r="1414" spans="12:20" x14ac:dyDescent="0.2">
      <c r="L1414" s="43"/>
      <c r="M1414" s="43"/>
      <c r="N1414" s="43"/>
      <c r="O1414" s="43"/>
      <c r="Q1414" s="44"/>
      <c r="R1414" s="44"/>
      <c r="S1414" s="44"/>
      <c r="T1414" s="44"/>
    </row>
    <row r="1415" spans="12:20" x14ac:dyDescent="0.2">
      <c r="L1415" s="43"/>
      <c r="M1415" s="43"/>
      <c r="N1415" s="43"/>
      <c r="O1415" s="43"/>
      <c r="Q1415" s="44"/>
      <c r="R1415" s="44"/>
      <c r="S1415" s="44"/>
      <c r="T1415" s="44"/>
    </row>
    <row r="1416" spans="12:20" x14ac:dyDescent="0.2">
      <c r="L1416" s="43"/>
      <c r="M1416" s="43"/>
      <c r="N1416" s="43"/>
      <c r="O1416" s="43"/>
      <c r="Q1416" s="44"/>
      <c r="R1416" s="44"/>
      <c r="S1416" s="44"/>
      <c r="T1416" s="44"/>
    </row>
    <row r="1417" spans="12:20" x14ac:dyDescent="0.2">
      <c r="L1417" s="43"/>
      <c r="M1417" s="43"/>
      <c r="N1417" s="43"/>
      <c r="O1417" s="43"/>
      <c r="Q1417" s="44"/>
      <c r="R1417" s="44"/>
      <c r="S1417" s="44"/>
      <c r="T1417" s="44"/>
    </row>
    <row r="1418" spans="12:20" x14ac:dyDescent="0.2">
      <c r="L1418" s="43"/>
      <c r="M1418" s="43"/>
      <c r="N1418" s="43"/>
      <c r="O1418" s="43"/>
      <c r="Q1418" s="44"/>
      <c r="R1418" s="44"/>
      <c r="S1418" s="44"/>
      <c r="T1418" s="44"/>
    </row>
    <row r="1419" spans="12:20" x14ac:dyDescent="0.2">
      <c r="L1419" s="43"/>
      <c r="M1419" s="43"/>
      <c r="N1419" s="43"/>
      <c r="O1419" s="43"/>
      <c r="Q1419" s="44"/>
      <c r="R1419" s="44"/>
      <c r="S1419" s="44"/>
      <c r="T1419" s="44"/>
    </row>
    <row r="1420" spans="12:20" x14ac:dyDescent="0.2">
      <c r="L1420" s="43"/>
      <c r="M1420" s="43"/>
      <c r="N1420" s="43"/>
      <c r="O1420" s="43"/>
      <c r="Q1420" s="44"/>
      <c r="R1420" s="44"/>
      <c r="S1420" s="44"/>
      <c r="T1420" s="44"/>
    </row>
    <row r="1421" spans="12:20" x14ac:dyDescent="0.2">
      <c r="L1421" s="43"/>
      <c r="M1421" s="43"/>
      <c r="N1421" s="43"/>
      <c r="O1421" s="43"/>
      <c r="Q1421" s="44"/>
      <c r="R1421" s="44"/>
      <c r="S1421" s="44"/>
      <c r="T1421" s="44"/>
    </row>
    <row r="1422" spans="12:20" x14ac:dyDescent="0.2">
      <c r="L1422" s="43"/>
      <c r="M1422" s="43"/>
      <c r="N1422" s="43"/>
      <c r="O1422" s="43"/>
      <c r="Q1422" s="44"/>
      <c r="R1422" s="44"/>
      <c r="S1422" s="44"/>
      <c r="T1422" s="44"/>
    </row>
    <row r="1423" spans="12:20" x14ac:dyDescent="0.2">
      <c r="L1423" s="43"/>
      <c r="M1423" s="43"/>
      <c r="N1423" s="43"/>
      <c r="O1423" s="43"/>
      <c r="Q1423" s="44"/>
      <c r="R1423" s="44"/>
      <c r="S1423" s="44"/>
      <c r="T1423" s="44"/>
    </row>
    <row r="1424" spans="12:20" x14ac:dyDescent="0.2">
      <c r="L1424" s="43"/>
      <c r="M1424" s="43"/>
      <c r="N1424" s="43"/>
      <c r="O1424" s="43"/>
      <c r="Q1424" s="44"/>
      <c r="R1424" s="44"/>
      <c r="S1424" s="44"/>
      <c r="T1424" s="44"/>
    </row>
    <row r="1425" spans="12:20" x14ac:dyDescent="0.2">
      <c r="L1425" s="43"/>
      <c r="M1425" s="43"/>
      <c r="N1425" s="43"/>
      <c r="O1425" s="43"/>
      <c r="Q1425" s="44"/>
      <c r="R1425" s="44"/>
      <c r="S1425" s="44"/>
      <c r="T1425" s="44"/>
    </row>
    <row r="1426" spans="12:20" x14ac:dyDescent="0.2">
      <c r="L1426" s="43"/>
      <c r="M1426" s="43"/>
      <c r="N1426" s="43"/>
      <c r="O1426" s="43"/>
      <c r="Q1426" s="44"/>
      <c r="R1426" s="44"/>
      <c r="S1426" s="44"/>
      <c r="T1426" s="44"/>
    </row>
    <row r="1427" spans="12:20" x14ac:dyDescent="0.2">
      <c r="L1427" s="43"/>
      <c r="M1427" s="43"/>
      <c r="N1427" s="43"/>
      <c r="O1427" s="43"/>
      <c r="Q1427" s="44"/>
      <c r="R1427" s="44"/>
      <c r="S1427" s="44"/>
      <c r="T1427" s="44"/>
    </row>
    <row r="1428" spans="12:20" x14ac:dyDescent="0.2">
      <c r="L1428" s="43"/>
      <c r="M1428" s="43"/>
      <c r="N1428" s="43"/>
      <c r="O1428" s="43"/>
      <c r="Q1428" s="44"/>
      <c r="R1428" s="44"/>
      <c r="S1428" s="44"/>
      <c r="T1428" s="44"/>
    </row>
    <row r="1429" spans="12:20" x14ac:dyDescent="0.2">
      <c r="L1429" s="43"/>
      <c r="M1429" s="43"/>
      <c r="N1429" s="43"/>
      <c r="O1429" s="43"/>
      <c r="Q1429" s="44"/>
      <c r="R1429" s="44"/>
      <c r="S1429" s="44"/>
      <c r="T1429" s="44"/>
    </row>
    <row r="1430" spans="12:20" x14ac:dyDescent="0.2">
      <c r="L1430" s="43"/>
      <c r="M1430" s="43"/>
      <c r="N1430" s="43"/>
      <c r="O1430" s="43"/>
      <c r="Q1430" s="44"/>
      <c r="R1430" s="44"/>
      <c r="S1430" s="44"/>
      <c r="T1430" s="44"/>
    </row>
    <row r="1431" spans="12:20" x14ac:dyDescent="0.2">
      <c r="L1431" s="43"/>
      <c r="M1431" s="43"/>
      <c r="N1431" s="43"/>
      <c r="O1431" s="43"/>
      <c r="Q1431" s="44"/>
      <c r="R1431" s="44"/>
      <c r="S1431" s="44"/>
      <c r="T1431" s="44"/>
    </row>
    <row r="1432" spans="12:20" x14ac:dyDescent="0.2">
      <c r="L1432" s="43"/>
      <c r="M1432" s="43"/>
      <c r="N1432" s="43"/>
      <c r="O1432" s="43"/>
      <c r="Q1432" s="44"/>
      <c r="R1432" s="44"/>
      <c r="S1432" s="44"/>
      <c r="T1432" s="44"/>
    </row>
    <row r="1433" spans="12:20" x14ac:dyDescent="0.2">
      <c r="L1433" s="43"/>
      <c r="M1433" s="43"/>
      <c r="N1433" s="43"/>
      <c r="O1433" s="43"/>
      <c r="Q1433" s="44"/>
      <c r="R1433" s="44"/>
      <c r="S1433" s="44"/>
      <c r="T1433" s="44"/>
    </row>
    <row r="1434" spans="12:20" x14ac:dyDescent="0.2">
      <c r="L1434" s="43"/>
      <c r="M1434" s="43"/>
      <c r="N1434" s="43"/>
      <c r="O1434" s="43"/>
      <c r="Q1434" s="44"/>
      <c r="R1434" s="44"/>
      <c r="S1434" s="44"/>
      <c r="T1434" s="44"/>
    </row>
    <row r="1435" spans="12:20" x14ac:dyDescent="0.2">
      <c r="L1435" s="43"/>
      <c r="M1435" s="43"/>
      <c r="N1435" s="43"/>
      <c r="O1435" s="43"/>
      <c r="Q1435" s="44"/>
      <c r="R1435" s="44"/>
      <c r="S1435" s="44"/>
      <c r="T1435" s="44"/>
    </row>
    <row r="1436" spans="12:20" x14ac:dyDescent="0.2">
      <c r="L1436" s="43"/>
      <c r="M1436" s="43"/>
      <c r="N1436" s="43"/>
      <c r="O1436" s="43"/>
      <c r="Q1436" s="44"/>
      <c r="R1436" s="44"/>
      <c r="S1436" s="44"/>
      <c r="T1436" s="44"/>
    </row>
    <row r="1437" spans="12:20" x14ac:dyDescent="0.2">
      <c r="L1437" s="43"/>
      <c r="M1437" s="43"/>
      <c r="N1437" s="43"/>
      <c r="O1437" s="43"/>
      <c r="Q1437" s="44"/>
      <c r="R1437" s="44"/>
      <c r="S1437" s="44"/>
      <c r="T1437" s="44"/>
    </row>
    <row r="1438" spans="12:20" x14ac:dyDescent="0.2">
      <c r="L1438" s="43"/>
      <c r="M1438" s="43"/>
      <c r="N1438" s="43"/>
      <c r="O1438" s="43"/>
      <c r="Q1438" s="44"/>
      <c r="R1438" s="44"/>
      <c r="S1438" s="44"/>
      <c r="T1438" s="44"/>
    </row>
    <row r="1439" spans="12:20" x14ac:dyDescent="0.2">
      <c r="L1439" s="43"/>
      <c r="M1439" s="43"/>
      <c r="N1439" s="43"/>
      <c r="O1439" s="43"/>
      <c r="Q1439" s="44"/>
      <c r="R1439" s="44"/>
      <c r="S1439" s="44"/>
      <c r="T1439" s="44"/>
    </row>
    <row r="1440" spans="12:20" x14ac:dyDescent="0.2">
      <c r="L1440" s="43"/>
      <c r="M1440" s="43"/>
      <c r="N1440" s="43"/>
      <c r="O1440" s="43"/>
      <c r="Q1440" s="44"/>
      <c r="R1440" s="44"/>
      <c r="S1440" s="44"/>
      <c r="T1440" s="44"/>
    </row>
    <row r="1441" spans="12:20" x14ac:dyDescent="0.2">
      <c r="L1441" s="43"/>
      <c r="M1441" s="43"/>
      <c r="N1441" s="43"/>
      <c r="O1441" s="43"/>
      <c r="Q1441" s="44"/>
      <c r="R1441" s="44"/>
      <c r="S1441" s="44"/>
      <c r="T1441" s="44"/>
    </row>
    <row r="1442" spans="12:20" x14ac:dyDescent="0.2">
      <c r="L1442" s="43"/>
      <c r="M1442" s="43"/>
      <c r="N1442" s="43"/>
      <c r="O1442" s="43"/>
      <c r="Q1442" s="44"/>
      <c r="R1442" s="44"/>
      <c r="S1442" s="44"/>
      <c r="T1442" s="44"/>
    </row>
    <row r="1443" spans="12:20" x14ac:dyDescent="0.2">
      <c r="L1443" s="43"/>
      <c r="M1443" s="43"/>
      <c r="N1443" s="43"/>
      <c r="O1443" s="43"/>
      <c r="Q1443" s="44"/>
      <c r="R1443" s="44"/>
      <c r="S1443" s="44"/>
      <c r="T1443" s="44"/>
    </row>
    <row r="1444" spans="12:20" x14ac:dyDescent="0.2">
      <c r="L1444" s="43"/>
      <c r="M1444" s="43"/>
      <c r="N1444" s="43"/>
      <c r="O1444" s="43"/>
      <c r="Q1444" s="44"/>
      <c r="R1444" s="44"/>
      <c r="S1444" s="44"/>
      <c r="T1444" s="44"/>
    </row>
    <row r="1445" spans="12:20" x14ac:dyDescent="0.2">
      <c r="L1445" s="43"/>
      <c r="M1445" s="43"/>
      <c r="N1445" s="43"/>
      <c r="O1445" s="43"/>
      <c r="Q1445" s="44"/>
      <c r="R1445" s="44"/>
      <c r="S1445" s="44"/>
      <c r="T1445" s="44"/>
    </row>
    <row r="1446" spans="12:20" x14ac:dyDescent="0.2">
      <c r="L1446" s="43"/>
      <c r="M1446" s="43"/>
      <c r="N1446" s="43"/>
      <c r="O1446" s="43"/>
      <c r="Q1446" s="44"/>
      <c r="R1446" s="44"/>
      <c r="S1446" s="44"/>
      <c r="T1446" s="44"/>
    </row>
    <row r="1447" spans="12:20" x14ac:dyDescent="0.2">
      <c r="L1447" s="43"/>
      <c r="M1447" s="43"/>
      <c r="N1447" s="43"/>
      <c r="O1447" s="43"/>
      <c r="Q1447" s="44"/>
      <c r="R1447" s="44"/>
      <c r="S1447" s="44"/>
      <c r="T1447" s="44"/>
    </row>
    <row r="1448" spans="12:20" x14ac:dyDescent="0.2">
      <c r="L1448" s="43"/>
      <c r="M1448" s="43"/>
      <c r="N1448" s="43"/>
      <c r="O1448" s="43"/>
      <c r="Q1448" s="44"/>
      <c r="R1448" s="44"/>
      <c r="S1448" s="44"/>
      <c r="T1448" s="44"/>
    </row>
    <row r="1449" spans="12:20" x14ac:dyDescent="0.2">
      <c r="L1449" s="43"/>
      <c r="M1449" s="43"/>
      <c r="N1449" s="43"/>
      <c r="O1449" s="43"/>
      <c r="Q1449" s="44"/>
      <c r="R1449" s="44"/>
      <c r="S1449" s="44"/>
      <c r="T1449" s="44"/>
    </row>
    <row r="1450" spans="12:20" x14ac:dyDescent="0.2">
      <c r="L1450" s="43"/>
      <c r="M1450" s="43"/>
      <c r="N1450" s="43"/>
      <c r="O1450" s="43"/>
      <c r="Q1450" s="44"/>
      <c r="R1450" s="44"/>
      <c r="S1450" s="44"/>
      <c r="T1450" s="44"/>
    </row>
    <row r="1451" spans="12:20" x14ac:dyDescent="0.2">
      <c r="L1451" s="43"/>
      <c r="M1451" s="43"/>
      <c r="N1451" s="43"/>
      <c r="O1451" s="43"/>
      <c r="Q1451" s="44"/>
      <c r="R1451" s="44"/>
      <c r="S1451" s="44"/>
      <c r="T1451" s="44"/>
    </row>
    <row r="1452" spans="12:20" x14ac:dyDescent="0.2">
      <c r="L1452" s="43"/>
      <c r="M1452" s="43"/>
      <c r="N1452" s="43"/>
      <c r="O1452" s="43"/>
      <c r="Q1452" s="44"/>
      <c r="R1452" s="44"/>
      <c r="S1452" s="44"/>
      <c r="T1452" s="44"/>
    </row>
    <row r="1453" spans="12:20" x14ac:dyDescent="0.2">
      <c r="L1453" s="43"/>
      <c r="M1453" s="43"/>
      <c r="N1453" s="43"/>
      <c r="O1453" s="43"/>
      <c r="Q1453" s="44"/>
      <c r="R1453" s="44"/>
      <c r="S1453" s="44"/>
      <c r="T1453" s="44"/>
    </row>
    <row r="1454" spans="12:20" x14ac:dyDescent="0.2">
      <c r="L1454" s="43"/>
      <c r="M1454" s="43"/>
      <c r="N1454" s="43"/>
      <c r="O1454" s="43"/>
      <c r="Q1454" s="44"/>
      <c r="R1454" s="44"/>
      <c r="S1454" s="44"/>
      <c r="T1454" s="44"/>
    </row>
    <row r="1455" spans="12:20" x14ac:dyDescent="0.2">
      <c r="L1455" s="43"/>
      <c r="M1455" s="43"/>
      <c r="N1455" s="43"/>
      <c r="O1455" s="43"/>
      <c r="Q1455" s="44"/>
      <c r="R1455" s="44"/>
      <c r="S1455" s="44"/>
      <c r="T1455" s="44"/>
    </row>
    <row r="1456" spans="12:20" x14ac:dyDescent="0.2">
      <c r="L1456" s="43"/>
      <c r="M1456" s="43"/>
      <c r="N1456" s="43"/>
      <c r="O1456" s="43"/>
      <c r="Q1456" s="44"/>
      <c r="R1456" s="44"/>
      <c r="S1456" s="44"/>
      <c r="T1456" s="44"/>
    </row>
    <row r="1457" spans="12:20" x14ac:dyDescent="0.2">
      <c r="L1457" s="43"/>
      <c r="M1457" s="43"/>
      <c r="N1457" s="43"/>
      <c r="O1457" s="43"/>
      <c r="Q1457" s="44"/>
      <c r="R1457" s="44"/>
      <c r="S1457" s="44"/>
      <c r="T1457" s="44"/>
    </row>
    <row r="1458" spans="12:20" x14ac:dyDescent="0.2">
      <c r="L1458" s="43"/>
      <c r="M1458" s="43"/>
      <c r="N1458" s="43"/>
      <c r="O1458" s="43"/>
      <c r="Q1458" s="44"/>
      <c r="R1458" s="44"/>
      <c r="S1458" s="44"/>
      <c r="T1458" s="44"/>
    </row>
    <row r="1459" spans="12:20" x14ac:dyDescent="0.2">
      <c r="L1459" s="43"/>
      <c r="M1459" s="43"/>
      <c r="N1459" s="43"/>
      <c r="O1459" s="43"/>
      <c r="Q1459" s="44"/>
      <c r="R1459" s="44"/>
      <c r="S1459" s="44"/>
      <c r="T1459" s="44"/>
    </row>
    <row r="1460" spans="12:20" x14ac:dyDescent="0.2">
      <c r="L1460" s="43"/>
      <c r="M1460" s="43"/>
      <c r="N1460" s="43"/>
      <c r="O1460" s="43"/>
      <c r="Q1460" s="44"/>
      <c r="R1460" s="44"/>
      <c r="S1460" s="44"/>
      <c r="T1460" s="44"/>
    </row>
    <row r="1461" spans="12:20" x14ac:dyDescent="0.2">
      <c r="L1461" s="43"/>
      <c r="M1461" s="43"/>
      <c r="N1461" s="43"/>
      <c r="O1461" s="43"/>
      <c r="Q1461" s="44"/>
      <c r="R1461" s="44"/>
      <c r="S1461" s="44"/>
      <c r="T1461" s="44"/>
    </row>
    <row r="1462" spans="12:20" x14ac:dyDescent="0.2">
      <c r="L1462" s="43"/>
      <c r="M1462" s="43"/>
      <c r="N1462" s="43"/>
      <c r="O1462" s="43"/>
      <c r="Q1462" s="44"/>
      <c r="R1462" s="44"/>
      <c r="S1462" s="44"/>
      <c r="T1462" s="44"/>
    </row>
    <row r="1463" spans="12:20" x14ac:dyDescent="0.2">
      <c r="L1463" s="43"/>
      <c r="M1463" s="43"/>
      <c r="N1463" s="43"/>
      <c r="O1463" s="43"/>
      <c r="Q1463" s="44"/>
      <c r="R1463" s="44"/>
      <c r="S1463" s="44"/>
      <c r="T1463" s="44"/>
    </row>
    <row r="1464" spans="12:20" x14ac:dyDescent="0.2">
      <c r="L1464" s="43"/>
      <c r="M1464" s="43"/>
      <c r="N1464" s="43"/>
      <c r="O1464" s="43"/>
      <c r="Q1464" s="44"/>
      <c r="R1464" s="44"/>
      <c r="S1464" s="44"/>
      <c r="T1464" s="44"/>
    </row>
    <row r="1465" spans="12:20" x14ac:dyDescent="0.2">
      <c r="L1465" s="43"/>
      <c r="M1465" s="43"/>
      <c r="N1465" s="43"/>
      <c r="O1465" s="43"/>
      <c r="Q1465" s="44"/>
      <c r="R1465" s="44"/>
      <c r="S1465" s="44"/>
      <c r="T1465" s="44"/>
    </row>
    <row r="1466" spans="12:20" x14ac:dyDescent="0.2">
      <c r="L1466" s="43"/>
      <c r="M1466" s="43"/>
      <c r="N1466" s="43"/>
      <c r="O1466" s="43"/>
      <c r="Q1466" s="44"/>
      <c r="R1466" s="44"/>
      <c r="S1466" s="44"/>
      <c r="T1466" s="44"/>
    </row>
    <row r="1467" spans="12:20" x14ac:dyDescent="0.2">
      <c r="L1467" s="43"/>
      <c r="M1467" s="43"/>
      <c r="N1467" s="43"/>
      <c r="O1467" s="43"/>
      <c r="Q1467" s="44"/>
      <c r="R1467" s="44"/>
      <c r="S1467" s="44"/>
      <c r="T1467" s="44"/>
    </row>
    <row r="1468" spans="12:20" x14ac:dyDescent="0.2">
      <c r="L1468" s="43"/>
      <c r="M1468" s="43"/>
      <c r="N1468" s="43"/>
      <c r="O1468" s="43"/>
      <c r="Q1468" s="44"/>
      <c r="R1468" s="44"/>
      <c r="S1468" s="44"/>
      <c r="T1468" s="44"/>
    </row>
    <row r="1469" spans="12:20" x14ac:dyDescent="0.2">
      <c r="L1469" s="43"/>
      <c r="M1469" s="43"/>
      <c r="N1469" s="43"/>
      <c r="O1469" s="43"/>
      <c r="Q1469" s="44"/>
      <c r="R1469" s="44"/>
      <c r="S1469" s="44"/>
      <c r="T1469" s="44"/>
    </row>
    <row r="1470" spans="12:20" x14ac:dyDescent="0.2">
      <c r="L1470" s="43"/>
      <c r="M1470" s="43"/>
      <c r="N1470" s="43"/>
      <c r="O1470" s="43"/>
      <c r="Q1470" s="44"/>
      <c r="R1470" s="44"/>
      <c r="S1470" s="44"/>
      <c r="T1470" s="44"/>
    </row>
    <row r="1471" spans="12:20" x14ac:dyDescent="0.2">
      <c r="L1471" s="43"/>
      <c r="M1471" s="43"/>
      <c r="N1471" s="43"/>
      <c r="O1471" s="43"/>
      <c r="Q1471" s="44"/>
      <c r="R1471" s="44"/>
      <c r="S1471" s="44"/>
      <c r="T1471" s="44"/>
    </row>
    <row r="1472" spans="12:20" x14ac:dyDescent="0.2">
      <c r="L1472" s="43"/>
      <c r="M1472" s="43"/>
      <c r="N1472" s="43"/>
      <c r="O1472" s="43"/>
      <c r="Q1472" s="44"/>
      <c r="R1472" s="44"/>
      <c r="S1472" s="44"/>
      <c r="T1472" s="44"/>
    </row>
    <row r="1473" spans="12:20" x14ac:dyDescent="0.2">
      <c r="L1473" s="43"/>
      <c r="M1473" s="43"/>
      <c r="N1473" s="43"/>
      <c r="O1473" s="43"/>
      <c r="Q1473" s="44"/>
      <c r="R1473" s="44"/>
      <c r="S1473" s="44"/>
      <c r="T1473" s="44"/>
    </row>
    <row r="1474" spans="12:20" x14ac:dyDescent="0.2">
      <c r="L1474" s="43"/>
      <c r="M1474" s="43"/>
      <c r="N1474" s="43"/>
      <c r="O1474" s="43"/>
      <c r="Q1474" s="44"/>
      <c r="R1474" s="44"/>
      <c r="S1474" s="44"/>
      <c r="T1474" s="44"/>
    </row>
    <row r="1475" spans="12:20" x14ac:dyDescent="0.2">
      <c r="L1475" s="43"/>
      <c r="M1475" s="43"/>
      <c r="N1475" s="43"/>
      <c r="O1475" s="43"/>
      <c r="Q1475" s="44"/>
      <c r="R1475" s="44"/>
      <c r="S1475" s="44"/>
      <c r="T1475" s="44"/>
    </row>
    <row r="1476" spans="12:20" x14ac:dyDescent="0.2">
      <c r="L1476" s="43"/>
      <c r="M1476" s="43"/>
      <c r="N1476" s="43"/>
      <c r="O1476" s="43"/>
      <c r="Q1476" s="44"/>
      <c r="R1476" s="44"/>
      <c r="S1476" s="44"/>
      <c r="T1476" s="44"/>
    </row>
    <row r="1477" spans="12:20" x14ac:dyDescent="0.2">
      <c r="L1477" s="43"/>
      <c r="M1477" s="43"/>
      <c r="N1477" s="43"/>
      <c r="O1477" s="43"/>
      <c r="Q1477" s="44"/>
      <c r="R1477" s="44"/>
      <c r="S1477" s="44"/>
      <c r="T1477" s="44"/>
    </row>
    <row r="1478" spans="12:20" x14ac:dyDescent="0.2">
      <c r="L1478" s="43"/>
      <c r="M1478" s="43"/>
      <c r="N1478" s="43"/>
      <c r="O1478" s="43"/>
      <c r="Q1478" s="44"/>
      <c r="R1478" s="44"/>
      <c r="S1478" s="44"/>
      <c r="T1478" s="44"/>
    </row>
    <row r="1479" spans="12:20" x14ac:dyDescent="0.2">
      <c r="L1479" s="43"/>
      <c r="M1479" s="43"/>
      <c r="N1479" s="43"/>
      <c r="O1479" s="43"/>
      <c r="Q1479" s="44"/>
      <c r="R1479" s="44"/>
      <c r="S1479" s="44"/>
      <c r="T1479" s="44"/>
    </row>
    <row r="1480" spans="12:20" x14ac:dyDescent="0.2">
      <c r="L1480" s="43"/>
      <c r="M1480" s="43"/>
      <c r="N1480" s="43"/>
      <c r="O1480" s="43"/>
      <c r="Q1480" s="44"/>
      <c r="R1480" s="44"/>
      <c r="S1480" s="44"/>
      <c r="T1480" s="44"/>
    </row>
    <row r="1481" spans="12:20" x14ac:dyDescent="0.2">
      <c r="L1481" s="43"/>
      <c r="M1481" s="43"/>
      <c r="N1481" s="43"/>
      <c r="O1481" s="43"/>
      <c r="Q1481" s="44"/>
      <c r="R1481" s="44"/>
      <c r="S1481" s="44"/>
      <c r="T1481" s="44"/>
    </row>
    <row r="1482" spans="12:20" x14ac:dyDescent="0.2">
      <c r="L1482" s="43"/>
      <c r="M1482" s="43"/>
      <c r="N1482" s="43"/>
      <c r="O1482" s="43"/>
      <c r="Q1482" s="44"/>
      <c r="R1482" s="44"/>
      <c r="S1482" s="44"/>
      <c r="T1482" s="44"/>
    </row>
    <row r="1483" spans="12:20" x14ac:dyDescent="0.2">
      <c r="L1483" s="43"/>
      <c r="M1483" s="43"/>
      <c r="N1483" s="43"/>
      <c r="O1483" s="43"/>
      <c r="Q1483" s="44"/>
      <c r="R1483" s="44"/>
      <c r="S1483" s="44"/>
      <c r="T1483" s="44"/>
    </row>
    <row r="1484" spans="12:20" x14ac:dyDescent="0.2">
      <c r="L1484" s="43"/>
      <c r="M1484" s="43"/>
      <c r="N1484" s="43"/>
      <c r="O1484" s="43"/>
      <c r="Q1484" s="44"/>
      <c r="R1484" s="44"/>
      <c r="S1484" s="44"/>
      <c r="T1484" s="44"/>
    </row>
    <row r="1485" spans="12:20" x14ac:dyDescent="0.2">
      <c r="L1485" s="43"/>
      <c r="M1485" s="43"/>
      <c r="N1485" s="43"/>
      <c r="O1485" s="43"/>
      <c r="Q1485" s="44"/>
      <c r="R1485" s="44"/>
      <c r="S1485" s="44"/>
      <c r="T1485" s="44"/>
    </row>
    <row r="1486" spans="12:20" x14ac:dyDescent="0.2">
      <c r="L1486" s="43"/>
      <c r="M1486" s="43"/>
      <c r="N1486" s="43"/>
      <c r="O1486" s="43"/>
      <c r="Q1486" s="44"/>
      <c r="R1486" s="44"/>
      <c r="S1486" s="44"/>
      <c r="T1486" s="44"/>
    </row>
    <row r="1487" spans="12:20" x14ac:dyDescent="0.2">
      <c r="L1487" s="43"/>
      <c r="M1487" s="43"/>
      <c r="N1487" s="43"/>
      <c r="O1487" s="43"/>
      <c r="Q1487" s="44"/>
      <c r="R1487" s="44"/>
      <c r="S1487" s="44"/>
      <c r="T1487" s="44"/>
    </row>
    <row r="1488" spans="12:20" x14ac:dyDescent="0.2">
      <c r="L1488" s="43"/>
      <c r="M1488" s="43"/>
      <c r="N1488" s="43"/>
      <c r="O1488" s="43"/>
      <c r="Q1488" s="44"/>
      <c r="R1488" s="44"/>
      <c r="S1488" s="44"/>
      <c r="T1488" s="44"/>
    </row>
    <row r="1489" spans="12:20" x14ac:dyDescent="0.2">
      <c r="L1489" s="43"/>
      <c r="M1489" s="43"/>
      <c r="N1489" s="43"/>
      <c r="O1489" s="43"/>
      <c r="Q1489" s="44"/>
      <c r="R1489" s="44"/>
      <c r="S1489" s="44"/>
      <c r="T1489" s="44"/>
    </row>
    <row r="1490" spans="12:20" x14ac:dyDescent="0.2">
      <c r="L1490" s="43"/>
      <c r="M1490" s="43"/>
      <c r="N1490" s="43"/>
      <c r="O1490" s="43"/>
      <c r="Q1490" s="44"/>
      <c r="R1490" s="44"/>
      <c r="S1490" s="44"/>
      <c r="T1490" s="44"/>
    </row>
    <row r="1491" spans="12:20" x14ac:dyDescent="0.2">
      <c r="L1491" s="43"/>
      <c r="M1491" s="43"/>
      <c r="N1491" s="43"/>
      <c r="O1491" s="43"/>
      <c r="Q1491" s="44"/>
      <c r="R1491" s="44"/>
      <c r="S1491" s="44"/>
      <c r="T1491" s="44"/>
    </row>
    <row r="1492" spans="12:20" x14ac:dyDescent="0.2">
      <c r="L1492" s="43"/>
      <c r="M1492" s="43"/>
      <c r="N1492" s="43"/>
      <c r="O1492" s="43"/>
      <c r="Q1492" s="44"/>
      <c r="R1492" s="44"/>
      <c r="S1492" s="44"/>
      <c r="T1492" s="44"/>
    </row>
    <row r="1493" spans="12:20" x14ac:dyDescent="0.2">
      <c r="L1493" s="43"/>
      <c r="M1493" s="43"/>
      <c r="N1493" s="43"/>
      <c r="O1493" s="43"/>
      <c r="Q1493" s="44"/>
      <c r="R1493" s="44"/>
      <c r="S1493" s="44"/>
      <c r="T1493" s="44"/>
    </row>
    <row r="1494" spans="12:20" x14ac:dyDescent="0.2">
      <c r="L1494" s="43"/>
      <c r="M1494" s="43"/>
      <c r="N1494" s="43"/>
      <c r="O1494" s="43"/>
      <c r="Q1494" s="44"/>
      <c r="R1494" s="44"/>
      <c r="S1494" s="44"/>
      <c r="T1494" s="44"/>
    </row>
    <row r="1495" spans="12:20" x14ac:dyDescent="0.2">
      <c r="L1495" s="43"/>
      <c r="M1495" s="43"/>
      <c r="N1495" s="43"/>
      <c r="O1495" s="43"/>
      <c r="Q1495" s="44"/>
      <c r="R1495" s="44"/>
      <c r="S1495" s="44"/>
      <c r="T1495" s="44"/>
    </row>
    <row r="1496" spans="12:20" x14ac:dyDescent="0.2">
      <c r="L1496" s="43"/>
      <c r="M1496" s="43"/>
      <c r="N1496" s="43"/>
      <c r="O1496" s="43"/>
      <c r="Q1496" s="44"/>
      <c r="R1496" s="44"/>
      <c r="S1496" s="44"/>
      <c r="T1496" s="44"/>
    </row>
    <row r="1497" spans="12:20" x14ac:dyDescent="0.2">
      <c r="L1497" s="43"/>
      <c r="M1497" s="43"/>
      <c r="N1497" s="43"/>
      <c r="O1497" s="43"/>
      <c r="Q1497" s="44"/>
      <c r="R1497" s="44"/>
      <c r="S1497" s="44"/>
      <c r="T1497" s="44"/>
    </row>
    <row r="1498" spans="12:20" x14ac:dyDescent="0.2">
      <c r="L1498" s="43"/>
      <c r="M1498" s="43"/>
      <c r="N1498" s="43"/>
      <c r="O1498" s="43"/>
      <c r="Q1498" s="44"/>
      <c r="R1498" s="44"/>
      <c r="S1498" s="44"/>
      <c r="T1498" s="44"/>
    </row>
    <row r="1499" spans="12:20" x14ac:dyDescent="0.2">
      <c r="L1499" s="43"/>
      <c r="M1499" s="43"/>
      <c r="N1499" s="43"/>
      <c r="O1499" s="43"/>
      <c r="Q1499" s="44"/>
      <c r="R1499" s="44"/>
      <c r="S1499" s="44"/>
      <c r="T1499" s="44"/>
    </row>
    <row r="1500" spans="12:20" x14ac:dyDescent="0.2">
      <c r="L1500" s="43"/>
      <c r="M1500" s="43"/>
      <c r="N1500" s="43"/>
      <c r="O1500" s="43"/>
      <c r="Q1500" s="44"/>
      <c r="R1500" s="44"/>
      <c r="S1500" s="44"/>
      <c r="T1500" s="44"/>
    </row>
    <row r="1501" spans="12:20" x14ac:dyDescent="0.2">
      <c r="L1501" s="43"/>
      <c r="M1501" s="43"/>
      <c r="N1501" s="43"/>
      <c r="O1501" s="43"/>
      <c r="Q1501" s="44"/>
      <c r="R1501" s="44"/>
      <c r="S1501" s="44"/>
      <c r="T1501" s="44"/>
    </row>
    <row r="1502" spans="12:20" x14ac:dyDescent="0.2">
      <c r="L1502" s="43"/>
      <c r="M1502" s="43"/>
      <c r="N1502" s="43"/>
      <c r="O1502" s="43"/>
      <c r="Q1502" s="44"/>
      <c r="R1502" s="44"/>
      <c r="S1502" s="44"/>
      <c r="T1502" s="44"/>
    </row>
    <row r="1503" spans="12:20" x14ac:dyDescent="0.2">
      <c r="L1503" s="43"/>
      <c r="M1503" s="43"/>
      <c r="N1503" s="43"/>
      <c r="O1503" s="43"/>
      <c r="Q1503" s="44"/>
      <c r="R1503" s="44"/>
      <c r="S1503" s="44"/>
      <c r="T1503" s="44"/>
    </row>
    <row r="1504" spans="12:20" x14ac:dyDescent="0.2">
      <c r="L1504" s="43"/>
      <c r="M1504" s="43"/>
      <c r="N1504" s="43"/>
      <c r="O1504" s="43"/>
      <c r="Q1504" s="44"/>
      <c r="R1504" s="44"/>
      <c r="S1504" s="44"/>
      <c r="T1504" s="44"/>
    </row>
    <row r="1505" spans="12:20" x14ac:dyDescent="0.2">
      <c r="L1505" s="43"/>
      <c r="M1505" s="43"/>
      <c r="N1505" s="43"/>
      <c r="O1505" s="43"/>
      <c r="Q1505" s="44"/>
      <c r="R1505" s="44"/>
      <c r="S1505" s="44"/>
      <c r="T1505" s="44"/>
    </row>
    <row r="1506" spans="12:20" x14ac:dyDescent="0.2">
      <c r="L1506" s="43"/>
      <c r="M1506" s="43"/>
      <c r="N1506" s="43"/>
      <c r="O1506" s="43"/>
      <c r="Q1506" s="44"/>
      <c r="R1506" s="44"/>
      <c r="S1506" s="44"/>
      <c r="T1506" s="44"/>
    </row>
    <row r="1507" spans="12:20" x14ac:dyDescent="0.2">
      <c r="L1507" s="43"/>
      <c r="M1507" s="43"/>
      <c r="N1507" s="43"/>
      <c r="O1507" s="43"/>
      <c r="Q1507" s="44"/>
      <c r="R1507" s="44"/>
      <c r="S1507" s="44"/>
      <c r="T1507" s="44"/>
    </row>
    <row r="1508" spans="12:20" x14ac:dyDescent="0.2">
      <c r="L1508" s="43"/>
      <c r="M1508" s="43"/>
      <c r="N1508" s="43"/>
      <c r="O1508" s="43"/>
      <c r="Q1508" s="44"/>
      <c r="R1508" s="44"/>
      <c r="S1508" s="44"/>
      <c r="T1508" s="44"/>
    </row>
    <row r="1509" spans="12:20" x14ac:dyDescent="0.2">
      <c r="L1509" s="43"/>
      <c r="M1509" s="43"/>
      <c r="N1509" s="43"/>
      <c r="O1509" s="43"/>
      <c r="Q1509" s="44"/>
      <c r="R1509" s="44"/>
      <c r="S1509" s="44"/>
      <c r="T1509" s="44"/>
    </row>
    <row r="1510" spans="12:20" x14ac:dyDescent="0.2">
      <c r="L1510" s="43"/>
      <c r="M1510" s="43"/>
      <c r="N1510" s="43"/>
      <c r="O1510" s="43"/>
      <c r="Q1510" s="44"/>
      <c r="R1510" s="44"/>
      <c r="S1510" s="44"/>
      <c r="T1510" s="44"/>
    </row>
    <row r="1511" spans="12:20" x14ac:dyDescent="0.2">
      <c r="L1511" s="43"/>
      <c r="M1511" s="43"/>
      <c r="N1511" s="43"/>
      <c r="O1511" s="43"/>
      <c r="Q1511" s="44"/>
      <c r="R1511" s="44"/>
      <c r="S1511" s="44"/>
      <c r="T1511" s="44"/>
    </row>
    <row r="1512" spans="12:20" x14ac:dyDescent="0.2">
      <c r="L1512" s="43"/>
      <c r="M1512" s="43"/>
      <c r="N1512" s="43"/>
      <c r="O1512" s="43"/>
      <c r="Q1512" s="44"/>
      <c r="R1512" s="44"/>
      <c r="S1512" s="44"/>
      <c r="T1512" s="44"/>
    </row>
    <row r="1513" spans="12:20" x14ac:dyDescent="0.2">
      <c r="L1513" s="43"/>
      <c r="M1513" s="43"/>
      <c r="N1513" s="43"/>
      <c r="O1513" s="43"/>
      <c r="Q1513" s="44"/>
      <c r="R1513" s="44"/>
      <c r="S1513" s="44"/>
      <c r="T1513" s="44"/>
    </row>
    <row r="1514" spans="12:20" x14ac:dyDescent="0.2">
      <c r="L1514" s="43"/>
      <c r="M1514" s="43"/>
      <c r="N1514" s="43"/>
      <c r="O1514" s="43"/>
      <c r="Q1514" s="44"/>
      <c r="R1514" s="44"/>
      <c r="S1514" s="44"/>
      <c r="T1514" s="44"/>
    </row>
    <row r="1515" spans="12:20" x14ac:dyDescent="0.2">
      <c r="L1515" s="43"/>
      <c r="M1515" s="43"/>
      <c r="N1515" s="43"/>
      <c r="O1515" s="43"/>
      <c r="Q1515" s="44"/>
      <c r="R1515" s="44"/>
      <c r="S1515" s="44"/>
      <c r="T1515" s="44"/>
    </row>
    <row r="1516" spans="12:20" x14ac:dyDescent="0.2">
      <c r="L1516" s="43"/>
      <c r="M1516" s="43"/>
      <c r="N1516" s="43"/>
      <c r="O1516" s="43"/>
      <c r="Q1516" s="44"/>
      <c r="R1516" s="44"/>
      <c r="S1516" s="44"/>
      <c r="T1516" s="44"/>
    </row>
    <row r="1517" spans="12:20" x14ac:dyDescent="0.2">
      <c r="L1517" s="43"/>
      <c r="M1517" s="43"/>
      <c r="N1517" s="43"/>
      <c r="O1517" s="43"/>
      <c r="Q1517" s="44"/>
      <c r="R1517" s="44"/>
      <c r="S1517" s="44"/>
      <c r="T1517" s="44"/>
    </row>
    <row r="1518" spans="12:20" x14ac:dyDescent="0.2">
      <c r="L1518" s="43"/>
      <c r="M1518" s="43"/>
      <c r="N1518" s="43"/>
      <c r="O1518" s="43"/>
      <c r="Q1518" s="44"/>
      <c r="R1518" s="44"/>
      <c r="S1518" s="44"/>
      <c r="T1518" s="44"/>
    </row>
    <row r="1519" spans="12:20" x14ac:dyDescent="0.2">
      <c r="L1519" s="43"/>
      <c r="M1519" s="43"/>
      <c r="N1519" s="43"/>
      <c r="O1519" s="43"/>
      <c r="Q1519" s="44"/>
      <c r="R1519" s="44"/>
      <c r="S1519" s="44"/>
      <c r="T1519" s="44"/>
    </row>
    <row r="1520" spans="12:20" x14ac:dyDescent="0.2">
      <c r="L1520" s="43"/>
      <c r="M1520" s="43"/>
      <c r="N1520" s="43"/>
      <c r="O1520" s="43"/>
      <c r="Q1520" s="44"/>
      <c r="R1520" s="44"/>
      <c r="S1520" s="44"/>
      <c r="T1520" s="44"/>
    </row>
    <row r="1521" spans="12:20" x14ac:dyDescent="0.2">
      <c r="L1521" s="43"/>
      <c r="M1521" s="43"/>
      <c r="N1521" s="43"/>
      <c r="O1521" s="43"/>
      <c r="Q1521" s="44"/>
      <c r="R1521" s="44"/>
      <c r="S1521" s="44"/>
      <c r="T1521" s="44"/>
    </row>
    <row r="1522" spans="12:20" x14ac:dyDescent="0.2">
      <c r="L1522" s="43"/>
      <c r="M1522" s="43"/>
      <c r="N1522" s="43"/>
      <c r="O1522" s="43"/>
      <c r="Q1522" s="44"/>
      <c r="R1522" s="44"/>
      <c r="S1522" s="44"/>
      <c r="T1522" s="44"/>
    </row>
    <row r="1523" spans="12:20" x14ac:dyDescent="0.2">
      <c r="L1523" s="43"/>
      <c r="M1523" s="43"/>
      <c r="N1523" s="43"/>
      <c r="O1523" s="43"/>
      <c r="Q1523" s="44"/>
      <c r="R1523" s="44"/>
      <c r="S1523" s="44"/>
      <c r="T1523" s="44"/>
    </row>
    <row r="1524" spans="12:20" x14ac:dyDescent="0.2">
      <c r="L1524" s="43"/>
      <c r="M1524" s="43"/>
      <c r="N1524" s="43"/>
      <c r="O1524" s="43"/>
      <c r="Q1524" s="44"/>
      <c r="R1524" s="44"/>
      <c r="S1524" s="44"/>
      <c r="T1524" s="44"/>
    </row>
    <row r="1525" spans="12:20" x14ac:dyDescent="0.2">
      <c r="L1525" s="43"/>
      <c r="M1525" s="43"/>
      <c r="N1525" s="43"/>
      <c r="O1525" s="43"/>
      <c r="Q1525" s="44"/>
      <c r="R1525" s="44"/>
      <c r="S1525" s="44"/>
      <c r="T1525" s="44"/>
    </row>
    <row r="1526" spans="12:20" x14ac:dyDescent="0.2">
      <c r="L1526" s="43"/>
      <c r="M1526" s="43"/>
      <c r="N1526" s="43"/>
      <c r="O1526" s="43"/>
      <c r="Q1526" s="44"/>
      <c r="R1526" s="44"/>
      <c r="S1526" s="44"/>
      <c r="T1526" s="44"/>
    </row>
    <row r="1527" spans="12:20" x14ac:dyDescent="0.2">
      <c r="L1527" s="43"/>
      <c r="M1527" s="43"/>
      <c r="N1527" s="43"/>
      <c r="O1527" s="43"/>
      <c r="Q1527" s="44"/>
      <c r="R1527" s="44"/>
      <c r="S1527" s="44"/>
      <c r="T1527" s="44"/>
    </row>
    <row r="1528" spans="12:20" x14ac:dyDescent="0.2">
      <c r="L1528" s="43"/>
      <c r="M1528" s="43"/>
      <c r="N1528" s="43"/>
      <c r="O1528" s="43"/>
      <c r="Q1528" s="44"/>
      <c r="R1528" s="44"/>
      <c r="S1528" s="44"/>
      <c r="T1528" s="44"/>
    </row>
    <row r="1529" spans="12:20" x14ac:dyDescent="0.2">
      <c r="L1529" s="43"/>
      <c r="M1529" s="43"/>
      <c r="N1529" s="43"/>
      <c r="O1529" s="43"/>
      <c r="Q1529" s="44"/>
      <c r="R1529" s="44"/>
      <c r="S1529" s="44"/>
      <c r="T1529" s="44"/>
    </row>
    <row r="1530" spans="12:20" x14ac:dyDescent="0.2">
      <c r="L1530" s="43"/>
      <c r="M1530" s="43"/>
      <c r="N1530" s="43"/>
      <c r="O1530" s="43"/>
      <c r="Q1530" s="44"/>
      <c r="R1530" s="44"/>
      <c r="S1530" s="44"/>
      <c r="T1530" s="44"/>
    </row>
    <row r="1531" spans="12:20" x14ac:dyDescent="0.2">
      <c r="L1531" s="43"/>
      <c r="M1531" s="43"/>
      <c r="N1531" s="43"/>
      <c r="O1531" s="43"/>
      <c r="Q1531" s="44"/>
      <c r="R1531" s="44"/>
      <c r="S1531" s="44"/>
      <c r="T1531" s="44"/>
    </row>
    <row r="1532" spans="12:20" x14ac:dyDescent="0.2">
      <c r="L1532" s="43"/>
      <c r="M1532" s="43"/>
      <c r="N1532" s="43"/>
      <c r="O1532" s="43"/>
      <c r="Q1532" s="44"/>
      <c r="R1532" s="44"/>
      <c r="S1532" s="44"/>
      <c r="T1532" s="44"/>
    </row>
    <row r="1533" spans="12:20" x14ac:dyDescent="0.2">
      <c r="L1533" s="43"/>
      <c r="M1533" s="43"/>
      <c r="N1533" s="43"/>
      <c r="O1533" s="43"/>
      <c r="Q1533" s="44"/>
      <c r="R1533" s="44"/>
      <c r="S1533" s="44"/>
      <c r="T1533" s="44"/>
    </row>
    <row r="1534" spans="12:20" x14ac:dyDescent="0.2">
      <c r="L1534" s="43"/>
      <c r="M1534" s="43"/>
      <c r="N1534" s="43"/>
      <c r="O1534" s="43"/>
      <c r="Q1534" s="44"/>
      <c r="R1534" s="44"/>
      <c r="S1534" s="44"/>
      <c r="T1534" s="44"/>
    </row>
    <row r="1535" spans="12:20" x14ac:dyDescent="0.2">
      <c r="L1535" s="43"/>
      <c r="M1535" s="43"/>
      <c r="N1535" s="43"/>
      <c r="O1535" s="43"/>
      <c r="Q1535" s="44"/>
      <c r="R1535" s="44"/>
      <c r="S1535" s="44"/>
      <c r="T1535" s="44"/>
    </row>
    <row r="1536" spans="12:20" x14ac:dyDescent="0.2">
      <c r="L1536" s="43"/>
      <c r="M1536" s="43"/>
      <c r="N1536" s="43"/>
      <c r="O1536" s="43"/>
      <c r="Q1536" s="44"/>
      <c r="R1536" s="44"/>
      <c r="S1536" s="44"/>
      <c r="T1536" s="44"/>
    </row>
    <row r="1537" spans="12:20" x14ac:dyDescent="0.2">
      <c r="L1537" s="43"/>
      <c r="M1537" s="43"/>
      <c r="N1537" s="43"/>
      <c r="O1537" s="43"/>
      <c r="Q1537" s="44"/>
      <c r="R1537" s="44"/>
      <c r="S1537" s="44"/>
      <c r="T1537" s="44"/>
    </row>
    <row r="1538" spans="12:20" x14ac:dyDescent="0.2">
      <c r="L1538" s="43"/>
      <c r="M1538" s="43"/>
      <c r="N1538" s="43"/>
      <c r="O1538" s="43"/>
      <c r="Q1538" s="44"/>
      <c r="R1538" s="44"/>
      <c r="S1538" s="44"/>
      <c r="T1538" s="44"/>
    </row>
    <row r="1539" spans="12:20" x14ac:dyDescent="0.2">
      <c r="L1539" s="43"/>
      <c r="M1539" s="43"/>
      <c r="N1539" s="43"/>
      <c r="O1539" s="43"/>
      <c r="Q1539" s="44"/>
      <c r="R1539" s="44"/>
      <c r="S1539" s="44"/>
      <c r="T1539" s="44"/>
    </row>
    <row r="1540" spans="12:20" x14ac:dyDescent="0.2">
      <c r="L1540" s="43"/>
      <c r="M1540" s="43"/>
      <c r="N1540" s="43"/>
      <c r="O1540" s="43"/>
      <c r="Q1540" s="44"/>
      <c r="R1540" s="44"/>
      <c r="S1540" s="44"/>
      <c r="T1540" s="44"/>
    </row>
    <row r="1541" spans="12:20" x14ac:dyDescent="0.2">
      <c r="L1541" s="43"/>
      <c r="M1541" s="43"/>
      <c r="N1541" s="43"/>
      <c r="O1541" s="43"/>
      <c r="Q1541" s="44"/>
      <c r="R1541" s="44"/>
      <c r="S1541" s="44"/>
      <c r="T1541" s="44"/>
    </row>
    <row r="1542" spans="12:20" x14ac:dyDescent="0.2">
      <c r="L1542" s="43"/>
      <c r="M1542" s="43"/>
      <c r="N1542" s="43"/>
      <c r="O1542" s="43"/>
      <c r="Q1542" s="44"/>
      <c r="R1542" s="44"/>
      <c r="S1542" s="44"/>
      <c r="T1542" s="44"/>
    </row>
    <row r="1543" spans="12:20" x14ac:dyDescent="0.2">
      <c r="L1543" s="43"/>
      <c r="M1543" s="43"/>
      <c r="N1543" s="43"/>
      <c r="O1543" s="43"/>
      <c r="Q1543" s="44"/>
      <c r="R1543" s="44"/>
      <c r="S1543" s="44"/>
      <c r="T1543" s="44"/>
    </row>
    <row r="1544" spans="12:20" x14ac:dyDescent="0.2">
      <c r="L1544" s="43"/>
      <c r="M1544" s="43"/>
      <c r="N1544" s="43"/>
      <c r="O1544" s="43"/>
      <c r="Q1544" s="44"/>
      <c r="R1544" s="44"/>
      <c r="S1544" s="44"/>
      <c r="T1544" s="44"/>
    </row>
    <row r="1545" spans="12:20" x14ac:dyDescent="0.2">
      <c r="L1545" s="43"/>
      <c r="M1545" s="43"/>
      <c r="N1545" s="43"/>
      <c r="O1545" s="43"/>
      <c r="Q1545" s="44"/>
      <c r="R1545" s="44"/>
      <c r="S1545" s="44"/>
      <c r="T1545" s="44"/>
    </row>
    <row r="1546" spans="12:20" x14ac:dyDescent="0.2">
      <c r="L1546" s="43"/>
      <c r="M1546" s="43"/>
      <c r="N1546" s="43"/>
      <c r="O1546" s="43"/>
      <c r="Q1546" s="44"/>
      <c r="R1546" s="44"/>
      <c r="S1546" s="44"/>
      <c r="T1546" s="44"/>
    </row>
    <row r="1547" spans="12:20" x14ac:dyDescent="0.2">
      <c r="L1547" s="43"/>
      <c r="M1547" s="43"/>
      <c r="N1547" s="43"/>
      <c r="O1547" s="43"/>
      <c r="Q1547" s="44"/>
      <c r="R1547" s="44"/>
      <c r="S1547" s="44"/>
      <c r="T1547" s="44"/>
    </row>
    <row r="1548" spans="12:20" x14ac:dyDescent="0.2">
      <c r="L1548" s="43"/>
      <c r="M1548" s="43"/>
      <c r="N1548" s="43"/>
      <c r="O1548" s="43"/>
      <c r="Q1548" s="44"/>
      <c r="R1548" s="44"/>
      <c r="S1548" s="44"/>
      <c r="T1548" s="44"/>
    </row>
    <row r="1549" spans="12:20" x14ac:dyDescent="0.2">
      <c r="L1549" s="43"/>
      <c r="M1549" s="43"/>
      <c r="N1549" s="43"/>
      <c r="O1549" s="43"/>
      <c r="Q1549" s="44"/>
      <c r="R1549" s="44"/>
      <c r="S1549" s="44"/>
      <c r="T1549" s="44"/>
    </row>
    <row r="1550" spans="12:20" x14ac:dyDescent="0.2">
      <c r="L1550" s="43"/>
      <c r="M1550" s="43"/>
      <c r="N1550" s="43"/>
      <c r="O1550" s="43"/>
      <c r="Q1550" s="44"/>
      <c r="R1550" s="44"/>
      <c r="S1550" s="44"/>
      <c r="T1550" s="44"/>
    </row>
    <row r="1551" spans="12:20" x14ac:dyDescent="0.2">
      <c r="L1551" s="43"/>
      <c r="M1551" s="43"/>
      <c r="N1551" s="43"/>
      <c r="O1551" s="43"/>
      <c r="Q1551" s="44"/>
      <c r="R1551" s="44"/>
      <c r="S1551" s="44"/>
      <c r="T1551" s="44"/>
    </row>
    <row r="1552" spans="12:20" x14ac:dyDescent="0.2">
      <c r="L1552" s="43"/>
      <c r="M1552" s="43"/>
      <c r="N1552" s="43"/>
      <c r="O1552" s="43"/>
      <c r="Q1552" s="44"/>
      <c r="R1552" s="44"/>
      <c r="S1552" s="44"/>
      <c r="T1552" s="44"/>
    </row>
    <row r="1553" spans="12:20" x14ac:dyDescent="0.2">
      <c r="L1553" s="43"/>
      <c r="M1553" s="43"/>
      <c r="N1553" s="43"/>
      <c r="O1553" s="43"/>
      <c r="Q1553" s="44"/>
      <c r="R1553" s="44"/>
      <c r="S1553" s="44"/>
      <c r="T1553" s="44"/>
    </row>
    <row r="1554" spans="12:20" x14ac:dyDescent="0.2">
      <c r="L1554" s="43"/>
      <c r="M1554" s="43"/>
      <c r="N1554" s="43"/>
      <c r="O1554" s="43"/>
      <c r="Q1554" s="44"/>
      <c r="R1554" s="44"/>
      <c r="S1554" s="44"/>
      <c r="T1554" s="44"/>
    </row>
    <row r="1555" spans="12:20" x14ac:dyDescent="0.2">
      <c r="L1555" s="43"/>
      <c r="M1555" s="43"/>
      <c r="N1555" s="43"/>
      <c r="O1555" s="43"/>
      <c r="Q1555" s="44"/>
      <c r="R1555" s="44"/>
      <c r="S1555" s="44"/>
      <c r="T1555" s="44"/>
    </row>
    <row r="1556" spans="12:20" x14ac:dyDescent="0.2">
      <c r="L1556" s="43"/>
      <c r="M1556" s="43"/>
      <c r="N1556" s="43"/>
      <c r="O1556" s="43"/>
      <c r="Q1556" s="44"/>
      <c r="R1556" s="44"/>
      <c r="S1556" s="44"/>
      <c r="T1556" s="44"/>
    </row>
    <row r="1557" spans="12:20" x14ac:dyDescent="0.2">
      <c r="L1557" s="43"/>
      <c r="M1557" s="43"/>
      <c r="N1557" s="43"/>
      <c r="O1557" s="43"/>
      <c r="Q1557" s="44"/>
      <c r="R1557" s="44"/>
      <c r="S1557" s="44"/>
      <c r="T1557" s="44"/>
    </row>
    <row r="1558" spans="12:20" x14ac:dyDescent="0.2">
      <c r="L1558" s="43"/>
      <c r="M1558" s="43"/>
      <c r="N1558" s="43"/>
      <c r="O1558" s="43"/>
      <c r="Q1558" s="44"/>
      <c r="R1558" s="44"/>
      <c r="S1558" s="44"/>
      <c r="T1558" s="44"/>
    </row>
    <row r="1559" spans="12:20" x14ac:dyDescent="0.2">
      <c r="L1559" s="43"/>
      <c r="M1559" s="43"/>
      <c r="N1559" s="43"/>
      <c r="O1559" s="43"/>
      <c r="Q1559" s="44"/>
      <c r="R1559" s="44"/>
      <c r="S1559" s="44"/>
      <c r="T1559" s="44"/>
    </row>
    <row r="1560" spans="12:20" x14ac:dyDescent="0.2">
      <c r="L1560" s="43"/>
      <c r="M1560" s="43"/>
      <c r="N1560" s="43"/>
      <c r="O1560" s="43"/>
      <c r="Q1560" s="44"/>
      <c r="R1560" s="44"/>
      <c r="S1560" s="44"/>
      <c r="T1560" s="44"/>
    </row>
    <row r="1561" spans="12:20" x14ac:dyDescent="0.2">
      <c r="L1561" s="43"/>
      <c r="M1561" s="43"/>
      <c r="N1561" s="43"/>
      <c r="O1561" s="43"/>
      <c r="Q1561" s="44"/>
      <c r="R1561" s="44"/>
      <c r="S1561" s="44"/>
      <c r="T1561" s="44"/>
    </row>
    <row r="1562" spans="12:20" x14ac:dyDescent="0.2">
      <c r="L1562" s="43"/>
      <c r="M1562" s="43"/>
      <c r="N1562" s="43"/>
      <c r="O1562" s="43"/>
      <c r="Q1562" s="44"/>
      <c r="R1562" s="44"/>
      <c r="S1562" s="44"/>
      <c r="T1562" s="44"/>
    </row>
    <row r="1563" spans="12:20" x14ac:dyDescent="0.2">
      <c r="L1563" s="43"/>
      <c r="M1563" s="43"/>
      <c r="N1563" s="43"/>
      <c r="O1563" s="43"/>
      <c r="Q1563" s="44"/>
      <c r="R1563" s="44"/>
      <c r="S1563" s="44"/>
      <c r="T1563" s="44"/>
    </row>
    <row r="1564" spans="12:20" x14ac:dyDescent="0.2">
      <c r="L1564" s="43"/>
      <c r="M1564" s="43"/>
      <c r="N1564" s="43"/>
      <c r="O1564" s="43"/>
      <c r="Q1564" s="44"/>
      <c r="R1564" s="44"/>
      <c r="S1564" s="44"/>
      <c r="T1564" s="44"/>
    </row>
    <row r="1565" spans="12:20" x14ac:dyDescent="0.2">
      <c r="L1565" s="43"/>
      <c r="M1565" s="43"/>
      <c r="N1565" s="43"/>
      <c r="O1565" s="43"/>
      <c r="Q1565" s="44"/>
      <c r="R1565" s="44"/>
      <c r="S1565" s="44"/>
      <c r="T1565" s="44"/>
    </row>
    <row r="1566" spans="12:20" x14ac:dyDescent="0.2">
      <c r="L1566" s="43"/>
      <c r="M1566" s="43"/>
      <c r="N1566" s="43"/>
      <c r="O1566" s="43"/>
      <c r="Q1566" s="44"/>
      <c r="R1566" s="44"/>
      <c r="S1566" s="44"/>
      <c r="T1566" s="44"/>
    </row>
    <row r="1567" spans="12:20" x14ac:dyDescent="0.2">
      <c r="L1567" s="43"/>
      <c r="M1567" s="43"/>
      <c r="N1567" s="43"/>
      <c r="O1567" s="43"/>
      <c r="Q1567" s="44"/>
      <c r="R1567" s="44"/>
      <c r="S1567" s="44"/>
      <c r="T1567" s="44"/>
    </row>
    <row r="1568" spans="12:20" x14ac:dyDescent="0.2">
      <c r="L1568" s="43"/>
      <c r="M1568" s="43"/>
      <c r="N1568" s="43"/>
      <c r="O1568" s="43"/>
      <c r="Q1568" s="44"/>
      <c r="R1568" s="44"/>
      <c r="S1568" s="44"/>
      <c r="T1568" s="44"/>
    </row>
    <row r="1569" spans="12:20" x14ac:dyDescent="0.2">
      <c r="L1569" s="43"/>
      <c r="M1569" s="43"/>
      <c r="N1569" s="43"/>
      <c r="O1569" s="43"/>
      <c r="Q1569" s="44"/>
      <c r="R1569" s="44"/>
      <c r="S1569" s="44"/>
      <c r="T1569" s="44"/>
    </row>
    <row r="1570" spans="12:20" x14ac:dyDescent="0.2">
      <c r="L1570" s="43"/>
      <c r="M1570" s="43"/>
      <c r="N1570" s="43"/>
      <c r="O1570" s="43"/>
      <c r="Q1570" s="44"/>
      <c r="R1570" s="44"/>
      <c r="S1570" s="44"/>
      <c r="T1570" s="44"/>
    </row>
    <row r="1571" spans="12:20" x14ac:dyDescent="0.2">
      <c r="L1571" s="43"/>
      <c r="M1571" s="43"/>
      <c r="N1571" s="43"/>
      <c r="O1571" s="43"/>
      <c r="Q1571" s="44"/>
      <c r="R1571" s="44"/>
      <c r="S1571" s="44"/>
      <c r="T1571" s="44"/>
    </row>
    <row r="1572" spans="12:20" x14ac:dyDescent="0.2">
      <c r="L1572" s="43"/>
      <c r="M1572" s="43"/>
      <c r="N1572" s="43"/>
      <c r="O1572" s="43"/>
      <c r="Q1572" s="44"/>
      <c r="R1572" s="44"/>
      <c r="S1572" s="44"/>
      <c r="T1572" s="44"/>
    </row>
    <row r="1573" spans="12:20" x14ac:dyDescent="0.2">
      <c r="L1573" s="43"/>
      <c r="M1573" s="43"/>
      <c r="N1573" s="43"/>
      <c r="O1573" s="43"/>
      <c r="Q1573" s="44"/>
      <c r="R1573" s="44"/>
      <c r="S1573" s="44"/>
      <c r="T1573" s="44"/>
    </row>
    <row r="1574" spans="12:20" x14ac:dyDescent="0.2">
      <c r="L1574" s="43"/>
      <c r="M1574" s="43"/>
      <c r="N1574" s="43"/>
      <c r="O1574" s="43"/>
      <c r="Q1574" s="44"/>
      <c r="R1574" s="44"/>
      <c r="S1574" s="44"/>
      <c r="T1574" s="44"/>
    </row>
    <row r="1575" spans="12:20" x14ac:dyDescent="0.2">
      <c r="L1575" s="43"/>
      <c r="M1575" s="43"/>
      <c r="N1575" s="43"/>
      <c r="O1575" s="43"/>
      <c r="Q1575" s="44"/>
      <c r="R1575" s="44"/>
      <c r="S1575" s="44"/>
      <c r="T1575" s="44"/>
    </row>
    <row r="1576" spans="12:20" x14ac:dyDescent="0.2">
      <c r="L1576" s="43"/>
      <c r="M1576" s="43"/>
      <c r="N1576" s="43"/>
      <c r="O1576" s="43"/>
      <c r="Q1576" s="44"/>
      <c r="R1576" s="44"/>
      <c r="S1576" s="44"/>
      <c r="T1576" s="44"/>
    </row>
    <row r="1577" spans="12:20" x14ac:dyDescent="0.2">
      <c r="L1577" s="43"/>
      <c r="M1577" s="43"/>
      <c r="N1577" s="43"/>
      <c r="O1577" s="43"/>
      <c r="Q1577" s="44"/>
      <c r="R1577" s="44"/>
      <c r="S1577" s="44"/>
      <c r="T1577" s="44"/>
    </row>
    <row r="1578" spans="12:20" x14ac:dyDescent="0.2">
      <c r="L1578" s="43"/>
      <c r="M1578" s="43"/>
      <c r="N1578" s="43"/>
      <c r="O1578" s="43"/>
      <c r="Q1578" s="44"/>
      <c r="R1578" s="44"/>
      <c r="S1578" s="44"/>
      <c r="T1578" s="44"/>
    </row>
    <row r="1579" spans="12:20" x14ac:dyDescent="0.2">
      <c r="L1579" s="43"/>
      <c r="M1579" s="43"/>
      <c r="N1579" s="43"/>
      <c r="O1579" s="43"/>
      <c r="Q1579" s="44"/>
      <c r="R1579" s="44"/>
      <c r="S1579" s="44"/>
      <c r="T1579" s="44"/>
    </row>
    <row r="1580" spans="12:20" x14ac:dyDescent="0.2">
      <c r="L1580" s="43"/>
      <c r="M1580" s="43"/>
      <c r="N1580" s="43"/>
      <c r="O1580" s="43"/>
      <c r="Q1580" s="44"/>
      <c r="R1580" s="44"/>
      <c r="S1580" s="44"/>
      <c r="T1580" s="44"/>
    </row>
    <row r="1581" spans="12:20" x14ac:dyDescent="0.2">
      <c r="L1581" s="43"/>
      <c r="M1581" s="43"/>
      <c r="N1581" s="43"/>
      <c r="O1581" s="43"/>
      <c r="Q1581" s="44"/>
      <c r="R1581" s="44"/>
      <c r="S1581" s="44"/>
      <c r="T1581" s="44"/>
    </row>
    <row r="1582" spans="12:20" x14ac:dyDescent="0.2">
      <c r="L1582" s="43"/>
      <c r="M1582" s="43"/>
      <c r="N1582" s="43"/>
      <c r="O1582" s="43"/>
      <c r="Q1582" s="44"/>
      <c r="R1582" s="44"/>
      <c r="S1582" s="44"/>
      <c r="T1582" s="44"/>
    </row>
    <row r="1583" spans="12:20" x14ac:dyDescent="0.2">
      <c r="L1583" s="43"/>
      <c r="M1583" s="43"/>
      <c r="N1583" s="43"/>
      <c r="O1583" s="43"/>
      <c r="Q1583" s="44"/>
      <c r="R1583" s="44"/>
      <c r="S1583" s="44"/>
      <c r="T1583" s="44"/>
    </row>
    <row r="1584" spans="12:20" x14ac:dyDescent="0.2">
      <c r="L1584" s="43"/>
      <c r="M1584" s="43"/>
      <c r="N1584" s="43"/>
      <c r="O1584" s="43"/>
      <c r="Q1584" s="44"/>
      <c r="R1584" s="44"/>
      <c r="S1584" s="44"/>
      <c r="T1584" s="44"/>
    </row>
    <row r="1585" spans="12:20" x14ac:dyDescent="0.2">
      <c r="L1585" s="43"/>
      <c r="M1585" s="43"/>
      <c r="N1585" s="43"/>
      <c r="O1585" s="43"/>
      <c r="Q1585" s="44"/>
      <c r="R1585" s="44"/>
      <c r="S1585" s="44"/>
      <c r="T1585" s="44"/>
    </row>
    <row r="1586" spans="12:20" x14ac:dyDescent="0.2">
      <c r="L1586" s="43"/>
      <c r="M1586" s="43"/>
      <c r="N1586" s="43"/>
      <c r="O1586" s="43"/>
      <c r="Q1586" s="44"/>
      <c r="R1586" s="44"/>
      <c r="S1586" s="44"/>
      <c r="T1586" s="44"/>
    </row>
    <row r="1587" spans="12:20" x14ac:dyDescent="0.2">
      <c r="L1587" s="43"/>
      <c r="M1587" s="43"/>
      <c r="N1587" s="43"/>
      <c r="O1587" s="43"/>
      <c r="Q1587" s="44"/>
      <c r="R1587" s="44"/>
      <c r="S1587" s="44"/>
      <c r="T1587" s="44"/>
    </row>
    <row r="1588" spans="12:20" x14ac:dyDescent="0.2">
      <c r="L1588" s="43"/>
      <c r="M1588" s="43"/>
      <c r="N1588" s="43"/>
      <c r="O1588" s="43"/>
      <c r="Q1588" s="44"/>
      <c r="R1588" s="44"/>
      <c r="S1588" s="44"/>
      <c r="T1588" s="44"/>
    </row>
    <row r="1589" spans="12:20" x14ac:dyDescent="0.2">
      <c r="L1589" s="43"/>
      <c r="M1589" s="43"/>
      <c r="N1589" s="43"/>
      <c r="O1589" s="43"/>
      <c r="Q1589" s="44"/>
      <c r="R1589" s="44"/>
      <c r="S1589" s="44"/>
      <c r="T1589" s="44"/>
    </row>
    <row r="1590" spans="12:20" x14ac:dyDescent="0.2">
      <c r="L1590" s="43"/>
      <c r="M1590" s="43"/>
      <c r="N1590" s="43"/>
      <c r="O1590" s="43"/>
      <c r="Q1590" s="44"/>
      <c r="R1590" s="44"/>
      <c r="S1590" s="44"/>
      <c r="T1590" s="44"/>
    </row>
    <row r="1591" spans="12:20" x14ac:dyDescent="0.2">
      <c r="L1591" s="43"/>
      <c r="M1591" s="43"/>
      <c r="N1591" s="43"/>
      <c r="O1591" s="43"/>
      <c r="Q1591" s="44"/>
      <c r="R1591" s="44"/>
      <c r="S1591" s="44"/>
      <c r="T1591" s="44"/>
    </row>
    <row r="1592" spans="12:20" x14ac:dyDescent="0.2">
      <c r="L1592" s="43"/>
      <c r="M1592" s="43"/>
      <c r="N1592" s="43"/>
      <c r="O1592" s="43"/>
      <c r="Q1592" s="44"/>
      <c r="R1592" s="44"/>
      <c r="S1592" s="44"/>
      <c r="T1592" s="44"/>
    </row>
    <row r="1593" spans="12:20" x14ac:dyDescent="0.2">
      <c r="L1593" s="43"/>
      <c r="M1593" s="43"/>
      <c r="N1593" s="43"/>
      <c r="O1593" s="43"/>
      <c r="Q1593" s="44"/>
      <c r="R1593" s="44"/>
      <c r="S1593" s="44"/>
      <c r="T1593" s="44"/>
    </row>
    <row r="1594" spans="12:20" x14ac:dyDescent="0.2">
      <c r="L1594" s="43"/>
      <c r="M1594" s="43"/>
      <c r="N1594" s="43"/>
      <c r="O1594" s="43"/>
      <c r="Q1594" s="44"/>
      <c r="R1594" s="44"/>
      <c r="S1594" s="44"/>
      <c r="T1594" s="44"/>
    </row>
    <row r="1595" spans="12:20" x14ac:dyDescent="0.2">
      <c r="L1595" s="43"/>
      <c r="M1595" s="43"/>
      <c r="N1595" s="43"/>
      <c r="O1595" s="43"/>
      <c r="Q1595" s="44"/>
      <c r="R1595" s="44"/>
      <c r="S1595" s="44"/>
      <c r="T1595" s="44"/>
    </row>
    <row r="1596" spans="12:20" x14ac:dyDescent="0.2">
      <c r="L1596" s="43"/>
      <c r="M1596" s="43"/>
      <c r="N1596" s="43"/>
      <c r="O1596" s="43"/>
      <c r="Q1596" s="44"/>
      <c r="R1596" s="44"/>
      <c r="S1596" s="44"/>
      <c r="T1596" s="44"/>
    </row>
    <row r="1597" spans="12:20" x14ac:dyDescent="0.2">
      <c r="L1597" s="43"/>
      <c r="M1597" s="43"/>
      <c r="N1597" s="43"/>
      <c r="O1597" s="43"/>
      <c r="Q1597" s="44"/>
      <c r="R1597" s="44"/>
      <c r="S1597" s="44"/>
      <c r="T1597" s="44"/>
    </row>
    <row r="1598" spans="12:20" x14ac:dyDescent="0.2">
      <c r="L1598" s="43"/>
      <c r="M1598" s="43"/>
      <c r="N1598" s="43"/>
      <c r="O1598" s="43"/>
      <c r="Q1598" s="44"/>
      <c r="R1598" s="44"/>
      <c r="S1598" s="44"/>
      <c r="T1598" s="44"/>
    </row>
    <row r="1599" spans="12:20" x14ac:dyDescent="0.2">
      <c r="L1599" s="43"/>
      <c r="M1599" s="43"/>
      <c r="N1599" s="43"/>
      <c r="O1599" s="43"/>
      <c r="Q1599" s="44"/>
      <c r="R1599" s="44"/>
      <c r="S1599" s="44"/>
      <c r="T1599" s="44"/>
    </row>
    <row r="1600" spans="12:20" x14ac:dyDescent="0.2">
      <c r="L1600" s="43"/>
      <c r="M1600" s="43"/>
      <c r="N1600" s="43"/>
      <c r="O1600" s="43"/>
      <c r="Q1600" s="44"/>
      <c r="R1600" s="44"/>
      <c r="S1600" s="44"/>
      <c r="T1600" s="44"/>
    </row>
    <row r="1601" spans="12:20" x14ac:dyDescent="0.2">
      <c r="L1601" s="43"/>
      <c r="M1601" s="43"/>
      <c r="N1601" s="43"/>
      <c r="O1601" s="43"/>
      <c r="Q1601" s="44"/>
      <c r="R1601" s="44"/>
      <c r="S1601" s="44"/>
      <c r="T1601" s="44"/>
    </row>
    <row r="1602" spans="12:20" x14ac:dyDescent="0.2">
      <c r="L1602" s="43"/>
      <c r="M1602" s="43"/>
      <c r="N1602" s="43"/>
      <c r="O1602" s="43"/>
      <c r="Q1602" s="44"/>
      <c r="R1602" s="44"/>
      <c r="S1602" s="44"/>
      <c r="T1602" s="44"/>
    </row>
    <row r="1603" spans="12:20" x14ac:dyDescent="0.2">
      <c r="L1603" s="43"/>
      <c r="M1603" s="43"/>
      <c r="N1603" s="43"/>
      <c r="O1603" s="43"/>
      <c r="Q1603" s="44"/>
      <c r="R1603" s="44"/>
      <c r="S1603" s="44"/>
      <c r="T1603" s="44"/>
    </row>
    <row r="1604" spans="12:20" x14ac:dyDescent="0.2">
      <c r="L1604" s="43"/>
      <c r="M1604" s="43"/>
      <c r="N1604" s="43"/>
      <c r="O1604" s="43"/>
      <c r="Q1604" s="44"/>
      <c r="R1604" s="44"/>
      <c r="S1604" s="44"/>
      <c r="T1604" s="44"/>
    </row>
    <row r="1605" spans="12:20" x14ac:dyDescent="0.2">
      <c r="L1605" s="43"/>
      <c r="M1605" s="43"/>
      <c r="N1605" s="43"/>
      <c r="O1605" s="43"/>
      <c r="Q1605" s="44"/>
      <c r="R1605" s="44"/>
      <c r="S1605" s="44"/>
      <c r="T1605" s="44"/>
    </row>
    <row r="1606" spans="12:20" x14ac:dyDescent="0.2">
      <c r="L1606" s="43"/>
      <c r="M1606" s="43"/>
      <c r="N1606" s="43"/>
      <c r="O1606" s="43"/>
      <c r="Q1606" s="44"/>
      <c r="R1606" s="44"/>
      <c r="S1606" s="44"/>
      <c r="T1606" s="44"/>
    </row>
    <row r="1607" spans="12:20" x14ac:dyDescent="0.2">
      <c r="L1607" s="43"/>
      <c r="M1607" s="43"/>
      <c r="N1607" s="43"/>
      <c r="O1607" s="43"/>
      <c r="Q1607" s="44"/>
      <c r="R1607" s="44"/>
      <c r="S1607" s="44"/>
      <c r="T1607" s="44"/>
    </row>
    <row r="1608" spans="12:20" x14ac:dyDescent="0.2">
      <c r="L1608" s="43"/>
      <c r="M1608" s="43"/>
      <c r="N1608" s="43"/>
      <c r="O1608" s="43"/>
      <c r="Q1608" s="44"/>
      <c r="R1608" s="44"/>
      <c r="S1608" s="44"/>
      <c r="T1608" s="44"/>
    </row>
    <row r="1609" spans="12:20" x14ac:dyDescent="0.2">
      <c r="L1609" s="43"/>
      <c r="M1609" s="43"/>
      <c r="N1609" s="43"/>
      <c r="O1609" s="43"/>
      <c r="Q1609" s="44"/>
      <c r="R1609" s="44"/>
      <c r="S1609" s="44"/>
      <c r="T1609" s="44"/>
    </row>
    <row r="1610" spans="12:20" x14ac:dyDescent="0.2">
      <c r="L1610" s="43"/>
      <c r="M1610" s="43"/>
      <c r="N1610" s="43"/>
      <c r="O1610" s="43"/>
      <c r="Q1610" s="44"/>
      <c r="R1610" s="44"/>
      <c r="S1610" s="44"/>
      <c r="T1610" s="44"/>
    </row>
    <row r="1611" spans="12:20" x14ac:dyDescent="0.2">
      <c r="L1611" s="43"/>
      <c r="M1611" s="43"/>
      <c r="N1611" s="43"/>
      <c r="O1611" s="43"/>
      <c r="Q1611" s="44"/>
      <c r="R1611" s="44"/>
      <c r="S1611" s="44"/>
      <c r="T1611" s="44"/>
    </row>
    <row r="1612" spans="12:20" x14ac:dyDescent="0.2">
      <c r="L1612" s="43"/>
      <c r="M1612" s="43"/>
      <c r="N1612" s="43"/>
      <c r="O1612" s="43"/>
      <c r="Q1612" s="44"/>
      <c r="R1612" s="44"/>
      <c r="S1612" s="44"/>
      <c r="T1612" s="44"/>
    </row>
    <row r="1613" spans="12:20" x14ac:dyDescent="0.2">
      <c r="L1613" s="43"/>
      <c r="M1613" s="43"/>
      <c r="N1613" s="43"/>
      <c r="O1613" s="43"/>
      <c r="Q1613" s="44"/>
      <c r="R1613" s="44"/>
      <c r="S1613" s="44"/>
      <c r="T1613" s="44"/>
    </row>
    <row r="1614" spans="12:20" x14ac:dyDescent="0.2">
      <c r="L1614" s="43"/>
      <c r="M1614" s="43"/>
      <c r="N1614" s="43"/>
      <c r="O1614" s="43"/>
      <c r="Q1614" s="44"/>
      <c r="R1614" s="44"/>
      <c r="S1614" s="44"/>
      <c r="T1614" s="44"/>
    </row>
    <row r="1615" spans="12:20" x14ac:dyDescent="0.2">
      <c r="L1615" s="43"/>
      <c r="M1615" s="43"/>
      <c r="N1615" s="43"/>
      <c r="O1615" s="43"/>
      <c r="Q1615" s="44"/>
      <c r="R1615" s="44"/>
      <c r="S1615" s="44"/>
      <c r="T1615" s="44"/>
    </row>
    <row r="1616" spans="12:20" x14ac:dyDescent="0.2">
      <c r="L1616" s="43"/>
      <c r="M1616" s="43"/>
      <c r="N1616" s="43"/>
      <c r="O1616" s="43"/>
      <c r="Q1616" s="44"/>
      <c r="R1616" s="44"/>
      <c r="S1616" s="44"/>
      <c r="T1616" s="44"/>
    </row>
    <row r="1617" spans="12:20" x14ac:dyDescent="0.2">
      <c r="L1617" s="43"/>
      <c r="M1617" s="43"/>
      <c r="N1617" s="43"/>
      <c r="O1617" s="43"/>
      <c r="Q1617" s="44"/>
      <c r="R1617" s="44"/>
      <c r="S1617" s="44"/>
      <c r="T1617" s="44"/>
    </row>
    <row r="1618" spans="12:20" x14ac:dyDescent="0.2">
      <c r="L1618" s="43"/>
      <c r="M1618" s="43"/>
      <c r="N1618" s="43"/>
      <c r="O1618" s="43"/>
      <c r="Q1618" s="44"/>
      <c r="R1618" s="44"/>
      <c r="S1618" s="44"/>
      <c r="T1618" s="44"/>
    </row>
    <row r="1619" spans="12:20" x14ac:dyDescent="0.2">
      <c r="L1619" s="43"/>
      <c r="M1619" s="43"/>
      <c r="N1619" s="43"/>
      <c r="O1619" s="43"/>
      <c r="Q1619" s="44"/>
      <c r="R1619" s="44"/>
      <c r="S1619" s="44"/>
      <c r="T1619" s="44"/>
    </row>
    <row r="1620" spans="12:20" x14ac:dyDescent="0.2">
      <c r="L1620" s="43"/>
      <c r="M1620" s="43"/>
      <c r="N1620" s="43"/>
      <c r="O1620" s="43"/>
      <c r="Q1620" s="44"/>
      <c r="R1620" s="44"/>
      <c r="S1620" s="44"/>
      <c r="T1620" s="44"/>
    </row>
    <row r="1621" spans="12:20" x14ac:dyDescent="0.2">
      <c r="L1621" s="43"/>
      <c r="M1621" s="43"/>
      <c r="N1621" s="43"/>
      <c r="O1621" s="43"/>
      <c r="Q1621" s="44"/>
      <c r="R1621" s="44"/>
      <c r="S1621" s="44"/>
      <c r="T1621" s="44"/>
    </row>
    <row r="1622" spans="12:20" x14ac:dyDescent="0.2">
      <c r="L1622" s="43"/>
      <c r="M1622" s="43"/>
      <c r="N1622" s="43"/>
      <c r="O1622" s="43"/>
      <c r="Q1622" s="44"/>
      <c r="R1622" s="44"/>
      <c r="S1622" s="44"/>
      <c r="T1622" s="44"/>
    </row>
    <row r="1623" spans="12:20" x14ac:dyDescent="0.2">
      <c r="L1623" s="43"/>
      <c r="M1623" s="43"/>
      <c r="N1623" s="43"/>
      <c r="O1623" s="43"/>
      <c r="Q1623" s="44"/>
      <c r="R1623" s="44"/>
      <c r="S1623" s="44"/>
      <c r="T1623" s="44"/>
    </row>
    <row r="1624" spans="12:20" x14ac:dyDescent="0.2">
      <c r="L1624" s="43"/>
      <c r="M1624" s="43"/>
      <c r="N1624" s="43"/>
      <c r="O1624" s="43"/>
      <c r="Q1624" s="44"/>
      <c r="R1624" s="44"/>
      <c r="S1624" s="44"/>
      <c r="T1624" s="44"/>
    </row>
    <row r="1625" spans="12:20" x14ac:dyDescent="0.2">
      <c r="L1625" s="43"/>
      <c r="M1625" s="43"/>
      <c r="N1625" s="43"/>
      <c r="O1625" s="43"/>
      <c r="Q1625" s="44"/>
      <c r="R1625" s="44"/>
      <c r="S1625" s="44"/>
      <c r="T1625" s="44"/>
    </row>
    <row r="1626" spans="12:20" x14ac:dyDescent="0.2">
      <c r="L1626" s="43"/>
      <c r="M1626" s="43"/>
      <c r="N1626" s="43"/>
      <c r="O1626" s="43"/>
      <c r="Q1626" s="44"/>
      <c r="R1626" s="44"/>
      <c r="S1626" s="44"/>
      <c r="T1626" s="44"/>
    </row>
    <row r="1627" spans="12:20" x14ac:dyDescent="0.2">
      <c r="L1627" s="43"/>
      <c r="M1627" s="43"/>
      <c r="N1627" s="43"/>
      <c r="O1627" s="43"/>
      <c r="Q1627" s="44"/>
      <c r="R1627" s="44"/>
      <c r="S1627" s="44"/>
      <c r="T1627" s="44"/>
    </row>
    <row r="1628" spans="12:20" x14ac:dyDescent="0.2">
      <c r="L1628" s="43"/>
      <c r="M1628" s="43"/>
      <c r="N1628" s="43"/>
      <c r="O1628" s="43"/>
      <c r="Q1628" s="44"/>
      <c r="R1628" s="44"/>
      <c r="S1628" s="44"/>
      <c r="T1628" s="44"/>
    </row>
    <row r="1629" spans="12:20" x14ac:dyDescent="0.2">
      <c r="L1629" s="43"/>
      <c r="M1629" s="43"/>
      <c r="N1629" s="43"/>
      <c r="O1629" s="43"/>
      <c r="Q1629" s="44"/>
      <c r="R1629" s="44"/>
      <c r="S1629" s="44"/>
      <c r="T1629" s="44"/>
    </row>
    <row r="1630" spans="12:20" x14ac:dyDescent="0.2">
      <c r="L1630" s="43"/>
      <c r="M1630" s="43"/>
      <c r="N1630" s="43"/>
      <c r="O1630" s="43"/>
      <c r="Q1630" s="44"/>
      <c r="R1630" s="44"/>
      <c r="S1630" s="44"/>
      <c r="T1630" s="44"/>
    </row>
    <row r="1631" spans="12:20" x14ac:dyDescent="0.2">
      <c r="L1631" s="43"/>
      <c r="M1631" s="43"/>
      <c r="N1631" s="43"/>
      <c r="O1631" s="43"/>
      <c r="Q1631" s="44"/>
      <c r="R1631" s="44"/>
      <c r="S1631" s="44"/>
      <c r="T1631" s="44"/>
    </row>
    <row r="1632" spans="12:20" x14ac:dyDescent="0.2">
      <c r="L1632" s="43"/>
      <c r="M1632" s="43"/>
      <c r="N1632" s="43"/>
      <c r="O1632" s="43"/>
      <c r="Q1632" s="44"/>
      <c r="R1632" s="44"/>
      <c r="S1632" s="44"/>
      <c r="T1632" s="44"/>
    </row>
    <row r="1633" spans="12:20" x14ac:dyDescent="0.2">
      <c r="L1633" s="43"/>
      <c r="M1633" s="43"/>
      <c r="N1633" s="43"/>
      <c r="O1633" s="43"/>
      <c r="Q1633" s="44"/>
      <c r="R1633" s="44"/>
      <c r="S1633" s="44"/>
      <c r="T1633" s="44"/>
    </row>
    <row r="1634" spans="12:20" x14ac:dyDescent="0.2">
      <c r="L1634" s="43"/>
      <c r="M1634" s="43"/>
      <c r="N1634" s="43"/>
      <c r="O1634" s="43"/>
      <c r="Q1634" s="44"/>
      <c r="R1634" s="44"/>
      <c r="S1634" s="44"/>
      <c r="T1634" s="44"/>
    </row>
    <row r="1635" spans="12:20" x14ac:dyDescent="0.2">
      <c r="L1635" s="43"/>
      <c r="M1635" s="43"/>
      <c r="N1635" s="43"/>
      <c r="O1635" s="43"/>
      <c r="Q1635" s="44"/>
      <c r="R1635" s="44"/>
      <c r="S1635" s="44"/>
      <c r="T1635" s="44"/>
    </row>
    <row r="1636" spans="12:20" x14ac:dyDescent="0.2">
      <c r="L1636" s="43"/>
      <c r="M1636" s="43"/>
      <c r="N1636" s="43"/>
      <c r="O1636" s="43"/>
      <c r="Q1636" s="44"/>
      <c r="R1636" s="44"/>
      <c r="S1636" s="44"/>
      <c r="T1636" s="44"/>
    </row>
    <row r="1637" spans="12:20" x14ac:dyDescent="0.2">
      <c r="L1637" s="43"/>
      <c r="M1637" s="43"/>
      <c r="N1637" s="43"/>
      <c r="O1637" s="43"/>
      <c r="Q1637" s="44"/>
      <c r="R1637" s="44"/>
      <c r="S1637" s="44"/>
      <c r="T1637" s="44"/>
    </row>
    <row r="1638" spans="12:20" x14ac:dyDescent="0.2">
      <c r="L1638" s="43"/>
      <c r="M1638" s="43"/>
      <c r="N1638" s="43"/>
      <c r="O1638" s="43"/>
      <c r="Q1638" s="44"/>
      <c r="R1638" s="44"/>
      <c r="S1638" s="44"/>
      <c r="T1638" s="44"/>
    </row>
    <row r="1639" spans="12:20" x14ac:dyDescent="0.2">
      <c r="L1639" s="43"/>
      <c r="M1639" s="43"/>
      <c r="N1639" s="43"/>
      <c r="O1639" s="43"/>
      <c r="Q1639" s="44"/>
      <c r="R1639" s="44"/>
      <c r="S1639" s="44"/>
      <c r="T1639" s="44"/>
    </row>
    <row r="1640" spans="12:20" x14ac:dyDescent="0.2">
      <c r="L1640" s="43"/>
      <c r="M1640" s="43"/>
      <c r="N1640" s="43"/>
      <c r="O1640" s="43"/>
      <c r="Q1640" s="44"/>
      <c r="R1640" s="44"/>
      <c r="S1640" s="44"/>
      <c r="T1640" s="44"/>
    </row>
    <row r="1641" spans="12:20" x14ac:dyDescent="0.2">
      <c r="L1641" s="43"/>
      <c r="M1641" s="43"/>
      <c r="N1641" s="43"/>
      <c r="O1641" s="43"/>
      <c r="Q1641" s="44"/>
      <c r="R1641" s="44"/>
      <c r="S1641" s="44"/>
      <c r="T1641" s="44"/>
    </row>
    <row r="1642" spans="12:20" x14ac:dyDescent="0.2">
      <c r="L1642" s="43"/>
      <c r="M1642" s="43"/>
      <c r="N1642" s="43"/>
      <c r="O1642" s="43"/>
      <c r="Q1642" s="44"/>
      <c r="R1642" s="44"/>
      <c r="S1642" s="44"/>
      <c r="T1642" s="44"/>
    </row>
    <row r="1643" spans="12:20" x14ac:dyDescent="0.2">
      <c r="L1643" s="43"/>
      <c r="M1643" s="43"/>
      <c r="N1643" s="43"/>
      <c r="O1643" s="43"/>
      <c r="Q1643" s="44"/>
      <c r="R1643" s="44"/>
      <c r="S1643" s="44"/>
      <c r="T1643" s="44"/>
    </row>
    <row r="1644" spans="12:20" x14ac:dyDescent="0.2">
      <c r="L1644" s="43"/>
      <c r="M1644" s="43"/>
      <c r="N1644" s="43"/>
      <c r="O1644" s="43"/>
      <c r="Q1644" s="44"/>
      <c r="R1644" s="44"/>
      <c r="S1644" s="44"/>
      <c r="T1644" s="44"/>
    </row>
    <row r="1645" spans="12:20" x14ac:dyDescent="0.2">
      <c r="L1645" s="43"/>
      <c r="M1645" s="43"/>
      <c r="N1645" s="43"/>
      <c r="O1645" s="43"/>
      <c r="Q1645" s="44"/>
      <c r="R1645" s="44"/>
      <c r="S1645" s="44"/>
      <c r="T1645" s="44"/>
    </row>
    <row r="1646" spans="12:20" x14ac:dyDescent="0.2">
      <c r="L1646" s="43"/>
      <c r="M1646" s="43"/>
      <c r="N1646" s="43"/>
      <c r="O1646" s="43"/>
      <c r="Q1646" s="44"/>
      <c r="R1646" s="44"/>
      <c r="S1646" s="44"/>
      <c r="T1646" s="44"/>
    </row>
    <row r="1647" spans="12:20" x14ac:dyDescent="0.2">
      <c r="L1647" s="43"/>
      <c r="M1647" s="43"/>
      <c r="N1647" s="43"/>
      <c r="O1647" s="43"/>
      <c r="Q1647" s="44"/>
      <c r="R1647" s="44"/>
      <c r="S1647" s="44"/>
      <c r="T1647" s="44"/>
    </row>
    <row r="1648" spans="12:20" x14ac:dyDescent="0.2">
      <c r="L1648" s="43"/>
      <c r="M1648" s="43"/>
      <c r="N1648" s="43"/>
      <c r="O1648" s="43"/>
      <c r="Q1648" s="44"/>
      <c r="R1648" s="44"/>
      <c r="S1648" s="44"/>
      <c r="T1648" s="44"/>
    </row>
    <row r="1649" spans="12:20" x14ac:dyDescent="0.2">
      <c r="L1649" s="43"/>
      <c r="M1649" s="43"/>
      <c r="N1649" s="43"/>
      <c r="O1649" s="43"/>
      <c r="Q1649" s="44"/>
      <c r="R1649" s="44"/>
      <c r="S1649" s="44"/>
      <c r="T1649" s="44"/>
    </row>
    <row r="1650" spans="12:20" x14ac:dyDescent="0.2">
      <c r="L1650" s="43"/>
      <c r="M1650" s="43"/>
      <c r="N1650" s="43"/>
      <c r="O1650" s="43"/>
      <c r="Q1650" s="44"/>
      <c r="R1650" s="44"/>
      <c r="S1650" s="44"/>
      <c r="T1650" s="44"/>
    </row>
    <row r="1651" spans="12:20" x14ac:dyDescent="0.2">
      <c r="L1651" s="43"/>
      <c r="M1651" s="43"/>
      <c r="N1651" s="43"/>
      <c r="O1651" s="43"/>
      <c r="Q1651" s="44"/>
      <c r="R1651" s="44"/>
      <c r="S1651" s="44"/>
      <c r="T1651" s="44"/>
    </row>
    <row r="1652" spans="12:20" x14ac:dyDescent="0.2">
      <c r="L1652" s="43"/>
      <c r="M1652" s="43"/>
      <c r="N1652" s="43"/>
      <c r="O1652" s="43"/>
      <c r="Q1652" s="44"/>
      <c r="R1652" s="44"/>
      <c r="S1652" s="44"/>
      <c r="T1652" s="44"/>
    </row>
    <row r="1653" spans="12:20" x14ac:dyDescent="0.2">
      <c r="L1653" s="43"/>
      <c r="M1653" s="43"/>
      <c r="N1653" s="43"/>
      <c r="O1653" s="43"/>
      <c r="Q1653" s="44"/>
      <c r="R1653" s="44"/>
      <c r="S1653" s="44"/>
      <c r="T1653" s="44"/>
    </row>
    <row r="1654" spans="12:20" x14ac:dyDescent="0.2">
      <c r="L1654" s="43"/>
      <c r="M1654" s="43"/>
      <c r="N1654" s="43"/>
      <c r="O1654" s="43"/>
      <c r="Q1654" s="44"/>
      <c r="R1654" s="44"/>
      <c r="S1654" s="44"/>
      <c r="T1654" s="44"/>
    </row>
    <row r="1655" spans="12:20" x14ac:dyDescent="0.2">
      <c r="L1655" s="43"/>
      <c r="M1655" s="43"/>
      <c r="N1655" s="43"/>
      <c r="O1655" s="43"/>
      <c r="Q1655" s="44"/>
      <c r="R1655" s="44"/>
      <c r="S1655" s="44"/>
      <c r="T1655" s="44"/>
    </row>
    <row r="1656" spans="12:20" x14ac:dyDescent="0.2">
      <c r="L1656" s="43"/>
      <c r="M1656" s="43"/>
      <c r="N1656" s="43"/>
      <c r="O1656" s="43"/>
      <c r="Q1656" s="44"/>
      <c r="R1656" s="44"/>
      <c r="S1656" s="44"/>
      <c r="T1656" s="44"/>
    </row>
    <row r="1657" spans="12:20" x14ac:dyDescent="0.2">
      <c r="L1657" s="43"/>
      <c r="M1657" s="43"/>
      <c r="N1657" s="43"/>
      <c r="O1657" s="43"/>
      <c r="Q1657" s="44"/>
      <c r="R1657" s="44"/>
      <c r="S1657" s="44"/>
      <c r="T1657" s="44"/>
    </row>
    <row r="1658" spans="12:20" x14ac:dyDescent="0.2">
      <c r="L1658" s="43"/>
      <c r="M1658" s="43"/>
      <c r="N1658" s="43"/>
      <c r="O1658" s="43"/>
      <c r="Q1658" s="44"/>
      <c r="R1658" s="44"/>
      <c r="S1658" s="44"/>
      <c r="T1658" s="44"/>
    </row>
    <row r="1659" spans="12:20" x14ac:dyDescent="0.2">
      <c r="L1659" s="43"/>
      <c r="M1659" s="43"/>
      <c r="N1659" s="43"/>
      <c r="O1659" s="43"/>
      <c r="Q1659" s="44"/>
      <c r="R1659" s="44"/>
      <c r="S1659" s="44"/>
      <c r="T1659" s="44"/>
    </row>
    <row r="1660" spans="12:20" x14ac:dyDescent="0.2">
      <c r="L1660" s="43"/>
      <c r="M1660" s="43"/>
      <c r="N1660" s="43"/>
      <c r="O1660" s="43"/>
      <c r="Q1660" s="44"/>
      <c r="R1660" s="44"/>
      <c r="S1660" s="44"/>
      <c r="T1660" s="44"/>
    </row>
    <row r="1661" spans="12:20" x14ac:dyDescent="0.2">
      <c r="L1661" s="43"/>
      <c r="M1661" s="43"/>
      <c r="N1661" s="43"/>
      <c r="O1661" s="43"/>
      <c r="Q1661" s="44"/>
      <c r="R1661" s="44"/>
      <c r="S1661" s="44"/>
      <c r="T1661" s="44"/>
    </row>
    <row r="1662" spans="12:20" x14ac:dyDescent="0.2">
      <c r="L1662" s="43"/>
      <c r="M1662" s="43"/>
      <c r="N1662" s="43"/>
      <c r="O1662" s="43"/>
      <c r="Q1662" s="44"/>
      <c r="R1662" s="44"/>
      <c r="S1662" s="44"/>
      <c r="T1662" s="44"/>
    </row>
    <row r="1663" spans="12:20" x14ac:dyDescent="0.2">
      <c r="L1663" s="43"/>
      <c r="M1663" s="43"/>
      <c r="N1663" s="43"/>
      <c r="O1663" s="43"/>
      <c r="Q1663" s="44"/>
      <c r="R1663" s="44"/>
      <c r="S1663" s="44"/>
      <c r="T1663" s="44"/>
    </row>
    <row r="1664" spans="12:20" x14ac:dyDescent="0.2">
      <c r="L1664" s="43"/>
      <c r="M1664" s="43"/>
      <c r="N1664" s="43"/>
      <c r="O1664" s="43"/>
      <c r="Q1664" s="44"/>
      <c r="R1664" s="44"/>
      <c r="S1664" s="44"/>
      <c r="T1664" s="44"/>
    </row>
    <row r="1665" spans="12:20" x14ac:dyDescent="0.2">
      <c r="L1665" s="43"/>
      <c r="M1665" s="43"/>
      <c r="N1665" s="43"/>
      <c r="O1665" s="43"/>
      <c r="Q1665" s="44"/>
      <c r="R1665" s="44"/>
      <c r="S1665" s="44"/>
      <c r="T1665" s="44"/>
    </row>
    <row r="1666" spans="12:20" x14ac:dyDescent="0.2">
      <c r="L1666" s="43"/>
      <c r="M1666" s="43"/>
      <c r="N1666" s="43"/>
      <c r="O1666" s="43"/>
      <c r="Q1666" s="44"/>
      <c r="R1666" s="44"/>
      <c r="S1666" s="44"/>
      <c r="T1666" s="44"/>
    </row>
    <row r="1667" spans="12:20" x14ac:dyDescent="0.2">
      <c r="L1667" s="43"/>
      <c r="M1667" s="43"/>
      <c r="N1667" s="43"/>
      <c r="O1667" s="43"/>
      <c r="Q1667" s="44"/>
      <c r="R1667" s="44"/>
      <c r="S1667" s="44"/>
      <c r="T1667" s="44"/>
    </row>
    <row r="1668" spans="12:20" x14ac:dyDescent="0.2">
      <c r="L1668" s="43"/>
      <c r="M1668" s="43"/>
      <c r="N1668" s="43"/>
      <c r="O1668" s="43"/>
      <c r="Q1668" s="44"/>
      <c r="R1668" s="44"/>
      <c r="S1668" s="44"/>
      <c r="T1668" s="44"/>
    </row>
    <row r="1669" spans="12:20" x14ac:dyDescent="0.2">
      <c r="L1669" s="43"/>
      <c r="M1669" s="43"/>
      <c r="N1669" s="43"/>
      <c r="O1669" s="43"/>
      <c r="Q1669" s="44"/>
      <c r="R1669" s="44"/>
      <c r="S1669" s="44"/>
      <c r="T1669" s="44"/>
    </row>
    <row r="1670" spans="12:20" x14ac:dyDescent="0.2">
      <c r="L1670" s="43"/>
      <c r="M1670" s="43"/>
      <c r="N1670" s="43"/>
      <c r="O1670" s="43"/>
      <c r="Q1670" s="44"/>
      <c r="R1670" s="44"/>
      <c r="S1670" s="44"/>
      <c r="T1670" s="44"/>
    </row>
    <row r="1671" spans="12:20" x14ac:dyDescent="0.2">
      <c r="L1671" s="43"/>
      <c r="M1671" s="43"/>
      <c r="N1671" s="43"/>
      <c r="O1671" s="43"/>
      <c r="Q1671" s="44"/>
      <c r="R1671" s="44"/>
      <c r="S1671" s="44"/>
      <c r="T1671" s="44"/>
    </row>
    <row r="1672" spans="12:20" x14ac:dyDescent="0.2">
      <c r="L1672" s="43"/>
      <c r="M1672" s="43"/>
      <c r="N1672" s="43"/>
      <c r="O1672" s="43"/>
      <c r="Q1672" s="44"/>
      <c r="R1672" s="44"/>
      <c r="S1672" s="44"/>
      <c r="T1672" s="44"/>
    </row>
    <row r="1673" spans="12:20" x14ac:dyDescent="0.2">
      <c r="L1673" s="43"/>
      <c r="M1673" s="43"/>
      <c r="N1673" s="43"/>
      <c r="O1673" s="43"/>
      <c r="Q1673" s="44"/>
      <c r="R1673" s="44"/>
      <c r="S1673" s="44"/>
      <c r="T1673" s="44"/>
    </row>
    <row r="1674" spans="12:20" x14ac:dyDescent="0.2">
      <c r="L1674" s="43"/>
      <c r="M1674" s="43"/>
      <c r="N1674" s="43"/>
      <c r="O1674" s="43"/>
      <c r="Q1674" s="44"/>
      <c r="R1674" s="44"/>
      <c r="S1674" s="44"/>
      <c r="T1674" s="44"/>
    </row>
    <row r="1675" spans="12:20" x14ac:dyDescent="0.2">
      <c r="L1675" s="43"/>
      <c r="M1675" s="43"/>
      <c r="N1675" s="43"/>
      <c r="O1675" s="43"/>
      <c r="Q1675" s="44"/>
      <c r="R1675" s="44"/>
      <c r="S1675" s="44"/>
      <c r="T1675" s="44"/>
    </row>
    <row r="1676" spans="12:20" x14ac:dyDescent="0.2">
      <c r="L1676" s="43"/>
      <c r="M1676" s="43"/>
      <c r="N1676" s="43"/>
      <c r="O1676" s="43"/>
      <c r="Q1676" s="44"/>
      <c r="R1676" s="44"/>
      <c r="S1676" s="44"/>
      <c r="T1676" s="44"/>
    </row>
    <row r="1677" spans="12:20" x14ac:dyDescent="0.2">
      <c r="L1677" s="43"/>
      <c r="M1677" s="43"/>
      <c r="N1677" s="43"/>
      <c r="O1677" s="43"/>
      <c r="Q1677" s="44"/>
      <c r="R1677" s="44"/>
      <c r="S1677" s="44"/>
      <c r="T1677" s="44"/>
    </row>
    <row r="1678" spans="12:20" x14ac:dyDescent="0.2">
      <c r="L1678" s="43"/>
      <c r="M1678" s="43"/>
      <c r="N1678" s="43"/>
      <c r="O1678" s="43"/>
      <c r="Q1678" s="44"/>
      <c r="R1678" s="44"/>
      <c r="S1678" s="44"/>
      <c r="T1678" s="44"/>
    </row>
    <row r="1679" spans="12:20" x14ac:dyDescent="0.2">
      <c r="L1679" s="43"/>
      <c r="M1679" s="43"/>
      <c r="N1679" s="43"/>
      <c r="O1679" s="43"/>
      <c r="Q1679" s="44"/>
      <c r="R1679" s="44"/>
      <c r="S1679" s="44"/>
      <c r="T1679" s="44"/>
    </row>
    <row r="1680" spans="12:20" x14ac:dyDescent="0.2">
      <c r="L1680" s="43"/>
      <c r="M1680" s="43"/>
      <c r="N1680" s="43"/>
      <c r="O1680" s="43"/>
      <c r="Q1680" s="44"/>
      <c r="R1680" s="44"/>
      <c r="S1680" s="44"/>
      <c r="T1680" s="44"/>
    </row>
    <row r="1681" spans="12:20" x14ac:dyDescent="0.2">
      <c r="L1681" s="43"/>
      <c r="M1681" s="43"/>
      <c r="N1681" s="43"/>
      <c r="O1681" s="43"/>
      <c r="Q1681" s="44"/>
      <c r="R1681" s="44"/>
      <c r="S1681" s="44"/>
      <c r="T1681" s="44"/>
    </row>
    <row r="1682" spans="12:20" x14ac:dyDescent="0.2">
      <c r="L1682" s="43"/>
      <c r="M1682" s="43"/>
      <c r="N1682" s="43"/>
      <c r="O1682" s="43"/>
      <c r="Q1682" s="44"/>
      <c r="R1682" s="44"/>
      <c r="S1682" s="44"/>
      <c r="T1682" s="44"/>
    </row>
    <row r="1683" spans="12:20" x14ac:dyDescent="0.2">
      <c r="L1683" s="43"/>
      <c r="M1683" s="43"/>
      <c r="N1683" s="43"/>
      <c r="O1683" s="43"/>
      <c r="Q1683" s="44"/>
      <c r="R1683" s="44"/>
      <c r="S1683" s="44"/>
      <c r="T1683" s="44"/>
    </row>
    <row r="1684" spans="12:20" x14ac:dyDescent="0.2">
      <c r="L1684" s="43"/>
      <c r="M1684" s="43"/>
      <c r="N1684" s="43"/>
      <c r="O1684" s="43"/>
      <c r="Q1684" s="44"/>
      <c r="R1684" s="44"/>
      <c r="S1684" s="44"/>
      <c r="T1684" s="44"/>
    </row>
    <row r="1685" spans="12:20" x14ac:dyDescent="0.2">
      <c r="L1685" s="43"/>
      <c r="M1685" s="43"/>
      <c r="N1685" s="43"/>
      <c r="O1685" s="43"/>
      <c r="Q1685" s="44"/>
      <c r="R1685" s="44"/>
      <c r="S1685" s="44"/>
      <c r="T1685" s="44"/>
    </row>
    <row r="1686" spans="12:20" x14ac:dyDescent="0.2">
      <c r="L1686" s="43"/>
      <c r="M1686" s="43"/>
      <c r="N1686" s="43"/>
      <c r="O1686" s="43"/>
      <c r="Q1686" s="44"/>
      <c r="R1686" s="44"/>
      <c r="S1686" s="44"/>
      <c r="T1686" s="44"/>
    </row>
    <row r="1687" spans="12:20" x14ac:dyDescent="0.2">
      <c r="L1687" s="43"/>
      <c r="M1687" s="43"/>
      <c r="N1687" s="43"/>
      <c r="O1687" s="43"/>
      <c r="Q1687" s="44"/>
      <c r="R1687" s="44"/>
      <c r="S1687" s="44"/>
      <c r="T1687" s="44"/>
    </row>
    <row r="1688" spans="12:20" x14ac:dyDescent="0.2">
      <c r="L1688" s="43"/>
      <c r="M1688" s="43"/>
      <c r="N1688" s="43"/>
      <c r="O1688" s="43"/>
      <c r="Q1688" s="44"/>
      <c r="R1688" s="44"/>
      <c r="S1688" s="44"/>
      <c r="T1688" s="44"/>
    </row>
    <row r="1689" spans="12:20" x14ac:dyDescent="0.2">
      <c r="L1689" s="43"/>
      <c r="M1689" s="43"/>
      <c r="N1689" s="43"/>
      <c r="O1689" s="43"/>
      <c r="Q1689" s="44"/>
      <c r="R1689" s="44"/>
      <c r="S1689" s="44"/>
      <c r="T1689" s="44"/>
    </row>
    <row r="1690" spans="12:20" x14ac:dyDescent="0.2">
      <c r="L1690" s="43"/>
      <c r="M1690" s="43"/>
      <c r="N1690" s="43"/>
      <c r="O1690" s="43"/>
      <c r="Q1690" s="44"/>
      <c r="R1690" s="44"/>
      <c r="S1690" s="44"/>
      <c r="T1690" s="44"/>
    </row>
    <row r="1691" spans="12:20" x14ac:dyDescent="0.2">
      <c r="L1691" s="43"/>
      <c r="M1691" s="43"/>
      <c r="N1691" s="43"/>
      <c r="O1691" s="43"/>
      <c r="Q1691" s="44"/>
      <c r="R1691" s="44"/>
      <c r="S1691" s="44"/>
      <c r="T1691" s="44"/>
    </row>
    <row r="1692" spans="12:20" x14ac:dyDescent="0.2">
      <c r="L1692" s="43"/>
      <c r="M1692" s="43"/>
      <c r="N1692" s="43"/>
      <c r="O1692" s="43"/>
      <c r="Q1692" s="44"/>
      <c r="R1692" s="44"/>
      <c r="S1692" s="44"/>
      <c r="T1692" s="44"/>
    </row>
    <row r="1693" spans="12:20" x14ac:dyDescent="0.2">
      <c r="L1693" s="43"/>
      <c r="M1693" s="43"/>
      <c r="N1693" s="43"/>
      <c r="O1693" s="43"/>
      <c r="Q1693" s="44"/>
      <c r="R1693" s="44"/>
      <c r="S1693" s="44"/>
      <c r="T1693" s="44"/>
    </row>
    <row r="1694" spans="12:20" x14ac:dyDescent="0.2">
      <c r="L1694" s="43"/>
      <c r="M1694" s="43"/>
      <c r="N1694" s="43"/>
      <c r="O1694" s="43"/>
      <c r="Q1694" s="44"/>
      <c r="R1694" s="44"/>
      <c r="S1694" s="44"/>
      <c r="T1694" s="44"/>
    </row>
    <row r="1695" spans="12:20" x14ac:dyDescent="0.2">
      <c r="L1695" s="43"/>
      <c r="M1695" s="43"/>
      <c r="N1695" s="43"/>
      <c r="O1695" s="43"/>
      <c r="Q1695" s="44"/>
      <c r="R1695" s="44"/>
      <c r="S1695" s="44"/>
      <c r="T1695" s="44"/>
    </row>
    <row r="1696" spans="12:20" x14ac:dyDescent="0.2">
      <c r="L1696" s="43"/>
      <c r="M1696" s="43"/>
      <c r="N1696" s="43"/>
      <c r="O1696" s="43"/>
      <c r="Q1696" s="44"/>
      <c r="R1696" s="44"/>
      <c r="S1696" s="44"/>
      <c r="T1696" s="44"/>
    </row>
    <row r="1697" spans="12:20" x14ac:dyDescent="0.2">
      <c r="L1697" s="43"/>
      <c r="M1697" s="43"/>
      <c r="N1697" s="43"/>
      <c r="O1697" s="43"/>
      <c r="Q1697" s="44"/>
      <c r="R1697" s="44"/>
      <c r="S1697" s="44"/>
      <c r="T1697" s="44"/>
    </row>
    <row r="1698" spans="12:20" x14ac:dyDescent="0.2">
      <c r="L1698" s="43"/>
      <c r="M1698" s="43"/>
      <c r="N1698" s="43"/>
      <c r="O1698" s="43"/>
      <c r="Q1698" s="44"/>
      <c r="R1698" s="44"/>
      <c r="S1698" s="44"/>
      <c r="T1698" s="44"/>
    </row>
    <row r="1699" spans="12:20" x14ac:dyDescent="0.2">
      <c r="L1699" s="43"/>
      <c r="M1699" s="43"/>
      <c r="N1699" s="43"/>
      <c r="O1699" s="43"/>
      <c r="Q1699" s="44"/>
      <c r="R1699" s="44"/>
      <c r="S1699" s="44"/>
      <c r="T1699" s="44"/>
    </row>
    <row r="1700" spans="12:20" x14ac:dyDescent="0.2">
      <c r="L1700" s="43"/>
      <c r="M1700" s="43"/>
      <c r="N1700" s="43"/>
      <c r="O1700" s="43"/>
      <c r="Q1700" s="44"/>
      <c r="R1700" s="44"/>
      <c r="S1700" s="44"/>
      <c r="T1700" s="44"/>
    </row>
    <row r="1701" spans="12:20" x14ac:dyDescent="0.2">
      <c r="L1701" s="43"/>
      <c r="M1701" s="43"/>
      <c r="N1701" s="43"/>
      <c r="O1701" s="43"/>
      <c r="Q1701" s="44"/>
      <c r="R1701" s="44"/>
      <c r="S1701" s="44"/>
      <c r="T1701" s="44"/>
    </row>
    <row r="1702" spans="12:20" x14ac:dyDescent="0.2">
      <c r="L1702" s="43"/>
      <c r="M1702" s="43"/>
      <c r="N1702" s="43"/>
      <c r="O1702" s="43"/>
      <c r="Q1702" s="44"/>
      <c r="R1702" s="44"/>
      <c r="S1702" s="44"/>
      <c r="T1702" s="44"/>
    </row>
    <row r="1703" spans="12:20" x14ac:dyDescent="0.2">
      <c r="L1703" s="43"/>
      <c r="M1703" s="43"/>
      <c r="N1703" s="43"/>
      <c r="O1703" s="43"/>
      <c r="Q1703" s="44"/>
      <c r="R1703" s="44"/>
      <c r="S1703" s="44"/>
      <c r="T1703" s="44"/>
    </row>
    <row r="1704" spans="12:20" x14ac:dyDescent="0.2">
      <c r="L1704" s="43"/>
      <c r="M1704" s="43"/>
      <c r="N1704" s="43"/>
      <c r="O1704" s="43"/>
      <c r="Q1704" s="44"/>
      <c r="R1704" s="44"/>
      <c r="S1704" s="44"/>
      <c r="T1704" s="44"/>
    </row>
    <row r="1705" spans="12:20" x14ac:dyDescent="0.2">
      <c r="L1705" s="43"/>
      <c r="M1705" s="43"/>
      <c r="N1705" s="43"/>
      <c r="O1705" s="43"/>
      <c r="Q1705" s="44"/>
      <c r="R1705" s="44"/>
      <c r="S1705" s="44"/>
      <c r="T1705" s="44"/>
    </row>
    <row r="1706" spans="12:20" x14ac:dyDescent="0.2">
      <c r="L1706" s="43"/>
      <c r="M1706" s="43"/>
      <c r="N1706" s="43"/>
      <c r="O1706" s="43"/>
      <c r="Q1706" s="44"/>
      <c r="R1706" s="44"/>
      <c r="S1706" s="44"/>
      <c r="T1706" s="44"/>
    </row>
    <row r="1707" spans="12:20" x14ac:dyDescent="0.2">
      <c r="L1707" s="43"/>
      <c r="M1707" s="43"/>
      <c r="N1707" s="43"/>
      <c r="O1707" s="43"/>
      <c r="Q1707" s="44"/>
      <c r="R1707" s="44"/>
      <c r="S1707" s="44"/>
      <c r="T1707" s="44"/>
    </row>
    <row r="1708" spans="12:20" x14ac:dyDescent="0.2">
      <c r="L1708" s="43"/>
      <c r="M1708" s="43"/>
      <c r="N1708" s="43"/>
      <c r="O1708" s="43"/>
      <c r="Q1708" s="44"/>
      <c r="R1708" s="44"/>
      <c r="S1708" s="44"/>
      <c r="T1708" s="44"/>
    </row>
    <row r="1709" spans="12:20" x14ac:dyDescent="0.2">
      <c r="L1709" s="43"/>
      <c r="M1709" s="43"/>
      <c r="N1709" s="43"/>
      <c r="O1709" s="43"/>
      <c r="Q1709" s="44"/>
      <c r="R1709" s="44"/>
      <c r="S1709" s="44"/>
      <c r="T1709" s="44"/>
    </row>
    <row r="1710" spans="12:20" x14ac:dyDescent="0.2">
      <c r="L1710" s="43"/>
      <c r="M1710" s="43"/>
      <c r="N1710" s="43"/>
      <c r="O1710" s="43"/>
      <c r="Q1710" s="44"/>
      <c r="R1710" s="44"/>
      <c r="S1710" s="44"/>
      <c r="T1710" s="44"/>
    </row>
    <row r="1711" spans="12:20" x14ac:dyDescent="0.2">
      <c r="L1711" s="43"/>
      <c r="M1711" s="43"/>
      <c r="N1711" s="43"/>
      <c r="O1711" s="43"/>
      <c r="Q1711" s="44"/>
      <c r="R1711" s="44"/>
      <c r="S1711" s="44"/>
      <c r="T1711" s="44"/>
    </row>
    <row r="1712" spans="12:20" x14ac:dyDescent="0.2">
      <c r="L1712" s="43"/>
      <c r="M1712" s="43"/>
      <c r="N1712" s="43"/>
      <c r="O1712" s="43"/>
      <c r="Q1712" s="44"/>
      <c r="R1712" s="44"/>
      <c r="S1712" s="44"/>
      <c r="T1712" s="44"/>
    </row>
    <row r="1713" spans="12:20" x14ac:dyDescent="0.2">
      <c r="L1713" s="43"/>
      <c r="M1713" s="43"/>
      <c r="N1713" s="43"/>
      <c r="O1713" s="43"/>
      <c r="Q1713" s="44"/>
      <c r="R1713" s="44"/>
      <c r="S1713" s="44"/>
      <c r="T1713" s="44"/>
    </row>
    <row r="1714" spans="12:20" x14ac:dyDescent="0.2">
      <c r="L1714" s="43"/>
      <c r="M1714" s="43"/>
      <c r="N1714" s="43"/>
      <c r="O1714" s="43"/>
      <c r="Q1714" s="44"/>
      <c r="R1714" s="44"/>
      <c r="S1714" s="44"/>
      <c r="T1714" s="44"/>
    </row>
    <row r="1715" spans="12:20" x14ac:dyDescent="0.2">
      <c r="L1715" s="43"/>
      <c r="M1715" s="43"/>
      <c r="N1715" s="43"/>
      <c r="O1715" s="43"/>
      <c r="Q1715" s="44"/>
      <c r="R1715" s="44"/>
      <c r="S1715" s="44"/>
      <c r="T1715" s="44"/>
    </row>
    <row r="1716" spans="12:20" x14ac:dyDescent="0.2">
      <c r="L1716" s="43"/>
      <c r="M1716" s="43"/>
      <c r="N1716" s="43"/>
      <c r="O1716" s="43"/>
      <c r="Q1716" s="44"/>
      <c r="R1716" s="44"/>
      <c r="S1716" s="44"/>
      <c r="T1716" s="44"/>
    </row>
    <row r="1717" spans="12:20" x14ac:dyDescent="0.2">
      <c r="L1717" s="43"/>
      <c r="M1717" s="43"/>
      <c r="N1717" s="43"/>
      <c r="O1717" s="43"/>
      <c r="Q1717" s="44"/>
      <c r="R1717" s="44"/>
      <c r="S1717" s="44"/>
      <c r="T1717" s="44"/>
    </row>
    <row r="1718" spans="12:20" x14ac:dyDescent="0.2">
      <c r="L1718" s="43"/>
      <c r="M1718" s="43"/>
      <c r="N1718" s="43"/>
      <c r="O1718" s="43"/>
      <c r="Q1718" s="44"/>
      <c r="R1718" s="44"/>
      <c r="S1718" s="44"/>
      <c r="T1718" s="44"/>
    </row>
    <row r="1719" spans="12:20" x14ac:dyDescent="0.2">
      <c r="L1719" s="43"/>
      <c r="M1719" s="43"/>
      <c r="N1719" s="43"/>
      <c r="O1719" s="43"/>
      <c r="Q1719" s="44"/>
      <c r="R1719" s="44"/>
      <c r="S1719" s="44"/>
      <c r="T1719" s="44"/>
    </row>
    <row r="1720" spans="12:20" x14ac:dyDescent="0.2">
      <c r="L1720" s="43"/>
      <c r="M1720" s="43"/>
      <c r="N1720" s="43"/>
      <c r="O1720" s="43"/>
      <c r="Q1720" s="44"/>
      <c r="R1720" s="44"/>
      <c r="S1720" s="44"/>
      <c r="T1720" s="44"/>
    </row>
    <row r="1721" spans="12:20" x14ac:dyDescent="0.2">
      <c r="L1721" s="43"/>
      <c r="M1721" s="43"/>
      <c r="N1721" s="43"/>
      <c r="O1721" s="43"/>
      <c r="Q1721" s="44"/>
      <c r="R1721" s="44"/>
      <c r="S1721" s="44"/>
      <c r="T1721" s="44"/>
    </row>
    <row r="1722" spans="12:20" x14ac:dyDescent="0.2">
      <c r="L1722" s="43"/>
      <c r="M1722" s="43"/>
      <c r="N1722" s="43"/>
      <c r="O1722" s="43"/>
      <c r="Q1722" s="44"/>
      <c r="R1722" s="44"/>
      <c r="S1722" s="44"/>
      <c r="T1722" s="44"/>
    </row>
    <row r="1723" spans="12:20" x14ac:dyDescent="0.2">
      <c r="L1723" s="43"/>
      <c r="M1723" s="43"/>
      <c r="N1723" s="43"/>
      <c r="O1723" s="43"/>
      <c r="Q1723" s="44"/>
      <c r="R1723" s="44"/>
      <c r="S1723" s="44"/>
      <c r="T1723" s="44"/>
    </row>
    <row r="1724" spans="12:20" x14ac:dyDescent="0.2">
      <c r="L1724" s="43"/>
      <c r="M1724" s="43"/>
      <c r="N1724" s="43"/>
      <c r="O1724" s="43"/>
      <c r="Q1724" s="44"/>
      <c r="R1724" s="44"/>
      <c r="S1724" s="44"/>
      <c r="T1724" s="44"/>
    </row>
    <row r="1725" spans="12:20" x14ac:dyDescent="0.2">
      <c r="L1725" s="43"/>
      <c r="M1725" s="43"/>
      <c r="N1725" s="43"/>
      <c r="O1725" s="43"/>
      <c r="Q1725" s="44"/>
      <c r="R1725" s="44"/>
      <c r="S1725" s="44"/>
      <c r="T1725" s="44"/>
    </row>
    <row r="1726" spans="12:20" x14ac:dyDescent="0.2">
      <c r="L1726" s="43"/>
      <c r="M1726" s="43"/>
      <c r="N1726" s="43"/>
      <c r="O1726" s="43"/>
      <c r="Q1726" s="44"/>
      <c r="R1726" s="44"/>
      <c r="S1726" s="44"/>
      <c r="T1726" s="44"/>
    </row>
    <row r="1727" spans="12:20" x14ac:dyDescent="0.2">
      <c r="L1727" s="43"/>
      <c r="M1727" s="43"/>
      <c r="N1727" s="43"/>
      <c r="O1727" s="43"/>
      <c r="Q1727" s="44"/>
      <c r="R1727" s="44"/>
      <c r="S1727" s="44"/>
      <c r="T1727" s="44"/>
    </row>
    <row r="1728" spans="12:20" x14ac:dyDescent="0.2">
      <c r="L1728" s="43"/>
      <c r="M1728" s="43"/>
      <c r="N1728" s="43"/>
      <c r="O1728" s="43"/>
      <c r="Q1728" s="44"/>
      <c r="R1728" s="44"/>
      <c r="S1728" s="44"/>
      <c r="T1728" s="44"/>
    </row>
    <row r="1729" spans="12:20" x14ac:dyDescent="0.2">
      <c r="L1729" s="43"/>
      <c r="M1729" s="43"/>
      <c r="N1729" s="43"/>
      <c r="O1729" s="43"/>
      <c r="Q1729" s="44"/>
      <c r="R1729" s="44"/>
      <c r="S1729" s="44"/>
      <c r="T1729" s="44"/>
    </row>
    <row r="1730" spans="12:20" x14ac:dyDescent="0.2">
      <c r="L1730" s="43"/>
      <c r="M1730" s="43"/>
      <c r="N1730" s="43"/>
      <c r="O1730" s="43"/>
      <c r="Q1730" s="44"/>
      <c r="R1730" s="44"/>
      <c r="S1730" s="44"/>
      <c r="T1730" s="44"/>
    </row>
    <row r="1731" spans="12:20" x14ac:dyDescent="0.2">
      <c r="L1731" s="43"/>
      <c r="M1731" s="43"/>
      <c r="N1731" s="43"/>
      <c r="O1731" s="43"/>
      <c r="Q1731" s="44"/>
      <c r="R1731" s="44"/>
      <c r="S1731" s="44"/>
      <c r="T1731" s="44"/>
    </row>
    <row r="1732" spans="12:20" x14ac:dyDescent="0.2">
      <c r="L1732" s="43"/>
      <c r="M1732" s="43"/>
      <c r="N1732" s="43"/>
      <c r="O1732" s="43"/>
      <c r="Q1732" s="44"/>
      <c r="R1732" s="44"/>
      <c r="S1732" s="44"/>
      <c r="T1732" s="44"/>
    </row>
    <row r="1733" spans="12:20" x14ac:dyDescent="0.2">
      <c r="L1733" s="43"/>
      <c r="M1733" s="43"/>
      <c r="N1733" s="43"/>
      <c r="O1733" s="43"/>
      <c r="Q1733" s="44"/>
      <c r="R1733" s="44"/>
      <c r="S1733" s="44"/>
      <c r="T1733" s="44"/>
    </row>
    <row r="1734" spans="12:20" x14ac:dyDescent="0.2">
      <c r="L1734" s="43"/>
      <c r="M1734" s="43"/>
      <c r="N1734" s="43"/>
      <c r="O1734" s="43"/>
      <c r="Q1734" s="44"/>
      <c r="R1734" s="44"/>
      <c r="S1734" s="44"/>
      <c r="T1734" s="44"/>
    </row>
    <row r="1735" spans="12:20" x14ac:dyDescent="0.2">
      <c r="L1735" s="43"/>
      <c r="M1735" s="43"/>
      <c r="N1735" s="43"/>
      <c r="O1735" s="43"/>
      <c r="Q1735" s="44"/>
      <c r="R1735" s="44"/>
      <c r="S1735" s="44"/>
      <c r="T1735" s="44"/>
    </row>
    <row r="1736" spans="12:20" x14ac:dyDescent="0.2">
      <c r="L1736" s="43"/>
      <c r="M1736" s="43"/>
      <c r="N1736" s="43"/>
      <c r="O1736" s="43"/>
      <c r="Q1736" s="44"/>
      <c r="R1736" s="44"/>
      <c r="S1736" s="44"/>
      <c r="T1736" s="44"/>
    </row>
    <row r="1737" spans="12:20" x14ac:dyDescent="0.2">
      <c r="L1737" s="43"/>
      <c r="M1737" s="43"/>
      <c r="N1737" s="43"/>
      <c r="O1737" s="43"/>
      <c r="Q1737" s="44"/>
      <c r="R1737" s="44"/>
      <c r="S1737" s="44"/>
      <c r="T1737" s="44"/>
    </row>
    <row r="1738" spans="12:20" x14ac:dyDescent="0.2">
      <c r="L1738" s="43"/>
      <c r="M1738" s="43"/>
      <c r="N1738" s="43"/>
      <c r="O1738" s="43"/>
      <c r="Q1738" s="44"/>
      <c r="R1738" s="44"/>
      <c r="S1738" s="44"/>
      <c r="T1738" s="44"/>
    </row>
    <row r="1739" spans="12:20" x14ac:dyDescent="0.2">
      <c r="L1739" s="43"/>
      <c r="M1739" s="43"/>
      <c r="N1739" s="43"/>
      <c r="O1739" s="43"/>
      <c r="Q1739" s="44"/>
      <c r="R1739" s="44"/>
      <c r="S1739" s="44"/>
      <c r="T1739" s="44"/>
    </row>
    <row r="1740" spans="12:20" x14ac:dyDescent="0.2">
      <c r="L1740" s="43"/>
      <c r="M1740" s="43"/>
      <c r="N1740" s="43"/>
      <c r="O1740" s="43"/>
      <c r="Q1740" s="44"/>
      <c r="R1740" s="44"/>
      <c r="S1740" s="44"/>
      <c r="T1740" s="44"/>
    </row>
    <row r="1741" spans="12:20" x14ac:dyDescent="0.2">
      <c r="L1741" s="43"/>
      <c r="M1741" s="43"/>
      <c r="N1741" s="43"/>
      <c r="O1741" s="43"/>
      <c r="Q1741" s="44"/>
      <c r="R1741" s="44"/>
      <c r="S1741" s="44"/>
      <c r="T1741" s="44"/>
    </row>
    <row r="1742" spans="12:20" x14ac:dyDescent="0.2">
      <c r="L1742" s="43"/>
      <c r="M1742" s="43"/>
      <c r="N1742" s="43"/>
      <c r="O1742" s="43"/>
      <c r="Q1742" s="44"/>
      <c r="R1742" s="44"/>
      <c r="S1742" s="44"/>
      <c r="T1742" s="44"/>
    </row>
    <row r="1743" spans="12:20" x14ac:dyDescent="0.2">
      <c r="L1743" s="43"/>
      <c r="M1743" s="43"/>
      <c r="N1743" s="43"/>
      <c r="O1743" s="43"/>
      <c r="Q1743" s="44"/>
      <c r="R1743" s="44"/>
      <c r="S1743" s="44"/>
      <c r="T1743" s="44"/>
    </row>
    <row r="1744" spans="12:20" x14ac:dyDescent="0.2">
      <c r="L1744" s="43"/>
      <c r="M1744" s="43"/>
      <c r="N1744" s="43"/>
      <c r="O1744" s="43"/>
      <c r="Q1744" s="44"/>
      <c r="R1744" s="44"/>
      <c r="S1744" s="44"/>
      <c r="T1744" s="44"/>
    </row>
    <row r="1745" spans="12:20" x14ac:dyDescent="0.2">
      <c r="L1745" s="43"/>
      <c r="M1745" s="43"/>
      <c r="N1745" s="43"/>
      <c r="O1745" s="43"/>
      <c r="Q1745" s="44"/>
      <c r="R1745" s="44"/>
      <c r="S1745" s="44"/>
      <c r="T1745" s="44"/>
    </row>
    <row r="1746" spans="12:20" x14ac:dyDescent="0.2">
      <c r="L1746" s="43"/>
      <c r="M1746" s="43"/>
      <c r="N1746" s="43"/>
      <c r="O1746" s="43"/>
      <c r="Q1746" s="44"/>
      <c r="R1746" s="44"/>
      <c r="S1746" s="44"/>
      <c r="T1746" s="44"/>
    </row>
    <row r="1747" spans="12:20" x14ac:dyDescent="0.2">
      <c r="L1747" s="43"/>
      <c r="M1747" s="43"/>
      <c r="N1747" s="43"/>
      <c r="O1747" s="43"/>
      <c r="Q1747" s="44"/>
      <c r="R1747" s="44"/>
      <c r="S1747" s="44"/>
      <c r="T1747" s="44"/>
    </row>
    <row r="1748" spans="12:20" x14ac:dyDescent="0.2">
      <c r="L1748" s="43"/>
      <c r="M1748" s="43"/>
      <c r="N1748" s="43"/>
      <c r="O1748" s="43"/>
      <c r="Q1748" s="44"/>
      <c r="R1748" s="44"/>
      <c r="S1748" s="44"/>
      <c r="T1748" s="44"/>
    </row>
    <row r="1749" spans="12:20" x14ac:dyDescent="0.2">
      <c r="L1749" s="43"/>
      <c r="M1749" s="43"/>
      <c r="N1749" s="43"/>
      <c r="O1749" s="43"/>
      <c r="Q1749" s="44"/>
      <c r="R1749" s="44"/>
      <c r="S1749" s="44"/>
      <c r="T1749" s="44"/>
    </row>
    <row r="1750" spans="12:20" x14ac:dyDescent="0.2">
      <c r="L1750" s="43"/>
      <c r="M1750" s="43"/>
      <c r="N1750" s="43"/>
      <c r="O1750" s="43"/>
      <c r="Q1750" s="44"/>
      <c r="R1750" s="44"/>
      <c r="S1750" s="44"/>
      <c r="T1750" s="44"/>
    </row>
    <row r="1751" spans="12:20" x14ac:dyDescent="0.2">
      <c r="L1751" s="43"/>
      <c r="M1751" s="43"/>
      <c r="N1751" s="43"/>
      <c r="O1751" s="43"/>
      <c r="Q1751" s="44"/>
      <c r="R1751" s="44"/>
      <c r="S1751" s="44"/>
      <c r="T1751" s="44"/>
    </row>
    <row r="1752" spans="12:20" x14ac:dyDescent="0.2">
      <c r="L1752" s="43"/>
      <c r="M1752" s="43"/>
      <c r="N1752" s="43"/>
      <c r="O1752" s="43"/>
      <c r="Q1752" s="44"/>
      <c r="R1752" s="44"/>
      <c r="S1752" s="44"/>
      <c r="T1752" s="44"/>
    </row>
    <row r="1753" spans="12:20" x14ac:dyDescent="0.2">
      <c r="L1753" s="43"/>
      <c r="M1753" s="43"/>
      <c r="N1753" s="43"/>
      <c r="O1753" s="43"/>
      <c r="Q1753" s="44"/>
      <c r="R1753" s="44"/>
      <c r="S1753" s="44"/>
      <c r="T1753" s="44"/>
    </row>
    <row r="1754" spans="12:20" x14ac:dyDescent="0.2">
      <c r="L1754" s="43"/>
      <c r="M1754" s="43"/>
      <c r="N1754" s="43"/>
      <c r="O1754" s="43"/>
      <c r="Q1754" s="44"/>
      <c r="R1754" s="44"/>
      <c r="S1754" s="44"/>
      <c r="T1754" s="44"/>
    </row>
    <row r="1755" spans="12:20" x14ac:dyDescent="0.2">
      <c r="L1755" s="43"/>
      <c r="M1755" s="43"/>
      <c r="N1755" s="43"/>
      <c r="O1755" s="43"/>
      <c r="Q1755" s="44"/>
      <c r="R1755" s="44"/>
      <c r="S1755" s="44"/>
      <c r="T1755" s="44"/>
    </row>
    <row r="1756" spans="12:20" x14ac:dyDescent="0.2">
      <c r="L1756" s="43"/>
      <c r="M1756" s="43"/>
      <c r="N1756" s="43"/>
      <c r="O1756" s="43"/>
      <c r="Q1756" s="44"/>
      <c r="R1756" s="44"/>
      <c r="S1756" s="44"/>
      <c r="T1756" s="44"/>
    </row>
    <row r="1757" spans="12:20" x14ac:dyDescent="0.2">
      <c r="L1757" s="43"/>
      <c r="M1757" s="43"/>
      <c r="N1757" s="43"/>
      <c r="O1757" s="43"/>
      <c r="Q1757" s="44"/>
      <c r="R1757" s="44"/>
      <c r="S1757" s="44"/>
      <c r="T1757" s="44"/>
    </row>
    <row r="1758" spans="12:20" x14ac:dyDescent="0.2">
      <c r="L1758" s="43"/>
      <c r="M1758" s="43"/>
      <c r="N1758" s="43"/>
      <c r="O1758" s="43"/>
      <c r="Q1758" s="44"/>
      <c r="R1758" s="44"/>
      <c r="S1758" s="44"/>
      <c r="T1758" s="44"/>
    </row>
    <row r="1759" spans="12:20" x14ac:dyDescent="0.2">
      <c r="L1759" s="43"/>
      <c r="M1759" s="43"/>
      <c r="N1759" s="43"/>
      <c r="O1759" s="43"/>
      <c r="Q1759" s="44"/>
      <c r="R1759" s="44"/>
      <c r="S1759" s="44"/>
      <c r="T1759" s="44"/>
    </row>
    <row r="1760" spans="12:20" x14ac:dyDescent="0.2">
      <c r="L1760" s="43"/>
      <c r="M1760" s="43"/>
      <c r="N1760" s="43"/>
      <c r="O1760" s="43"/>
      <c r="Q1760" s="44"/>
      <c r="R1760" s="44"/>
      <c r="S1760" s="44"/>
      <c r="T1760" s="44"/>
    </row>
    <row r="1761" spans="12:20" x14ac:dyDescent="0.2">
      <c r="L1761" s="43"/>
      <c r="M1761" s="43"/>
      <c r="N1761" s="43"/>
      <c r="O1761" s="43"/>
      <c r="Q1761" s="44"/>
      <c r="R1761" s="44"/>
      <c r="S1761" s="44"/>
      <c r="T1761" s="44"/>
    </row>
    <row r="1762" spans="12:20" x14ac:dyDescent="0.2">
      <c r="L1762" s="43"/>
      <c r="M1762" s="43"/>
      <c r="N1762" s="43"/>
      <c r="O1762" s="43"/>
      <c r="Q1762" s="44"/>
      <c r="R1762" s="44"/>
      <c r="S1762" s="44"/>
      <c r="T1762" s="44"/>
    </row>
    <row r="1763" spans="12:20" x14ac:dyDescent="0.2">
      <c r="L1763" s="43"/>
      <c r="M1763" s="43"/>
      <c r="N1763" s="43"/>
      <c r="O1763" s="43"/>
      <c r="Q1763" s="44"/>
      <c r="R1763" s="44"/>
      <c r="S1763" s="44"/>
      <c r="T1763" s="44"/>
    </row>
    <row r="1764" spans="12:20" x14ac:dyDescent="0.2">
      <c r="L1764" s="43"/>
      <c r="M1764" s="43"/>
      <c r="N1764" s="43"/>
      <c r="O1764" s="43"/>
      <c r="Q1764" s="44"/>
      <c r="R1764" s="44"/>
      <c r="S1764" s="44"/>
      <c r="T1764" s="44"/>
    </row>
    <row r="1765" spans="12:20" x14ac:dyDescent="0.2">
      <c r="L1765" s="43"/>
      <c r="M1765" s="43"/>
      <c r="N1765" s="43"/>
      <c r="O1765" s="43"/>
      <c r="Q1765" s="44"/>
      <c r="R1765" s="44"/>
      <c r="S1765" s="44"/>
      <c r="T1765" s="44"/>
    </row>
    <row r="1766" spans="12:20" x14ac:dyDescent="0.2">
      <c r="L1766" s="43"/>
      <c r="M1766" s="43"/>
      <c r="N1766" s="43"/>
      <c r="O1766" s="43"/>
      <c r="Q1766" s="44"/>
      <c r="R1766" s="44"/>
      <c r="S1766" s="44"/>
      <c r="T1766" s="44"/>
    </row>
    <row r="1767" spans="12:20" x14ac:dyDescent="0.2">
      <c r="L1767" s="43"/>
      <c r="M1767" s="43"/>
      <c r="N1767" s="43"/>
      <c r="O1767" s="43"/>
      <c r="Q1767" s="44"/>
      <c r="R1767" s="44"/>
      <c r="S1767" s="44"/>
      <c r="T1767" s="44"/>
    </row>
    <row r="1768" spans="12:20" x14ac:dyDescent="0.2">
      <c r="L1768" s="43"/>
      <c r="M1768" s="43"/>
      <c r="N1768" s="43"/>
      <c r="O1768" s="43"/>
      <c r="Q1768" s="44"/>
      <c r="R1768" s="44"/>
      <c r="S1768" s="44"/>
      <c r="T1768" s="44"/>
    </row>
    <row r="1769" spans="12:20" x14ac:dyDescent="0.2">
      <c r="L1769" s="43"/>
      <c r="M1769" s="43"/>
      <c r="N1769" s="43"/>
      <c r="O1769" s="43"/>
      <c r="Q1769" s="44"/>
      <c r="R1769" s="44"/>
      <c r="S1769" s="44"/>
      <c r="T1769" s="44"/>
    </row>
    <row r="1770" spans="12:20" x14ac:dyDescent="0.2">
      <c r="L1770" s="43"/>
      <c r="M1770" s="43"/>
      <c r="N1770" s="43"/>
      <c r="O1770" s="43"/>
      <c r="Q1770" s="44"/>
      <c r="R1770" s="44"/>
      <c r="S1770" s="44"/>
      <c r="T1770" s="44"/>
    </row>
    <row r="1771" spans="12:20" x14ac:dyDescent="0.2">
      <c r="L1771" s="43"/>
      <c r="M1771" s="43"/>
      <c r="N1771" s="43"/>
      <c r="O1771" s="43"/>
      <c r="Q1771" s="44"/>
      <c r="R1771" s="44"/>
      <c r="S1771" s="44"/>
      <c r="T1771" s="44"/>
    </row>
    <row r="1772" spans="12:20" x14ac:dyDescent="0.2">
      <c r="L1772" s="43"/>
      <c r="M1772" s="43"/>
      <c r="N1772" s="43"/>
      <c r="O1772" s="43"/>
      <c r="Q1772" s="44"/>
      <c r="R1772" s="44"/>
      <c r="S1772" s="44"/>
      <c r="T1772" s="44"/>
    </row>
    <row r="1773" spans="12:20" x14ac:dyDescent="0.2">
      <c r="L1773" s="43"/>
      <c r="M1773" s="43"/>
      <c r="N1773" s="43"/>
      <c r="O1773" s="43"/>
      <c r="Q1773" s="44"/>
      <c r="R1773" s="44"/>
      <c r="S1773" s="44"/>
      <c r="T1773" s="44"/>
    </row>
    <row r="1774" spans="12:20" x14ac:dyDescent="0.2">
      <c r="L1774" s="43"/>
      <c r="M1774" s="43"/>
      <c r="N1774" s="43"/>
      <c r="O1774" s="43"/>
      <c r="Q1774" s="44"/>
      <c r="R1774" s="44"/>
      <c r="S1774" s="44"/>
      <c r="T1774" s="44"/>
    </row>
    <row r="1775" spans="12:20" x14ac:dyDescent="0.2">
      <c r="L1775" s="43"/>
      <c r="M1775" s="43"/>
      <c r="N1775" s="43"/>
      <c r="O1775" s="43"/>
      <c r="Q1775" s="44"/>
      <c r="R1775" s="44"/>
      <c r="S1775" s="44"/>
      <c r="T1775" s="44"/>
    </row>
    <row r="1776" spans="12:20" x14ac:dyDescent="0.2">
      <c r="L1776" s="43"/>
      <c r="M1776" s="43"/>
      <c r="N1776" s="43"/>
      <c r="O1776" s="43"/>
      <c r="Q1776" s="44"/>
      <c r="R1776" s="44"/>
      <c r="S1776" s="44"/>
      <c r="T1776" s="44"/>
    </row>
    <row r="1777" spans="12:20" x14ac:dyDescent="0.2">
      <c r="L1777" s="43"/>
      <c r="M1777" s="43"/>
      <c r="N1777" s="43"/>
      <c r="O1777" s="43"/>
      <c r="Q1777" s="44"/>
      <c r="R1777" s="44"/>
      <c r="S1777" s="44"/>
      <c r="T1777" s="44"/>
    </row>
    <row r="1778" spans="12:20" x14ac:dyDescent="0.2">
      <c r="L1778" s="43"/>
      <c r="M1778" s="43"/>
      <c r="N1778" s="43"/>
      <c r="O1778" s="43"/>
      <c r="Q1778" s="44"/>
      <c r="R1778" s="44"/>
      <c r="S1778" s="44"/>
      <c r="T1778" s="44"/>
    </row>
    <row r="1779" spans="12:20" x14ac:dyDescent="0.2">
      <c r="L1779" s="43"/>
      <c r="M1779" s="43"/>
      <c r="N1779" s="43"/>
      <c r="O1779" s="43"/>
      <c r="Q1779" s="44"/>
      <c r="R1779" s="44"/>
      <c r="S1779" s="44"/>
      <c r="T1779" s="44"/>
    </row>
    <row r="1780" spans="12:20" x14ac:dyDescent="0.2">
      <c r="L1780" s="43"/>
      <c r="M1780" s="43"/>
      <c r="N1780" s="43"/>
      <c r="O1780" s="43"/>
      <c r="Q1780" s="44"/>
      <c r="R1780" s="44"/>
      <c r="S1780" s="44"/>
      <c r="T1780" s="44"/>
    </row>
    <row r="1781" spans="12:20" x14ac:dyDescent="0.2">
      <c r="L1781" s="43"/>
      <c r="M1781" s="43"/>
      <c r="N1781" s="43"/>
      <c r="O1781" s="43"/>
      <c r="Q1781" s="44"/>
      <c r="R1781" s="44"/>
      <c r="S1781" s="44"/>
      <c r="T1781" s="44"/>
    </row>
    <row r="1782" spans="12:20" x14ac:dyDescent="0.2">
      <c r="L1782" s="43"/>
      <c r="M1782" s="43"/>
      <c r="N1782" s="43"/>
      <c r="O1782" s="43"/>
      <c r="Q1782" s="44"/>
      <c r="R1782" s="44"/>
      <c r="S1782" s="44"/>
      <c r="T1782" s="44"/>
    </row>
    <row r="1783" spans="12:20" x14ac:dyDescent="0.2">
      <c r="L1783" s="43"/>
      <c r="M1783" s="43"/>
      <c r="N1783" s="43"/>
      <c r="O1783" s="43"/>
      <c r="Q1783" s="44"/>
      <c r="R1783" s="44"/>
      <c r="S1783" s="44"/>
      <c r="T1783" s="44"/>
    </row>
    <row r="1784" spans="12:20" x14ac:dyDescent="0.2">
      <c r="L1784" s="43"/>
      <c r="M1784" s="43"/>
      <c r="N1784" s="43"/>
      <c r="O1784" s="43"/>
      <c r="Q1784" s="44"/>
      <c r="R1784" s="44"/>
      <c r="S1784" s="44"/>
      <c r="T1784" s="44"/>
    </row>
    <row r="1785" spans="12:20" x14ac:dyDescent="0.2">
      <c r="L1785" s="43"/>
      <c r="M1785" s="43"/>
      <c r="N1785" s="43"/>
      <c r="O1785" s="43"/>
      <c r="Q1785" s="44"/>
      <c r="R1785" s="44"/>
      <c r="S1785" s="44"/>
      <c r="T1785" s="44"/>
    </row>
    <row r="1786" spans="12:20" x14ac:dyDescent="0.2">
      <c r="L1786" s="43"/>
      <c r="M1786" s="43"/>
      <c r="N1786" s="43"/>
      <c r="O1786" s="43"/>
      <c r="Q1786" s="44"/>
      <c r="R1786" s="44"/>
      <c r="S1786" s="44"/>
      <c r="T1786" s="44"/>
    </row>
    <row r="1787" spans="12:20" x14ac:dyDescent="0.2">
      <c r="L1787" s="43"/>
      <c r="M1787" s="43"/>
      <c r="N1787" s="43"/>
      <c r="O1787" s="43"/>
      <c r="Q1787" s="44"/>
      <c r="R1787" s="44"/>
      <c r="S1787" s="44"/>
      <c r="T1787" s="44"/>
    </row>
    <row r="1788" spans="12:20" x14ac:dyDescent="0.2">
      <c r="L1788" s="43"/>
      <c r="M1788" s="43"/>
      <c r="N1788" s="43"/>
      <c r="O1788" s="43"/>
      <c r="Q1788" s="44"/>
      <c r="R1788" s="44"/>
      <c r="S1788" s="44"/>
      <c r="T1788" s="44"/>
    </row>
    <row r="1789" spans="12:20" x14ac:dyDescent="0.2">
      <c r="L1789" s="43"/>
      <c r="M1789" s="43"/>
      <c r="N1789" s="43"/>
      <c r="O1789" s="43"/>
      <c r="Q1789" s="44"/>
      <c r="R1789" s="44"/>
      <c r="S1789" s="44"/>
      <c r="T1789" s="44"/>
    </row>
    <row r="1790" spans="12:20" x14ac:dyDescent="0.2">
      <c r="L1790" s="43"/>
      <c r="M1790" s="43"/>
      <c r="N1790" s="43"/>
      <c r="O1790" s="43"/>
      <c r="Q1790" s="44"/>
      <c r="R1790" s="44"/>
      <c r="S1790" s="44"/>
      <c r="T1790" s="44"/>
    </row>
    <row r="1791" spans="12:20" x14ac:dyDescent="0.2">
      <c r="L1791" s="43"/>
      <c r="M1791" s="43"/>
      <c r="N1791" s="43"/>
      <c r="O1791" s="43"/>
      <c r="Q1791" s="44"/>
      <c r="R1791" s="44"/>
      <c r="S1791" s="44"/>
      <c r="T1791" s="44"/>
    </row>
    <row r="1792" spans="12:20" x14ac:dyDescent="0.2">
      <c r="L1792" s="43"/>
      <c r="M1792" s="43"/>
      <c r="N1792" s="43"/>
      <c r="O1792" s="43"/>
      <c r="Q1792" s="44"/>
      <c r="R1792" s="44"/>
      <c r="S1792" s="44"/>
      <c r="T1792" s="44"/>
    </row>
    <row r="1793" spans="12:20" x14ac:dyDescent="0.2">
      <c r="L1793" s="43"/>
      <c r="M1793" s="43"/>
      <c r="N1793" s="43"/>
      <c r="O1793" s="43"/>
      <c r="Q1793" s="44"/>
      <c r="R1793" s="44"/>
      <c r="S1793" s="44"/>
      <c r="T1793" s="44"/>
    </row>
    <row r="1794" spans="12:20" x14ac:dyDescent="0.2">
      <c r="L1794" s="43"/>
      <c r="M1794" s="43"/>
      <c r="N1794" s="43"/>
      <c r="O1794" s="43"/>
      <c r="Q1794" s="44"/>
      <c r="R1794" s="44"/>
      <c r="S1794" s="44"/>
      <c r="T1794" s="44"/>
    </row>
    <row r="1795" spans="12:20" x14ac:dyDescent="0.2">
      <c r="L1795" s="43"/>
      <c r="M1795" s="43"/>
      <c r="N1795" s="43"/>
      <c r="O1795" s="43"/>
      <c r="Q1795" s="44"/>
      <c r="R1795" s="44"/>
      <c r="S1795" s="44"/>
      <c r="T1795" s="44"/>
    </row>
    <row r="1796" spans="12:20" x14ac:dyDescent="0.2">
      <c r="L1796" s="43"/>
      <c r="M1796" s="43"/>
      <c r="N1796" s="43"/>
      <c r="O1796" s="43"/>
      <c r="Q1796" s="44"/>
      <c r="R1796" s="44"/>
      <c r="S1796" s="44"/>
      <c r="T1796" s="44"/>
    </row>
    <row r="1797" spans="12:20" x14ac:dyDescent="0.2">
      <c r="L1797" s="43"/>
      <c r="M1797" s="43"/>
      <c r="N1797" s="43"/>
      <c r="O1797" s="43"/>
      <c r="Q1797" s="44"/>
      <c r="R1797" s="44"/>
      <c r="S1797" s="44"/>
      <c r="T1797" s="44"/>
    </row>
    <row r="1798" spans="12:20" x14ac:dyDescent="0.2">
      <c r="L1798" s="43"/>
      <c r="M1798" s="43"/>
      <c r="N1798" s="43"/>
      <c r="O1798" s="43"/>
      <c r="Q1798" s="44"/>
      <c r="R1798" s="44"/>
      <c r="S1798" s="44"/>
      <c r="T1798" s="44"/>
    </row>
    <row r="1799" spans="12:20" x14ac:dyDescent="0.2">
      <c r="L1799" s="43"/>
      <c r="M1799" s="43"/>
      <c r="N1799" s="43"/>
      <c r="O1799" s="43"/>
      <c r="Q1799" s="44"/>
      <c r="R1799" s="44"/>
      <c r="S1799" s="44"/>
      <c r="T1799" s="44"/>
    </row>
    <row r="1800" spans="12:20" x14ac:dyDescent="0.2">
      <c r="L1800" s="43"/>
      <c r="M1800" s="43"/>
      <c r="N1800" s="43"/>
      <c r="O1800" s="43"/>
      <c r="Q1800" s="44"/>
      <c r="R1800" s="44"/>
      <c r="S1800" s="44"/>
      <c r="T1800" s="44"/>
    </row>
    <row r="1801" spans="12:20" x14ac:dyDescent="0.2">
      <c r="L1801" s="43"/>
      <c r="M1801" s="43"/>
      <c r="N1801" s="43"/>
      <c r="O1801" s="43"/>
      <c r="Q1801" s="44"/>
      <c r="R1801" s="44"/>
      <c r="S1801" s="44"/>
      <c r="T1801" s="44"/>
    </row>
    <row r="1802" spans="12:20" x14ac:dyDescent="0.2">
      <c r="L1802" s="43"/>
      <c r="M1802" s="43"/>
      <c r="N1802" s="43"/>
      <c r="O1802" s="43"/>
      <c r="Q1802" s="44"/>
      <c r="R1802" s="44"/>
      <c r="S1802" s="44"/>
      <c r="T1802" s="44"/>
    </row>
    <row r="1803" spans="12:20" x14ac:dyDescent="0.2">
      <c r="L1803" s="43"/>
      <c r="M1803" s="43"/>
      <c r="N1803" s="43"/>
      <c r="O1803" s="43"/>
      <c r="Q1803" s="44"/>
      <c r="R1803" s="44"/>
      <c r="S1803" s="44"/>
      <c r="T1803" s="44"/>
    </row>
    <row r="1804" spans="12:20" x14ac:dyDescent="0.2">
      <c r="L1804" s="43"/>
      <c r="M1804" s="43"/>
      <c r="N1804" s="43"/>
      <c r="O1804" s="43"/>
      <c r="Q1804" s="44"/>
      <c r="R1804" s="44"/>
      <c r="S1804" s="44"/>
      <c r="T1804" s="44"/>
    </row>
    <row r="1805" spans="12:20" x14ac:dyDescent="0.2">
      <c r="L1805" s="43"/>
      <c r="M1805" s="43"/>
      <c r="N1805" s="43"/>
      <c r="O1805" s="43"/>
      <c r="Q1805" s="44"/>
      <c r="R1805" s="44"/>
      <c r="S1805" s="44"/>
      <c r="T1805" s="44"/>
    </row>
    <row r="1806" spans="12:20" x14ac:dyDescent="0.2">
      <c r="L1806" s="43"/>
      <c r="M1806" s="43"/>
      <c r="N1806" s="43"/>
      <c r="O1806" s="43"/>
      <c r="Q1806" s="44"/>
      <c r="R1806" s="44"/>
      <c r="S1806" s="44"/>
      <c r="T1806" s="44"/>
    </row>
    <row r="1807" spans="12:20" x14ac:dyDescent="0.2">
      <c r="L1807" s="43"/>
      <c r="M1807" s="43"/>
      <c r="N1807" s="43"/>
      <c r="O1807" s="43"/>
      <c r="Q1807" s="44"/>
      <c r="R1807" s="44"/>
      <c r="S1807" s="44"/>
      <c r="T1807" s="44"/>
    </row>
    <row r="1808" spans="12:20" x14ac:dyDescent="0.2">
      <c r="L1808" s="43"/>
      <c r="M1808" s="43"/>
      <c r="N1808" s="43"/>
      <c r="O1808" s="43"/>
      <c r="Q1808" s="44"/>
      <c r="R1808" s="44"/>
      <c r="S1808" s="44"/>
      <c r="T1808" s="44"/>
    </row>
    <row r="1809" spans="12:20" x14ac:dyDescent="0.2">
      <c r="L1809" s="43"/>
      <c r="M1809" s="43"/>
      <c r="N1809" s="43"/>
      <c r="O1809" s="43"/>
      <c r="Q1809" s="44"/>
      <c r="R1809" s="44"/>
      <c r="S1809" s="44"/>
      <c r="T1809" s="44"/>
    </row>
    <row r="1810" spans="12:20" x14ac:dyDescent="0.2">
      <c r="L1810" s="43"/>
      <c r="M1810" s="43"/>
      <c r="N1810" s="43"/>
      <c r="O1810" s="43"/>
      <c r="Q1810" s="44"/>
      <c r="R1810" s="44"/>
      <c r="S1810" s="44"/>
      <c r="T1810" s="44"/>
    </row>
    <row r="1811" spans="12:20" x14ac:dyDescent="0.2">
      <c r="L1811" s="43"/>
      <c r="M1811" s="43"/>
      <c r="N1811" s="43"/>
      <c r="O1811" s="43"/>
      <c r="Q1811" s="44"/>
      <c r="R1811" s="44"/>
      <c r="S1811" s="44"/>
      <c r="T1811" s="44"/>
    </row>
    <row r="1812" spans="12:20" x14ac:dyDescent="0.2">
      <c r="L1812" s="43"/>
      <c r="M1812" s="43"/>
      <c r="N1812" s="43"/>
      <c r="O1812" s="43"/>
      <c r="Q1812" s="44"/>
      <c r="R1812" s="44"/>
      <c r="S1812" s="44"/>
      <c r="T1812" s="44"/>
    </row>
    <row r="1813" spans="12:20" x14ac:dyDescent="0.2">
      <c r="L1813" s="43"/>
      <c r="M1813" s="43"/>
      <c r="N1813" s="43"/>
      <c r="O1813" s="43"/>
      <c r="Q1813" s="44"/>
      <c r="R1813" s="44"/>
      <c r="S1813" s="44"/>
      <c r="T1813" s="44"/>
    </row>
    <row r="1814" spans="12:20" x14ac:dyDescent="0.2">
      <c r="L1814" s="43"/>
      <c r="M1814" s="43"/>
      <c r="N1814" s="43"/>
      <c r="O1814" s="43"/>
      <c r="Q1814" s="44"/>
      <c r="R1814" s="44"/>
      <c r="S1814" s="44"/>
      <c r="T1814" s="44"/>
    </row>
    <row r="1815" spans="12:20" x14ac:dyDescent="0.2">
      <c r="L1815" s="43"/>
      <c r="M1815" s="43"/>
      <c r="N1815" s="43"/>
      <c r="O1815" s="43"/>
      <c r="Q1815" s="44"/>
      <c r="R1815" s="44"/>
      <c r="S1815" s="44"/>
      <c r="T1815" s="44"/>
    </row>
    <row r="1816" spans="12:20" x14ac:dyDescent="0.2">
      <c r="L1816" s="43"/>
      <c r="M1816" s="43"/>
      <c r="N1816" s="43"/>
      <c r="O1816" s="43"/>
      <c r="Q1816" s="44"/>
      <c r="R1816" s="44"/>
      <c r="S1816" s="44"/>
      <c r="T1816" s="44"/>
    </row>
    <row r="1817" spans="12:20" x14ac:dyDescent="0.2">
      <c r="L1817" s="43"/>
      <c r="M1817" s="43"/>
      <c r="N1817" s="43"/>
      <c r="O1817" s="43"/>
      <c r="Q1817" s="44"/>
      <c r="R1817" s="44"/>
      <c r="S1817" s="44"/>
      <c r="T1817" s="44"/>
    </row>
    <row r="1818" spans="12:20" x14ac:dyDescent="0.2">
      <c r="L1818" s="43"/>
      <c r="M1818" s="43"/>
      <c r="N1818" s="43"/>
      <c r="O1818" s="43"/>
      <c r="Q1818" s="44"/>
      <c r="R1818" s="44"/>
      <c r="S1818" s="44"/>
      <c r="T1818" s="44"/>
    </row>
    <row r="1819" spans="12:20" x14ac:dyDescent="0.2">
      <c r="L1819" s="43"/>
      <c r="M1819" s="43"/>
      <c r="N1819" s="43"/>
      <c r="O1819" s="43"/>
      <c r="Q1819" s="44"/>
      <c r="R1819" s="44"/>
      <c r="S1819" s="44"/>
      <c r="T1819" s="44"/>
    </row>
    <row r="1820" spans="12:20" x14ac:dyDescent="0.2">
      <c r="L1820" s="43"/>
      <c r="M1820" s="43"/>
      <c r="N1820" s="43"/>
      <c r="O1820" s="43"/>
      <c r="Q1820" s="44"/>
      <c r="R1820" s="44"/>
      <c r="S1820" s="44"/>
      <c r="T1820" s="44"/>
    </row>
    <row r="1821" spans="12:20" x14ac:dyDescent="0.2">
      <c r="L1821" s="43"/>
      <c r="M1821" s="43"/>
      <c r="N1821" s="43"/>
      <c r="O1821" s="43"/>
      <c r="Q1821" s="44"/>
      <c r="R1821" s="44"/>
      <c r="S1821" s="44"/>
      <c r="T1821" s="44"/>
    </row>
    <row r="1822" spans="12:20" x14ac:dyDescent="0.2">
      <c r="L1822" s="43"/>
      <c r="M1822" s="43"/>
      <c r="N1822" s="43"/>
      <c r="O1822" s="43"/>
      <c r="Q1822" s="44"/>
      <c r="R1822" s="44"/>
      <c r="S1822" s="44"/>
      <c r="T1822" s="44"/>
    </row>
    <row r="1823" spans="12:20" x14ac:dyDescent="0.2">
      <c r="L1823" s="43"/>
      <c r="M1823" s="43"/>
      <c r="N1823" s="43"/>
      <c r="O1823" s="43"/>
      <c r="Q1823" s="44"/>
      <c r="R1823" s="44"/>
      <c r="S1823" s="44"/>
      <c r="T1823" s="44"/>
    </row>
    <row r="1824" spans="12:20" x14ac:dyDescent="0.2">
      <c r="L1824" s="43"/>
      <c r="M1824" s="43"/>
      <c r="N1824" s="43"/>
      <c r="O1824" s="43"/>
      <c r="Q1824" s="44"/>
      <c r="R1824" s="44"/>
      <c r="S1824" s="44"/>
      <c r="T1824" s="44"/>
    </row>
    <row r="1825" spans="12:20" x14ac:dyDescent="0.2">
      <c r="L1825" s="43"/>
      <c r="M1825" s="43"/>
      <c r="N1825" s="43"/>
      <c r="O1825" s="43"/>
      <c r="Q1825" s="44"/>
      <c r="R1825" s="44"/>
      <c r="S1825" s="44"/>
      <c r="T1825" s="44"/>
    </row>
    <row r="1826" spans="12:20" x14ac:dyDescent="0.2">
      <c r="L1826" s="43"/>
      <c r="M1826" s="43"/>
      <c r="N1826" s="43"/>
      <c r="O1826" s="43"/>
      <c r="Q1826" s="44"/>
      <c r="R1826" s="44"/>
      <c r="S1826" s="44"/>
      <c r="T1826" s="44"/>
    </row>
    <row r="1827" spans="12:20" x14ac:dyDescent="0.2">
      <c r="L1827" s="43"/>
      <c r="M1827" s="43"/>
      <c r="N1827" s="43"/>
      <c r="O1827" s="43"/>
      <c r="Q1827" s="44"/>
      <c r="R1827" s="44"/>
      <c r="S1827" s="44"/>
      <c r="T1827" s="44"/>
    </row>
    <row r="1828" spans="12:20" x14ac:dyDescent="0.2">
      <c r="L1828" s="43"/>
      <c r="M1828" s="43"/>
      <c r="N1828" s="43"/>
      <c r="O1828" s="43"/>
      <c r="Q1828" s="44"/>
      <c r="R1828" s="44"/>
      <c r="S1828" s="44"/>
      <c r="T1828" s="44"/>
    </row>
    <row r="1829" spans="12:20" x14ac:dyDescent="0.2">
      <c r="L1829" s="43"/>
      <c r="M1829" s="43"/>
      <c r="N1829" s="43"/>
      <c r="O1829" s="43"/>
      <c r="Q1829" s="44"/>
      <c r="R1829" s="44"/>
      <c r="S1829" s="44"/>
      <c r="T1829" s="44"/>
    </row>
    <row r="1830" spans="12:20" x14ac:dyDescent="0.2">
      <c r="L1830" s="43"/>
      <c r="M1830" s="43"/>
      <c r="N1830" s="43"/>
      <c r="O1830" s="43"/>
      <c r="Q1830" s="44"/>
      <c r="R1830" s="44"/>
      <c r="S1830" s="44"/>
      <c r="T1830" s="44"/>
    </row>
    <row r="1831" spans="12:20" x14ac:dyDescent="0.2">
      <c r="L1831" s="43"/>
      <c r="M1831" s="43"/>
      <c r="N1831" s="43"/>
      <c r="O1831" s="43"/>
      <c r="Q1831" s="44"/>
      <c r="R1831" s="44"/>
      <c r="S1831" s="44"/>
      <c r="T1831" s="44"/>
    </row>
    <row r="1832" spans="12:20" x14ac:dyDescent="0.2">
      <c r="L1832" s="43"/>
      <c r="M1832" s="43"/>
      <c r="N1832" s="43"/>
      <c r="O1832" s="43"/>
      <c r="Q1832" s="44"/>
      <c r="R1832" s="44"/>
      <c r="S1832" s="44"/>
      <c r="T1832" s="44"/>
    </row>
    <row r="1833" spans="12:20" x14ac:dyDescent="0.2">
      <c r="L1833" s="43"/>
      <c r="M1833" s="43"/>
      <c r="N1833" s="43"/>
      <c r="O1833" s="43"/>
      <c r="Q1833" s="44"/>
      <c r="R1833" s="44"/>
      <c r="S1833" s="44"/>
      <c r="T1833" s="44"/>
    </row>
    <row r="1834" spans="12:20" x14ac:dyDescent="0.2">
      <c r="L1834" s="43"/>
      <c r="M1834" s="43"/>
      <c r="N1834" s="43"/>
      <c r="O1834" s="43"/>
      <c r="Q1834" s="44"/>
      <c r="R1834" s="44"/>
      <c r="S1834" s="44"/>
      <c r="T1834" s="44"/>
    </row>
    <row r="1835" spans="12:20" x14ac:dyDescent="0.2">
      <c r="L1835" s="43"/>
      <c r="M1835" s="43"/>
      <c r="N1835" s="43"/>
      <c r="O1835" s="43"/>
      <c r="Q1835" s="44"/>
      <c r="R1835" s="44"/>
      <c r="S1835" s="44"/>
      <c r="T1835" s="44"/>
    </row>
    <row r="1836" spans="12:20" x14ac:dyDescent="0.2">
      <c r="L1836" s="43"/>
      <c r="M1836" s="43"/>
      <c r="N1836" s="43"/>
      <c r="O1836" s="43"/>
      <c r="Q1836" s="44"/>
      <c r="R1836" s="44"/>
      <c r="S1836" s="44"/>
      <c r="T1836" s="44"/>
    </row>
    <row r="1837" spans="12:20" x14ac:dyDescent="0.2">
      <c r="L1837" s="43"/>
      <c r="M1837" s="43"/>
      <c r="N1837" s="43"/>
      <c r="O1837" s="43"/>
      <c r="Q1837" s="44"/>
      <c r="R1837" s="44"/>
      <c r="S1837" s="44"/>
      <c r="T1837" s="44"/>
    </row>
    <row r="1838" spans="12:20" x14ac:dyDescent="0.2">
      <c r="L1838" s="43"/>
      <c r="M1838" s="43"/>
      <c r="N1838" s="43"/>
      <c r="O1838" s="43"/>
      <c r="Q1838" s="44"/>
      <c r="R1838" s="44"/>
      <c r="S1838" s="44"/>
      <c r="T1838" s="44"/>
    </row>
    <row r="1839" spans="12:20" x14ac:dyDescent="0.2">
      <c r="L1839" s="43"/>
      <c r="M1839" s="43"/>
      <c r="N1839" s="43"/>
      <c r="O1839" s="43"/>
      <c r="Q1839" s="44"/>
      <c r="R1839" s="44"/>
      <c r="S1839" s="44"/>
      <c r="T1839" s="44"/>
    </row>
    <row r="1840" spans="12:20" x14ac:dyDescent="0.2">
      <c r="L1840" s="43"/>
      <c r="M1840" s="43"/>
      <c r="N1840" s="43"/>
      <c r="O1840" s="43"/>
      <c r="Q1840" s="44"/>
      <c r="R1840" s="44"/>
      <c r="S1840" s="44"/>
      <c r="T1840" s="44"/>
    </row>
    <row r="1841" spans="12:20" x14ac:dyDescent="0.2">
      <c r="L1841" s="43"/>
      <c r="M1841" s="43"/>
      <c r="N1841" s="43"/>
      <c r="O1841" s="43"/>
      <c r="Q1841" s="44"/>
      <c r="R1841" s="44"/>
      <c r="S1841" s="44"/>
      <c r="T1841" s="44"/>
    </row>
    <row r="1842" spans="12:20" x14ac:dyDescent="0.2">
      <c r="L1842" s="43"/>
      <c r="M1842" s="43"/>
      <c r="N1842" s="43"/>
      <c r="O1842" s="43"/>
      <c r="Q1842" s="44"/>
      <c r="R1842" s="44"/>
      <c r="S1842" s="44"/>
      <c r="T1842" s="44"/>
    </row>
    <row r="1843" spans="12:20" x14ac:dyDescent="0.2">
      <c r="L1843" s="43"/>
      <c r="M1843" s="43"/>
      <c r="N1843" s="43"/>
      <c r="O1843" s="43"/>
      <c r="Q1843" s="44"/>
      <c r="R1843" s="44"/>
      <c r="S1843" s="44"/>
      <c r="T1843" s="44"/>
    </row>
    <row r="1844" spans="12:20" x14ac:dyDescent="0.2">
      <c r="L1844" s="43"/>
      <c r="M1844" s="43"/>
      <c r="N1844" s="43"/>
      <c r="O1844" s="43"/>
      <c r="Q1844" s="44"/>
      <c r="R1844" s="44"/>
      <c r="S1844" s="44"/>
      <c r="T1844" s="44"/>
    </row>
    <row r="1845" spans="12:20" x14ac:dyDescent="0.2">
      <c r="L1845" s="43"/>
      <c r="M1845" s="43"/>
      <c r="N1845" s="43"/>
      <c r="O1845" s="43"/>
      <c r="Q1845" s="44"/>
      <c r="R1845" s="44"/>
      <c r="S1845" s="44"/>
      <c r="T1845" s="44"/>
    </row>
    <row r="1846" spans="12:20" x14ac:dyDescent="0.2">
      <c r="L1846" s="43"/>
      <c r="M1846" s="43"/>
      <c r="N1846" s="43"/>
      <c r="O1846" s="43"/>
      <c r="Q1846" s="44"/>
      <c r="R1846" s="44"/>
      <c r="S1846" s="44"/>
      <c r="T1846" s="44"/>
    </row>
    <row r="1847" spans="12:20" x14ac:dyDescent="0.2">
      <c r="L1847" s="43"/>
      <c r="M1847" s="43"/>
      <c r="N1847" s="43"/>
      <c r="O1847" s="43"/>
      <c r="Q1847" s="44"/>
      <c r="R1847" s="44"/>
      <c r="S1847" s="44"/>
      <c r="T1847" s="44"/>
    </row>
    <row r="1848" spans="12:20" x14ac:dyDescent="0.2">
      <c r="L1848" s="43"/>
      <c r="M1848" s="43"/>
      <c r="N1848" s="43"/>
      <c r="O1848" s="43"/>
      <c r="Q1848" s="44"/>
      <c r="R1848" s="44"/>
      <c r="S1848" s="44"/>
      <c r="T1848" s="44"/>
    </row>
    <row r="1849" spans="12:20" x14ac:dyDescent="0.2">
      <c r="L1849" s="43"/>
      <c r="M1849" s="43"/>
      <c r="N1849" s="43"/>
      <c r="O1849" s="43"/>
      <c r="Q1849" s="44"/>
      <c r="R1849" s="44"/>
      <c r="S1849" s="44"/>
      <c r="T1849" s="44"/>
    </row>
    <row r="1850" spans="12:20" x14ac:dyDescent="0.2">
      <c r="L1850" s="43"/>
      <c r="M1850" s="43"/>
      <c r="N1850" s="43"/>
      <c r="O1850" s="43"/>
      <c r="Q1850" s="44"/>
      <c r="R1850" s="44"/>
      <c r="S1850" s="44"/>
      <c r="T1850" s="44"/>
    </row>
    <row r="1851" spans="12:20" x14ac:dyDescent="0.2">
      <c r="L1851" s="43"/>
      <c r="M1851" s="43"/>
      <c r="N1851" s="43"/>
      <c r="O1851" s="43"/>
      <c r="Q1851" s="44"/>
      <c r="R1851" s="44"/>
      <c r="S1851" s="44"/>
      <c r="T1851" s="44"/>
    </row>
    <row r="1852" spans="12:20" x14ac:dyDescent="0.2">
      <c r="L1852" s="43"/>
      <c r="M1852" s="43"/>
      <c r="N1852" s="43"/>
      <c r="O1852" s="43"/>
      <c r="Q1852" s="44"/>
      <c r="R1852" s="44"/>
      <c r="S1852" s="44"/>
      <c r="T1852" s="44"/>
    </row>
    <row r="1853" spans="12:20" x14ac:dyDescent="0.2">
      <c r="L1853" s="43"/>
      <c r="M1853" s="43"/>
      <c r="N1853" s="43"/>
      <c r="O1853" s="43"/>
      <c r="Q1853" s="44"/>
      <c r="R1853" s="44"/>
      <c r="S1853" s="44"/>
      <c r="T1853" s="44"/>
    </row>
    <row r="1854" spans="12:20" x14ac:dyDescent="0.2">
      <c r="L1854" s="43"/>
      <c r="M1854" s="43"/>
      <c r="N1854" s="43"/>
      <c r="O1854" s="43"/>
      <c r="Q1854" s="44"/>
      <c r="R1854" s="44"/>
      <c r="S1854" s="44"/>
      <c r="T1854" s="44"/>
    </row>
    <row r="1855" spans="12:20" x14ac:dyDescent="0.2">
      <c r="L1855" s="43"/>
      <c r="M1855" s="43"/>
      <c r="N1855" s="43"/>
      <c r="O1855" s="43"/>
      <c r="Q1855" s="44"/>
      <c r="R1855" s="44"/>
      <c r="S1855" s="44"/>
      <c r="T1855" s="44"/>
    </row>
    <row r="1856" spans="12:20" x14ac:dyDescent="0.2">
      <c r="L1856" s="43"/>
      <c r="M1856" s="43"/>
      <c r="N1856" s="43"/>
      <c r="O1856" s="43"/>
      <c r="Q1856" s="44"/>
      <c r="R1856" s="44"/>
      <c r="S1856" s="44"/>
      <c r="T1856" s="44"/>
    </row>
    <row r="1857" spans="12:20" x14ac:dyDescent="0.2">
      <c r="L1857" s="43"/>
      <c r="M1857" s="43"/>
      <c r="N1857" s="43"/>
      <c r="O1857" s="43"/>
      <c r="Q1857" s="44"/>
      <c r="R1857" s="44"/>
      <c r="S1857" s="44"/>
      <c r="T1857" s="44"/>
    </row>
    <row r="1858" spans="12:20" x14ac:dyDescent="0.2">
      <c r="L1858" s="43"/>
      <c r="M1858" s="43"/>
      <c r="N1858" s="43"/>
      <c r="O1858" s="43"/>
      <c r="Q1858" s="44"/>
      <c r="R1858" s="44"/>
      <c r="S1858" s="44"/>
      <c r="T1858" s="44"/>
    </row>
    <row r="1859" spans="12:20" x14ac:dyDescent="0.2">
      <c r="L1859" s="43"/>
      <c r="M1859" s="43"/>
      <c r="N1859" s="43"/>
      <c r="O1859" s="43"/>
      <c r="Q1859" s="44"/>
      <c r="R1859" s="44"/>
      <c r="S1859" s="44"/>
      <c r="T1859" s="44"/>
    </row>
    <row r="1860" spans="12:20" x14ac:dyDescent="0.2">
      <c r="L1860" s="43"/>
      <c r="M1860" s="43"/>
      <c r="N1860" s="43"/>
      <c r="O1860" s="43"/>
      <c r="Q1860" s="44"/>
      <c r="R1860" s="44"/>
      <c r="S1860" s="44"/>
      <c r="T1860" s="44"/>
    </row>
    <row r="1861" spans="12:20" x14ac:dyDescent="0.2">
      <c r="L1861" s="43"/>
      <c r="M1861" s="43"/>
      <c r="N1861" s="43"/>
      <c r="O1861" s="43"/>
      <c r="Q1861" s="44"/>
      <c r="R1861" s="44"/>
      <c r="S1861" s="44"/>
      <c r="T1861" s="44"/>
    </row>
    <row r="1862" spans="12:20" x14ac:dyDescent="0.2">
      <c r="L1862" s="43"/>
      <c r="M1862" s="43"/>
      <c r="N1862" s="43"/>
      <c r="O1862" s="43"/>
      <c r="Q1862" s="44"/>
      <c r="R1862" s="44"/>
      <c r="S1862" s="44"/>
      <c r="T1862" s="44"/>
    </row>
    <row r="1863" spans="12:20" x14ac:dyDescent="0.2">
      <c r="L1863" s="43"/>
      <c r="M1863" s="43"/>
      <c r="N1863" s="43"/>
      <c r="O1863" s="43"/>
      <c r="Q1863" s="44"/>
      <c r="R1863" s="44"/>
      <c r="S1863" s="44"/>
      <c r="T1863" s="44"/>
    </row>
    <row r="1864" spans="12:20" x14ac:dyDescent="0.2">
      <c r="L1864" s="43"/>
      <c r="M1864" s="43"/>
      <c r="N1864" s="43"/>
      <c r="O1864" s="43"/>
      <c r="Q1864" s="44"/>
      <c r="R1864" s="44"/>
      <c r="S1864" s="44"/>
      <c r="T1864" s="44"/>
    </row>
    <row r="1865" spans="12:20" x14ac:dyDescent="0.2">
      <c r="L1865" s="43"/>
      <c r="M1865" s="43"/>
      <c r="N1865" s="43"/>
      <c r="O1865" s="43"/>
      <c r="Q1865" s="44"/>
      <c r="R1865" s="44"/>
      <c r="S1865" s="44"/>
      <c r="T1865" s="44"/>
    </row>
    <row r="1866" spans="12:20" x14ac:dyDescent="0.2">
      <c r="L1866" s="43"/>
      <c r="M1866" s="43"/>
      <c r="N1866" s="43"/>
      <c r="O1866" s="43"/>
      <c r="Q1866" s="44"/>
      <c r="R1866" s="44"/>
      <c r="S1866" s="44"/>
      <c r="T1866" s="44"/>
    </row>
    <row r="1867" spans="12:20" x14ac:dyDescent="0.2">
      <c r="L1867" s="43"/>
      <c r="M1867" s="43"/>
      <c r="N1867" s="43"/>
      <c r="O1867" s="43"/>
      <c r="Q1867" s="44"/>
      <c r="R1867" s="44"/>
      <c r="S1867" s="44"/>
      <c r="T1867" s="44"/>
    </row>
    <row r="1868" spans="12:20" x14ac:dyDescent="0.2">
      <c r="L1868" s="43"/>
      <c r="M1868" s="43"/>
      <c r="N1868" s="43"/>
      <c r="O1868" s="43"/>
      <c r="Q1868" s="44"/>
      <c r="R1868" s="44"/>
      <c r="S1868" s="44"/>
      <c r="T1868" s="44"/>
    </row>
    <row r="1869" spans="12:20" x14ac:dyDescent="0.2">
      <c r="L1869" s="43"/>
      <c r="M1869" s="43"/>
      <c r="N1869" s="43"/>
      <c r="O1869" s="43"/>
      <c r="Q1869" s="44"/>
      <c r="R1869" s="44"/>
      <c r="S1869" s="44"/>
      <c r="T1869" s="44"/>
    </row>
    <row r="1870" spans="12:20" x14ac:dyDescent="0.2">
      <c r="L1870" s="43"/>
      <c r="M1870" s="43"/>
      <c r="N1870" s="43"/>
      <c r="O1870" s="43"/>
      <c r="Q1870" s="44"/>
      <c r="R1870" s="44"/>
      <c r="S1870" s="44"/>
      <c r="T1870" s="44"/>
    </row>
    <row r="1871" spans="12:20" x14ac:dyDescent="0.2">
      <c r="L1871" s="43"/>
      <c r="M1871" s="43"/>
      <c r="N1871" s="43"/>
      <c r="O1871" s="43"/>
      <c r="Q1871" s="44"/>
      <c r="R1871" s="44"/>
      <c r="S1871" s="44"/>
      <c r="T1871" s="44"/>
    </row>
    <row r="1872" spans="12:20" x14ac:dyDescent="0.2">
      <c r="L1872" s="43"/>
      <c r="M1872" s="43"/>
      <c r="N1872" s="43"/>
      <c r="O1872" s="43"/>
      <c r="Q1872" s="44"/>
      <c r="R1872" s="44"/>
      <c r="S1872" s="44"/>
      <c r="T1872" s="44"/>
    </row>
    <row r="1873" spans="12:20" x14ac:dyDescent="0.2">
      <c r="L1873" s="43"/>
      <c r="M1873" s="43"/>
      <c r="N1873" s="43"/>
      <c r="O1873" s="43"/>
      <c r="Q1873" s="44"/>
      <c r="R1873" s="44"/>
      <c r="S1873" s="44"/>
      <c r="T1873" s="44"/>
    </row>
    <row r="1874" spans="12:20" x14ac:dyDescent="0.2">
      <c r="L1874" s="43"/>
      <c r="M1874" s="43"/>
      <c r="N1874" s="43"/>
      <c r="O1874" s="43"/>
      <c r="Q1874" s="44"/>
      <c r="R1874" s="44"/>
      <c r="S1874" s="44"/>
      <c r="T1874" s="44"/>
    </row>
    <row r="1875" spans="12:20" x14ac:dyDescent="0.2">
      <c r="L1875" s="43"/>
      <c r="M1875" s="43"/>
      <c r="N1875" s="43"/>
      <c r="O1875" s="43"/>
      <c r="Q1875" s="44"/>
      <c r="R1875" s="44"/>
      <c r="S1875" s="44"/>
      <c r="T1875" s="44"/>
    </row>
    <row r="1876" spans="12:20" x14ac:dyDescent="0.2">
      <c r="L1876" s="43"/>
      <c r="M1876" s="43"/>
      <c r="N1876" s="43"/>
      <c r="O1876" s="43"/>
      <c r="Q1876" s="44"/>
      <c r="R1876" s="44"/>
      <c r="S1876" s="44"/>
      <c r="T1876" s="44"/>
    </row>
    <row r="1877" spans="12:20" x14ac:dyDescent="0.2">
      <c r="L1877" s="43"/>
      <c r="M1877" s="43"/>
      <c r="N1877" s="43"/>
      <c r="O1877" s="43"/>
      <c r="Q1877" s="44"/>
      <c r="R1877" s="44"/>
      <c r="S1877" s="44"/>
      <c r="T1877" s="44"/>
    </row>
    <row r="1878" spans="12:20" x14ac:dyDescent="0.2">
      <c r="L1878" s="43"/>
      <c r="M1878" s="43"/>
      <c r="N1878" s="43"/>
      <c r="O1878" s="43"/>
      <c r="Q1878" s="44"/>
      <c r="R1878" s="44"/>
      <c r="S1878" s="44"/>
      <c r="T1878" s="44"/>
    </row>
    <row r="1879" spans="12:20" x14ac:dyDescent="0.2">
      <c r="L1879" s="43"/>
      <c r="M1879" s="43"/>
      <c r="N1879" s="43"/>
      <c r="O1879" s="43"/>
      <c r="Q1879" s="44"/>
      <c r="R1879" s="44"/>
      <c r="S1879" s="44"/>
      <c r="T1879" s="44"/>
    </row>
    <row r="1880" spans="12:20" x14ac:dyDescent="0.2">
      <c r="L1880" s="43"/>
      <c r="M1880" s="43"/>
      <c r="N1880" s="43"/>
      <c r="O1880" s="43"/>
      <c r="Q1880" s="44"/>
      <c r="R1880" s="44"/>
      <c r="S1880" s="44"/>
      <c r="T1880" s="44"/>
    </row>
    <row r="1881" spans="12:20" x14ac:dyDescent="0.2">
      <c r="L1881" s="43"/>
      <c r="M1881" s="43"/>
      <c r="N1881" s="43"/>
      <c r="O1881" s="43"/>
      <c r="Q1881" s="44"/>
      <c r="R1881" s="44"/>
      <c r="S1881" s="44"/>
      <c r="T1881" s="44"/>
    </row>
    <row r="1882" spans="12:20" x14ac:dyDescent="0.2">
      <c r="L1882" s="43"/>
      <c r="M1882" s="43"/>
      <c r="N1882" s="43"/>
      <c r="O1882" s="43"/>
      <c r="Q1882" s="44"/>
      <c r="R1882" s="44"/>
      <c r="S1882" s="44"/>
      <c r="T1882" s="44"/>
    </row>
    <row r="1883" spans="12:20" x14ac:dyDescent="0.2">
      <c r="L1883" s="43"/>
      <c r="M1883" s="43"/>
      <c r="N1883" s="43"/>
      <c r="O1883" s="43"/>
      <c r="Q1883" s="44"/>
      <c r="R1883" s="44"/>
      <c r="S1883" s="44"/>
      <c r="T1883" s="44"/>
    </row>
    <row r="1884" spans="12:20" x14ac:dyDescent="0.2">
      <c r="L1884" s="43"/>
      <c r="M1884" s="43"/>
      <c r="N1884" s="43"/>
      <c r="O1884" s="43"/>
      <c r="Q1884" s="44"/>
      <c r="R1884" s="44"/>
      <c r="S1884" s="44"/>
      <c r="T1884" s="44"/>
    </row>
    <row r="1885" spans="12:20" x14ac:dyDescent="0.2">
      <c r="L1885" s="43"/>
      <c r="M1885" s="43"/>
      <c r="N1885" s="43"/>
      <c r="O1885" s="43"/>
      <c r="Q1885" s="44"/>
      <c r="R1885" s="44"/>
      <c r="S1885" s="44"/>
      <c r="T1885" s="44"/>
    </row>
    <row r="1886" spans="12:20" x14ac:dyDescent="0.2">
      <c r="L1886" s="43"/>
      <c r="M1886" s="43"/>
      <c r="N1886" s="43"/>
      <c r="O1886" s="43"/>
      <c r="Q1886" s="44"/>
      <c r="R1886" s="44"/>
      <c r="S1886" s="44"/>
      <c r="T1886" s="44"/>
    </row>
    <row r="1887" spans="12:20" x14ac:dyDescent="0.2">
      <c r="L1887" s="43"/>
      <c r="M1887" s="43"/>
      <c r="N1887" s="43"/>
      <c r="O1887" s="43"/>
      <c r="Q1887" s="44"/>
      <c r="R1887" s="44"/>
      <c r="S1887" s="44"/>
      <c r="T1887" s="44"/>
    </row>
    <row r="1888" spans="12:20" x14ac:dyDescent="0.2">
      <c r="L1888" s="43"/>
      <c r="M1888" s="43"/>
      <c r="N1888" s="43"/>
      <c r="O1888" s="43"/>
      <c r="Q1888" s="44"/>
      <c r="R1888" s="44"/>
      <c r="S1888" s="44"/>
      <c r="T1888" s="44"/>
    </row>
    <row r="1889" spans="12:20" x14ac:dyDescent="0.2">
      <c r="L1889" s="43"/>
      <c r="M1889" s="43"/>
      <c r="N1889" s="43"/>
      <c r="O1889" s="43"/>
      <c r="Q1889" s="44"/>
      <c r="R1889" s="44"/>
      <c r="S1889" s="44"/>
      <c r="T1889" s="44"/>
    </row>
    <row r="1890" spans="12:20" x14ac:dyDescent="0.2">
      <c r="L1890" s="43"/>
      <c r="M1890" s="43"/>
      <c r="N1890" s="43"/>
      <c r="O1890" s="43"/>
      <c r="Q1890" s="44"/>
      <c r="R1890" s="44"/>
      <c r="S1890" s="44"/>
      <c r="T1890" s="44"/>
    </row>
    <row r="1891" spans="12:20" x14ac:dyDescent="0.2">
      <c r="L1891" s="43"/>
      <c r="M1891" s="43"/>
      <c r="N1891" s="43"/>
      <c r="O1891" s="43"/>
      <c r="Q1891" s="44"/>
      <c r="R1891" s="44"/>
      <c r="S1891" s="44"/>
      <c r="T1891" s="44"/>
    </row>
    <row r="1892" spans="12:20" x14ac:dyDescent="0.2">
      <c r="L1892" s="43"/>
      <c r="M1892" s="43"/>
      <c r="N1892" s="43"/>
      <c r="O1892" s="43"/>
      <c r="Q1892" s="44"/>
      <c r="R1892" s="44"/>
      <c r="S1892" s="44"/>
      <c r="T1892" s="44"/>
    </row>
    <row r="1893" spans="12:20" x14ac:dyDescent="0.2">
      <c r="L1893" s="43"/>
      <c r="M1893" s="43"/>
      <c r="N1893" s="43"/>
      <c r="O1893" s="43"/>
      <c r="Q1893" s="44"/>
      <c r="R1893" s="44"/>
      <c r="S1893" s="44"/>
      <c r="T1893" s="44"/>
    </row>
    <row r="1894" spans="12:20" x14ac:dyDescent="0.2">
      <c r="L1894" s="43"/>
      <c r="M1894" s="43"/>
      <c r="N1894" s="43"/>
      <c r="O1894" s="43"/>
      <c r="Q1894" s="44"/>
      <c r="R1894" s="44"/>
      <c r="S1894" s="44"/>
      <c r="T1894" s="44"/>
    </row>
    <row r="1895" spans="12:20" x14ac:dyDescent="0.2">
      <c r="L1895" s="43"/>
      <c r="M1895" s="43"/>
      <c r="N1895" s="43"/>
      <c r="O1895" s="43"/>
      <c r="Q1895" s="44"/>
      <c r="R1895" s="44"/>
      <c r="S1895" s="44"/>
      <c r="T1895" s="44"/>
    </row>
    <row r="1896" spans="12:20" x14ac:dyDescent="0.2">
      <c r="L1896" s="43"/>
      <c r="M1896" s="43"/>
      <c r="N1896" s="43"/>
      <c r="O1896" s="43"/>
      <c r="Q1896" s="44"/>
      <c r="R1896" s="44"/>
      <c r="S1896" s="44"/>
      <c r="T1896" s="44"/>
    </row>
    <row r="1897" spans="12:20" x14ac:dyDescent="0.2">
      <c r="L1897" s="43"/>
      <c r="M1897" s="43"/>
      <c r="N1897" s="43"/>
      <c r="O1897" s="43"/>
      <c r="Q1897" s="44"/>
      <c r="R1897" s="44"/>
      <c r="S1897" s="44"/>
      <c r="T1897" s="44"/>
    </row>
    <row r="1898" spans="12:20" x14ac:dyDescent="0.2">
      <c r="L1898" s="43"/>
      <c r="M1898" s="43"/>
      <c r="N1898" s="43"/>
      <c r="O1898" s="43"/>
      <c r="Q1898" s="44"/>
      <c r="R1898" s="44"/>
      <c r="S1898" s="44"/>
      <c r="T1898" s="44"/>
    </row>
    <row r="1899" spans="12:20" x14ac:dyDescent="0.2">
      <c r="L1899" s="43"/>
      <c r="M1899" s="43"/>
      <c r="N1899" s="43"/>
      <c r="O1899" s="43"/>
      <c r="Q1899" s="44"/>
      <c r="R1899" s="44"/>
      <c r="S1899" s="44"/>
      <c r="T1899" s="44"/>
    </row>
    <row r="1900" spans="12:20" x14ac:dyDescent="0.2">
      <c r="L1900" s="43"/>
      <c r="M1900" s="43"/>
      <c r="N1900" s="43"/>
      <c r="O1900" s="43"/>
      <c r="Q1900" s="44"/>
      <c r="R1900" s="44"/>
      <c r="S1900" s="44"/>
      <c r="T1900" s="44"/>
    </row>
    <row r="1901" spans="12:20" x14ac:dyDescent="0.2">
      <c r="L1901" s="43"/>
      <c r="M1901" s="43"/>
      <c r="N1901" s="43"/>
      <c r="O1901" s="43"/>
      <c r="Q1901" s="44"/>
      <c r="R1901" s="44"/>
      <c r="S1901" s="44"/>
      <c r="T1901" s="44"/>
    </row>
    <row r="1902" spans="12:20" x14ac:dyDescent="0.2">
      <c r="L1902" s="43"/>
      <c r="M1902" s="43"/>
      <c r="N1902" s="43"/>
      <c r="O1902" s="43"/>
      <c r="Q1902" s="44"/>
      <c r="R1902" s="44"/>
      <c r="S1902" s="44"/>
      <c r="T1902" s="44"/>
    </row>
    <row r="1903" spans="12:20" x14ac:dyDescent="0.2">
      <c r="L1903" s="43"/>
      <c r="M1903" s="43"/>
      <c r="N1903" s="43"/>
      <c r="O1903" s="43"/>
      <c r="Q1903" s="44"/>
      <c r="R1903" s="44"/>
      <c r="S1903" s="44"/>
      <c r="T1903" s="44"/>
    </row>
    <row r="1904" spans="12:20" x14ac:dyDescent="0.2">
      <c r="L1904" s="43"/>
      <c r="M1904" s="43"/>
      <c r="N1904" s="43"/>
      <c r="O1904" s="43"/>
      <c r="Q1904" s="44"/>
      <c r="R1904" s="44"/>
      <c r="S1904" s="44"/>
      <c r="T1904" s="44"/>
    </row>
    <row r="1905" spans="12:20" x14ac:dyDescent="0.2">
      <c r="L1905" s="43"/>
      <c r="M1905" s="43"/>
      <c r="N1905" s="43"/>
      <c r="O1905" s="43"/>
      <c r="Q1905" s="44"/>
      <c r="R1905" s="44"/>
      <c r="S1905" s="44"/>
      <c r="T1905" s="44"/>
    </row>
    <row r="1906" spans="12:20" x14ac:dyDescent="0.2">
      <c r="L1906" s="43"/>
      <c r="M1906" s="43"/>
      <c r="N1906" s="43"/>
      <c r="O1906" s="43"/>
      <c r="Q1906" s="44"/>
      <c r="R1906" s="44"/>
      <c r="S1906" s="44"/>
      <c r="T1906" s="44"/>
    </row>
    <row r="1907" spans="12:20" x14ac:dyDescent="0.2">
      <c r="L1907" s="43"/>
      <c r="M1907" s="43"/>
      <c r="N1907" s="43"/>
      <c r="O1907" s="43"/>
      <c r="Q1907" s="44"/>
      <c r="R1907" s="44"/>
      <c r="S1907" s="44"/>
      <c r="T1907" s="44"/>
    </row>
    <row r="1908" spans="12:20" x14ac:dyDescent="0.2">
      <c r="L1908" s="43"/>
      <c r="M1908" s="43"/>
      <c r="N1908" s="43"/>
      <c r="O1908" s="43"/>
      <c r="Q1908" s="44"/>
      <c r="R1908" s="44"/>
      <c r="S1908" s="44"/>
      <c r="T1908" s="44"/>
    </row>
    <row r="1909" spans="12:20" x14ac:dyDescent="0.2">
      <c r="L1909" s="43"/>
      <c r="M1909" s="43"/>
      <c r="N1909" s="43"/>
      <c r="O1909" s="43"/>
      <c r="Q1909" s="44"/>
      <c r="R1909" s="44"/>
      <c r="S1909" s="44"/>
      <c r="T1909" s="44"/>
    </row>
    <row r="1910" spans="12:20" x14ac:dyDescent="0.2">
      <c r="L1910" s="43"/>
      <c r="M1910" s="43"/>
      <c r="N1910" s="43"/>
      <c r="O1910" s="43"/>
      <c r="Q1910" s="44"/>
      <c r="R1910" s="44"/>
      <c r="S1910" s="44"/>
      <c r="T1910" s="44"/>
    </row>
    <row r="1911" spans="12:20" x14ac:dyDescent="0.2">
      <c r="L1911" s="43"/>
      <c r="M1911" s="43"/>
      <c r="N1911" s="43"/>
      <c r="O1911" s="43"/>
      <c r="Q1911" s="44"/>
      <c r="R1911" s="44"/>
      <c r="S1911" s="44"/>
      <c r="T1911" s="44"/>
    </row>
    <row r="1912" spans="12:20" x14ac:dyDescent="0.2">
      <c r="L1912" s="43"/>
      <c r="M1912" s="43"/>
      <c r="N1912" s="43"/>
      <c r="O1912" s="43"/>
      <c r="Q1912" s="44"/>
      <c r="R1912" s="44"/>
      <c r="S1912" s="44"/>
      <c r="T1912" s="44"/>
    </row>
    <row r="1913" spans="12:20" x14ac:dyDescent="0.2">
      <c r="L1913" s="43"/>
      <c r="M1913" s="43"/>
      <c r="N1913" s="43"/>
      <c r="O1913" s="43"/>
      <c r="Q1913" s="44"/>
      <c r="R1913" s="44"/>
      <c r="S1913" s="44"/>
      <c r="T1913" s="44"/>
    </row>
    <row r="1914" spans="12:20" x14ac:dyDescent="0.2">
      <c r="L1914" s="43"/>
      <c r="M1914" s="43"/>
      <c r="N1914" s="43"/>
      <c r="O1914" s="43"/>
      <c r="Q1914" s="44"/>
      <c r="R1914" s="44"/>
      <c r="S1914" s="44"/>
      <c r="T1914" s="44"/>
    </row>
    <row r="1915" spans="12:20" x14ac:dyDescent="0.2">
      <c r="L1915" s="43"/>
      <c r="M1915" s="43"/>
      <c r="N1915" s="43"/>
      <c r="O1915" s="43"/>
      <c r="Q1915" s="44"/>
      <c r="R1915" s="44"/>
      <c r="S1915" s="44"/>
      <c r="T1915" s="44"/>
    </row>
    <row r="1916" spans="12:20" x14ac:dyDescent="0.2">
      <c r="L1916" s="43"/>
      <c r="M1916" s="43"/>
      <c r="N1916" s="43"/>
      <c r="O1916" s="43"/>
      <c r="Q1916" s="44"/>
      <c r="R1916" s="44"/>
      <c r="S1916" s="44"/>
      <c r="T1916" s="44"/>
    </row>
    <row r="1917" spans="12:20" x14ac:dyDescent="0.2">
      <c r="L1917" s="43"/>
      <c r="M1917" s="43"/>
      <c r="N1917" s="43"/>
      <c r="O1917" s="43"/>
      <c r="Q1917" s="44"/>
      <c r="R1917" s="44"/>
      <c r="S1917" s="44"/>
      <c r="T1917" s="44"/>
    </row>
    <row r="1918" spans="12:20" x14ac:dyDescent="0.2">
      <c r="L1918" s="43"/>
      <c r="M1918" s="43"/>
      <c r="N1918" s="43"/>
      <c r="O1918" s="43"/>
      <c r="Q1918" s="44"/>
      <c r="R1918" s="44"/>
      <c r="S1918" s="44"/>
      <c r="T1918" s="44"/>
    </row>
    <row r="1919" spans="12:20" x14ac:dyDescent="0.2">
      <c r="L1919" s="43"/>
      <c r="M1919" s="43"/>
      <c r="N1919" s="43"/>
      <c r="O1919" s="43"/>
      <c r="Q1919" s="44"/>
      <c r="R1919" s="44"/>
      <c r="S1919" s="44"/>
      <c r="T1919" s="44"/>
    </row>
    <row r="1920" spans="12:20" x14ac:dyDescent="0.2">
      <c r="L1920" s="43"/>
      <c r="M1920" s="43"/>
      <c r="N1920" s="43"/>
      <c r="O1920" s="43"/>
      <c r="Q1920" s="44"/>
      <c r="R1920" s="44"/>
      <c r="S1920" s="44"/>
      <c r="T1920" s="44"/>
    </row>
    <row r="1921" spans="12:20" x14ac:dyDescent="0.2">
      <c r="L1921" s="43"/>
      <c r="M1921" s="43"/>
      <c r="N1921" s="43"/>
      <c r="O1921" s="43"/>
      <c r="Q1921" s="44"/>
      <c r="R1921" s="44"/>
      <c r="S1921" s="44"/>
      <c r="T1921" s="44"/>
    </row>
    <row r="1922" spans="12:20" x14ac:dyDescent="0.2">
      <c r="L1922" s="43"/>
      <c r="M1922" s="43"/>
      <c r="N1922" s="43"/>
      <c r="O1922" s="43"/>
      <c r="Q1922" s="44"/>
      <c r="R1922" s="44"/>
      <c r="S1922" s="44"/>
      <c r="T1922" s="44"/>
    </row>
    <row r="1923" spans="12:20" x14ac:dyDescent="0.2">
      <c r="L1923" s="43"/>
      <c r="M1923" s="43"/>
      <c r="N1923" s="43"/>
      <c r="O1923" s="43"/>
      <c r="Q1923" s="44"/>
      <c r="R1923" s="44"/>
      <c r="S1923" s="44"/>
      <c r="T1923" s="44"/>
    </row>
    <row r="1924" spans="12:20" x14ac:dyDescent="0.2">
      <c r="L1924" s="43"/>
      <c r="M1924" s="43"/>
      <c r="N1924" s="43"/>
      <c r="O1924" s="43"/>
      <c r="Q1924" s="44"/>
      <c r="R1924" s="44"/>
      <c r="S1924" s="44"/>
      <c r="T1924" s="44"/>
    </row>
    <row r="1925" spans="12:20" x14ac:dyDescent="0.2">
      <c r="L1925" s="43"/>
      <c r="M1925" s="43"/>
      <c r="N1925" s="43"/>
      <c r="O1925" s="43"/>
      <c r="Q1925" s="44"/>
      <c r="R1925" s="44"/>
      <c r="S1925" s="44"/>
      <c r="T1925" s="44"/>
    </row>
    <row r="1926" spans="12:20" x14ac:dyDescent="0.2">
      <c r="L1926" s="43"/>
      <c r="M1926" s="43"/>
      <c r="N1926" s="43"/>
      <c r="O1926" s="43"/>
      <c r="Q1926" s="44"/>
      <c r="R1926" s="44"/>
      <c r="S1926" s="44"/>
      <c r="T1926" s="44"/>
    </row>
    <row r="1927" spans="12:20" x14ac:dyDescent="0.2">
      <c r="L1927" s="43"/>
      <c r="M1927" s="43"/>
      <c r="N1927" s="43"/>
      <c r="O1927" s="43"/>
      <c r="Q1927" s="44"/>
      <c r="R1927" s="44"/>
      <c r="S1927" s="44"/>
      <c r="T1927" s="44"/>
    </row>
    <row r="1928" spans="12:20" x14ac:dyDescent="0.2">
      <c r="L1928" s="43"/>
      <c r="M1928" s="43"/>
      <c r="N1928" s="43"/>
      <c r="O1928" s="43"/>
      <c r="Q1928" s="44"/>
      <c r="R1928" s="44"/>
      <c r="S1928" s="44"/>
      <c r="T1928" s="44"/>
    </row>
    <row r="1929" spans="12:20" x14ac:dyDescent="0.2">
      <c r="L1929" s="43"/>
      <c r="M1929" s="43"/>
      <c r="N1929" s="43"/>
      <c r="O1929" s="43"/>
      <c r="Q1929" s="44"/>
      <c r="R1929" s="44"/>
      <c r="S1929" s="44"/>
      <c r="T1929" s="44"/>
    </row>
    <row r="1930" spans="12:20" x14ac:dyDescent="0.2">
      <c r="L1930" s="43"/>
      <c r="M1930" s="43"/>
      <c r="N1930" s="43"/>
      <c r="O1930" s="43"/>
      <c r="Q1930" s="44"/>
      <c r="R1930" s="44"/>
      <c r="S1930" s="44"/>
      <c r="T1930" s="44"/>
    </row>
    <row r="1931" spans="12:20" x14ac:dyDescent="0.2">
      <c r="L1931" s="43"/>
      <c r="M1931" s="43"/>
      <c r="N1931" s="43"/>
      <c r="O1931" s="43"/>
      <c r="Q1931" s="44"/>
      <c r="R1931" s="44"/>
      <c r="S1931" s="44"/>
      <c r="T1931" s="44"/>
    </row>
    <row r="1932" spans="12:20" x14ac:dyDescent="0.2">
      <c r="L1932" s="43"/>
      <c r="M1932" s="43"/>
      <c r="N1932" s="43"/>
      <c r="O1932" s="43"/>
      <c r="Q1932" s="44"/>
      <c r="R1932" s="44"/>
      <c r="S1932" s="44"/>
      <c r="T1932" s="44"/>
    </row>
    <row r="1933" spans="12:20" x14ac:dyDescent="0.2">
      <c r="L1933" s="43"/>
      <c r="M1933" s="43"/>
      <c r="N1933" s="43"/>
      <c r="O1933" s="43"/>
      <c r="Q1933" s="44"/>
      <c r="R1933" s="44"/>
      <c r="S1933" s="44"/>
      <c r="T1933" s="44"/>
    </row>
    <row r="1934" spans="12:20" x14ac:dyDescent="0.2">
      <c r="L1934" s="43"/>
      <c r="M1934" s="43"/>
      <c r="N1934" s="43"/>
      <c r="O1934" s="43"/>
      <c r="Q1934" s="44"/>
      <c r="R1934" s="44"/>
      <c r="S1934" s="44"/>
      <c r="T1934" s="44"/>
    </row>
    <row r="1935" spans="12:20" x14ac:dyDescent="0.2">
      <c r="L1935" s="43"/>
      <c r="M1935" s="43"/>
      <c r="N1935" s="43"/>
      <c r="O1935" s="43"/>
      <c r="Q1935" s="44"/>
      <c r="R1935" s="44"/>
      <c r="S1935" s="44"/>
      <c r="T1935" s="44"/>
    </row>
    <row r="1936" spans="12:20" x14ac:dyDescent="0.2">
      <c r="L1936" s="43"/>
      <c r="M1936" s="43"/>
      <c r="N1936" s="43"/>
      <c r="O1936" s="43"/>
      <c r="Q1936" s="44"/>
      <c r="R1936" s="44"/>
      <c r="S1936" s="44"/>
      <c r="T1936" s="44"/>
    </row>
    <row r="1937" spans="12:20" x14ac:dyDescent="0.2">
      <c r="L1937" s="43"/>
      <c r="M1937" s="43"/>
      <c r="N1937" s="43"/>
      <c r="O1937" s="43"/>
      <c r="Q1937" s="44"/>
      <c r="R1937" s="44"/>
      <c r="S1937" s="44"/>
      <c r="T1937" s="44"/>
    </row>
    <row r="1938" spans="12:20" x14ac:dyDescent="0.2">
      <c r="L1938" s="43"/>
      <c r="M1938" s="43"/>
      <c r="N1938" s="43"/>
      <c r="O1938" s="43"/>
      <c r="Q1938" s="44"/>
      <c r="R1938" s="44"/>
      <c r="S1938" s="44"/>
      <c r="T1938" s="44"/>
    </row>
    <row r="1939" spans="12:20" x14ac:dyDescent="0.2">
      <c r="L1939" s="43"/>
      <c r="M1939" s="43"/>
      <c r="N1939" s="43"/>
      <c r="O1939" s="43"/>
      <c r="Q1939" s="44"/>
      <c r="R1939" s="44"/>
      <c r="S1939" s="44"/>
      <c r="T1939" s="44"/>
    </row>
    <row r="1940" spans="12:20" x14ac:dyDescent="0.2">
      <c r="L1940" s="43"/>
      <c r="M1940" s="43"/>
      <c r="N1940" s="43"/>
      <c r="O1940" s="43"/>
      <c r="Q1940" s="44"/>
      <c r="R1940" s="44"/>
      <c r="S1940" s="44"/>
      <c r="T1940" s="44"/>
    </row>
    <row r="1941" spans="12:20" x14ac:dyDescent="0.2">
      <c r="L1941" s="43"/>
      <c r="M1941" s="43"/>
      <c r="N1941" s="43"/>
      <c r="O1941" s="43"/>
      <c r="Q1941" s="44"/>
      <c r="R1941" s="44"/>
      <c r="S1941" s="44"/>
      <c r="T1941" s="44"/>
    </row>
    <row r="1942" spans="12:20" x14ac:dyDescent="0.2">
      <c r="L1942" s="43"/>
      <c r="M1942" s="43"/>
      <c r="N1942" s="43"/>
      <c r="O1942" s="43"/>
      <c r="Q1942" s="44"/>
      <c r="R1942" s="44"/>
      <c r="S1942" s="44"/>
      <c r="T1942" s="44"/>
    </row>
    <row r="1943" spans="12:20" x14ac:dyDescent="0.2">
      <c r="L1943" s="43"/>
      <c r="M1943" s="43"/>
      <c r="N1943" s="43"/>
      <c r="O1943" s="43"/>
      <c r="Q1943" s="44"/>
      <c r="R1943" s="44"/>
      <c r="S1943" s="44"/>
      <c r="T1943" s="44"/>
    </row>
    <row r="1944" spans="12:20" x14ac:dyDescent="0.2">
      <c r="L1944" s="43"/>
      <c r="M1944" s="43"/>
      <c r="N1944" s="43"/>
      <c r="O1944" s="43"/>
      <c r="Q1944" s="44"/>
      <c r="R1944" s="44"/>
      <c r="S1944" s="44"/>
      <c r="T1944" s="44"/>
    </row>
    <row r="1945" spans="12:20" x14ac:dyDescent="0.2">
      <c r="L1945" s="43"/>
      <c r="M1945" s="43"/>
      <c r="N1945" s="43"/>
      <c r="O1945" s="43"/>
      <c r="Q1945" s="44"/>
      <c r="R1945" s="44"/>
      <c r="S1945" s="44"/>
      <c r="T1945" s="44"/>
    </row>
    <row r="1946" spans="12:20" x14ac:dyDescent="0.2">
      <c r="L1946" s="43"/>
      <c r="M1946" s="43"/>
      <c r="N1946" s="43"/>
      <c r="O1946" s="43"/>
      <c r="Q1946" s="44"/>
      <c r="R1946" s="44"/>
      <c r="S1946" s="44"/>
      <c r="T1946" s="44"/>
    </row>
    <row r="1947" spans="12:20" x14ac:dyDescent="0.2">
      <c r="L1947" s="43"/>
      <c r="M1947" s="43"/>
      <c r="N1947" s="43"/>
      <c r="O1947" s="43"/>
      <c r="Q1947" s="44"/>
      <c r="R1947" s="44"/>
      <c r="S1947" s="44"/>
      <c r="T1947" s="44"/>
    </row>
    <row r="1948" spans="12:20" x14ac:dyDescent="0.2">
      <c r="L1948" s="43"/>
      <c r="M1948" s="43"/>
      <c r="N1948" s="43"/>
      <c r="O1948" s="43"/>
      <c r="Q1948" s="44"/>
      <c r="R1948" s="44"/>
      <c r="S1948" s="44"/>
      <c r="T1948" s="44"/>
    </row>
    <row r="1949" spans="12:20" x14ac:dyDescent="0.2">
      <c r="L1949" s="43"/>
      <c r="M1949" s="43"/>
      <c r="N1949" s="43"/>
      <c r="O1949" s="43"/>
      <c r="Q1949" s="44"/>
      <c r="R1949" s="44"/>
      <c r="S1949" s="44"/>
      <c r="T1949" s="44"/>
    </row>
    <row r="1950" spans="12:20" x14ac:dyDescent="0.2">
      <c r="L1950" s="43"/>
      <c r="M1950" s="43"/>
      <c r="N1950" s="43"/>
      <c r="O1950" s="43"/>
      <c r="Q1950" s="44"/>
      <c r="R1950" s="44"/>
      <c r="S1950" s="44"/>
      <c r="T1950" s="44"/>
    </row>
    <row r="1951" spans="12:20" x14ac:dyDescent="0.2">
      <c r="L1951" s="43"/>
      <c r="M1951" s="43"/>
      <c r="N1951" s="43"/>
      <c r="O1951" s="43"/>
      <c r="Q1951" s="44"/>
      <c r="R1951" s="44"/>
      <c r="S1951" s="44"/>
      <c r="T1951" s="44"/>
    </row>
    <row r="1952" spans="12:20" x14ac:dyDescent="0.2">
      <c r="L1952" s="43"/>
      <c r="M1952" s="43"/>
      <c r="N1952" s="43"/>
      <c r="O1952" s="43"/>
      <c r="Q1952" s="44"/>
      <c r="R1952" s="44"/>
      <c r="S1952" s="44"/>
      <c r="T1952" s="44"/>
    </row>
    <row r="1953" spans="12:20" x14ac:dyDescent="0.2">
      <c r="L1953" s="43"/>
      <c r="M1953" s="43"/>
      <c r="N1953" s="43"/>
      <c r="O1953" s="43"/>
      <c r="Q1953" s="44"/>
      <c r="R1953" s="44"/>
      <c r="S1953" s="44"/>
      <c r="T1953" s="44"/>
    </row>
    <row r="1954" spans="12:20" x14ac:dyDescent="0.2">
      <c r="L1954" s="43"/>
      <c r="M1954" s="43"/>
      <c r="N1954" s="43"/>
      <c r="O1954" s="43"/>
      <c r="Q1954" s="44"/>
      <c r="R1954" s="44"/>
      <c r="S1954" s="44"/>
      <c r="T1954" s="44"/>
    </row>
    <row r="1955" spans="12:20" x14ac:dyDescent="0.2">
      <c r="L1955" s="43"/>
      <c r="M1955" s="43"/>
      <c r="N1955" s="43"/>
      <c r="O1955" s="43"/>
      <c r="Q1955" s="44"/>
      <c r="R1955" s="44"/>
      <c r="S1955" s="44"/>
      <c r="T1955" s="44"/>
    </row>
    <row r="1956" spans="12:20" x14ac:dyDescent="0.2">
      <c r="L1956" s="43"/>
      <c r="M1956" s="43"/>
      <c r="N1956" s="43"/>
      <c r="O1956" s="43"/>
      <c r="Q1956" s="44"/>
      <c r="R1956" s="44"/>
      <c r="S1956" s="44"/>
      <c r="T1956" s="44"/>
    </row>
    <row r="1957" spans="12:20" x14ac:dyDescent="0.2">
      <c r="L1957" s="43"/>
      <c r="M1957" s="43"/>
      <c r="N1957" s="43"/>
      <c r="O1957" s="43"/>
      <c r="Q1957" s="44"/>
      <c r="R1957" s="44"/>
      <c r="S1957" s="44"/>
      <c r="T1957" s="44"/>
    </row>
    <row r="1958" spans="12:20" x14ac:dyDescent="0.2">
      <c r="L1958" s="43"/>
      <c r="M1958" s="43"/>
      <c r="N1958" s="43"/>
      <c r="O1958" s="43"/>
      <c r="Q1958" s="44"/>
      <c r="R1958" s="44"/>
      <c r="S1958" s="44"/>
      <c r="T1958" s="44"/>
    </row>
    <row r="1959" spans="12:20" x14ac:dyDescent="0.2">
      <c r="L1959" s="43"/>
      <c r="M1959" s="43"/>
      <c r="N1959" s="43"/>
      <c r="O1959" s="43"/>
      <c r="Q1959" s="44"/>
      <c r="R1959" s="44"/>
      <c r="S1959" s="44"/>
      <c r="T1959" s="44"/>
    </row>
    <row r="1960" spans="12:20" x14ac:dyDescent="0.2">
      <c r="L1960" s="43"/>
      <c r="M1960" s="43"/>
      <c r="N1960" s="43"/>
      <c r="O1960" s="43"/>
      <c r="Q1960" s="44"/>
      <c r="R1960" s="44"/>
      <c r="S1960" s="44"/>
      <c r="T1960" s="44"/>
    </row>
    <row r="1961" spans="12:20" x14ac:dyDescent="0.2">
      <c r="L1961" s="43"/>
      <c r="M1961" s="43"/>
      <c r="N1961" s="43"/>
      <c r="O1961" s="43"/>
      <c r="Q1961" s="44"/>
      <c r="R1961" s="44"/>
      <c r="S1961" s="44"/>
      <c r="T1961" s="44"/>
    </row>
    <row r="1962" spans="12:20" x14ac:dyDescent="0.2">
      <c r="L1962" s="43"/>
      <c r="M1962" s="43"/>
      <c r="N1962" s="43"/>
      <c r="O1962" s="43"/>
      <c r="Q1962" s="44"/>
      <c r="R1962" s="44"/>
      <c r="S1962" s="44"/>
      <c r="T1962" s="44"/>
    </row>
    <row r="1963" spans="12:20" x14ac:dyDescent="0.2">
      <c r="L1963" s="43"/>
      <c r="M1963" s="43"/>
      <c r="N1963" s="43"/>
      <c r="O1963" s="43"/>
      <c r="Q1963" s="44"/>
      <c r="R1963" s="44"/>
      <c r="S1963" s="44"/>
      <c r="T1963" s="44"/>
    </row>
    <row r="1964" spans="12:20" x14ac:dyDescent="0.2">
      <c r="L1964" s="43"/>
      <c r="M1964" s="43"/>
      <c r="N1964" s="43"/>
      <c r="O1964" s="43"/>
      <c r="Q1964" s="44"/>
      <c r="R1964" s="44"/>
      <c r="S1964" s="44"/>
      <c r="T1964" s="44"/>
    </row>
    <row r="1965" spans="12:20" x14ac:dyDescent="0.2">
      <c r="L1965" s="43"/>
      <c r="M1965" s="43"/>
      <c r="N1965" s="43"/>
      <c r="O1965" s="43"/>
      <c r="Q1965" s="44"/>
      <c r="R1965" s="44"/>
      <c r="S1965" s="44"/>
      <c r="T1965" s="44"/>
    </row>
    <row r="1966" spans="12:20" x14ac:dyDescent="0.2">
      <c r="L1966" s="43"/>
      <c r="M1966" s="43"/>
      <c r="N1966" s="43"/>
      <c r="O1966" s="43"/>
      <c r="Q1966" s="44"/>
      <c r="R1966" s="44"/>
      <c r="S1966" s="44"/>
      <c r="T1966" s="44"/>
    </row>
    <row r="1967" spans="12:20" x14ac:dyDescent="0.2">
      <c r="L1967" s="43"/>
      <c r="M1967" s="43"/>
      <c r="N1967" s="43"/>
      <c r="O1967" s="43"/>
      <c r="Q1967" s="44"/>
      <c r="R1967" s="44"/>
      <c r="S1967" s="44"/>
      <c r="T1967" s="44"/>
    </row>
    <row r="1968" spans="12:20" x14ac:dyDescent="0.2">
      <c r="L1968" s="43"/>
      <c r="M1968" s="43"/>
      <c r="N1968" s="43"/>
      <c r="O1968" s="43"/>
      <c r="Q1968" s="44"/>
      <c r="R1968" s="44"/>
      <c r="S1968" s="44"/>
      <c r="T1968" s="44"/>
    </row>
    <row r="1969" spans="12:20" x14ac:dyDescent="0.2">
      <c r="L1969" s="43"/>
      <c r="M1969" s="43"/>
      <c r="N1969" s="43"/>
      <c r="O1969" s="43"/>
      <c r="Q1969" s="44"/>
      <c r="R1969" s="44"/>
      <c r="S1969" s="44"/>
      <c r="T1969" s="44"/>
    </row>
    <row r="1970" spans="12:20" x14ac:dyDescent="0.2">
      <c r="L1970" s="43"/>
      <c r="M1970" s="43"/>
      <c r="N1970" s="43"/>
      <c r="O1970" s="43"/>
      <c r="Q1970" s="44"/>
      <c r="R1970" s="44"/>
      <c r="S1970" s="44"/>
      <c r="T1970" s="44"/>
    </row>
    <row r="1971" spans="12:20" x14ac:dyDescent="0.2">
      <c r="L1971" s="43"/>
      <c r="M1971" s="43"/>
      <c r="N1971" s="43"/>
      <c r="O1971" s="43"/>
      <c r="Q1971" s="44"/>
      <c r="R1971" s="44"/>
      <c r="S1971" s="44"/>
      <c r="T1971" s="44"/>
    </row>
    <row r="1972" spans="12:20" x14ac:dyDescent="0.2">
      <c r="L1972" s="43"/>
      <c r="M1972" s="43"/>
      <c r="N1972" s="43"/>
      <c r="O1972" s="43"/>
      <c r="Q1972" s="44"/>
      <c r="R1972" s="44"/>
      <c r="S1972" s="44"/>
      <c r="T1972" s="44"/>
    </row>
    <row r="1973" spans="12:20" x14ac:dyDescent="0.2">
      <c r="L1973" s="43"/>
      <c r="M1973" s="43"/>
      <c r="N1973" s="43"/>
      <c r="O1973" s="43"/>
      <c r="Q1973" s="44"/>
      <c r="R1973" s="44"/>
      <c r="S1973" s="44"/>
      <c r="T1973" s="44"/>
    </row>
    <row r="1974" spans="12:20" x14ac:dyDescent="0.2">
      <c r="L1974" s="43"/>
      <c r="M1974" s="43"/>
      <c r="N1974" s="43"/>
      <c r="O1974" s="43"/>
      <c r="Q1974" s="44"/>
      <c r="R1974" s="44"/>
      <c r="S1974" s="44"/>
      <c r="T1974" s="44"/>
    </row>
    <row r="1975" spans="12:20" x14ac:dyDescent="0.2">
      <c r="L1975" s="43"/>
      <c r="M1975" s="43"/>
      <c r="N1975" s="43"/>
      <c r="O1975" s="43"/>
      <c r="Q1975" s="44"/>
      <c r="R1975" s="44"/>
      <c r="S1975" s="44"/>
      <c r="T1975" s="44"/>
    </row>
    <row r="1976" spans="12:20" x14ac:dyDescent="0.2">
      <c r="L1976" s="43"/>
      <c r="M1976" s="43"/>
      <c r="N1976" s="43"/>
      <c r="O1976" s="43"/>
      <c r="Q1976" s="44"/>
      <c r="R1976" s="44"/>
      <c r="S1976" s="44"/>
      <c r="T1976" s="44"/>
    </row>
    <row r="1977" spans="12:20" x14ac:dyDescent="0.2">
      <c r="L1977" s="43"/>
      <c r="M1977" s="43"/>
      <c r="N1977" s="43"/>
      <c r="O1977" s="43"/>
      <c r="Q1977" s="44"/>
      <c r="R1977" s="44"/>
      <c r="S1977" s="44"/>
      <c r="T1977" s="44"/>
    </row>
    <row r="1978" spans="12:20" x14ac:dyDescent="0.2">
      <c r="L1978" s="43"/>
      <c r="M1978" s="43"/>
      <c r="N1978" s="43"/>
      <c r="O1978" s="43"/>
      <c r="Q1978" s="44"/>
      <c r="R1978" s="44"/>
      <c r="S1978" s="44"/>
      <c r="T1978" s="44"/>
    </row>
    <row r="1979" spans="12:20" x14ac:dyDescent="0.2">
      <c r="L1979" s="43"/>
      <c r="M1979" s="43"/>
      <c r="N1979" s="43"/>
      <c r="O1979" s="43"/>
      <c r="Q1979" s="44"/>
      <c r="R1979" s="44"/>
      <c r="S1979" s="44"/>
      <c r="T1979" s="44"/>
    </row>
    <row r="1980" spans="12:20" x14ac:dyDescent="0.2">
      <c r="L1980" s="43"/>
      <c r="M1980" s="43"/>
      <c r="N1980" s="43"/>
      <c r="O1980" s="43"/>
      <c r="Q1980" s="44"/>
      <c r="R1980" s="44"/>
      <c r="S1980" s="44"/>
      <c r="T1980" s="44"/>
    </row>
    <row r="1981" spans="12:20" x14ac:dyDescent="0.2">
      <c r="L1981" s="43"/>
      <c r="M1981" s="43"/>
      <c r="N1981" s="43"/>
      <c r="O1981" s="43"/>
      <c r="Q1981" s="44"/>
      <c r="R1981" s="44"/>
      <c r="S1981" s="44"/>
      <c r="T1981" s="44"/>
    </row>
    <row r="1982" spans="12:20" x14ac:dyDescent="0.2">
      <c r="L1982" s="43"/>
      <c r="M1982" s="43"/>
      <c r="N1982" s="43"/>
      <c r="O1982" s="43"/>
      <c r="Q1982" s="44"/>
      <c r="R1982" s="44"/>
      <c r="S1982" s="44"/>
      <c r="T1982" s="44"/>
    </row>
    <row r="1983" spans="12:20" x14ac:dyDescent="0.2">
      <c r="L1983" s="43"/>
      <c r="M1983" s="43"/>
      <c r="N1983" s="43"/>
      <c r="O1983" s="43"/>
      <c r="Q1983" s="44"/>
      <c r="R1983" s="44"/>
      <c r="S1983" s="44"/>
      <c r="T1983" s="44"/>
    </row>
    <row r="1984" spans="12:20" x14ac:dyDescent="0.2">
      <c r="L1984" s="43"/>
      <c r="M1984" s="43"/>
      <c r="N1984" s="43"/>
      <c r="O1984" s="43"/>
      <c r="Q1984" s="44"/>
      <c r="R1984" s="44"/>
      <c r="S1984" s="44"/>
      <c r="T1984" s="44"/>
    </row>
    <row r="1985" spans="12:20" x14ac:dyDescent="0.2">
      <c r="L1985" s="43"/>
      <c r="M1985" s="43"/>
      <c r="N1985" s="43"/>
      <c r="O1985" s="43"/>
      <c r="Q1985" s="44"/>
      <c r="R1985" s="44"/>
      <c r="S1985" s="44"/>
      <c r="T1985" s="44"/>
    </row>
    <row r="1986" spans="12:20" x14ac:dyDescent="0.2">
      <c r="L1986" s="43"/>
      <c r="M1986" s="43"/>
      <c r="N1986" s="43"/>
      <c r="O1986" s="43"/>
      <c r="Q1986" s="44"/>
      <c r="R1986" s="44"/>
      <c r="S1986" s="44"/>
      <c r="T1986" s="44"/>
    </row>
    <row r="1987" spans="12:20" x14ac:dyDescent="0.2">
      <c r="L1987" s="43"/>
      <c r="M1987" s="43"/>
      <c r="N1987" s="43"/>
      <c r="O1987" s="43"/>
      <c r="Q1987" s="44"/>
      <c r="R1987" s="44"/>
      <c r="S1987" s="44"/>
      <c r="T1987" s="44"/>
    </row>
    <row r="1988" spans="12:20" x14ac:dyDescent="0.2">
      <c r="L1988" s="43"/>
      <c r="M1988" s="43"/>
      <c r="N1988" s="43"/>
      <c r="O1988" s="43"/>
      <c r="Q1988" s="44"/>
      <c r="R1988" s="44"/>
      <c r="S1988" s="44"/>
      <c r="T1988" s="44"/>
    </row>
    <row r="1989" spans="12:20" x14ac:dyDescent="0.2">
      <c r="L1989" s="43"/>
      <c r="M1989" s="43"/>
      <c r="N1989" s="43"/>
      <c r="O1989" s="43"/>
      <c r="Q1989" s="44"/>
      <c r="R1989" s="44"/>
      <c r="S1989" s="44"/>
      <c r="T1989" s="44"/>
    </row>
    <row r="1990" spans="12:20" x14ac:dyDescent="0.2">
      <c r="L1990" s="43"/>
      <c r="M1990" s="43"/>
      <c r="N1990" s="43"/>
      <c r="O1990" s="43"/>
      <c r="Q1990" s="44"/>
      <c r="R1990" s="44"/>
      <c r="S1990" s="44"/>
      <c r="T1990" s="44"/>
    </row>
    <row r="1991" spans="12:20" x14ac:dyDescent="0.2">
      <c r="L1991" s="43"/>
      <c r="M1991" s="43"/>
      <c r="N1991" s="43"/>
      <c r="O1991" s="43"/>
      <c r="Q1991" s="44"/>
      <c r="R1991" s="44"/>
      <c r="S1991" s="44"/>
      <c r="T1991" s="44"/>
    </row>
    <row r="1992" spans="12:20" x14ac:dyDescent="0.2">
      <c r="L1992" s="43"/>
      <c r="M1992" s="43"/>
      <c r="N1992" s="43"/>
      <c r="O1992" s="43"/>
      <c r="Q1992" s="44"/>
      <c r="R1992" s="44"/>
      <c r="S1992" s="44"/>
      <c r="T1992" s="44"/>
    </row>
    <row r="1993" spans="12:20" x14ac:dyDescent="0.2">
      <c r="L1993" s="43"/>
      <c r="M1993" s="43"/>
      <c r="N1993" s="43"/>
      <c r="O1993" s="43"/>
      <c r="Q1993" s="44"/>
      <c r="R1993" s="44"/>
      <c r="S1993" s="44"/>
      <c r="T1993" s="44"/>
    </row>
    <row r="1994" spans="12:20" x14ac:dyDescent="0.2">
      <c r="L1994" s="43"/>
      <c r="M1994" s="43"/>
      <c r="N1994" s="43"/>
      <c r="O1994" s="43"/>
      <c r="Q1994" s="44"/>
      <c r="R1994" s="44"/>
      <c r="S1994" s="44"/>
      <c r="T1994" s="44"/>
    </row>
    <row r="1995" spans="12:20" x14ac:dyDescent="0.2">
      <c r="L1995" s="43"/>
      <c r="M1995" s="43"/>
      <c r="N1995" s="43"/>
      <c r="O1995" s="43"/>
      <c r="Q1995" s="44"/>
      <c r="R1995" s="44"/>
      <c r="S1995" s="44"/>
      <c r="T1995" s="44"/>
    </row>
    <row r="1996" spans="12:20" x14ac:dyDescent="0.2">
      <c r="L1996" s="43"/>
      <c r="M1996" s="43"/>
      <c r="N1996" s="43"/>
      <c r="O1996" s="43"/>
      <c r="Q1996" s="44"/>
      <c r="R1996" s="44"/>
      <c r="S1996" s="44"/>
      <c r="T1996" s="44"/>
    </row>
    <row r="1997" spans="12:20" x14ac:dyDescent="0.2">
      <c r="L1997" s="43"/>
      <c r="M1997" s="43"/>
      <c r="N1997" s="43"/>
      <c r="O1997" s="43"/>
      <c r="Q1997" s="44"/>
      <c r="R1997" s="44"/>
      <c r="S1997" s="44"/>
      <c r="T1997" s="44"/>
    </row>
    <row r="1998" spans="12:20" x14ac:dyDescent="0.2">
      <c r="L1998" s="43"/>
      <c r="M1998" s="43"/>
      <c r="N1998" s="43"/>
      <c r="O1998" s="43"/>
      <c r="Q1998" s="44"/>
      <c r="R1998" s="44"/>
      <c r="S1998" s="44"/>
      <c r="T1998" s="44"/>
    </row>
    <row r="1999" spans="12:20" x14ac:dyDescent="0.2">
      <c r="L1999" s="43"/>
      <c r="M1999" s="43"/>
      <c r="N1999" s="43"/>
      <c r="O1999" s="43"/>
      <c r="Q1999" s="44"/>
      <c r="R1999" s="44"/>
      <c r="S1999" s="44"/>
      <c r="T1999" s="44"/>
    </row>
    <row r="2000" spans="12:20" x14ac:dyDescent="0.2">
      <c r="L2000" s="43"/>
      <c r="M2000" s="43"/>
      <c r="N2000" s="43"/>
      <c r="O2000" s="43"/>
      <c r="Q2000" s="44"/>
      <c r="R2000" s="44"/>
      <c r="S2000" s="44"/>
      <c r="T2000" s="44"/>
    </row>
    <row r="2001" spans="12:20" x14ac:dyDescent="0.2">
      <c r="L2001" s="43"/>
      <c r="M2001" s="43"/>
      <c r="N2001" s="43"/>
      <c r="O2001" s="43"/>
      <c r="Q2001" s="44"/>
      <c r="R2001" s="44"/>
      <c r="S2001" s="44"/>
      <c r="T2001" s="44"/>
    </row>
    <row r="2002" spans="12:20" x14ac:dyDescent="0.2">
      <c r="L2002" s="43"/>
      <c r="M2002" s="43"/>
      <c r="N2002" s="43"/>
      <c r="O2002" s="43"/>
      <c r="Q2002" s="44"/>
      <c r="R2002" s="44"/>
      <c r="S2002" s="44"/>
      <c r="T2002" s="44"/>
    </row>
    <row r="2003" spans="12:20" x14ac:dyDescent="0.2">
      <c r="L2003" s="43"/>
      <c r="M2003" s="43"/>
      <c r="N2003" s="43"/>
      <c r="O2003" s="43"/>
      <c r="Q2003" s="44"/>
      <c r="R2003" s="44"/>
      <c r="S2003" s="44"/>
      <c r="T2003" s="44"/>
    </row>
    <row r="2004" spans="12:20" x14ac:dyDescent="0.2">
      <c r="L2004" s="43"/>
      <c r="M2004" s="43"/>
      <c r="N2004" s="43"/>
      <c r="O2004" s="43"/>
      <c r="Q2004" s="44"/>
      <c r="R2004" s="44"/>
      <c r="S2004" s="44"/>
      <c r="T2004" s="44"/>
    </row>
    <row r="2005" spans="12:20" x14ac:dyDescent="0.2">
      <c r="L2005" s="43"/>
      <c r="M2005" s="43"/>
      <c r="N2005" s="43"/>
      <c r="O2005" s="43"/>
      <c r="Q2005" s="44"/>
      <c r="R2005" s="44"/>
      <c r="S2005" s="44"/>
      <c r="T2005" s="44"/>
    </row>
    <row r="2006" spans="12:20" x14ac:dyDescent="0.2">
      <c r="L2006" s="43"/>
      <c r="M2006" s="43"/>
      <c r="N2006" s="43"/>
      <c r="O2006" s="43"/>
      <c r="Q2006" s="44"/>
      <c r="R2006" s="44"/>
      <c r="S2006" s="44"/>
      <c r="T2006" s="44"/>
    </row>
    <row r="2007" spans="12:20" x14ac:dyDescent="0.2">
      <c r="L2007" s="43"/>
      <c r="M2007" s="43"/>
      <c r="N2007" s="43"/>
      <c r="O2007" s="43"/>
      <c r="Q2007" s="44"/>
      <c r="R2007" s="44"/>
      <c r="S2007" s="44"/>
      <c r="T2007" s="44"/>
    </row>
    <row r="2008" spans="12:20" x14ac:dyDescent="0.2">
      <c r="L2008" s="43"/>
      <c r="M2008" s="43"/>
      <c r="N2008" s="43"/>
      <c r="O2008" s="43"/>
      <c r="Q2008" s="44"/>
      <c r="R2008" s="44"/>
      <c r="S2008" s="44"/>
      <c r="T2008" s="44"/>
    </row>
    <row r="2009" spans="12:20" x14ac:dyDescent="0.2">
      <c r="L2009" s="43"/>
      <c r="M2009" s="43"/>
      <c r="N2009" s="43"/>
      <c r="O2009" s="43"/>
      <c r="Q2009" s="44"/>
      <c r="R2009" s="44"/>
      <c r="S2009" s="44"/>
      <c r="T2009" s="44"/>
    </row>
    <row r="2010" spans="12:20" x14ac:dyDescent="0.2">
      <c r="L2010" s="43"/>
      <c r="M2010" s="43"/>
      <c r="N2010" s="43"/>
      <c r="O2010" s="43"/>
      <c r="Q2010" s="44"/>
      <c r="R2010" s="44"/>
      <c r="S2010" s="44"/>
      <c r="T2010" s="44"/>
    </row>
    <row r="2011" spans="12:20" x14ac:dyDescent="0.2">
      <c r="L2011" s="43"/>
      <c r="M2011" s="43"/>
      <c r="N2011" s="43"/>
      <c r="O2011" s="43"/>
      <c r="Q2011" s="44"/>
      <c r="R2011" s="44"/>
      <c r="S2011" s="44"/>
      <c r="T2011" s="44"/>
    </row>
    <row r="2012" spans="12:20" x14ac:dyDescent="0.2">
      <c r="L2012" s="43"/>
      <c r="M2012" s="43"/>
      <c r="N2012" s="43"/>
      <c r="O2012" s="43"/>
      <c r="Q2012" s="44"/>
      <c r="R2012" s="44"/>
      <c r="S2012" s="44"/>
      <c r="T2012" s="44"/>
    </row>
    <row r="2013" spans="12:20" x14ac:dyDescent="0.2">
      <c r="L2013" s="43"/>
      <c r="M2013" s="43"/>
      <c r="N2013" s="43"/>
      <c r="O2013" s="43"/>
      <c r="Q2013" s="44"/>
      <c r="R2013" s="44"/>
      <c r="S2013" s="44"/>
      <c r="T2013" s="44"/>
    </row>
    <row r="2014" spans="12:20" x14ac:dyDescent="0.2">
      <c r="L2014" s="43"/>
      <c r="M2014" s="43"/>
      <c r="N2014" s="43"/>
      <c r="O2014" s="43"/>
      <c r="Q2014" s="44"/>
      <c r="R2014" s="44"/>
      <c r="S2014" s="44"/>
      <c r="T2014" s="44"/>
    </row>
    <row r="2015" spans="12:20" x14ac:dyDescent="0.2">
      <c r="L2015" s="43"/>
      <c r="M2015" s="43"/>
      <c r="N2015" s="43"/>
      <c r="O2015" s="43"/>
      <c r="Q2015" s="44"/>
      <c r="R2015" s="44"/>
      <c r="S2015" s="44"/>
      <c r="T2015" s="44"/>
    </row>
    <row r="2016" spans="12:20" x14ac:dyDescent="0.2">
      <c r="L2016" s="43"/>
      <c r="M2016" s="43"/>
      <c r="N2016" s="43"/>
      <c r="O2016" s="43"/>
      <c r="Q2016" s="44"/>
      <c r="R2016" s="44"/>
      <c r="S2016" s="44"/>
      <c r="T2016" s="44"/>
    </row>
    <row r="2017" spans="12:20" x14ac:dyDescent="0.2">
      <c r="L2017" s="43"/>
      <c r="M2017" s="43"/>
      <c r="N2017" s="43"/>
      <c r="O2017" s="43"/>
      <c r="Q2017" s="44"/>
      <c r="R2017" s="44"/>
      <c r="S2017" s="44"/>
      <c r="T2017" s="44"/>
    </row>
    <row r="2018" spans="12:20" x14ac:dyDescent="0.2">
      <c r="L2018" s="43"/>
      <c r="M2018" s="43"/>
      <c r="N2018" s="43"/>
      <c r="O2018" s="43"/>
      <c r="Q2018" s="44"/>
      <c r="R2018" s="44"/>
      <c r="S2018" s="44"/>
      <c r="T2018" s="44"/>
    </row>
    <row r="2019" spans="12:20" x14ac:dyDescent="0.2">
      <c r="L2019" s="43"/>
      <c r="M2019" s="43"/>
      <c r="N2019" s="43"/>
      <c r="O2019" s="43"/>
      <c r="Q2019" s="44"/>
      <c r="R2019" s="44"/>
      <c r="S2019" s="44"/>
      <c r="T2019" s="44"/>
    </row>
    <row r="2020" spans="12:20" x14ac:dyDescent="0.2">
      <c r="L2020" s="43"/>
      <c r="M2020" s="43"/>
      <c r="N2020" s="43"/>
      <c r="O2020" s="43"/>
      <c r="Q2020" s="44"/>
      <c r="R2020" s="44"/>
      <c r="S2020" s="44"/>
      <c r="T2020" s="44"/>
    </row>
    <row r="2021" spans="12:20" x14ac:dyDescent="0.2">
      <c r="L2021" s="43"/>
      <c r="M2021" s="43"/>
      <c r="N2021" s="43"/>
      <c r="O2021" s="43"/>
      <c r="Q2021" s="44"/>
      <c r="R2021" s="44"/>
      <c r="S2021" s="44"/>
      <c r="T2021" s="44"/>
    </row>
    <row r="2022" spans="12:20" x14ac:dyDescent="0.2">
      <c r="L2022" s="43"/>
      <c r="M2022" s="43"/>
      <c r="N2022" s="43"/>
      <c r="O2022" s="43"/>
      <c r="Q2022" s="44"/>
      <c r="R2022" s="44"/>
      <c r="S2022" s="44"/>
      <c r="T2022" s="44"/>
    </row>
    <row r="2023" spans="12:20" x14ac:dyDescent="0.2">
      <c r="L2023" s="43"/>
      <c r="M2023" s="43"/>
      <c r="N2023" s="43"/>
      <c r="O2023" s="43"/>
      <c r="Q2023" s="44"/>
      <c r="R2023" s="44"/>
      <c r="S2023" s="44"/>
      <c r="T2023" s="44"/>
    </row>
    <row r="2024" spans="12:20" x14ac:dyDescent="0.2">
      <c r="L2024" s="43"/>
      <c r="M2024" s="43"/>
      <c r="N2024" s="43"/>
      <c r="O2024" s="43"/>
      <c r="Q2024" s="44"/>
      <c r="R2024" s="44"/>
      <c r="S2024" s="44"/>
      <c r="T2024" s="44"/>
    </row>
    <row r="2025" spans="12:20" x14ac:dyDescent="0.2">
      <c r="L2025" s="43"/>
      <c r="M2025" s="43"/>
      <c r="N2025" s="43"/>
      <c r="O2025" s="43"/>
      <c r="Q2025" s="44"/>
      <c r="R2025" s="44"/>
      <c r="S2025" s="44"/>
      <c r="T2025" s="44"/>
    </row>
    <row r="2026" spans="12:20" x14ac:dyDescent="0.2">
      <c r="L2026" s="43"/>
      <c r="M2026" s="43"/>
      <c r="N2026" s="43"/>
      <c r="O2026" s="43"/>
      <c r="Q2026" s="44"/>
      <c r="R2026" s="44"/>
      <c r="S2026" s="44"/>
      <c r="T2026" s="44"/>
    </row>
    <row r="2027" spans="12:20" x14ac:dyDescent="0.2">
      <c r="L2027" s="43"/>
      <c r="M2027" s="43"/>
      <c r="N2027" s="43"/>
      <c r="O2027" s="43"/>
      <c r="Q2027" s="44"/>
      <c r="R2027" s="44"/>
      <c r="S2027" s="44"/>
      <c r="T2027" s="44"/>
    </row>
    <row r="2028" spans="12:20" x14ac:dyDescent="0.2">
      <c r="L2028" s="43"/>
      <c r="M2028" s="43"/>
      <c r="N2028" s="43"/>
      <c r="O2028" s="43"/>
      <c r="Q2028" s="44"/>
      <c r="R2028" s="44"/>
      <c r="S2028" s="44"/>
      <c r="T2028" s="44"/>
    </row>
    <row r="2029" spans="12:20" x14ac:dyDescent="0.2">
      <c r="L2029" s="43"/>
      <c r="M2029" s="43"/>
      <c r="N2029" s="43"/>
      <c r="O2029" s="43"/>
      <c r="Q2029" s="44"/>
      <c r="R2029" s="44"/>
      <c r="S2029" s="44"/>
      <c r="T2029" s="44"/>
    </row>
    <row r="2030" spans="12:20" x14ac:dyDescent="0.2">
      <c r="L2030" s="43"/>
      <c r="M2030" s="43"/>
      <c r="N2030" s="43"/>
      <c r="O2030" s="43"/>
      <c r="Q2030" s="44"/>
      <c r="R2030" s="44"/>
      <c r="S2030" s="44"/>
      <c r="T2030" s="44"/>
    </row>
    <row r="2031" spans="12:20" x14ac:dyDescent="0.2">
      <c r="L2031" s="43"/>
      <c r="M2031" s="43"/>
      <c r="N2031" s="43"/>
      <c r="O2031" s="43"/>
      <c r="Q2031" s="44"/>
      <c r="R2031" s="44"/>
      <c r="S2031" s="44"/>
      <c r="T2031" s="44"/>
    </row>
    <row r="2032" spans="12:20" x14ac:dyDescent="0.2">
      <c r="L2032" s="43"/>
      <c r="M2032" s="43"/>
      <c r="N2032" s="43"/>
      <c r="O2032" s="43"/>
      <c r="Q2032" s="44"/>
      <c r="R2032" s="44"/>
      <c r="S2032" s="44"/>
      <c r="T2032" s="44"/>
    </row>
    <row r="2033" spans="12:20" x14ac:dyDescent="0.2">
      <c r="L2033" s="43"/>
      <c r="M2033" s="43"/>
      <c r="N2033" s="43"/>
      <c r="O2033" s="43"/>
      <c r="Q2033" s="44"/>
      <c r="R2033" s="44"/>
      <c r="S2033" s="44"/>
      <c r="T2033" s="44"/>
    </row>
    <row r="2034" spans="12:20" x14ac:dyDescent="0.2">
      <c r="L2034" s="43"/>
      <c r="M2034" s="43"/>
      <c r="N2034" s="43"/>
      <c r="O2034" s="43"/>
      <c r="Q2034" s="44"/>
      <c r="R2034" s="44"/>
      <c r="S2034" s="44"/>
      <c r="T2034" s="44"/>
    </row>
    <row r="2035" spans="12:20" x14ac:dyDescent="0.2">
      <c r="L2035" s="43"/>
      <c r="M2035" s="43"/>
      <c r="N2035" s="43"/>
      <c r="O2035" s="43"/>
      <c r="Q2035" s="44"/>
      <c r="R2035" s="44"/>
      <c r="S2035" s="44"/>
      <c r="T2035" s="44"/>
    </row>
    <row r="2036" spans="12:20" x14ac:dyDescent="0.2">
      <c r="L2036" s="43"/>
      <c r="M2036" s="43"/>
      <c r="N2036" s="43"/>
      <c r="O2036" s="43"/>
      <c r="Q2036" s="44"/>
      <c r="R2036" s="44"/>
      <c r="S2036" s="44"/>
      <c r="T2036" s="44"/>
    </row>
    <row r="2037" spans="12:20" x14ac:dyDescent="0.2">
      <c r="L2037" s="43"/>
      <c r="M2037" s="43"/>
      <c r="N2037" s="43"/>
      <c r="O2037" s="43"/>
      <c r="Q2037" s="44"/>
      <c r="R2037" s="44"/>
      <c r="S2037" s="44"/>
      <c r="T2037" s="44"/>
    </row>
    <row r="2038" spans="12:20" x14ac:dyDescent="0.2">
      <c r="L2038" s="43"/>
      <c r="M2038" s="43"/>
      <c r="N2038" s="43"/>
      <c r="O2038" s="43"/>
      <c r="Q2038" s="44"/>
      <c r="R2038" s="44"/>
      <c r="S2038" s="44"/>
      <c r="T2038" s="44"/>
    </row>
    <row r="2039" spans="12:20" x14ac:dyDescent="0.2">
      <c r="L2039" s="43"/>
      <c r="M2039" s="43"/>
      <c r="N2039" s="43"/>
      <c r="O2039" s="43"/>
      <c r="Q2039" s="44"/>
      <c r="R2039" s="44"/>
      <c r="S2039" s="44"/>
      <c r="T2039" s="44"/>
    </row>
    <row r="2040" spans="12:20" x14ac:dyDescent="0.2">
      <c r="L2040" s="43"/>
      <c r="M2040" s="43"/>
      <c r="N2040" s="43"/>
      <c r="O2040" s="43"/>
      <c r="Q2040" s="44"/>
      <c r="R2040" s="44"/>
      <c r="S2040" s="44"/>
      <c r="T2040" s="44"/>
    </row>
    <row r="2041" spans="12:20" x14ac:dyDescent="0.2">
      <c r="L2041" s="43"/>
      <c r="M2041" s="43"/>
      <c r="N2041" s="43"/>
      <c r="O2041" s="43"/>
      <c r="Q2041" s="44"/>
      <c r="R2041" s="44"/>
      <c r="S2041" s="44"/>
      <c r="T2041" s="44"/>
    </row>
    <row r="2042" spans="12:20" x14ac:dyDescent="0.2">
      <c r="L2042" s="43"/>
      <c r="M2042" s="43"/>
      <c r="N2042" s="43"/>
      <c r="O2042" s="43"/>
      <c r="Q2042" s="44"/>
      <c r="R2042" s="44"/>
      <c r="S2042" s="44"/>
      <c r="T2042" s="44"/>
    </row>
    <row r="2043" spans="12:20" x14ac:dyDescent="0.2">
      <c r="L2043" s="43"/>
      <c r="M2043" s="43"/>
      <c r="N2043" s="43"/>
      <c r="O2043" s="43"/>
      <c r="Q2043" s="44"/>
      <c r="R2043" s="44"/>
      <c r="S2043" s="44"/>
      <c r="T2043" s="44"/>
    </row>
    <row r="2044" spans="12:20" x14ac:dyDescent="0.2">
      <c r="L2044" s="43"/>
      <c r="M2044" s="43"/>
      <c r="N2044" s="43"/>
      <c r="O2044" s="43"/>
      <c r="Q2044" s="44"/>
      <c r="R2044" s="44"/>
      <c r="S2044" s="44"/>
      <c r="T2044" s="44"/>
    </row>
    <row r="2045" spans="12:20" x14ac:dyDescent="0.2">
      <c r="L2045" s="43"/>
      <c r="M2045" s="43"/>
      <c r="N2045" s="43"/>
      <c r="O2045" s="43"/>
      <c r="Q2045" s="44"/>
      <c r="R2045" s="44"/>
      <c r="S2045" s="44"/>
      <c r="T2045" s="44"/>
    </row>
    <row r="2046" spans="12:20" x14ac:dyDescent="0.2">
      <c r="L2046" s="43"/>
      <c r="M2046" s="43"/>
      <c r="N2046" s="43"/>
      <c r="O2046" s="43"/>
      <c r="Q2046" s="44"/>
      <c r="R2046" s="44"/>
      <c r="S2046" s="44"/>
      <c r="T2046" s="44"/>
    </row>
    <row r="2047" spans="12:20" x14ac:dyDescent="0.2">
      <c r="L2047" s="43"/>
      <c r="M2047" s="43"/>
      <c r="N2047" s="43"/>
      <c r="O2047" s="43"/>
      <c r="Q2047" s="44"/>
      <c r="R2047" s="44"/>
      <c r="S2047" s="44"/>
      <c r="T2047" s="44"/>
    </row>
    <row r="2048" spans="12:20" x14ac:dyDescent="0.2">
      <c r="L2048" s="43"/>
      <c r="M2048" s="43"/>
      <c r="N2048" s="43"/>
      <c r="O2048" s="43"/>
      <c r="Q2048" s="44"/>
      <c r="R2048" s="44"/>
      <c r="S2048" s="44"/>
      <c r="T2048" s="44"/>
    </row>
    <row r="2049" spans="12:20" x14ac:dyDescent="0.2">
      <c r="L2049" s="43"/>
      <c r="M2049" s="43"/>
      <c r="N2049" s="43"/>
      <c r="O2049" s="43"/>
      <c r="Q2049" s="44"/>
      <c r="R2049" s="44"/>
      <c r="S2049" s="44"/>
      <c r="T2049" s="44"/>
    </row>
    <row r="2050" spans="12:20" x14ac:dyDescent="0.2">
      <c r="L2050" s="43"/>
      <c r="M2050" s="43"/>
      <c r="N2050" s="43"/>
      <c r="O2050" s="43"/>
      <c r="Q2050" s="44"/>
      <c r="R2050" s="44"/>
      <c r="S2050" s="44"/>
      <c r="T2050" s="44"/>
    </row>
    <row r="2051" spans="12:20" x14ac:dyDescent="0.2">
      <c r="L2051" s="43"/>
      <c r="M2051" s="43"/>
      <c r="N2051" s="43"/>
      <c r="O2051" s="43"/>
      <c r="Q2051" s="44"/>
      <c r="R2051" s="44"/>
      <c r="S2051" s="44"/>
      <c r="T2051" s="44"/>
    </row>
    <row r="2052" spans="12:20" x14ac:dyDescent="0.2">
      <c r="L2052" s="43"/>
      <c r="M2052" s="43"/>
      <c r="N2052" s="43"/>
      <c r="O2052" s="43"/>
      <c r="Q2052" s="44"/>
      <c r="R2052" s="44"/>
      <c r="S2052" s="44"/>
      <c r="T2052" s="44"/>
    </row>
    <row r="2053" spans="12:20" x14ac:dyDescent="0.2">
      <c r="L2053" s="43"/>
      <c r="M2053" s="43"/>
      <c r="N2053" s="43"/>
      <c r="O2053" s="43"/>
      <c r="Q2053" s="44"/>
      <c r="R2053" s="44"/>
      <c r="S2053" s="44"/>
      <c r="T2053" s="44"/>
    </row>
    <row r="2054" spans="12:20" x14ac:dyDescent="0.2">
      <c r="L2054" s="43"/>
      <c r="M2054" s="43"/>
      <c r="N2054" s="43"/>
      <c r="O2054" s="43"/>
      <c r="Q2054" s="44"/>
      <c r="R2054" s="44"/>
      <c r="S2054" s="44"/>
      <c r="T2054" s="44"/>
    </row>
    <row r="2055" spans="12:20" x14ac:dyDescent="0.2">
      <c r="L2055" s="43"/>
      <c r="M2055" s="43"/>
      <c r="N2055" s="43"/>
      <c r="O2055" s="43"/>
      <c r="Q2055" s="44"/>
      <c r="R2055" s="44"/>
      <c r="S2055" s="44"/>
      <c r="T2055" s="44"/>
    </row>
    <row r="2056" spans="12:20" x14ac:dyDescent="0.2">
      <c r="L2056" s="43"/>
      <c r="M2056" s="43"/>
      <c r="N2056" s="43"/>
      <c r="O2056" s="43"/>
      <c r="Q2056" s="44"/>
      <c r="R2056" s="44"/>
      <c r="S2056" s="44"/>
      <c r="T2056" s="44"/>
    </row>
    <row r="2057" spans="12:20" x14ac:dyDescent="0.2">
      <c r="L2057" s="43"/>
      <c r="M2057" s="43"/>
      <c r="N2057" s="43"/>
      <c r="O2057" s="43"/>
      <c r="Q2057" s="44"/>
      <c r="R2057" s="44"/>
      <c r="S2057" s="44"/>
      <c r="T2057" s="44"/>
    </row>
    <row r="2058" spans="12:20" x14ac:dyDescent="0.2">
      <c r="L2058" s="43"/>
      <c r="M2058" s="43"/>
      <c r="N2058" s="43"/>
      <c r="O2058" s="43"/>
      <c r="Q2058" s="44"/>
      <c r="R2058" s="44"/>
      <c r="S2058" s="44"/>
      <c r="T2058" s="44"/>
    </row>
    <row r="2059" spans="12:20" x14ac:dyDescent="0.2">
      <c r="L2059" s="43"/>
      <c r="M2059" s="43"/>
      <c r="N2059" s="43"/>
      <c r="O2059" s="43"/>
      <c r="Q2059" s="44"/>
      <c r="R2059" s="44"/>
      <c r="S2059" s="44"/>
      <c r="T2059" s="44"/>
    </row>
    <row r="2060" spans="12:20" x14ac:dyDescent="0.2">
      <c r="L2060" s="43"/>
      <c r="M2060" s="43"/>
      <c r="N2060" s="43"/>
      <c r="O2060" s="43"/>
      <c r="Q2060" s="44"/>
      <c r="R2060" s="44"/>
      <c r="S2060" s="44"/>
      <c r="T2060" s="44"/>
    </row>
    <row r="2061" spans="12:20" x14ac:dyDescent="0.2">
      <c r="L2061" s="43"/>
      <c r="M2061" s="43"/>
      <c r="N2061" s="43"/>
      <c r="O2061" s="43"/>
      <c r="Q2061" s="44"/>
      <c r="R2061" s="44"/>
      <c r="S2061" s="44"/>
      <c r="T2061" s="44"/>
    </row>
    <row r="2062" spans="12:20" x14ac:dyDescent="0.2">
      <c r="L2062" s="43"/>
      <c r="M2062" s="43"/>
      <c r="N2062" s="43"/>
      <c r="O2062" s="43"/>
      <c r="Q2062" s="44"/>
      <c r="R2062" s="44"/>
      <c r="S2062" s="44"/>
      <c r="T2062" s="44"/>
    </row>
    <row r="2063" spans="12:20" x14ac:dyDescent="0.2">
      <c r="L2063" s="43"/>
      <c r="M2063" s="43"/>
      <c r="N2063" s="43"/>
      <c r="O2063" s="43"/>
      <c r="Q2063" s="44"/>
      <c r="R2063" s="44"/>
      <c r="S2063" s="44"/>
      <c r="T2063" s="44"/>
    </row>
    <row r="2064" spans="12:20" x14ac:dyDescent="0.2">
      <c r="L2064" s="43"/>
      <c r="M2064" s="43"/>
      <c r="N2064" s="43"/>
      <c r="O2064" s="43"/>
      <c r="Q2064" s="44"/>
      <c r="R2064" s="44"/>
      <c r="S2064" s="44"/>
      <c r="T2064" s="44"/>
    </row>
    <row r="2065" spans="12:20" x14ac:dyDescent="0.2">
      <c r="L2065" s="43"/>
      <c r="M2065" s="43"/>
      <c r="N2065" s="43"/>
      <c r="O2065" s="43"/>
      <c r="Q2065" s="44"/>
      <c r="R2065" s="44"/>
      <c r="S2065" s="44"/>
      <c r="T2065" s="44"/>
    </row>
    <row r="2066" spans="12:20" x14ac:dyDescent="0.2">
      <c r="L2066" s="43"/>
      <c r="M2066" s="43"/>
      <c r="N2066" s="43"/>
      <c r="O2066" s="43"/>
      <c r="Q2066" s="44"/>
      <c r="R2066" s="44"/>
      <c r="S2066" s="44"/>
      <c r="T2066" s="44"/>
    </row>
    <row r="2067" spans="12:20" x14ac:dyDescent="0.2">
      <c r="L2067" s="43"/>
      <c r="M2067" s="43"/>
      <c r="N2067" s="43"/>
      <c r="O2067" s="43"/>
      <c r="Q2067" s="44"/>
      <c r="R2067" s="44"/>
      <c r="S2067" s="44"/>
      <c r="T2067" s="44"/>
    </row>
    <row r="2068" spans="12:20" x14ac:dyDescent="0.2">
      <c r="L2068" s="43"/>
      <c r="M2068" s="43"/>
      <c r="N2068" s="43"/>
      <c r="O2068" s="43"/>
      <c r="Q2068" s="44"/>
      <c r="R2068" s="44"/>
      <c r="S2068" s="44"/>
      <c r="T2068" s="44"/>
    </row>
    <row r="2069" spans="12:20" x14ac:dyDescent="0.2">
      <c r="L2069" s="43"/>
      <c r="M2069" s="43"/>
      <c r="N2069" s="43"/>
      <c r="O2069" s="43"/>
      <c r="Q2069" s="44"/>
      <c r="R2069" s="44"/>
      <c r="S2069" s="44"/>
      <c r="T2069" s="44"/>
    </row>
    <row r="2070" spans="12:20" x14ac:dyDescent="0.2">
      <c r="L2070" s="43"/>
      <c r="M2070" s="43"/>
      <c r="N2070" s="43"/>
      <c r="O2070" s="43"/>
      <c r="Q2070" s="44"/>
      <c r="R2070" s="44"/>
      <c r="S2070" s="44"/>
      <c r="T2070" s="44"/>
    </row>
    <row r="2071" spans="12:20" x14ac:dyDescent="0.2">
      <c r="L2071" s="43"/>
      <c r="M2071" s="43"/>
      <c r="N2071" s="43"/>
      <c r="O2071" s="43"/>
      <c r="Q2071" s="44"/>
      <c r="R2071" s="44"/>
      <c r="S2071" s="44"/>
      <c r="T2071" s="44"/>
    </row>
    <row r="2072" spans="12:20" x14ac:dyDescent="0.2">
      <c r="L2072" s="43"/>
      <c r="M2072" s="43"/>
      <c r="N2072" s="43"/>
      <c r="O2072" s="43"/>
      <c r="Q2072" s="44"/>
      <c r="R2072" s="44"/>
      <c r="S2072" s="44"/>
      <c r="T2072" s="44"/>
    </row>
    <row r="2073" spans="12:20" x14ac:dyDescent="0.2">
      <c r="L2073" s="43"/>
      <c r="M2073" s="43"/>
      <c r="N2073" s="43"/>
      <c r="O2073" s="43"/>
      <c r="Q2073" s="44"/>
      <c r="R2073" s="44"/>
      <c r="S2073" s="44"/>
      <c r="T2073" s="44"/>
    </row>
    <row r="2074" spans="12:20" x14ac:dyDescent="0.2">
      <c r="L2074" s="43"/>
      <c r="M2074" s="43"/>
      <c r="N2074" s="43"/>
      <c r="O2074" s="43"/>
      <c r="Q2074" s="44"/>
      <c r="R2074" s="44"/>
      <c r="S2074" s="44"/>
      <c r="T2074" s="44"/>
    </row>
    <row r="2075" spans="12:20" x14ac:dyDescent="0.2">
      <c r="L2075" s="43"/>
      <c r="M2075" s="43"/>
      <c r="N2075" s="43"/>
      <c r="O2075" s="43"/>
      <c r="Q2075" s="44"/>
      <c r="R2075" s="44"/>
      <c r="S2075" s="44"/>
      <c r="T2075" s="44"/>
    </row>
    <row r="2076" spans="12:20" x14ac:dyDescent="0.2">
      <c r="L2076" s="43"/>
      <c r="M2076" s="43"/>
      <c r="N2076" s="43"/>
      <c r="O2076" s="43"/>
      <c r="Q2076" s="44"/>
      <c r="R2076" s="44"/>
      <c r="S2076" s="44"/>
      <c r="T2076" s="44"/>
    </row>
    <row r="2077" spans="12:20" x14ac:dyDescent="0.2">
      <c r="L2077" s="43"/>
      <c r="M2077" s="43"/>
      <c r="N2077" s="43"/>
      <c r="O2077" s="43"/>
      <c r="Q2077" s="44"/>
      <c r="R2077" s="44"/>
      <c r="S2077" s="44"/>
      <c r="T2077" s="44"/>
    </row>
    <row r="2078" spans="12:20" x14ac:dyDescent="0.2">
      <c r="L2078" s="43"/>
      <c r="M2078" s="43"/>
      <c r="N2078" s="43"/>
      <c r="O2078" s="43"/>
      <c r="Q2078" s="44"/>
      <c r="R2078" s="44"/>
      <c r="S2078" s="44"/>
      <c r="T2078" s="44"/>
    </row>
    <row r="2079" spans="12:20" x14ac:dyDescent="0.2">
      <c r="L2079" s="43"/>
      <c r="M2079" s="43"/>
      <c r="N2079" s="43"/>
      <c r="O2079" s="43"/>
      <c r="Q2079" s="44"/>
      <c r="R2079" s="44"/>
      <c r="S2079" s="44"/>
      <c r="T2079" s="44"/>
    </row>
    <row r="2080" spans="12:20" x14ac:dyDescent="0.2">
      <c r="L2080" s="43"/>
      <c r="M2080" s="43"/>
      <c r="N2080" s="43"/>
      <c r="O2080" s="43"/>
      <c r="Q2080" s="44"/>
      <c r="R2080" s="44"/>
      <c r="S2080" s="44"/>
      <c r="T2080" s="44"/>
    </row>
    <row r="2081" spans="12:20" x14ac:dyDescent="0.2">
      <c r="L2081" s="43"/>
      <c r="M2081" s="43"/>
      <c r="N2081" s="43"/>
      <c r="O2081" s="43"/>
      <c r="Q2081" s="44"/>
      <c r="R2081" s="44"/>
      <c r="S2081" s="44"/>
      <c r="T2081" s="44"/>
    </row>
    <row r="2082" spans="12:20" x14ac:dyDescent="0.2">
      <c r="L2082" s="43"/>
      <c r="M2082" s="43"/>
      <c r="N2082" s="43"/>
      <c r="O2082" s="43"/>
      <c r="Q2082" s="44"/>
      <c r="R2082" s="44"/>
      <c r="S2082" s="44"/>
      <c r="T2082" s="44"/>
    </row>
    <row r="2083" spans="12:20" x14ac:dyDescent="0.2">
      <c r="L2083" s="43"/>
      <c r="M2083" s="43"/>
      <c r="N2083" s="43"/>
      <c r="O2083" s="43"/>
      <c r="Q2083" s="44"/>
      <c r="R2083" s="44"/>
      <c r="S2083" s="44"/>
      <c r="T2083" s="44"/>
    </row>
    <row r="2084" spans="12:20" x14ac:dyDescent="0.2">
      <c r="L2084" s="43"/>
      <c r="M2084" s="43"/>
      <c r="N2084" s="43"/>
      <c r="O2084" s="43"/>
      <c r="Q2084" s="44"/>
      <c r="R2084" s="44"/>
      <c r="S2084" s="44"/>
      <c r="T2084" s="44"/>
    </row>
    <row r="2085" spans="12:20" x14ac:dyDescent="0.2">
      <c r="L2085" s="43"/>
      <c r="M2085" s="43"/>
      <c r="N2085" s="43"/>
      <c r="O2085" s="43"/>
      <c r="Q2085" s="44"/>
      <c r="R2085" s="44"/>
      <c r="S2085" s="44"/>
      <c r="T2085" s="44"/>
    </row>
    <row r="2086" spans="12:20" x14ac:dyDescent="0.2">
      <c r="L2086" s="43"/>
      <c r="M2086" s="43"/>
      <c r="N2086" s="43"/>
      <c r="O2086" s="43"/>
      <c r="Q2086" s="44"/>
      <c r="R2086" s="44"/>
      <c r="S2086" s="44"/>
      <c r="T2086" s="44"/>
    </row>
    <row r="2087" spans="12:20" x14ac:dyDescent="0.2">
      <c r="L2087" s="43"/>
      <c r="M2087" s="43"/>
      <c r="N2087" s="43"/>
      <c r="O2087" s="43"/>
      <c r="Q2087" s="44"/>
      <c r="R2087" s="44"/>
      <c r="S2087" s="44"/>
      <c r="T2087" s="44"/>
    </row>
    <row r="2088" spans="12:20" x14ac:dyDescent="0.2">
      <c r="L2088" s="43"/>
      <c r="M2088" s="43"/>
      <c r="N2088" s="43"/>
      <c r="O2088" s="43"/>
      <c r="Q2088" s="44"/>
      <c r="R2088" s="44"/>
      <c r="S2088" s="44"/>
      <c r="T2088" s="44"/>
    </row>
    <row r="2089" spans="12:20" x14ac:dyDescent="0.2">
      <c r="L2089" s="43"/>
      <c r="M2089" s="43"/>
      <c r="N2089" s="43"/>
      <c r="O2089" s="43"/>
      <c r="Q2089" s="44"/>
      <c r="R2089" s="44"/>
      <c r="S2089" s="44"/>
      <c r="T2089" s="44"/>
    </row>
    <row r="2090" spans="12:20" x14ac:dyDescent="0.2">
      <c r="L2090" s="43"/>
      <c r="M2090" s="43"/>
      <c r="N2090" s="43"/>
      <c r="O2090" s="43"/>
      <c r="Q2090" s="44"/>
      <c r="R2090" s="44"/>
      <c r="S2090" s="44"/>
      <c r="T2090" s="44"/>
    </row>
    <row r="2091" spans="12:20" x14ac:dyDescent="0.2">
      <c r="L2091" s="43"/>
      <c r="M2091" s="43"/>
      <c r="N2091" s="43"/>
      <c r="O2091" s="43"/>
      <c r="Q2091" s="44"/>
      <c r="R2091" s="44"/>
      <c r="S2091" s="44"/>
      <c r="T2091" s="44"/>
    </row>
    <row r="2092" spans="12:20" x14ac:dyDescent="0.2">
      <c r="L2092" s="43"/>
      <c r="M2092" s="43"/>
      <c r="N2092" s="43"/>
      <c r="O2092" s="43"/>
      <c r="Q2092" s="44"/>
      <c r="R2092" s="44"/>
      <c r="S2092" s="44"/>
      <c r="T2092" s="44"/>
    </row>
    <row r="2093" spans="12:20" x14ac:dyDescent="0.2">
      <c r="L2093" s="43"/>
      <c r="M2093" s="43"/>
      <c r="N2093" s="43"/>
      <c r="O2093" s="43"/>
      <c r="Q2093" s="44"/>
      <c r="R2093" s="44"/>
      <c r="S2093" s="44"/>
      <c r="T2093" s="44"/>
    </row>
    <row r="2094" spans="12:20" x14ac:dyDescent="0.2">
      <c r="L2094" s="43"/>
      <c r="M2094" s="43"/>
      <c r="N2094" s="43"/>
      <c r="O2094" s="43"/>
      <c r="Q2094" s="44"/>
      <c r="R2094" s="44"/>
      <c r="S2094" s="44"/>
      <c r="T2094" s="44"/>
    </row>
    <row r="2095" spans="12:20" x14ac:dyDescent="0.2">
      <c r="L2095" s="43"/>
      <c r="M2095" s="43"/>
      <c r="N2095" s="43"/>
      <c r="O2095" s="43"/>
      <c r="Q2095" s="44"/>
      <c r="R2095" s="44"/>
      <c r="S2095" s="44"/>
      <c r="T2095" s="44"/>
    </row>
    <row r="2096" spans="12:20" x14ac:dyDescent="0.2">
      <c r="L2096" s="43"/>
      <c r="M2096" s="43"/>
      <c r="N2096" s="43"/>
      <c r="O2096" s="43"/>
      <c r="Q2096" s="44"/>
      <c r="R2096" s="44"/>
      <c r="S2096" s="44"/>
      <c r="T2096" s="44"/>
    </row>
    <row r="2097" spans="12:20" x14ac:dyDescent="0.2">
      <c r="L2097" s="43"/>
      <c r="M2097" s="43"/>
      <c r="N2097" s="43"/>
      <c r="O2097" s="43"/>
      <c r="Q2097" s="44"/>
      <c r="R2097" s="44"/>
      <c r="S2097" s="44"/>
      <c r="T2097" s="44"/>
    </row>
    <row r="2098" spans="12:20" x14ac:dyDescent="0.2">
      <c r="L2098" s="43"/>
      <c r="M2098" s="43"/>
      <c r="N2098" s="43"/>
      <c r="O2098" s="43"/>
      <c r="Q2098" s="44"/>
      <c r="R2098" s="44"/>
      <c r="S2098" s="44"/>
      <c r="T2098" s="44"/>
    </row>
    <row r="2099" spans="12:20" x14ac:dyDescent="0.2">
      <c r="L2099" s="43"/>
      <c r="M2099" s="43"/>
      <c r="N2099" s="43"/>
      <c r="O2099" s="43"/>
      <c r="Q2099" s="44"/>
      <c r="R2099" s="44"/>
      <c r="S2099" s="44"/>
      <c r="T2099" s="44"/>
    </row>
    <row r="2100" spans="12:20" x14ac:dyDescent="0.2">
      <c r="L2100" s="43"/>
      <c r="M2100" s="43"/>
      <c r="N2100" s="43"/>
      <c r="O2100" s="43"/>
      <c r="Q2100" s="44"/>
      <c r="R2100" s="44"/>
      <c r="S2100" s="44"/>
      <c r="T2100" s="44"/>
    </row>
    <row r="2101" spans="12:20" x14ac:dyDescent="0.2">
      <c r="L2101" s="43"/>
      <c r="M2101" s="43"/>
      <c r="N2101" s="43"/>
      <c r="O2101" s="43"/>
      <c r="Q2101" s="44"/>
      <c r="R2101" s="44"/>
      <c r="S2101" s="44"/>
      <c r="T2101" s="44"/>
    </row>
    <row r="2102" spans="12:20" x14ac:dyDescent="0.2">
      <c r="L2102" s="43"/>
      <c r="M2102" s="43"/>
      <c r="N2102" s="43"/>
      <c r="O2102" s="43"/>
      <c r="Q2102" s="44"/>
      <c r="R2102" s="44"/>
      <c r="S2102" s="44"/>
      <c r="T2102" s="44"/>
    </row>
    <row r="2103" spans="12:20" x14ac:dyDescent="0.2">
      <c r="L2103" s="43"/>
      <c r="M2103" s="43"/>
      <c r="N2103" s="43"/>
      <c r="O2103" s="43"/>
      <c r="Q2103" s="44"/>
      <c r="R2103" s="44"/>
      <c r="S2103" s="44"/>
      <c r="T2103" s="44"/>
    </row>
    <row r="2104" spans="12:20" x14ac:dyDescent="0.2">
      <c r="L2104" s="43"/>
      <c r="M2104" s="43"/>
      <c r="N2104" s="43"/>
      <c r="O2104" s="43"/>
      <c r="Q2104" s="44"/>
      <c r="R2104" s="44"/>
      <c r="S2104" s="44"/>
      <c r="T2104" s="44"/>
    </row>
    <row r="2105" spans="12:20" x14ac:dyDescent="0.2">
      <c r="L2105" s="43"/>
      <c r="M2105" s="43"/>
      <c r="N2105" s="43"/>
      <c r="O2105" s="43"/>
      <c r="Q2105" s="44"/>
      <c r="R2105" s="44"/>
      <c r="S2105" s="44"/>
      <c r="T2105" s="44"/>
    </row>
    <row r="2106" spans="12:20" x14ac:dyDescent="0.2">
      <c r="L2106" s="43"/>
      <c r="M2106" s="43"/>
      <c r="N2106" s="43"/>
      <c r="O2106" s="43"/>
      <c r="Q2106" s="44"/>
      <c r="R2106" s="44"/>
      <c r="S2106" s="44"/>
      <c r="T2106" s="44"/>
    </row>
    <row r="2107" spans="12:20" x14ac:dyDescent="0.2">
      <c r="L2107" s="43"/>
      <c r="M2107" s="43"/>
      <c r="N2107" s="43"/>
      <c r="O2107" s="43"/>
      <c r="Q2107" s="44"/>
      <c r="R2107" s="44"/>
      <c r="S2107" s="44"/>
      <c r="T2107" s="44"/>
    </row>
    <row r="2108" spans="12:20" x14ac:dyDescent="0.2">
      <c r="L2108" s="43"/>
      <c r="M2108" s="43"/>
      <c r="N2108" s="43"/>
      <c r="O2108" s="43"/>
      <c r="Q2108" s="44"/>
      <c r="R2108" s="44"/>
      <c r="S2108" s="44"/>
      <c r="T2108" s="44"/>
    </row>
    <row r="2109" spans="12:20" x14ac:dyDescent="0.2">
      <c r="L2109" s="43"/>
      <c r="M2109" s="43"/>
      <c r="N2109" s="43"/>
      <c r="O2109" s="43"/>
      <c r="Q2109" s="44"/>
      <c r="R2109" s="44"/>
      <c r="S2109" s="44"/>
      <c r="T2109" s="44"/>
    </row>
    <row r="2110" spans="12:20" x14ac:dyDescent="0.2">
      <c r="L2110" s="43"/>
      <c r="M2110" s="43"/>
      <c r="N2110" s="43"/>
      <c r="O2110" s="43"/>
      <c r="Q2110" s="44"/>
      <c r="R2110" s="44"/>
      <c r="S2110" s="44"/>
      <c r="T2110" s="44"/>
    </row>
    <row r="2111" spans="12:20" x14ac:dyDescent="0.2">
      <c r="L2111" s="43"/>
      <c r="M2111" s="43"/>
      <c r="N2111" s="43"/>
      <c r="O2111" s="43"/>
      <c r="Q2111" s="44"/>
      <c r="R2111" s="44"/>
      <c r="S2111" s="44"/>
      <c r="T2111" s="44"/>
    </row>
    <row r="2112" spans="12:20" x14ac:dyDescent="0.2">
      <c r="L2112" s="43"/>
      <c r="M2112" s="43"/>
      <c r="N2112" s="43"/>
      <c r="O2112" s="43"/>
      <c r="Q2112" s="44"/>
      <c r="R2112" s="44"/>
      <c r="S2112" s="44"/>
      <c r="T2112" s="44"/>
    </row>
    <row r="2113" spans="12:20" x14ac:dyDescent="0.2">
      <c r="L2113" s="43"/>
      <c r="M2113" s="43"/>
      <c r="N2113" s="43"/>
      <c r="O2113" s="43"/>
      <c r="Q2113" s="44"/>
      <c r="R2113" s="44"/>
      <c r="S2113" s="44"/>
      <c r="T2113" s="44"/>
    </row>
    <row r="2114" spans="12:20" x14ac:dyDescent="0.2">
      <c r="L2114" s="43"/>
      <c r="M2114" s="43"/>
      <c r="N2114" s="43"/>
      <c r="O2114" s="43"/>
      <c r="Q2114" s="44"/>
      <c r="R2114" s="44"/>
      <c r="S2114" s="44"/>
      <c r="T2114" s="44"/>
    </row>
    <row r="2115" spans="12:20" x14ac:dyDescent="0.2">
      <c r="L2115" s="43"/>
      <c r="M2115" s="43"/>
      <c r="N2115" s="43"/>
      <c r="O2115" s="43"/>
      <c r="Q2115" s="44"/>
      <c r="R2115" s="44"/>
      <c r="S2115" s="44"/>
      <c r="T2115" s="44"/>
    </row>
    <row r="2116" spans="12:20" x14ac:dyDescent="0.2">
      <c r="L2116" s="43"/>
      <c r="M2116" s="43"/>
      <c r="N2116" s="43"/>
      <c r="O2116" s="43"/>
      <c r="Q2116" s="44"/>
      <c r="R2116" s="44"/>
      <c r="S2116" s="44"/>
      <c r="T2116" s="44"/>
    </row>
    <row r="2117" spans="12:20" x14ac:dyDescent="0.2">
      <c r="L2117" s="43"/>
      <c r="M2117" s="43"/>
      <c r="N2117" s="43"/>
      <c r="O2117" s="43"/>
      <c r="Q2117" s="44"/>
      <c r="R2117" s="44"/>
      <c r="S2117" s="44"/>
      <c r="T2117" s="44"/>
    </row>
    <row r="2118" spans="12:20" x14ac:dyDescent="0.2">
      <c r="L2118" s="43"/>
      <c r="M2118" s="43"/>
      <c r="N2118" s="43"/>
      <c r="O2118" s="43"/>
      <c r="Q2118" s="44"/>
      <c r="R2118" s="44"/>
      <c r="S2118" s="44"/>
      <c r="T2118" s="44"/>
    </row>
    <row r="2119" spans="12:20" x14ac:dyDescent="0.2">
      <c r="L2119" s="43"/>
      <c r="M2119" s="43"/>
      <c r="N2119" s="43"/>
      <c r="O2119" s="43"/>
      <c r="Q2119" s="44"/>
      <c r="R2119" s="44"/>
      <c r="S2119" s="44"/>
      <c r="T2119" s="44"/>
    </row>
    <row r="2120" spans="12:20" x14ac:dyDescent="0.2">
      <c r="L2120" s="43"/>
      <c r="M2120" s="43"/>
      <c r="N2120" s="43"/>
      <c r="O2120" s="43"/>
      <c r="Q2120" s="44"/>
      <c r="R2120" s="44"/>
      <c r="S2120" s="44"/>
      <c r="T2120" s="44"/>
    </row>
    <row r="2121" spans="12:20" x14ac:dyDescent="0.2">
      <c r="L2121" s="43"/>
      <c r="M2121" s="43"/>
      <c r="N2121" s="43"/>
      <c r="O2121" s="43"/>
      <c r="Q2121" s="44"/>
      <c r="R2121" s="44"/>
      <c r="S2121" s="44"/>
      <c r="T2121" s="44"/>
    </row>
    <row r="2122" spans="12:20" x14ac:dyDescent="0.2">
      <c r="L2122" s="43"/>
      <c r="M2122" s="43"/>
      <c r="N2122" s="43"/>
      <c r="O2122" s="43"/>
      <c r="Q2122" s="44"/>
      <c r="R2122" s="44"/>
      <c r="S2122" s="44"/>
      <c r="T2122" s="44"/>
    </row>
    <row r="2123" spans="12:20" x14ac:dyDescent="0.2">
      <c r="L2123" s="43"/>
      <c r="M2123" s="43"/>
      <c r="N2123" s="43"/>
      <c r="O2123" s="43"/>
      <c r="Q2123" s="44"/>
      <c r="R2123" s="44"/>
      <c r="S2123" s="44"/>
      <c r="T2123" s="44"/>
    </row>
    <row r="2124" spans="12:20" x14ac:dyDescent="0.2">
      <c r="L2124" s="43"/>
      <c r="M2124" s="43"/>
      <c r="N2124" s="43"/>
      <c r="O2124" s="43"/>
      <c r="Q2124" s="44"/>
      <c r="R2124" s="44"/>
      <c r="S2124" s="44"/>
      <c r="T2124" s="44"/>
    </row>
    <row r="2125" spans="12:20" x14ac:dyDescent="0.2">
      <c r="L2125" s="43"/>
      <c r="M2125" s="43"/>
      <c r="N2125" s="43"/>
      <c r="O2125" s="43"/>
      <c r="Q2125" s="44"/>
      <c r="R2125" s="44"/>
      <c r="S2125" s="44"/>
      <c r="T2125" s="44"/>
    </row>
    <row r="2126" spans="12:20" x14ac:dyDescent="0.2">
      <c r="L2126" s="43"/>
      <c r="M2126" s="43"/>
      <c r="N2126" s="43"/>
      <c r="O2126" s="43"/>
      <c r="Q2126" s="44"/>
      <c r="R2126" s="44"/>
      <c r="S2126" s="44"/>
      <c r="T2126" s="44"/>
    </row>
    <row r="2127" spans="12:20" x14ac:dyDescent="0.2">
      <c r="L2127" s="43"/>
      <c r="M2127" s="43"/>
      <c r="N2127" s="43"/>
      <c r="O2127" s="43"/>
      <c r="Q2127" s="44"/>
      <c r="R2127" s="44"/>
      <c r="S2127" s="44"/>
      <c r="T2127" s="44"/>
    </row>
    <row r="2128" spans="12:20" x14ac:dyDescent="0.2">
      <c r="L2128" s="43"/>
      <c r="M2128" s="43"/>
      <c r="N2128" s="43"/>
      <c r="O2128" s="43"/>
      <c r="Q2128" s="44"/>
      <c r="R2128" s="44"/>
      <c r="S2128" s="44"/>
      <c r="T2128" s="44"/>
    </row>
    <row r="2129" spans="12:20" x14ac:dyDescent="0.2">
      <c r="L2129" s="43"/>
      <c r="M2129" s="43"/>
      <c r="N2129" s="43"/>
      <c r="O2129" s="43"/>
      <c r="Q2129" s="44"/>
      <c r="R2129" s="44"/>
      <c r="S2129" s="44"/>
      <c r="T2129" s="44"/>
    </row>
    <row r="2130" spans="12:20" x14ac:dyDescent="0.2">
      <c r="L2130" s="43"/>
      <c r="M2130" s="43"/>
      <c r="N2130" s="43"/>
      <c r="O2130" s="43"/>
      <c r="Q2130" s="44"/>
      <c r="R2130" s="44"/>
      <c r="S2130" s="44"/>
      <c r="T2130" s="44"/>
    </row>
    <row r="2131" spans="12:20" x14ac:dyDescent="0.2">
      <c r="L2131" s="43"/>
      <c r="M2131" s="43"/>
      <c r="N2131" s="43"/>
      <c r="O2131" s="43"/>
      <c r="Q2131" s="44"/>
      <c r="R2131" s="44"/>
      <c r="S2131" s="44"/>
      <c r="T2131" s="44"/>
    </row>
    <row r="2132" spans="12:20" x14ac:dyDescent="0.2">
      <c r="L2132" s="43"/>
      <c r="M2132" s="43"/>
      <c r="N2132" s="43"/>
      <c r="O2132" s="43"/>
      <c r="Q2132" s="44"/>
      <c r="R2132" s="44"/>
      <c r="S2132" s="44"/>
      <c r="T2132" s="44"/>
    </row>
    <row r="2133" spans="12:20" x14ac:dyDescent="0.2">
      <c r="L2133" s="43"/>
      <c r="M2133" s="43"/>
      <c r="N2133" s="43"/>
      <c r="O2133" s="43"/>
      <c r="Q2133" s="44"/>
      <c r="R2133" s="44"/>
      <c r="S2133" s="44"/>
      <c r="T2133" s="44"/>
    </row>
    <row r="2134" spans="12:20" x14ac:dyDescent="0.2">
      <c r="L2134" s="43"/>
      <c r="M2134" s="43"/>
      <c r="N2134" s="43"/>
      <c r="O2134" s="43"/>
      <c r="Q2134" s="44"/>
      <c r="R2134" s="44"/>
      <c r="S2134" s="44"/>
      <c r="T2134" s="44"/>
    </row>
    <row r="2135" spans="12:20" x14ac:dyDescent="0.2">
      <c r="L2135" s="43"/>
      <c r="M2135" s="43"/>
      <c r="N2135" s="43"/>
      <c r="O2135" s="43"/>
      <c r="Q2135" s="44"/>
      <c r="R2135" s="44"/>
      <c r="S2135" s="44"/>
      <c r="T2135" s="44"/>
    </row>
    <row r="2136" spans="12:20" x14ac:dyDescent="0.2">
      <c r="L2136" s="43"/>
      <c r="M2136" s="43"/>
      <c r="N2136" s="43"/>
      <c r="O2136" s="43"/>
      <c r="Q2136" s="44"/>
      <c r="R2136" s="44"/>
      <c r="S2136" s="44"/>
      <c r="T2136" s="44"/>
    </row>
    <row r="2137" spans="12:20" x14ac:dyDescent="0.2">
      <c r="L2137" s="43"/>
      <c r="M2137" s="43"/>
      <c r="N2137" s="43"/>
      <c r="O2137" s="43"/>
      <c r="Q2137" s="44"/>
      <c r="R2137" s="44"/>
      <c r="S2137" s="44"/>
      <c r="T2137" s="44"/>
    </row>
    <row r="2138" spans="12:20" x14ac:dyDescent="0.2">
      <c r="L2138" s="43"/>
      <c r="M2138" s="43"/>
      <c r="N2138" s="43"/>
      <c r="O2138" s="43"/>
      <c r="Q2138" s="44"/>
      <c r="R2138" s="44"/>
      <c r="S2138" s="44"/>
      <c r="T2138" s="44"/>
    </row>
    <row r="2139" spans="12:20" x14ac:dyDescent="0.2">
      <c r="L2139" s="43"/>
      <c r="M2139" s="43"/>
      <c r="N2139" s="43"/>
      <c r="O2139" s="43"/>
      <c r="Q2139" s="44"/>
      <c r="R2139" s="44"/>
      <c r="S2139" s="44"/>
      <c r="T2139" s="44"/>
    </row>
    <row r="2140" spans="12:20" x14ac:dyDescent="0.2">
      <c r="L2140" s="43"/>
      <c r="M2140" s="43"/>
      <c r="N2140" s="43"/>
      <c r="O2140" s="43"/>
      <c r="Q2140" s="44"/>
      <c r="R2140" s="44"/>
      <c r="S2140" s="44"/>
      <c r="T2140" s="44"/>
    </row>
    <row r="2141" spans="12:20" x14ac:dyDescent="0.2">
      <c r="L2141" s="43"/>
      <c r="M2141" s="43"/>
      <c r="N2141" s="43"/>
      <c r="O2141" s="43"/>
      <c r="Q2141" s="44"/>
      <c r="R2141" s="44"/>
      <c r="S2141" s="44"/>
      <c r="T2141" s="44"/>
    </row>
    <row r="2142" spans="12:20" x14ac:dyDescent="0.2">
      <c r="L2142" s="43"/>
      <c r="M2142" s="43"/>
      <c r="N2142" s="43"/>
      <c r="O2142" s="43"/>
      <c r="Q2142" s="44"/>
      <c r="R2142" s="44"/>
      <c r="S2142" s="44"/>
      <c r="T2142" s="44"/>
    </row>
    <row r="2143" spans="12:20" x14ac:dyDescent="0.2">
      <c r="L2143" s="43"/>
      <c r="M2143" s="43"/>
      <c r="N2143" s="43"/>
      <c r="O2143" s="43"/>
      <c r="Q2143" s="44"/>
      <c r="R2143" s="44"/>
      <c r="S2143" s="44"/>
      <c r="T2143" s="44"/>
    </row>
    <row r="2144" spans="12:20" x14ac:dyDescent="0.2">
      <c r="L2144" s="43"/>
      <c r="M2144" s="43"/>
      <c r="N2144" s="43"/>
      <c r="O2144" s="43"/>
      <c r="Q2144" s="44"/>
      <c r="R2144" s="44"/>
      <c r="S2144" s="44"/>
      <c r="T2144" s="44"/>
    </row>
    <row r="2145" spans="12:20" x14ac:dyDescent="0.2">
      <c r="L2145" s="43"/>
      <c r="M2145" s="43"/>
      <c r="N2145" s="43"/>
      <c r="O2145" s="43"/>
      <c r="Q2145" s="44"/>
      <c r="R2145" s="44"/>
      <c r="S2145" s="44"/>
      <c r="T2145" s="44"/>
    </row>
    <row r="2146" spans="12:20" x14ac:dyDescent="0.2">
      <c r="L2146" s="43"/>
      <c r="M2146" s="43"/>
      <c r="N2146" s="43"/>
      <c r="O2146" s="43"/>
      <c r="Q2146" s="44"/>
      <c r="R2146" s="44"/>
      <c r="S2146" s="44"/>
      <c r="T2146" s="44"/>
    </row>
    <row r="2147" spans="12:20" x14ac:dyDescent="0.2">
      <c r="L2147" s="43"/>
      <c r="M2147" s="43"/>
      <c r="N2147" s="43"/>
      <c r="O2147" s="43"/>
      <c r="Q2147" s="44"/>
      <c r="R2147" s="44"/>
      <c r="S2147" s="44"/>
      <c r="T2147" s="44"/>
    </row>
    <row r="2148" spans="12:20" x14ac:dyDescent="0.2">
      <c r="L2148" s="43"/>
      <c r="M2148" s="43"/>
      <c r="N2148" s="43"/>
      <c r="O2148" s="43"/>
      <c r="Q2148" s="44"/>
      <c r="R2148" s="44"/>
      <c r="S2148" s="44"/>
      <c r="T2148" s="44"/>
    </row>
    <row r="2149" spans="12:20" x14ac:dyDescent="0.2">
      <c r="L2149" s="43"/>
      <c r="M2149" s="43"/>
      <c r="N2149" s="43"/>
      <c r="O2149" s="43"/>
      <c r="Q2149" s="44"/>
      <c r="R2149" s="44"/>
      <c r="S2149" s="44"/>
      <c r="T2149" s="44"/>
    </row>
    <row r="2150" spans="12:20" x14ac:dyDescent="0.2">
      <c r="L2150" s="43"/>
      <c r="M2150" s="43"/>
      <c r="N2150" s="43"/>
      <c r="O2150" s="43"/>
      <c r="Q2150" s="44"/>
      <c r="R2150" s="44"/>
      <c r="S2150" s="44"/>
      <c r="T2150" s="44"/>
    </row>
    <row r="2151" spans="12:20" x14ac:dyDescent="0.2">
      <c r="L2151" s="43"/>
      <c r="M2151" s="43"/>
      <c r="N2151" s="43"/>
      <c r="O2151" s="43"/>
      <c r="Q2151" s="44"/>
      <c r="R2151" s="44"/>
      <c r="S2151" s="44"/>
      <c r="T2151" s="44"/>
    </row>
    <row r="2152" spans="12:20" x14ac:dyDescent="0.2">
      <c r="L2152" s="43"/>
      <c r="M2152" s="43"/>
      <c r="N2152" s="43"/>
      <c r="O2152" s="43"/>
      <c r="Q2152" s="44"/>
      <c r="R2152" s="44"/>
      <c r="S2152" s="44"/>
      <c r="T2152" s="44"/>
    </row>
    <row r="2153" spans="12:20" x14ac:dyDescent="0.2">
      <c r="L2153" s="43"/>
      <c r="M2153" s="43"/>
      <c r="N2153" s="43"/>
      <c r="O2153" s="43"/>
      <c r="Q2153" s="44"/>
      <c r="R2153" s="44"/>
      <c r="S2153" s="44"/>
      <c r="T2153" s="44"/>
    </row>
    <row r="2154" spans="12:20" x14ac:dyDescent="0.2">
      <c r="L2154" s="43"/>
      <c r="M2154" s="43"/>
      <c r="N2154" s="43"/>
      <c r="O2154" s="43"/>
      <c r="Q2154" s="44"/>
      <c r="R2154" s="44"/>
      <c r="S2154" s="44"/>
      <c r="T2154" s="44"/>
    </row>
    <row r="2155" spans="12:20" x14ac:dyDescent="0.2">
      <c r="L2155" s="43"/>
      <c r="M2155" s="43"/>
      <c r="N2155" s="43"/>
      <c r="O2155" s="43"/>
      <c r="Q2155" s="44"/>
      <c r="R2155" s="44"/>
      <c r="S2155" s="44"/>
      <c r="T2155" s="44"/>
    </row>
    <row r="2156" spans="12:20" x14ac:dyDescent="0.2">
      <c r="L2156" s="43"/>
      <c r="M2156" s="43"/>
      <c r="N2156" s="43"/>
      <c r="O2156" s="43"/>
      <c r="Q2156" s="44"/>
      <c r="R2156" s="44"/>
      <c r="S2156" s="44"/>
      <c r="T2156" s="44"/>
    </row>
    <row r="2157" spans="12:20" x14ac:dyDescent="0.2">
      <c r="L2157" s="43"/>
      <c r="M2157" s="43"/>
      <c r="N2157" s="43"/>
      <c r="O2157" s="43"/>
      <c r="Q2157" s="44"/>
      <c r="R2157" s="44"/>
      <c r="S2157" s="44"/>
      <c r="T2157" s="44"/>
    </row>
    <row r="2158" spans="12:20" x14ac:dyDescent="0.2">
      <c r="L2158" s="43"/>
      <c r="M2158" s="43"/>
      <c r="N2158" s="43"/>
      <c r="O2158" s="43"/>
      <c r="Q2158" s="44"/>
      <c r="R2158" s="44"/>
      <c r="S2158" s="44"/>
      <c r="T2158" s="44"/>
    </row>
    <row r="2159" spans="12:20" x14ac:dyDescent="0.2">
      <c r="L2159" s="43"/>
      <c r="M2159" s="43"/>
      <c r="N2159" s="43"/>
      <c r="O2159" s="43"/>
      <c r="Q2159" s="44"/>
      <c r="R2159" s="44"/>
      <c r="S2159" s="44"/>
      <c r="T2159" s="44"/>
    </row>
    <row r="2160" spans="12:20" x14ac:dyDescent="0.2">
      <c r="L2160" s="43"/>
      <c r="M2160" s="43"/>
      <c r="N2160" s="43"/>
      <c r="O2160" s="43"/>
      <c r="Q2160" s="44"/>
      <c r="R2160" s="44"/>
      <c r="S2160" s="44"/>
      <c r="T2160" s="44"/>
    </row>
    <row r="2161" spans="12:20" x14ac:dyDescent="0.2">
      <c r="L2161" s="43"/>
      <c r="M2161" s="43"/>
      <c r="N2161" s="43"/>
      <c r="O2161" s="43"/>
      <c r="Q2161" s="44"/>
      <c r="R2161" s="44"/>
      <c r="S2161" s="44"/>
      <c r="T2161" s="44"/>
    </row>
    <row r="2162" spans="12:20" x14ac:dyDescent="0.2">
      <c r="L2162" s="43"/>
      <c r="M2162" s="43"/>
      <c r="N2162" s="43"/>
      <c r="O2162" s="43"/>
      <c r="Q2162" s="44"/>
      <c r="R2162" s="44"/>
      <c r="S2162" s="44"/>
      <c r="T2162" s="44"/>
    </row>
    <row r="2163" spans="12:20" x14ac:dyDescent="0.2">
      <c r="L2163" s="43"/>
      <c r="M2163" s="43"/>
      <c r="N2163" s="43"/>
      <c r="O2163" s="43"/>
      <c r="Q2163" s="44"/>
      <c r="R2163" s="44"/>
      <c r="S2163" s="44"/>
      <c r="T2163" s="44"/>
    </row>
    <row r="2164" spans="12:20" x14ac:dyDescent="0.2">
      <c r="L2164" s="43"/>
      <c r="M2164" s="43"/>
      <c r="N2164" s="43"/>
      <c r="O2164" s="43"/>
      <c r="Q2164" s="44"/>
      <c r="R2164" s="44"/>
      <c r="S2164" s="44"/>
      <c r="T2164" s="44"/>
    </row>
    <row r="2165" spans="12:20" x14ac:dyDescent="0.2">
      <c r="L2165" s="43"/>
      <c r="M2165" s="43"/>
      <c r="N2165" s="43"/>
      <c r="O2165" s="43"/>
      <c r="Q2165" s="44"/>
      <c r="R2165" s="44"/>
      <c r="S2165" s="44"/>
      <c r="T2165" s="44"/>
    </row>
    <row r="2166" spans="12:20" x14ac:dyDescent="0.2">
      <c r="L2166" s="43"/>
      <c r="M2166" s="43"/>
      <c r="N2166" s="43"/>
      <c r="O2166" s="43"/>
      <c r="Q2166" s="44"/>
      <c r="R2166" s="44"/>
      <c r="S2166" s="44"/>
      <c r="T2166" s="44"/>
    </row>
    <row r="2167" spans="12:20" x14ac:dyDescent="0.2">
      <c r="L2167" s="43"/>
      <c r="M2167" s="43"/>
      <c r="N2167" s="43"/>
      <c r="O2167" s="43"/>
      <c r="Q2167" s="44"/>
      <c r="R2167" s="44"/>
      <c r="S2167" s="44"/>
      <c r="T2167" s="44"/>
    </row>
    <row r="2168" spans="12:20" x14ac:dyDescent="0.2">
      <c r="L2168" s="43"/>
      <c r="M2168" s="43"/>
      <c r="N2168" s="43"/>
      <c r="O2168" s="43"/>
      <c r="Q2168" s="44"/>
      <c r="R2168" s="44"/>
      <c r="S2168" s="44"/>
      <c r="T2168" s="44"/>
    </row>
    <row r="2169" spans="12:20" x14ac:dyDescent="0.2">
      <c r="L2169" s="43"/>
      <c r="M2169" s="43"/>
      <c r="N2169" s="43"/>
      <c r="O2169" s="43"/>
      <c r="Q2169" s="44"/>
      <c r="R2169" s="44"/>
      <c r="S2169" s="44"/>
      <c r="T2169" s="44"/>
    </row>
    <row r="2170" spans="12:20" x14ac:dyDescent="0.2">
      <c r="L2170" s="43"/>
      <c r="M2170" s="43"/>
      <c r="N2170" s="43"/>
      <c r="O2170" s="43"/>
      <c r="Q2170" s="44"/>
      <c r="R2170" s="44"/>
      <c r="S2170" s="44"/>
      <c r="T2170" s="44"/>
    </row>
    <row r="2171" spans="12:20" x14ac:dyDescent="0.2">
      <c r="L2171" s="43"/>
      <c r="M2171" s="43"/>
      <c r="N2171" s="43"/>
      <c r="O2171" s="43"/>
      <c r="Q2171" s="44"/>
      <c r="R2171" s="44"/>
      <c r="S2171" s="44"/>
      <c r="T2171" s="44"/>
    </row>
    <row r="2172" spans="12:20" x14ac:dyDescent="0.2">
      <c r="L2172" s="43"/>
      <c r="M2172" s="43"/>
      <c r="N2172" s="43"/>
      <c r="O2172" s="43"/>
      <c r="Q2172" s="44"/>
      <c r="R2172" s="44"/>
      <c r="S2172" s="44"/>
      <c r="T2172" s="44"/>
    </row>
    <row r="2173" spans="12:20" x14ac:dyDescent="0.2">
      <c r="L2173" s="43"/>
      <c r="M2173" s="43"/>
      <c r="N2173" s="43"/>
      <c r="O2173" s="43"/>
      <c r="Q2173" s="44"/>
      <c r="R2173" s="44"/>
      <c r="S2173" s="44"/>
      <c r="T2173" s="44"/>
    </row>
    <row r="2174" spans="12:20" x14ac:dyDescent="0.2">
      <c r="L2174" s="43"/>
      <c r="M2174" s="43"/>
      <c r="N2174" s="43"/>
      <c r="O2174" s="43"/>
      <c r="Q2174" s="44"/>
      <c r="R2174" s="44"/>
      <c r="S2174" s="44"/>
      <c r="T2174" s="44"/>
    </row>
    <row r="2175" spans="12:20" x14ac:dyDescent="0.2">
      <c r="L2175" s="43"/>
      <c r="M2175" s="43"/>
      <c r="N2175" s="43"/>
      <c r="O2175" s="43"/>
      <c r="Q2175" s="44"/>
      <c r="R2175" s="44"/>
      <c r="S2175" s="44"/>
      <c r="T2175" s="44"/>
    </row>
    <row r="2176" spans="12:20" x14ac:dyDescent="0.2">
      <c r="L2176" s="43"/>
      <c r="M2176" s="43"/>
      <c r="N2176" s="43"/>
      <c r="O2176" s="43"/>
      <c r="Q2176" s="44"/>
      <c r="R2176" s="44"/>
      <c r="S2176" s="44"/>
      <c r="T2176" s="44"/>
    </row>
    <row r="2177" spans="12:20" x14ac:dyDescent="0.2">
      <c r="L2177" s="43"/>
      <c r="M2177" s="43"/>
      <c r="N2177" s="43"/>
      <c r="O2177" s="43"/>
      <c r="Q2177" s="44"/>
      <c r="R2177" s="44"/>
      <c r="S2177" s="44"/>
      <c r="T2177" s="44"/>
    </row>
    <row r="2178" spans="12:20" x14ac:dyDescent="0.2">
      <c r="L2178" s="43"/>
      <c r="M2178" s="43"/>
      <c r="N2178" s="43"/>
      <c r="O2178" s="43"/>
      <c r="Q2178" s="44"/>
      <c r="R2178" s="44"/>
      <c r="S2178" s="44"/>
      <c r="T2178" s="44"/>
    </row>
    <row r="2179" spans="12:20" x14ac:dyDescent="0.2">
      <c r="L2179" s="43"/>
      <c r="M2179" s="43"/>
      <c r="N2179" s="43"/>
      <c r="O2179" s="43"/>
      <c r="Q2179" s="44"/>
      <c r="R2179" s="44"/>
      <c r="S2179" s="44"/>
      <c r="T2179" s="44"/>
    </row>
    <row r="2180" spans="12:20" x14ac:dyDescent="0.2">
      <c r="L2180" s="43"/>
      <c r="M2180" s="43"/>
      <c r="N2180" s="43"/>
      <c r="O2180" s="43"/>
      <c r="Q2180" s="44"/>
      <c r="R2180" s="44"/>
      <c r="S2180" s="44"/>
      <c r="T2180" s="44"/>
    </row>
    <row r="2181" spans="12:20" x14ac:dyDescent="0.2">
      <c r="L2181" s="43"/>
      <c r="M2181" s="43"/>
      <c r="N2181" s="43"/>
      <c r="O2181" s="43"/>
      <c r="Q2181" s="44"/>
      <c r="R2181" s="44"/>
      <c r="S2181" s="44"/>
      <c r="T2181" s="44"/>
    </row>
    <row r="2182" spans="12:20" x14ac:dyDescent="0.2">
      <c r="L2182" s="43"/>
      <c r="M2182" s="43"/>
      <c r="N2182" s="43"/>
      <c r="O2182" s="43"/>
      <c r="Q2182" s="44"/>
      <c r="R2182" s="44"/>
      <c r="S2182" s="44"/>
      <c r="T2182" s="44"/>
    </row>
    <row r="2183" spans="12:20" x14ac:dyDescent="0.2">
      <c r="L2183" s="43"/>
      <c r="M2183" s="43"/>
      <c r="N2183" s="43"/>
      <c r="O2183" s="43"/>
      <c r="Q2183" s="44"/>
      <c r="R2183" s="44"/>
      <c r="S2183" s="44"/>
      <c r="T2183" s="44"/>
    </row>
    <row r="2184" spans="12:20" x14ac:dyDescent="0.2">
      <c r="L2184" s="43"/>
      <c r="M2184" s="43"/>
      <c r="N2184" s="43"/>
      <c r="O2184" s="43"/>
      <c r="Q2184" s="44"/>
      <c r="R2184" s="44"/>
      <c r="S2184" s="44"/>
      <c r="T2184" s="44"/>
    </row>
    <row r="2185" spans="12:20" x14ac:dyDescent="0.2">
      <c r="L2185" s="43"/>
      <c r="M2185" s="43"/>
      <c r="N2185" s="43"/>
      <c r="O2185" s="43"/>
      <c r="Q2185" s="44"/>
      <c r="R2185" s="44"/>
      <c r="S2185" s="44"/>
      <c r="T2185" s="44"/>
    </row>
    <row r="2186" spans="12:20" x14ac:dyDescent="0.2">
      <c r="L2186" s="43"/>
      <c r="M2186" s="43"/>
      <c r="N2186" s="43"/>
      <c r="O2186" s="43"/>
      <c r="Q2186" s="44"/>
      <c r="R2186" s="44"/>
      <c r="S2186" s="44"/>
      <c r="T2186" s="44"/>
    </row>
    <row r="2187" spans="12:20" x14ac:dyDescent="0.2">
      <c r="L2187" s="43"/>
      <c r="M2187" s="43"/>
      <c r="N2187" s="43"/>
      <c r="O2187" s="43"/>
      <c r="Q2187" s="44"/>
      <c r="R2187" s="44"/>
      <c r="S2187" s="44"/>
      <c r="T2187" s="44"/>
    </row>
    <row r="2188" spans="12:20" x14ac:dyDescent="0.2">
      <c r="L2188" s="43"/>
      <c r="M2188" s="43"/>
      <c r="N2188" s="43"/>
      <c r="O2188" s="43"/>
      <c r="Q2188" s="44"/>
      <c r="R2188" s="44"/>
      <c r="S2188" s="44"/>
      <c r="T2188" s="44"/>
    </row>
    <row r="2189" spans="12:20" x14ac:dyDescent="0.2">
      <c r="L2189" s="43"/>
      <c r="M2189" s="43"/>
      <c r="N2189" s="43"/>
      <c r="O2189" s="43"/>
      <c r="Q2189" s="44"/>
      <c r="R2189" s="44"/>
      <c r="S2189" s="44"/>
      <c r="T2189" s="44"/>
    </row>
    <row r="2190" spans="12:20" x14ac:dyDescent="0.2">
      <c r="L2190" s="43"/>
      <c r="M2190" s="43"/>
      <c r="N2190" s="43"/>
      <c r="O2190" s="43"/>
      <c r="Q2190" s="44"/>
      <c r="R2190" s="44"/>
      <c r="S2190" s="44"/>
      <c r="T2190" s="44"/>
    </row>
    <row r="2191" spans="12:20" x14ac:dyDescent="0.2">
      <c r="L2191" s="43"/>
      <c r="M2191" s="43"/>
      <c r="N2191" s="43"/>
      <c r="O2191" s="43"/>
      <c r="Q2191" s="44"/>
      <c r="R2191" s="44"/>
      <c r="S2191" s="44"/>
      <c r="T2191" s="44"/>
    </row>
    <row r="2192" spans="12:20" x14ac:dyDescent="0.2">
      <c r="L2192" s="43"/>
      <c r="M2192" s="43"/>
      <c r="N2192" s="43"/>
      <c r="O2192" s="43"/>
      <c r="Q2192" s="44"/>
      <c r="R2192" s="44"/>
      <c r="S2192" s="44"/>
      <c r="T2192" s="44"/>
    </row>
    <row r="2193" spans="12:20" x14ac:dyDescent="0.2">
      <c r="L2193" s="43"/>
      <c r="M2193" s="43"/>
      <c r="N2193" s="43"/>
      <c r="O2193" s="43"/>
      <c r="Q2193" s="44"/>
      <c r="R2193" s="44"/>
      <c r="S2193" s="44"/>
      <c r="T2193" s="44"/>
    </row>
    <row r="2194" spans="12:20" x14ac:dyDescent="0.2">
      <c r="L2194" s="43"/>
      <c r="M2194" s="43"/>
      <c r="N2194" s="43"/>
      <c r="O2194" s="43"/>
      <c r="Q2194" s="44"/>
      <c r="R2194" s="44"/>
      <c r="S2194" s="44"/>
      <c r="T2194" s="44"/>
    </row>
    <row r="2195" spans="12:20" x14ac:dyDescent="0.2">
      <c r="L2195" s="43"/>
      <c r="M2195" s="43"/>
      <c r="N2195" s="43"/>
      <c r="O2195" s="43"/>
      <c r="Q2195" s="44"/>
      <c r="R2195" s="44"/>
      <c r="S2195" s="44"/>
      <c r="T2195" s="44"/>
    </row>
    <row r="2196" spans="12:20" x14ac:dyDescent="0.2">
      <c r="L2196" s="43"/>
      <c r="M2196" s="43"/>
      <c r="N2196" s="43"/>
      <c r="O2196" s="43"/>
      <c r="Q2196" s="44"/>
      <c r="R2196" s="44"/>
      <c r="S2196" s="44"/>
      <c r="T2196" s="44"/>
    </row>
    <row r="2197" spans="12:20" x14ac:dyDescent="0.2">
      <c r="L2197" s="43"/>
      <c r="M2197" s="43"/>
      <c r="N2197" s="43"/>
      <c r="O2197" s="43"/>
      <c r="Q2197" s="44"/>
      <c r="R2197" s="44"/>
      <c r="S2197" s="44"/>
      <c r="T2197" s="44"/>
    </row>
    <row r="2198" spans="12:20" x14ac:dyDescent="0.2">
      <c r="L2198" s="43"/>
      <c r="M2198" s="43"/>
      <c r="N2198" s="43"/>
      <c r="O2198" s="43"/>
      <c r="Q2198" s="44"/>
      <c r="R2198" s="44"/>
      <c r="S2198" s="44"/>
      <c r="T2198" s="44"/>
    </row>
    <row r="2199" spans="12:20" x14ac:dyDescent="0.2">
      <c r="L2199" s="43"/>
      <c r="M2199" s="43"/>
      <c r="N2199" s="43"/>
      <c r="O2199" s="43"/>
      <c r="Q2199" s="44"/>
      <c r="R2199" s="44"/>
      <c r="S2199" s="44"/>
      <c r="T2199" s="44"/>
    </row>
    <row r="2200" spans="12:20" x14ac:dyDescent="0.2">
      <c r="L2200" s="43"/>
      <c r="M2200" s="43"/>
      <c r="N2200" s="43"/>
      <c r="O2200" s="43"/>
      <c r="Q2200" s="44"/>
      <c r="R2200" s="44"/>
      <c r="S2200" s="44"/>
      <c r="T2200" s="44"/>
    </row>
    <row r="2201" spans="12:20" x14ac:dyDescent="0.2">
      <c r="L2201" s="43"/>
      <c r="M2201" s="43"/>
      <c r="N2201" s="43"/>
      <c r="O2201" s="43"/>
      <c r="Q2201" s="44"/>
      <c r="R2201" s="44"/>
      <c r="S2201" s="44"/>
      <c r="T2201" s="44"/>
    </row>
    <row r="2202" spans="12:20" x14ac:dyDescent="0.2">
      <c r="L2202" s="43"/>
      <c r="M2202" s="43"/>
      <c r="N2202" s="43"/>
      <c r="O2202" s="43"/>
      <c r="Q2202" s="44"/>
      <c r="R2202" s="44"/>
      <c r="S2202" s="44"/>
      <c r="T2202" s="44"/>
    </row>
    <row r="2203" spans="12:20" x14ac:dyDescent="0.2">
      <c r="L2203" s="43"/>
      <c r="M2203" s="43"/>
      <c r="N2203" s="43"/>
      <c r="O2203" s="43"/>
      <c r="Q2203" s="44"/>
      <c r="R2203" s="44"/>
      <c r="S2203" s="44"/>
      <c r="T2203" s="44"/>
    </row>
    <row r="2204" spans="12:20" x14ac:dyDescent="0.2">
      <c r="L2204" s="43"/>
      <c r="M2204" s="43"/>
      <c r="N2204" s="43"/>
      <c r="O2204" s="43"/>
      <c r="Q2204" s="44"/>
      <c r="R2204" s="44"/>
      <c r="S2204" s="44"/>
      <c r="T2204" s="44"/>
    </row>
    <row r="2205" spans="12:20" x14ac:dyDescent="0.2">
      <c r="L2205" s="43"/>
      <c r="M2205" s="43"/>
      <c r="N2205" s="43"/>
      <c r="O2205" s="43"/>
      <c r="Q2205" s="44"/>
      <c r="R2205" s="44"/>
      <c r="S2205" s="44"/>
      <c r="T2205" s="44"/>
    </row>
    <row r="2206" spans="12:20" x14ac:dyDescent="0.2">
      <c r="L2206" s="43"/>
      <c r="M2206" s="43"/>
      <c r="N2206" s="43"/>
      <c r="O2206" s="43"/>
      <c r="Q2206" s="44"/>
      <c r="R2206" s="44"/>
      <c r="S2206" s="44"/>
      <c r="T2206" s="44"/>
    </row>
    <row r="2207" spans="12:20" x14ac:dyDescent="0.2">
      <c r="L2207" s="43"/>
      <c r="M2207" s="43"/>
      <c r="N2207" s="43"/>
      <c r="O2207" s="43"/>
      <c r="Q2207" s="44"/>
      <c r="R2207" s="44"/>
      <c r="S2207" s="44"/>
      <c r="T2207" s="44"/>
    </row>
    <row r="2208" spans="12:20" x14ac:dyDescent="0.2">
      <c r="L2208" s="43"/>
      <c r="M2208" s="43"/>
      <c r="N2208" s="43"/>
      <c r="O2208" s="43"/>
      <c r="Q2208" s="44"/>
      <c r="R2208" s="44"/>
      <c r="S2208" s="44"/>
      <c r="T2208" s="44"/>
    </row>
    <row r="2209" spans="12:20" x14ac:dyDescent="0.2">
      <c r="L2209" s="43"/>
      <c r="M2209" s="43"/>
      <c r="N2209" s="43"/>
      <c r="O2209" s="43"/>
      <c r="Q2209" s="44"/>
      <c r="R2209" s="44"/>
      <c r="S2209" s="44"/>
      <c r="T2209" s="44"/>
    </row>
    <row r="2210" spans="12:20" x14ac:dyDescent="0.2">
      <c r="L2210" s="43"/>
      <c r="M2210" s="43"/>
      <c r="N2210" s="43"/>
      <c r="O2210" s="43"/>
      <c r="Q2210" s="44"/>
      <c r="R2210" s="44"/>
      <c r="S2210" s="44"/>
      <c r="T2210" s="44"/>
    </row>
    <row r="2211" spans="12:20" x14ac:dyDescent="0.2">
      <c r="L2211" s="43"/>
      <c r="M2211" s="43"/>
      <c r="N2211" s="43"/>
      <c r="O2211" s="43"/>
      <c r="Q2211" s="44"/>
      <c r="R2211" s="44"/>
      <c r="S2211" s="44"/>
      <c r="T2211" s="44"/>
    </row>
    <row r="2212" spans="12:20" x14ac:dyDescent="0.2">
      <c r="L2212" s="43"/>
      <c r="M2212" s="43"/>
      <c r="N2212" s="43"/>
      <c r="O2212" s="43"/>
      <c r="Q2212" s="44"/>
      <c r="R2212" s="44"/>
      <c r="S2212" s="44"/>
      <c r="T2212" s="44"/>
    </row>
    <row r="2213" spans="12:20" x14ac:dyDescent="0.2">
      <c r="L2213" s="43"/>
      <c r="M2213" s="43"/>
      <c r="N2213" s="43"/>
      <c r="O2213" s="43"/>
      <c r="Q2213" s="44"/>
      <c r="R2213" s="44"/>
      <c r="S2213" s="44"/>
      <c r="T2213" s="44"/>
    </row>
    <row r="2214" spans="12:20" x14ac:dyDescent="0.2">
      <c r="L2214" s="43"/>
      <c r="M2214" s="43"/>
      <c r="N2214" s="43"/>
      <c r="O2214" s="43"/>
      <c r="Q2214" s="44"/>
      <c r="R2214" s="44"/>
      <c r="S2214" s="44"/>
      <c r="T2214" s="44"/>
    </row>
    <row r="2215" spans="12:20" x14ac:dyDescent="0.2">
      <c r="L2215" s="43"/>
      <c r="M2215" s="43"/>
      <c r="N2215" s="43"/>
      <c r="O2215" s="43"/>
      <c r="Q2215" s="44"/>
      <c r="R2215" s="44"/>
      <c r="S2215" s="44"/>
      <c r="T2215" s="44"/>
    </row>
    <row r="2216" spans="12:20" x14ac:dyDescent="0.2">
      <c r="L2216" s="43"/>
      <c r="M2216" s="43"/>
      <c r="N2216" s="43"/>
      <c r="O2216" s="43"/>
      <c r="Q2216" s="44"/>
      <c r="R2216" s="44"/>
      <c r="S2216" s="44"/>
      <c r="T2216" s="44"/>
    </row>
    <row r="2217" spans="12:20" x14ac:dyDescent="0.2">
      <c r="L2217" s="43"/>
      <c r="M2217" s="43"/>
      <c r="N2217" s="43"/>
      <c r="O2217" s="43"/>
      <c r="Q2217" s="44"/>
      <c r="R2217" s="44"/>
      <c r="S2217" s="44"/>
      <c r="T2217" s="44"/>
    </row>
    <row r="2218" spans="12:20" x14ac:dyDescent="0.2">
      <c r="L2218" s="43"/>
      <c r="M2218" s="43"/>
      <c r="N2218" s="43"/>
      <c r="O2218" s="43"/>
      <c r="Q2218" s="44"/>
      <c r="R2218" s="44"/>
      <c r="S2218" s="44"/>
      <c r="T2218" s="44"/>
    </row>
    <row r="2219" spans="12:20" x14ac:dyDescent="0.2">
      <c r="L2219" s="43"/>
      <c r="M2219" s="43"/>
      <c r="N2219" s="43"/>
      <c r="O2219" s="43"/>
      <c r="Q2219" s="44"/>
      <c r="R2219" s="44"/>
      <c r="S2219" s="44"/>
      <c r="T2219" s="44"/>
    </row>
    <row r="2220" spans="12:20" x14ac:dyDescent="0.2">
      <c r="L2220" s="43"/>
      <c r="M2220" s="43"/>
      <c r="N2220" s="43"/>
      <c r="O2220" s="43"/>
      <c r="Q2220" s="44"/>
      <c r="R2220" s="44"/>
      <c r="S2220" s="44"/>
      <c r="T2220" s="44"/>
    </row>
    <row r="2221" spans="12:20" x14ac:dyDescent="0.2">
      <c r="L2221" s="43"/>
      <c r="M2221" s="43"/>
      <c r="N2221" s="43"/>
      <c r="O2221" s="43"/>
      <c r="Q2221" s="44"/>
      <c r="R2221" s="44"/>
      <c r="S2221" s="44"/>
      <c r="T2221" s="44"/>
    </row>
    <row r="2222" spans="12:20" x14ac:dyDescent="0.2">
      <c r="L2222" s="43"/>
      <c r="M2222" s="43"/>
      <c r="N2222" s="43"/>
      <c r="O2222" s="43"/>
      <c r="Q2222" s="44"/>
      <c r="R2222" s="44"/>
      <c r="S2222" s="44"/>
      <c r="T2222" s="44"/>
    </row>
    <row r="2223" spans="12:20" x14ac:dyDescent="0.2">
      <c r="L2223" s="43"/>
      <c r="M2223" s="43"/>
      <c r="N2223" s="43"/>
      <c r="O2223" s="43"/>
      <c r="Q2223" s="44"/>
      <c r="R2223" s="44"/>
      <c r="S2223" s="44"/>
      <c r="T2223" s="44"/>
    </row>
    <row r="2224" spans="12:20" x14ac:dyDescent="0.2">
      <c r="L2224" s="43"/>
      <c r="M2224" s="43"/>
      <c r="N2224" s="43"/>
      <c r="O2224" s="43"/>
      <c r="Q2224" s="44"/>
      <c r="R2224" s="44"/>
      <c r="S2224" s="44"/>
      <c r="T2224" s="44"/>
    </row>
    <row r="2225" spans="12:20" x14ac:dyDescent="0.2">
      <c r="L2225" s="43"/>
      <c r="M2225" s="43"/>
      <c r="N2225" s="43"/>
      <c r="O2225" s="43"/>
      <c r="Q2225" s="44"/>
      <c r="R2225" s="44"/>
      <c r="S2225" s="44"/>
      <c r="T2225" s="44"/>
    </row>
    <row r="2226" spans="12:20" x14ac:dyDescent="0.2">
      <c r="L2226" s="43"/>
      <c r="M2226" s="43"/>
      <c r="N2226" s="43"/>
      <c r="O2226" s="43"/>
      <c r="Q2226" s="44"/>
      <c r="R2226" s="44"/>
      <c r="S2226" s="44"/>
      <c r="T2226" s="44"/>
    </row>
    <row r="2227" spans="12:20" x14ac:dyDescent="0.2">
      <c r="L2227" s="43"/>
      <c r="M2227" s="43"/>
      <c r="N2227" s="43"/>
      <c r="O2227" s="43"/>
      <c r="Q2227" s="44"/>
      <c r="R2227" s="44"/>
      <c r="S2227" s="44"/>
      <c r="T2227" s="44"/>
    </row>
    <row r="2228" spans="12:20" x14ac:dyDescent="0.2">
      <c r="L2228" s="43"/>
      <c r="M2228" s="43"/>
      <c r="N2228" s="43"/>
      <c r="O2228" s="43"/>
      <c r="Q2228" s="44"/>
      <c r="R2228" s="44"/>
      <c r="S2228" s="44"/>
      <c r="T2228" s="44"/>
    </row>
    <row r="2229" spans="12:20" x14ac:dyDescent="0.2">
      <c r="L2229" s="43"/>
      <c r="M2229" s="43"/>
      <c r="N2229" s="43"/>
      <c r="O2229" s="43"/>
      <c r="Q2229" s="44"/>
      <c r="R2229" s="44"/>
      <c r="S2229" s="44"/>
      <c r="T2229" s="44"/>
    </row>
    <row r="2230" spans="12:20" x14ac:dyDescent="0.2">
      <c r="L2230" s="43"/>
      <c r="M2230" s="43"/>
      <c r="N2230" s="43"/>
      <c r="O2230" s="43"/>
      <c r="Q2230" s="44"/>
      <c r="R2230" s="44"/>
      <c r="S2230" s="44"/>
      <c r="T2230" s="44"/>
    </row>
    <row r="2231" spans="12:20" x14ac:dyDescent="0.2">
      <c r="L2231" s="43"/>
      <c r="M2231" s="43"/>
      <c r="N2231" s="43"/>
      <c r="O2231" s="43"/>
      <c r="Q2231" s="44"/>
      <c r="R2231" s="44"/>
      <c r="S2231" s="44"/>
      <c r="T2231" s="44"/>
    </row>
    <row r="2232" spans="12:20" x14ac:dyDescent="0.2">
      <c r="L2232" s="43"/>
      <c r="M2232" s="43"/>
      <c r="N2232" s="43"/>
      <c r="O2232" s="43"/>
      <c r="Q2232" s="44"/>
      <c r="R2232" s="44"/>
      <c r="S2232" s="44"/>
      <c r="T2232" s="44"/>
    </row>
    <row r="2233" spans="12:20" x14ac:dyDescent="0.2">
      <c r="L2233" s="43"/>
      <c r="M2233" s="43"/>
      <c r="N2233" s="43"/>
      <c r="O2233" s="43"/>
      <c r="Q2233" s="44"/>
      <c r="R2233" s="44"/>
      <c r="S2233" s="44"/>
      <c r="T2233" s="44"/>
    </row>
    <row r="2234" spans="12:20" x14ac:dyDescent="0.2">
      <c r="L2234" s="43"/>
      <c r="M2234" s="43"/>
      <c r="N2234" s="43"/>
      <c r="O2234" s="43"/>
      <c r="Q2234" s="44"/>
      <c r="R2234" s="44"/>
      <c r="S2234" s="44"/>
      <c r="T2234" s="44"/>
    </row>
    <row r="2235" spans="12:20" x14ac:dyDescent="0.2">
      <c r="L2235" s="43"/>
      <c r="M2235" s="43"/>
      <c r="N2235" s="43"/>
      <c r="O2235" s="43"/>
      <c r="Q2235" s="44"/>
      <c r="R2235" s="44"/>
      <c r="S2235" s="44"/>
      <c r="T2235" s="44"/>
    </row>
    <row r="2236" spans="12:20" x14ac:dyDescent="0.2">
      <c r="L2236" s="43"/>
      <c r="M2236" s="43"/>
      <c r="N2236" s="43"/>
      <c r="O2236" s="43"/>
      <c r="Q2236" s="44"/>
      <c r="R2236" s="44"/>
      <c r="S2236" s="44"/>
      <c r="T2236" s="44"/>
    </row>
    <row r="2237" spans="12:20" x14ac:dyDescent="0.2">
      <c r="L2237" s="43"/>
      <c r="M2237" s="43"/>
      <c r="N2237" s="43"/>
      <c r="O2237" s="43"/>
      <c r="Q2237" s="44"/>
      <c r="R2237" s="44"/>
      <c r="S2237" s="44"/>
      <c r="T2237" s="44"/>
    </row>
    <row r="2238" spans="12:20" x14ac:dyDescent="0.2">
      <c r="L2238" s="43"/>
      <c r="M2238" s="43"/>
      <c r="N2238" s="43"/>
      <c r="O2238" s="43"/>
      <c r="Q2238" s="44"/>
      <c r="R2238" s="44"/>
      <c r="S2238" s="44"/>
      <c r="T2238" s="44"/>
    </row>
    <row r="2239" spans="12:20" x14ac:dyDescent="0.2">
      <c r="L2239" s="43"/>
      <c r="M2239" s="43"/>
      <c r="N2239" s="43"/>
      <c r="O2239" s="43"/>
      <c r="Q2239" s="44"/>
      <c r="R2239" s="44"/>
      <c r="S2239" s="44"/>
      <c r="T2239" s="44"/>
    </row>
    <row r="2240" spans="12:20" x14ac:dyDescent="0.2">
      <c r="L2240" s="43"/>
      <c r="M2240" s="43"/>
      <c r="N2240" s="43"/>
      <c r="O2240" s="43"/>
      <c r="Q2240" s="44"/>
      <c r="R2240" s="44"/>
      <c r="S2240" s="44"/>
      <c r="T2240" s="44"/>
    </row>
    <row r="2241" spans="12:20" x14ac:dyDescent="0.2">
      <c r="L2241" s="43"/>
      <c r="M2241" s="43"/>
      <c r="N2241" s="43"/>
      <c r="O2241" s="43"/>
      <c r="Q2241" s="44"/>
      <c r="R2241" s="44"/>
      <c r="S2241" s="44"/>
      <c r="T2241" s="44"/>
    </row>
    <row r="2242" spans="12:20" x14ac:dyDescent="0.2">
      <c r="L2242" s="43"/>
      <c r="M2242" s="43"/>
      <c r="N2242" s="43"/>
      <c r="O2242" s="43"/>
      <c r="Q2242" s="44"/>
      <c r="R2242" s="44"/>
      <c r="S2242" s="44"/>
      <c r="T2242" s="44"/>
    </row>
    <row r="2243" spans="12:20" x14ac:dyDescent="0.2">
      <c r="L2243" s="43"/>
      <c r="M2243" s="43"/>
      <c r="N2243" s="43"/>
      <c r="O2243" s="43"/>
      <c r="Q2243" s="44"/>
      <c r="R2243" s="44"/>
      <c r="S2243" s="44"/>
      <c r="T2243" s="44"/>
    </row>
    <row r="2244" spans="12:20" x14ac:dyDescent="0.2">
      <c r="L2244" s="43"/>
      <c r="M2244" s="43"/>
      <c r="N2244" s="43"/>
      <c r="O2244" s="43"/>
      <c r="Q2244" s="44"/>
      <c r="R2244" s="44"/>
      <c r="S2244" s="44"/>
      <c r="T2244" s="44"/>
    </row>
    <row r="2245" spans="12:20" x14ac:dyDescent="0.2">
      <c r="L2245" s="43"/>
      <c r="M2245" s="43"/>
      <c r="N2245" s="43"/>
      <c r="O2245" s="43"/>
      <c r="Q2245" s="44"/>
      <c r="R2245" s="44"/>
      <c r="S2245" s="44"/>
      <c r="T2245" s="44"/>
    </row>
    <row r="2246" spans="12:20" x14ac:dyDescent="0.2">
      <c r="L2246" s="43"/>
      <c r="M2246" s="43"/>
      <c r="N2246" s="43"/>
      <c r="O2246" s="43"/>
      <c r="Q2246" s="44"/>
      <c r="R2246" s="44"/>
      <c r="S2246" s="44"/>
      <c r="T2246" s="44"/>
    </row>
    <row r="2247" spans="12:20" x14ac:dyDescent="0.2">
      <c r="L2247" s="43"/>
      <c r="M2247" s="43"/>
      <c r="N2247" s="43"/>
      <c r="O2247" s="43"/>
      <c r="Q2247" s="44"/>
      <c r="R2247" s="44"/>
      <c r="S2247" s="44"/>
      <c r="T2247" s="44"/>
    </row>
    <row r="2248" spans="12:20" x14ac:dyDescent="0.2">
      <c r="L2248" s="43"/>
      <c r="M2248" s="43"/>
      <c r="N2248" s="43"/>
      <c r="O2248" s="43"/>
      <c r="Q2248" s="44"/>
      <c r="R2248" s="44"/>
      <c r="S2248" s="44"/>
      <c r="T2248" s="44"/>
    </row>
    <row r="2249" spans="12:20" x14ac:dyDescent="0.2">
      <c r="L2249" s="43"/>
      <c r="M2249" s="43"/>
      <c r="N2249" s="43"/>
      <c r="O2249" s="43"/>
      <c r="Q2249" s="44"/>
      <c r="R2249" s="44"/>
      <c r="S2249" s="44"/>
      <c r="T2249" s="44"/>
    </row>
    <row r="2250" spans="12:20" x14ac:dyDescent="0.2">
      <c r="L2250" s="43"/>
      <c r="M2250" s="43"/>
      <c r="N2250" s="43"/>
      <c r="O2250" s="43"/>
      <c r="Q2250" s="44"/>
      <c r="R2250" s="44"/>
      <c r="S2250" s="44"/>
      <c r="T2250" s="44"/>
    </row>
    <row r="2251" spans="12:20" x14ac:dyDescent="0.2">
      <c r="L2251" s="43"/>
      <c r="M2251" s="43"/>
      <c r="N2251" s="43"/>
      <c r="O2251" s="43"/>
      <c r="Q2251" s="44"/>
      <c r="R2251" s="44"/>
      <c r="S2251" s="44"/>
      <c r="T2251" s="44"/>
    </row>
    <row r="2252" spans="12:20" x14ac:dyDescent="0.2">
      <c r="L2252" s="43"/>
      <c r="M2252" s="43"/>
      <c r="N2252" s="43"/>
      <c r="O2252" s="43"/>
      <c r="Q2252" s="44"/>
      <c r="R2252" s="44"/>
      <c r="S2252" s="44"/>
      <c r="T2252" s="44"/>
    </row>
    <row r="2253" spans="12:20" x14ac:dyDescent="0.2">
      <c r="L2253" s="43"/>
      <c r="M2253" s="43"/>
      <c r="N2253" s="43"/>
      <c r="O2253" s="43"/>
      <c r="Q2253" s="44"/>
      <c r="R2253" s="44"/>
      <c r="S2253" s="44"/>
      <c r="T2253" s="44"/>
    </row>
    <row r="2254" spans="12:20" x14ac:dyDescent="0.2">
      <c r="L2254" s="43"/>
      <c r="M2254" s="43"/>
      <c r="N2254" s="43"/>
      <c r="O2254" s="43"/>
      <c r="Q2254" s="44"/>
      <c r="R2254" s="44"/>
      <c r="S2254" s="44"/>
      <c r="T2254" s="44"/>
    </row>
    <row r="2255" spans="12:20" x14ac:dyDescent="0.2">
      <c r="L2255" s="43"/>
      <c r="M2255" s="43"/>
      <c r="N2255" s="43"/>
      <c r="O2255" s="43"/>
      <c r="Q2255" s="44"/>
      <c r="R2255" s="44"/>
      <c r="S2255" s="44"/>
      <c r="T2255" s="44"/>
    </row>
    <row r="2256" spans="12:20" x14ac:dyDescent="0.2">
      <c r="L2256" s="43"/>
      <c r="M2256" s="43"/>
      <c r="N2256" s="43"/>
      <c r="O2256" s="43"/>
      <c r="Q2256" s="44"/>
      <c r="R2256" s="44"/>
      <c r="S2256" s="44"/>
      <c r="T2256" s="44"/>
    </row>
    <row r="2257" spans="12:20" x14ac:dyDescent="0.2">
      <c r="L2257" s="43"/>
      <c r="M2257" s="43"/>
      <c r="N2257" s="43"/>
      <c r="O2257" s="43"/>
      <c r="Q2257" s="44"/>
      <c r="R2257" s="44"/>
      <c r="S2257" s="44"/>
      <c r="T2257" s="44"/>
    </row>
    <row r="2258" spans="12:20" x14ac:dyDescent="0.2">
      <c r="L2258" s="43"/>
      <c r="M2258" s="43"/>
      <c r="N2258" s="43"/>
      <c r="O2258" s="43"/>
      <c r="Q2258" s="44"/>
      <c r="R2258" s="44"/>
      <c r="S2258" s="44"/>
      <c r="T2258" s="44"/>
    </row>
    <row r="2259" spans="12:20" x14ac:dyDescent="0.2">
      <c r="L2259" s="43"/>
      <c r="M2259" s="43"/>
      <c r="N2259" s="43"/>
      <c r="O2259" s="43"/>
      <c r="Q2259" s="44"/>
      <c r="R2259" s="44"/>
      <c r="S2259" s="44"/>
      <c r="T2259" s="44"/>
    </row>
    <row r="2260" spans="12:20" x14ac:dyDescent="0.2">
      <c r="L2260" s="43"/>
      <c r="M2260" s="43"/>
      <c r="N2260" s="43"/>
      <c r="O2260" s="43"/>
      <c r="Q2260" s="44"/>
      <c r="R2260" s="44"/>
      <c r="S2260" s="44"/>
      <c r="T2260" s="44"/>
    </row>
    <row r="2261" spans="12:20" x14ac:dyDescent="0.2">
      <c r="L2261" s="43"/>
      <c r="M2261" s="43"/>
      <c r="N2261" s="43"/>
      <c r="O2261" s="43"/>
      <c r="Q2261" s="44"/>
      <c r="R2261" s="44"/>
      <c r="S2261" s="44"/>
      <c r="T2261" s="44"/>
    </row>
    <row r="2262" spans="12:20" x14ac:dyDescent="0.2">
      <c r="L2262" s="43"/>
      <c r="M2262" s="43"/>
      <c r="N2262" s="43"/>
      <c r="O2262" s="43"/>
      <c r="Q2262" s="44"/>
      <c r="R2262" s="44"/>
      <c r="S2262" s="44"/>
      <c r="T2262" s="44"/>
    </row>
    <row r="2263" spans="12:20" x14ac:dyDescent="0.2">
      <c r="L2263" s="43"/>
      <c r="M2263" s="43"/>
      <c r="N2263" s="43"/>
      <c r="O2263" s="43"/>
      <c r="Q2263" s="44"/>
      <c r="R2263" s="44"/>
      <c r="S2263" s="44"/>
      <c r="T2263" s="44"/>
    </row>
    <row r="2264" spans="12:20" x14ac:dyDescent="0.2">
      <c r="L2264" s="43"/>
      <c r="M2264" s="43"/>
      <c r="N2264" s="43"/>
      <c r="O2264" s="43"/>
      <c r="Q2264" s="44"/>
      <c r="R2264" s="44"/>
      <c r="S2264" s="44"/>
      <c r="T2264" s="44"/>
    </row>
    <row r="2265" spans="12:20" x14ac:dyDescent="0.2">
      <c r="L2265" s="43"/>
      <c r="M2265" s="43"/>
      <c r="N2265" s="43"/>
      <c r="O2265" s="43"/>
      <c r="Q2265" s="44"/>
      <c r="R2265" s="44"/>
      <c r="S2265" s="44"/>
      <c r="T2265" s="44"/>
    </row>
    <row r="2266" spans="12:20" x14ac:dyDescent="0.2">
      <c r="L2266" s="43"/>
      <c r="M2266" s="43"/>
      <c r="N2266" s="43"/>
      <c r="O2266" s="43"/>
      <c r="Q2266" s="44"/>
      <c r="R2266" s="44"/>
      <c r="S2266" s="44"/>
      <c r="T2266" s="44"/>
    </row>
    <row r="2267" spans="12:20" x14ac:dyDescent="0.2">
      <c r="L2267" s="43"/>
      <c r="M2267" s="43"/>
      <c r="N2267" s="43"/>
      <c r="O2267" s="43"/>
      <c r="Q2267" s="44"/>
      <c r="R2267" s="44"/>
      <c r="S2267" s="44"/>
      <c r="T2267" s="44"/>
    </row>
    <row r="2268" spans="12:20" x14ac:dyDescent="0.2">
      <c r="L2268" s="43"/>
      <c r="M2268" s="43"/>
      <c r="N2268" s="43"/>
      <c r="O2268" s="43"/>
      <c r="Q2268" s="44"/>
      <c r="R2268" s="44"/>
      <c r="S2268" s="44"/>
      <c r="T2268" s="44"/>
    </row>
    <row r="2269" spans="12:20" x14ac:dyDescent="0.2">
      <c r="L2269" s="43"/>
      <c r="M2269" s="43"/>
      <c r="N2269" s="43"/>
      <c r="O2269" s="43"/>
      <c r="Q2269" s="44"/>
      <c r="R2269" s="44"/>
      <c r="S2269" s="44"/>
      <c r="T2269" s="44"/>
    </row>
    <row r="2270" spans="12:20" x14ac:dyDescent="0.2">
      <c r="L2270" s="43"/>
      <c r="M2270" s="43"/>
      <c r="N2270" s="43"/>
      <c r="O2270" s="43"/>
      <c r="Q2270" s="44"/>
      <c r="R2270" s="44"/>
      <c r="S2270" s="44"/>
      <c r="T2270" s="44"/>
    </row>
    <row r="2271" spans="12:20" x14ac:dyDescent="0.2">
      <c r="L2271" s="43"/>
      <c r="M2271" s="43"/>
      <c r="N2271" s="43"/>
      <c r="O2271" s="43"/>
      <c r="Q2271" s="44"/>
      <c r="R2271" s="44"/>
      <c r="S2271" s="44"/>
      <c r="T2271" s="44"/>
    </row>
    <row r="2272" spans="12:20" x14ac:dyDescent="0.2">
      <c r="L2272" s="43"/>
      <c r="M2272" s="43"/>
      <c r="N2272" s="43"/>
      <c r="O2272" s="43"/>
      <c r="Q2272" s="44"/>
      <c r="R2272" s="44"/>
      <c r="S2272" s="44"/>
      <c r="T2272" s="44"/>
    </row>
    <row r="2273" spans="12:20" x14ac:dyDescent="0.2">
      <c r="L2273" s="43"/>
      <c r="M2273" s="43"/>
      <c r="N2273" s="43"/>
      <c r="O2273" s="43"/>
      <c r="Q2273" s="44"/>
      <c r="R2273" s="44"/>
      <c r="S2273" s="44"/>
      <c r="T2273" s="44"/>
    </row>
    <row r="2274" spans="12:20" x14ac:dyDescent="0.2">
      <c r="L2274" s="43"/>
      <c r="M2274" s="43"/>
      <c r="N2274" s="43"/>
      <c r="O2274" s="43"/>
      <c r="Q2274" s="44"/>
      <c r="R2274" s="44"/>
      <c r="S2274" s="44"/>
      <c r="T2274" s="44"/>
    </row>
    <row r="2275" spans="12:20" x14ac:dyDescent="0.2">
      <c r="L2275" s="43"/>
      <c r="M2275" s="43"/>
      <c r="N2275" s="43"/>
      <c r="O2275" s="43"/>
      <c r="Q2275" s="44"/>
      <c r="R2275" s="44"/>
      <c r="S2275" s="44"/>
      <c r="T2275" s="44"/>
    </row>
    <row r="2276" spans="12:20" x14ac:dyDescent="0.2">
      <c r="L2276" s="43"/>
      <c r="M2276" s="43"/>
      <c r="N2276" s="43"/>
      <c r="O2276" s="43"/>
      <c r="Q2276" s="44"/>
      <c r="R2276" s="44"/>
      <c r="S2276" s="44"/>
      <c r="T2276" s="44"/>
    </row>
    <row r="2277" spans="12:20" x14ac:dyDescent="0.2">
      <c r="L2277" s="43"/>
      <c r="M2277" s="43"/>
      <c r="N2277" s="43"/>
      <c r="O2277" s="43"/>
      <c r="Q2277" s="44"/>
      <c r="R2277" s="44"/>
      <c r="S2277" s="44"/>
      <c r="T2277" s="44"/>
    </row>
    <row r="2278" spans="12:20" x14ac:dyDescent="0.2">
      <c r="L2278" s="43"/>
      <c r="M2278" s="43"/>
      <c r="N2278" s="43"/>
      <c r="O2278" s="43"/>
      <c r="Q2278" s="44"/>
      <c r="R2278" s="44"/>
      <c r="S2278" s="44"/>
      <c r="T2278" s="44"/>
    </row>
    <row r="2279" spans="12:20" x14ac:dyDescent="0.2">
      <c r="L2279" s="43"/>
      <c r="M2279" s="43"/>
      <c r="N2279" s="43"/>
      <c r="O2279" s="43"/>
      <c r="Q2279" s="44"/>
      <c r="R2279" s="44"/>
      <c r="S2279" s="44"/>
      <c r="T2279" s="44"/>
    </row>
    <row r="2280" spans="12:20" x14ac:dyDescent="0.2">
      <c r="L2280" s="43"/>
      <c r="M2280" s="43"/>
      <c r="N2280" s="43"/>
      <c r="O2280" s="43"/>
      <c r="Q2280" s="44"/>
      <c r="R2280" s="44"/>
      <c r="S2280" s="44"/>
      <c r="T2280" s="44"/>
    </row>
    <row r="2281" spans="12:20" x14ac:dyDescent="0.2">
      <c r="L2281" s="43"/>
      <c r="M2281" s="43"/>
      <c r="N2281" s="43"/>
      <c r="O2281" s="43"/>
      <c r="Q2281" s="44"/>
      <c r="R2281" s="44"/>
      <c r="S2281" s="44"/>
      <c r="T2281" s="44"/>
    </row>
    <row r="2282" spans="12:20" x14ac:dyDescent="0.2">
      <c r="L2282" s="43"/>
      <c r="M2282" s="43"/>
      <c r="N2282" s="43"/>
      <c r="O2282" s="43"/>
      <c r="Q2282" s="44"/>
      <c r="R2282" s="44"/>
      <c r="S2282" s="44"/>
      <c r="T2282" s="44"/>
    </row>
    <row r="2283" spans="12:20" x14ac:dyDescent="0.2">
      <c r="L2283" s="43"/>
      <c r="M2283" s="43"/>
      <c r="N2283" s="43"/>
      <c r="O2283" s="43"/>
      <c r="Q2283" s="44"/>
      <c r="R2283" s="44"/>
      <c r="S2283" s="44"/>
      <c r="T2283" s="44"/>
    </row>
    <row r="2284" spans="12:20" x14ac:dyDescent="0.2">
      <c r="L2284" s="43"/>
      <c r="M2284" s="43"/>
      <c r="N2284" s="43"/>
      <c r="O2284" s="43"/>
      <c r="Q2284" s="44"/>
      <c r="R2284" s="44"/>
      <c r="S2284" s="44"/>
      <c r="T2284" s="44"/>
    </row>
    <row r="2285" spans="12:20" x14ac:dyDescent="0.2">
      <c r="L2285" s="43"/>
      <c r="M2285" s="43"/>
      <c r="N2285" s="43"/>
      <c r="O2285" s="43"/>
      <c r="Q2285" s="44"/>
      <c r="R2285" s="44"/>
      <c r="S2285" s="44"/>
      <c r="T2285" s="44"/>
    </row>
    <row r="2286" spans="12:20" x14ac:dyDescent="0.2">
      <c r="L2286" s="43"/>
      <c r="M2286" s="43"/>
      <c r="N2286" s="43"/>
      <c r="O2286" s="43"/>
      <c r="Q2286" s="44"/>
      <c r="R2286" s="44"/>
      <c r="S2286" s="44"/>
      <c r="T2286" s="44"/>
    </row>
    <row r="2287" spans="12:20" x14ac:dyDescent="0.2">
      <c r="L2287" s="43"/>
      <c r="M2287" s="43"/>
      <c r="N2287" s="43"/>
      <c r="O2287" s="43"/>
      <c r="Q2287" s="44"/>
      <c r="R2287" s="44"/>
      <c r="S2287" s="44"/>
      <c r="T2287" s="44"/>
    </row>
    <row r="2288" spans="12:20" x14ac:dyDescent="0.2">
      <c r="L2288" s="43"/>
      <c r="M2288" s="43"/>
      <c r="N2288" s="43"/>
      <c r="O2288" s="43"/>
      <c r="Q2288" s="44"/>
      <c r="R2288" s="44"/>
      <c r="S2288" s="44"/>
      <c r="T2288" s="44"/>
    </row>
    <row r="2289" spans="12:20" x14ac:dyDescent="0.2">
      <c r="L2289" s="43"/>
      <c r="M2289" s="43"/>
      <c r="N2289" s="43"/>
      <c r="O2289" s="43"/>
      <c r="Q2289" s="44"/>
      <c r="R2289" s="44"/>
      <c r="S2289" s="44"/>
      <c r="T2289" s="44"/>
    </row>
    <row r="2290" spans="12:20" x14ac:dyDescent="0.2">
      <c r="L2290" s="43"/>
      <c r="M2290" s="43"/>
      <c r="N2290" s="43"/>
      <c r="O2290" s="43"/>
      <c r="Q2290" s="44"/>
      <c r="R2290" s="44"/>
      <c r="S2290" s="44"/>
      <c r="T2290" s="44"/>
    </row>
    <row r="2291" spans="12:20" x14ac:dyDescent="0.2">
      <c r="L2291" s="43"/>
      <c r="M2291" s="43"/>
      <c r="N2291" s="43"/>
      <c r="O2291" s="43"/>
      <c r="Q2291" s="44"/>
      <c r="R2291" s="44"/>
      <c r="S2291" s="44"/>
      <c r="T2291" s="44"/>
    </row>
    <row r="2292" spans="12:20" x14ac:dyDescent="0.2">
      <c r="L2292" s="43"/>
      <c r="M2292" s="43"/>
      <c r="N2292" s="43"/>
      <c r="O2292" s="43"/>
      <c r="Q2292" s="44"/>
      <c r="R2292" s="44"/>
      <c r="S2292" s="44"/>
      <c r="T2292" s="44"/>
    </row>
    <row r="2293" spans="12:20" x14ac:dyDescent="0.2">
      <c r="L2293" s="43"/>
      <c r="M2293" s="43"/>
      <c r="N2293" s="43"/>
      <c r="O2293" s="43"/>
      <c r="Q2293" s="44"/>
      <c r="R2293" s="44"/>
      <c r="S2293" s="44"/>
      <c r="T2293" s="44"/>
    </row>
    <row r="2294" spans="12:20" x14ac:dyDescent="0.2">
      <c r="L2294" s="43"/>
      <c r="M2294" s="43"/>
      <c r="N2294" s="43"/>
      <c r="O2294" s="43"/>
      <c r="Q2294" s="44"/>
      <c r="R2294" s="44"/>
      <c r="S2294" s="44"/>
      <c r="T2294" s="44"/>
    </row>
    <row r="2295" spans="12:20" x14ac:dyDescent="0.2">
      <c r="L2295" s="43"/>
      <c r="M2295" s="43"/>
      <c r="N2295" s="43"/>
      <c r="O2295" s="43"/>
      <c r="Q2295" s="44"/>
      <c r="R2295" s="44"/>
      <c r="S2295" s="44"/>
      <c r="T2295" s="44"/>
    </row>
    <row r="2296" spans="12:20" x14ac:dyDescent="0.2">
      <c r="L2296" s="43"/>
      <c r="M2296" s="43"/>
      <c r="N2296" s="43"/>
      <c r="O2296" s="43"/>
      <c r="Q2296" s="44"/>
      <c r="R2296" s="44"/>
      <c r="S2296" s="44"/>
      <c r="T2296" s="44"/>
    </row>
    <row r="2297" spans="12:20" x14ac:dyDescent="0.2">
      <c r="L2297" s="43"/>
      <c r="M2297" s="43"/>
      <c r="N2297" s="43"/>
      <c r="O2297" s="43"/>
      <c r="Q2297" s="44"/>
      <c r="R2297" s="44"/>
      <c r="S2297" s="44"/>
      <c r="T2297" s="44"/>
    </row>
    <row r="2298" spans="12:20" x14ac:dyDescent="0.2">
      <c r="L2298" s="43"/>
      <c r="M2298" s="43"/>
      <c r="N2298" s="43"/>
      <c r="O2298" s="43"/>
      <c r="Q2298" s="44"/>
      <c r="R2298" s="44"/>
      <c r="S2298" s="44"/>
      <c r="T2298" s="44"/>
    </row>
    <row r="2299" spans="12:20" x14ac:dyDescent="0.2">
      <c r="L2299" s="43"/>
      <c r="M2299" s="43"/>
      <c r="N2299" s="43"/>
      <c r="O2299" s="43"/>
      <c r="Q2299" s="44"/>
      <c r="R2299" s="44"/>
      <c r="S2299" s="44"/>
      <c r="T2299" s="44"/>
    </row>
    <row r="2300" spans="12:20" x14ac:dyDescent="0.2">
      <c r="L2300" s="43"/>
      <c r="M2300" s="43"/>
      <c r="N2300" s="43"/>
      <c r="O2300" s="43"/>
      <c r="Q2300" s="44"/>
      <c r="R2300" s="44"/>
      <c r="S2300" s="44"/>
      <c r="T2300" s="44"/>
    </row>
    <row r="2301" spans="12:20" x14ac:dyDescent="0.2">
      <c r="L2301" s="43"/>
      <c r="M2301" s="43"/>
      <c r="N2301" s="43"/>
      <c r="O2301" s="43"/>
      <c r="Q2301" s="44"/>
      <c r="R2301" s="44"/>
      <c r="S2301" s="44"/>
      <c r="T2301" s="44"/>
    </row>
    <row r="2302" spans="12:20" x14ac:dyDescent="0.2">
      <c r="L2302" s="43"/>
      <c r="M2302" s="43"/>
      <c r="N2302" s="43"/>
      <c r="O2302" s="43"/>
      <c r="Q2302" s="44"/>
      <c r="R2302" s="44"/>
      <c r="S2302" s="44"/>
      <c r="T2302" s="44"/>
    </row>
    <row r="2303" spans="12:20" x14ac:dyDescent="0.2">
      <c r="L2303" s="43"/>
      <c r="M2303" s="43"/>
      <c r="N2303" s="43"/>
      <c r="O2303" s="43"/>
      <c r="Q2303" s="44"/>
      <c r="R2303" s="44"/>
      <c r="S2303" s="44"/>
      <c r="T2303" s="44"/>
    </row>
    <row r="2304" spans="12:20" x14ac:dyDescent="0.2">
      <c r="L2304" s="43"/>
      <c r="M2304" s="43"/>
      <c r="N2304" s="43"/>
      <c r="O2304" s="43"/>
      <c r="Q2304" s="44"/>
      <c r="R2304" s="44"/>
      <c r="S2304" s="44"/>
      <c r="T2304" s="44"/>
    </row>
    <row r="2305" spans="12:20" x14ac:dyDescent="0.2">
      <c r="L2305" s="43"/>
      <c r="M2305" s="43"/>
      <c r="N2305" s="43"/>
      <c r="O2305" s="43"/>
      <c r="Q2305" s="44"/>
      <c r="R2305" s="44"/>
      <c r="S2305" s="44"/>
      <c r="T2305" s="44"/>
    </row>
    <row r="2306" spans="12:20" x14ac:dyDescent="0.2">
      <c r="L2306" s="43"/>
      <c r="M2306" s="43"/>
      <c r="N2306" s="43"/>
      <c r="O2306" s="43"/>
      <c r="Q2306" s="44"/>
      <c r="R2306" s="44"/>
      <c r="S2306" s="44"/>
      <c r="T2306" s="44"/>
    </row>
    <row r="2307" spans="12:20" x14ac:dyDescent="0.2">
      <c r="L2307" s="43"/>
      <c r="M2307" s="43"/>
      <c r="N2307" s="43"/>
      <c r="O2307" s="43"/>
      <c r="Q2307" s="44"/>
      <c r="R2307" s="44"/>
      <c r="S2307" s="44"/>
      <c r="T2307" s="44"/>
    </row>
    <row r="2308" spans="12:20" x14ac:dyDescent="0.2">
      <c r="L2308" s="43"/>
      <c r="M2308" s="43"/>
      <c r="N2308" s="43"/>
      <c r="O2308" s="43"/>
      <c r="Q2308" s="44"/>
      <c r="R2308" s="44"/>
      <c r="S2308" s="44"/>
      <c r="T2308" s="44"/>
    </row>
    <row r="2309" spans="12:20" x14ac:dyDescent="0.2">
      <c r="L2309" s="43"/>
      <c r="M2309" s="43"/>
      <c r="N2309" s="43"/>
      <c r="O2309" s="43"/>
      <c r="Q2309" s="44"/>
      <c r="R2309" s="44"/>
      <c r="S2309" s="44"/>
      <c r="T2309" s="44"/>
    </row>
    <row r="2310" spans="12:20" x14ac:dyDescent="0.2">
      <c r="L2310" s="43"/>
      <c r="M2310" s="43"/>
      <c r="N2310" s="43"/>
      <c r="O2310" s="43"/>
      <c r="Q2310" s="44"/>
      <c r="R2310" s="44"/>
      <c r="S2310" s="44"/>
      <c r="T2310" s="44"/>
    </row>
    <row r="2311" spans="12:20" x14ac:dyDescent="0.2">
      <c r="L2311" s="43"/>
      <c r="M2311" s="43"/>
      <c r="N2311" s="43"/>
      <c r="O2311" s="43"/>
      <c r="Q2311" s="44"/>
      <c r="R2311" s="44"/>
      <c r="S2311" s="44"/>
      <c r="T2311" s="44"/>
    </row>
    <row r="2312" spans="12:20" x14ac:dyDescent="0.2">
      <c r="L2312" s="43"/>
      <c r="M2312" s="43"/>
      <c r="N2312" s="43"/>
      <c r="O2312" s="43"/>
      <c r="Q2312" s="44"/>
      <c r="R2312" s="44"/>
      <c r="S2312" s="44"/>
      <c r="T2312" s="44"/>
    </row>
    <row r="2313" spans="12:20" x14ac:dyDescent="0.2">
      <c r="L2313" s="43"/>
      <c r="M2313" s="43"/>
      <c r="N2313" s="43"/>
      <c r="O2313" s="43"/>
      <c r="Q2313" s="44"/>
      <c r="R2313" s="44"/>
      <c r="S2313" s="44"/>
      <c r="T2313" s="44"/>
    </row>
    <row r="2314" spans="12:20" x14ac:dyDescent="0.2">
      <c r="L2314" s="43"/>
      <c r="M2314" s="43"/>
      <c r="N2314" s="43"/>
      <c r="O2314" s="43"/>
      <c r="Q2314" s="44"/>
      <c r="R2314" s="44"/>
      <c r="S2314" s="44"/>
      <c r="T2314" s="44"/>
    </row>
    <row r="2315" spans="12:20" x14ac:dyDescent="0.2">
      <c r="L2315" s="43"/>
      <c r="M2315" s="43"/>
      <c r="N2315" s="43"/>
      <c r="O2315" s="43"/>
      <c r="Q2315" s="44"/>
      <c r="R2315" s="44"/>
      <c r="S2315" s="44"/>
      <c r="T2315" s="44"/>
    </row>
    <row r="2316" spans="12:20" x14ac:dyDescent="0.2">
      <c r="L2316" s="43"/>
      <c r="M2316" s="43"/>
      <c r="N2316" s="43"/>
      <c r="O2316" s="43"/>
      <c r="Q2316" s="44"/>
      <c r="R2316" s="44"/>
      <c r="S2316" s="44"/>
      <c r="T2316" s="44"/>
    </row>
    <row r="2317" spans="12:20" x14ac:dyDescent="0.2">
      <c r="L2317" s="43"/>
      <c r="M2317" s="43"/>
      <c r="N2317" s="43"/>
      <c r="O2317" s="43"/>
      <c r="Q2317" s="44"/>
      <c r="R2317" s="44"/>
      <c r="S2317" s="44"/>
      <c r="T2317" s="44"/>
    </row>
    <row r="2318" spans="12:20" x14ac:dyDescent="0.2">
      <c r="L2318" s="43"/>
      <c r="M2318" s="43"/>
      <c r="N2318" s="43"/>
      <c r="O2318" s="43"/>
      <c r="Q2318" s="44"/>
      <c r="R2318" s="44"/>
      <c r="S2318" s="44"/>
      <c r="T2318" s="44"/>
    </row>
    <row r="2319" spans="12:20" x14ac:dyDescent="0.2">
      <c r="L2319" s="43"/>
      <c r="M2319" s="43"/>
      <c r="N2319" s="43"/>
      <c r="O2319" s="43"/>
      <c r="Q2319" s="44"/>
      <c r="R2319" s="44"/>
      <c r="S2319" s="44"/>
      <c r="T2319" s="44"/>
    </row>
    <row r="2320" spans="12:20" x14ac:dyDescent="0.2">
      <c r="L2320" s="43"/>
      <c r="M2320" s="43"/>
      <c r="N2320" s="43"/>
      <c r="O2320" s="43"/>
      <c r="Q2320" s="44"/>
      <c r="R2320" s="44"/>
      <c r="S2320" s="44"/>
      <c r="T2320" s="44"/>
    </row>
    <row r="2321" spans="12:20" x14ac:dyDescent="0.2">
      <c r="L2321" s="43"/>
      <c r="M2321" s="43"/>
      <c r="N2321" s="43"/>
      <c r="O2321" s="43"/>
      <c r="Q2321" s="44"/>
      <c r="R2321" s="44"/>
      <c r="S2321" s="44"/>
      <c r="T2321" s="44"/>
    </row>
    <row r="2322" spans="12:20" x14ac:dyDescent="0.2">
      <c r="L2322" s="43"/>
      <c r="M2322" s="43"/>
      <c r="N2322" s="43"/>
      <c r="O2322" s="43"/>
      <c r="Q2322" s="44"/>
      <c r="R2322" s="44"/>
      <c r="S2322" s="44"/>
      <c r="T2322" s="44"/>
    </row>
    <row r="2323" spans="12:20" x14ac:dyDescent="0.2">
      <c r="L2323" s="43"/>
      <c r="M2323" s="43"/>
      <c r="N2323" s="43"/>
      <c r="O2323" s="43"/>
      <c r="Q2323" s="44"/>
      <c r="R2323" s="44"/>
      <c r="S2323" s="44"/>
      <c r="T2323" s="44"/>
    </row>
    <row r="2324" spans="12:20" x14ac:dyDescent="0.2">
      <c r="L2324" s="43"/>
      <c r="M2324" s="43"/>
      <c r="N2324" s="43"/>
      <c r="O2324" s="43"/>
      <c r="Q2324" s="44"/>
      <c r="R2324" s="44"/>
      <c r="S2324" s="44"/>
      <c r="T2324" s="44"/>
    </row>
    <row r="2325" spans="12:20" x14ac:dyDescent="0.2">
      <c r="L2325" s="43"/>
      <c r="M2325" s="43"/>
      <c r="N2325" s="43"/>
      <c r="O2325" s="43"/>
      <c r="Q2325" s="44"/>
      <c r="R2325" s="44"/>
      <c r="S2325" s="44"/>
      <c r="T2325" s="44"/>
    </row>
    <row r="2326" spans="12:20" x14ac:dyDescent="0.2">
      <c r="L2326" s="43"/>
      <c r="M2326" s="43"/>
      <c r="N2326" s="43"/>
      <c r="O2326" s="43"/>
      <c r="Q2326" s="44"/>
      <c r="R2326" s="44"/>
      <c r="S2326" s="44"/>
      <c r="T2326" s="44"/>
    </row>
    <row r="2327" spans="12:20" x14ac:dyDescent="0.2">
      <c r="L2327" s="43"/>
      <c r="M2327" s="43"/>
      <c r="N2327" s="43"/>
      <c r="O2327" s="43"/>
      <c r="Q2327" s="44"/>
      <c r="R2327" s="44"/>
      <c r="S2327" s="44"/>
      <c r="T2327" s="44"/>
    </row>
    <row r="2328" spans="12:20" x14ac:dyDescent="0.2">
      <c r="L2328" s="43"/>
      <c r="M2328" s="43"/>
      <c r="N2328" s="43"/>
      <c r="O2328" s="43"/>
      <c r="Q2328" s="44"/>
      <c r="R2328" s="44"/>
      <c r="S2328" s="44"/>
      <c r="T2328" s="44"/>
    </row>
    <row r="2329" spans="12:20" x14ac:dyDescent="0.2">
      <c r="L2329" s="43"/>
      <c r="M2329" s="43"/>
      <c r="N2329" s="43"/>
      <c r="O2329" s="43"/>
      <c r="Q2329" s="44"/>
      <c r="R2329" s="44"/>
      <c r="S2329" s="44"/>
      <c r="T2329" s="44"/>
    </row>
    <row r="2330" spans="12:20" x14ac:dyDescent="0.2">
      <c r="L2330" s="43"/>
      <c r="M2330" s="43"/>
      <c r="N2330" s="43"/>
      <c r="O2330" s="43"/>
      <c r="Q2330" s="44"/>
      <c r="R2330" s="44"/>
      <c r="S2330" s="44"/>
      <c r="T2330" s="44"/>
    </row>
    <row r="2331" spans="12:20" x14ac:dyDescent="0.2">
      <c r="L2331" s="43"/>
      <c r="M2331" s="43"/>
      <c r="N2331" s="43"/>
      <c r="O2331" s="43"/>
      <c r="Q2331" s="44"/>
      <c r="R2331" s="44"/>
      <c r="S2331" s="44"/>
      <c r="T2331" s="44"/>
    </row>
    <row r="2332" spans="12:20" x14ac:dyDescent="0.2">
      <c r="L2332" s="43"/>
      <c r="M2332" s="43"/>
      <c r="N2332" s="43"/>
      <c r="O2332" s="43"/>
      <c r="Q2332" s="44"/>
      <c r="R2332" s="44"/>
      <c r="S2332" s="44"/>
      <c r="T2332" s="44"/>
    </row>
    <row r="2333" spans="12:20" x14ac:dyDescent="0.2">
      <c r="L2333" s="43"/>
      <c r="M2333" s="43"/>
      <c r="N2333" s="43"/>
      <c r="O2333" s="43"/>
      <c r="Q2333" s="44"/>
      <c r="R2333" s="44"/>
      <c r="S2333" s="44"/>
      <c r="T2333" s="44"/>
    </row>
    <row r="2334" spans="12:20" x14ac:dyDescent="0.2">
      <c r="L2334" s="43"/>
      <c r="M2334" s="43"/>
      <c r="N2334" s="43"/>
      <c r="O2334" s="43"/>
      <c r="Q2334" s="44"/>
      <c r="R2334" s="44"/>
      <c r="S2334" s="44"/>
      <c r="T2334" s="44"/>
    </row>
    <row r="2335" spans="12:20" x14ac:dyDescent="0.2">
      <c r="L2335" s="43"/>
      <c r="M2335" s="43"/>
      <c r="N2335" s="43"/>
      <c r="O2335" s="43"/>
      <c r="Q2335" s="44"/>
      <c r="R2335" s="44"/>
      <c r="S2335" s="44"/>
      <c r="T2335" s="44"/>
    </row>
    <row r="2336" spans="12:20" x14ac:dyDescent="0.2">
      <c r="L2336" s="43"/>
      <c r="M2336" s="43"/>
      <c r="N2336" s="43"/>
      <c r="O2336" s="43"/>
      <c r="Q2336" s="44"/>
      <c r="R2336" s="44"/>
      <c r="S2336" s="44"/>
      <c r="T2336" s="44"/>
    </row>
    <row r="2337" spans="12:20" x14ac:dyDescent="0.2">
      <c r="L2337" s="43"/>
      <c r="M2337" s="43"/>
      <c r="N2337" s="43"/>
      <c r="O2337" s="43"/>
      <c r="Q2337" s="44"/>
      <c r="R2337" s="44"/>
      <c r="S2337" s="44"/>
      <c r="T2337" s="44"/>
    </row>
    <row r="2338" spans="12:20" x14ac:dyDescent="0.2">
      <c r="L2338" s="43"/>
      <c r="M2338" s="43"/>
      <c r="N2338" s="43"/>
      <c r="O2338" s="43"/>
      <c r="Q2338" s="44"/>
      <c r="R2338" s="44"/>
      <c r="S2338" s="44"/>
      <c r="T2338" s="44"/>
    </row>
    <row r="2339" spans="12:20" x14ac:dyDescent="0.2">
      <c r="L2339" s="43"/>
      <c r="M2339" s="43"/>
      <c r="N2339" s="43"/>
      <c r="O2339" s="43"/>
      <c r="Q2339" s="44"/>
      <c r="R2339" s="44"/>
      <c r="S2339" s="44"/>
      <c r="T2339" s="44"/>
    </row>
    <row r="2340" spans="12:20" x14ac:dyDescent="0.2">
      <c r="L2340" s="43"/>
      <c r="M2340" s="43"/>
      <c r="N2340" s="43"/>
      <c r="O2340" s="43"/>
      <c r="Q2340" s="44"/>
      <c r="R2340" s="44"/>
      <c r="S2340" s="44"/>
      <c r="T2340" s="44"/>
    </row>
    <row r="2341" spans="12:20" x14ac:dyDescent="0.2">
      <c r="L2341" s="43"/>
      <c r="M2341" s="43"/>
      <c r="N2341" s="43"/>
      <c r="O2341" s="43"/>
      <c r="Q2341" s="44"/>
      <c r="R2341" s="44"/>
      <c r="S2341" s="44"/>
      <c r="T2341" s="44"/>
    </row>
    <row r="2342" spans="12:20" x14ac:dyDescent="0.2">
      <c r="L2342" s="43"/>
      <c r="M2342" s="43"/>
      <c r="N2342" s="43"/>
      <c r="O2342" s="43"/>
      <c r="Q2342" s="44"/>
      <c r="R2342" s="44"/>
      <c r="S2342" s="44"/>
      <c r="T2342" s="44"/>
    </row>
    <row r="2343" spans="12:20" x14ac:dyDescent="0.2">
      <c r="L2343" s="43"/>
      <c r="M2343" s="43"/>
      <c r="N2343" s="43"/>
      <c r="O2343" s="43"/>
      <c r="Q2343" s="44"/>
      <c r="R2343" s="44"/>
      <c r="S2343" s="44"/>
      <c r="T2343" s="44"/>
    </row>
    <row r="2344" spans="12:20" x14ac:dyDescent="0.2">
      <c r="L2344" s="43"/>
      <c r="M2344" s="43"/>
      <c r="N2344" s="43"/>
      <c r="O2344" s="43"/>
      <c r="Q2344" s="44"/>
      <c r="R2344" s="44"/>
      <c r="S2344" s="44"/>
      <c r="T2344" s="44"/>
    </row>
    <row r="2345" spans="12:20" x14ac:dyDescent="0.2">
      <c r="L2345" s="43"/>
      <c r="M2345" s="43"/>
      <c r="N2345" s="43"/>
      <c r="O2345" s="43"/>
      <c r="Q2345" s="44"/>
      <c r="R2345" s="44"/>
      <c r="S2345" s="44"/>
      <c r="T2345" s="44"/>
    </row>
    <row r="2346" spans="12:20" x14ac:dyDescent="0.2">
      <c r="L2346" s="43"/>
      <c r="M2346" s="43"/>
      <c r="N2346" s="43"/>
      <c r="O2346" s="43"/>
      <c r="Q2346" s="44"/>
      <c r="R2346" s="44"/>
      <c r="S2346" s="44"/>
      <c r="T2346" s="44"/>
    </row>
    <row r="2347" spans="12:20" x14ac:dyDescent="0.2">
      <c r="L2347" s="43"/>
      <c r="M2347" s="43"/>
      <c r="N2347" s="43"/>
      <c r="O2347" s="43"/>
      <c r="Q2347" s="44"/>
      <c r="R2347" s="44"/>
      <c r="S2347" s="44"/>
      <c r="T2347" s="44"/>
    </row>
    <row r="2348" spans="12:20" x14ac:dyDescent="0.2">
      <c r="L2348" s="43"/>
      <c r="M2348" s="43"/>
      <c r="N2348" s="43"/>
      <c r="O2348" s="43"/>
      <c r="Q2348" s="44"/>
      <c r="R2348" s="44"/>
      <c r="S2348" s="44"/>
      <c r="T2348" s="44"/>
    </row>
    <row r="2349" spans="12:20" x14ac:dyDescent="0.2">
      <c r="L2349" s="43"/>
      <c r="M2349" s="43"/>
      <c r="N2349" s="43"/>
      <c r="O2349" s="43"/>
      <c r="Q2349" s="44"/>
      <c r="R2349" s="44"/>
      <c r="S2349" s="44"/>
      <c r="T2349" s="44"/>
    </row>
    <row r="2350" spans="12:20" x14ac:dyDescent="0.2">
      <c r="L2350" s="43"/>
      <c r="M2350" s="43"/>
      <c r="N2350" s="43"/>
      <c r="O2350" s="43"/>
      <c r="Q2350" s="44"/>
      <c r="R2350" s="44"/>
      <c r="S2350" s="44"/>
      <c r="T2350" s="44"/>
    </row>
    <row r="2351" spans="12:20" x14ac:dyDescent="0.2">
      <c r="L2351" s="43"/>
      <c r="M2351" s="43"/>
      <c r="N2351" s="43"/>
      <c r="O2351" s="43"/>
      <c r="Q2351" s="44"/>
      <c r="R2351" s="44"/>
      <c r="S2351" s="44"/>
      <c r="T2351" s="44"/>
    </row>
    <row r="2352" spans="12:20" x14ac:dyDescent="0.2">
      <c r="L2352" s="43"/>
      <c r="M2352" s="43"/>
      <c r="N2352" s="43"/>
      <c r="O2352" s="43"/>
      <c r="Q2352" s="44"/>
      <c r="R2352" s="44"/>
      <c r="S2352" s="44"/>
      <c r="T2352" s="44"/>
    </row>
    <row r="2353" spans="12:20" x14ac:dyDescent="0.2">
      <c r="L2353" s="43"/>
      <c r="M2353" s="43"/>
      <c r="N2353" s="43"/>
      <c r="O2353" s="43"/>
      <c r="Q2353" s="44"/>
      <c r="R2353" s="44"/>
      <c r="S2353" s="44"/>
      <c r="T2353" s="44"/>
    </row>
    <row r="2354" spans="12:20" x14ac:dyDescent="0.2">
      <c r="L2354" s="43"/>
      <c r="M2354" s="43"/>
      <c r="N2354" s="43"/>
      <c r="O2354" s="43"/>
      <c r="Q2354" s="44"/>
      <c r="R2354" s="44"/>
      <c r="S2354" s="44"/>
      <c r="T2354" s="44"/>
    </row>
    <row r="2355" spans="12:20" x14ac:dyDescent="0.2">
      <c r="L2355" s="43"/>
      <c r="M2355" s="43"/>
      <c r="N2355" s="43"/>
      <c r="O2355" s="43"/>
      <c r="Q2355" s="44"/>
      <c r="R2355" s="44"/>
      <c r="S2355" s="44"/>
      <c r="T2355" s="44"/>
    </row>
    <row r="2356" spans="12:20" x14ac:dyDescent="0.2">
      <c r="L2356" s="43"/>
      <c r="M2356" s="43"/>
      <c r="N2356" s="43"/>
      <c r="O2356" s="43"/>
      <c r="Q2356" s="44"/>
      <c r="R2356" s="44"/>
      <c r="S2356" s="44"/>
      <c r="T2356" s="44"/>
    </row>
    <row r="2357" spans="12:20" x14ac:dyDescent="0.2">
      <c r="L2357" s="43"/>
      <c r="M2357" s="43"/>
      <c r="N2357" s="43"/>
      <c r="O2357" s="43"/>
      <c r="Q2357" s="44"/>
      <c r="R2357" s="44"/>
      <c r="S2357" s="44"/>
      <c r="T2357" s="44"/>
    </row>
    <row r="2358" spans="12:20" x14ac:dyDescent="0.2">
      <c r="L2358" s="43"/>
      <c r="M2358" s="43"/>
      <c r="N2358" s="43"/>
      <c r="O2358" s="43"/>
      <c r="Q2358" s="44"/>
      <c r="R2358" s="44"/>
      <c r="S2358" s="44"/>
      <c r="T2358" s="44"/>
    </row>
    <row r="2359" spans="12:20" x14ac:dyDescent="0.2">
      <c r="L2359" s="43"/>
      <c r="M2359" s="43"/>
      <c r="N2359" s="43"/>
      <c r="O2359" s="43"/>
      <c r="Q2359" s="44"/>
      <c r="R2359" s="44"/>
      <c r="S2359" s="44"/>
      <c r="T2359" s="44"/>
    </row>
    <row r="2360" spans="12:20" x14ac:dyDescent="0.2">
      <c r="L2360" s="43"/>
      <c r="M2360" s="43"/>
      <c r="N2360" s="43"/>
      <c r="O2360" s="43"/>
      <c r="Q2360" s="44"/>
      <c r="R2360" s="44"/>
      <c r="S2360" s="44"/>
      <c r="T2360" s="44"/>
    </row>
    <row r="2361" spans="12:20" x14ac:dyDescent="0.2">
      <c r="L2361" s="43"/>
      <c r="M2361" s="43"/>
      <c r="N2361" s="43"/>
      <c r="O2361" s="43"/>
      <c r="Q2361" s="44"/>
      <c r="R2361" s="44"/>
      <c r="S2361" s="44"/>
      <c r="T2361" s="44"/>
    </row>
    <row r="2362" spans="12:20" x14ac:dyDescent="0.2">
      <c r="L2362" s="43"/>
      <c r="M2362" s="43"/>
      <c r="N2362" s="43"/>
      <c r="O2362" s="43"/>
      <c r="Q2362" s="44"/>
      <c r="R2362" s="44"/>
      <c r="S2362" s="44"/>
      <c r="T2362" s="44"/>
    </row>
    <row r="2363" spans="12:20" x14ac:dyDescent="0.2">
      <c r="L2363" s="43"/>
      <c r="M2363" s="43"/>
      <c r="N2363" s="43"/>
      <c r="O2363" s="43"/>
      <c r="Q2363" s="44"/>
      <c r="R2363" s="44"/>
      <c r="S2363" s="44"/>
      <c r="T2363" s="44"/>
    </row>
    <row r="2364" spans="12:20" x14ac:dyDescent="0.2">
      <c r="L2364" s="43"/>
      <c r="M2364" s="43"/>
      <c r="N2364" s="43"/>
      <c r="O2364" s="43"/>
      <c r="Q2364" s="44"/>
      <c r="R2364" s="44"/>
      <c r="S2364" s="44"/>
      <c r="T2364" s="44"/>
    </row>
    <row r="2365" spans="12:20" x14ac:dyDescent="0.2">
      <c r="L2365" s="43"/>
      <c r="M2365" s="43"/>
      <c r="N2365" s="43"/>
      <c r="O2365" s="43"/>
      <c r="Q2365" s="44"/>
      <c r="R2365" s="44"/>
      <c r="S2365" s="44"/>
      <c r="T2365" s="44"/>
    </row>
    <row r="2366" spans="12:20" x14ac:dyDescent="0.2">
      <c r="L2366" s="43"/>
      <c r="M2366" s="43"/>
      <c r="N2366" s="43"/>
      <c r="O2366" s="43"/>
      <c r="Q2366" s="44"/>
      <c r="R2366" s="44"/>
      <c r="S2366" s="44"/>
      <c r="T2366" s="44"/>
    </row>
    <row r="2367" spans="12:20" x14ac:dyDescent="0.2">
      <c r="L2367" s="43"/>
      <c r="M2367" s="43"/>
      <c r="N2367" s="43"/>
      <c r="O2367" s="43"/>
      <c r="Q2367" s="44"/>
      <c r="R2367" s="44"/>
      <c r="S2367" s="44"/>
      <c r="T2367" s="44"/>
    </row>
    <row r="2368" spans="12:20" x14ac:dyDescent="0.2">
      <c r="L2368" s="43"/>
      <c r="M2368" s="43"/>
      <c r="N2368" s="43"/>
      <c r="O2368" s="43"/>
      <c r="Q2368" s="44"/>
      <c r="R2368" s="44"/>
      <c r="S2368" s="44"/>
      <c r="T2368" s="44"/>
    </row>
    <row r="2369" spans="12:20" x14ac:dyDescent="0.2">
      <c r="L2369" s="43"/>
      <c r="M2369" s="43"/>
      <c r="N2369" s="43"/>
      <c r="O2369" s="43"/>
      <c r="Q2369" s="44"/>
      <c r="R2369" s="44"/>
      <c r="S2369" s="44"/>
      <c r="T2369" s="44"/>
    </row>
    <row r="2370" spans="12:20" x14ac:dyDescent="0.2">
      <c r="L2370" s="43"/>
      <c r="M2370" s="43"/>
      <c r="N2370" s="43"/>
      <c r="O2370" s="43"/>
      <c r="Q2370" s="44"/>
      <c r="R2370" s="44"/>
      <c r="S2370" s="44"/>
      <c r="T2370" s="44"/>
    </row>
    <row r="2371" spans="12:20" x14ac:dyDescent="0.2">
      <c r="L2371" s="43"/>
      <c r="M2371" s="43"/>
      <c r="N2371" s="43"/>
      <c r="O2371" s="43"/>
      <c r="Q2371" s="44"/>
      <c r="R2371" s="44"/>
      <c r="S2371" s="44"/>
      <c r="T2371" s="44"/>
    </row>
    <row r="2372" spans="12:20" x14ac:dyDescent="0.2">
      <c r="L2372" s="43"/>
      <c r="M2372" s="43"/>
      <c r="N2372" s="43"/>
      <c r="O2372" s="43"/>
      <c r="Q2372" s="44"/>
      <c r="R2372" s="44"/>
      <c r="S2372" s="44"/>
      <c r="T2372" s="44"/>
    </row>
    <row r="2373" spans="12:20" x14ac:dyDescent="0.2">
      <c r="L2373" s="43"/>
      <c r="M2373" s="43"/>
      <c r="N2373" s="43"/>
      <c r="O2373" s="43"/>
      <c r="Q2373" s="44"/>
      <c r="R2373" s="44"/>
      <c r="S2373" s="44"/>
      <c r="T2373" s="44"/>
    </row>
    <row r="2374" spans="12:20" x14ac:dyDescent="0.2">
      <c r="L2374" s="43"/>
      <c r="M2374" s="43"/>
      <c r="N2374" s="43"/>
      <c r="O2374" s="43"/>
      <c r="Q2374" s="44"/>
      <c r="R2374" s="44"/>
      <c r="S2374" s="44"/>
      <c r="T2374" s="44"/>
    </row>
    <row r="2375" spans="12:20" x14ac:dyDescent="0.2">
      <c r="L2375" s="43"/>
      <c r="M2375" s="43"/>
      <c r="N2375" s="43"/>
      <c r="O2375" s="43"/>
      <c r="Q2375" s="44"/>
      <c r="R2375" s="44"/>
      <c r="S2375" s="44"/>
      <c r="T2375" s="44"/>
    </row>
    <row r="2376" spans="12:20" x14ac:dyDescent="0.2">
      <c r="L2376" s="43"/>
      <c r="M2376" s="43"/>
      <c r="N2376" s="43"/>
      <c r="O2376" s="43"/>
      <c r="Q2376" s="44"/>
      <c r="R2376" s="44"/>
      <c r="S2376" s="44"/>
      <c r="T2376" s="44"/>
    </row>
    <row r="2377" spans="12:20" x14ac:dyDescent="0.2">
      <c r="L2377" s="43"/>
      <c r="M2377" s="43"/>
      <c r="N2377" s="43"/>
      <c r="O2377" s="43"/>
      <c r="Q2377" s="44"/>
      <c r="R2377" s="44"/>
      <c r="S2377" s="44"/>
      <c r="T2377" s="44"/>
    </row>
    <row r="2378" spans="12:20" x14ac:dyDescent="0.2">
      <c r="L2378" s="43"/>
      <c r="M2378" s="43"/>
      <c r="N2378" s="43"/>
      <c r="O2378" s="43"/>
      <c r="Q2378" s="44"/>
      <c r="R2378" s="44"/>
      <c r="S2378" s="44"/>
      <c r="T2378" s="44"/>
    </row>
    <row r="2379" spans="12:20" x14ac:dyDescent="0.2">
      <c r="L2379" s="43"/>
      <c r="M2379" s="43"/>
      <c r="N2379" s="43"/>
      <c r="O2379" s="43"/>
      <c r="Q2379" s="44"/>
      <c r="R2379" s="44"/>
      <c r="S2379" s="44"/>
      <c r="T2379" s="44"/>
    </row>
    <row r="2380" spans="12:20" x14ac:dyDescent="0.2">
      <c r="L2380" s="43"/>
      <c r="M2380" s="43"/>
      <c r="N2380" s="43"/>
      <c r="O2380" s="43"/>
      <c r="Q2380" s="44"/>
      <c r="R2380" s="44"/>
      <c r="S2380" s="44"/>
      <c r="T2380" s="44"/>
    </row>
    <row r="2381" spans="12:20" x14ac:dyDescent="0.2">
      <c r="L2381" s="43"/>
      <c r="M2381" s="43"/>
      <c r="N2381" s="43"/>
      <c r="O2381" s="43"/>
      <c r="Q2381" s="44"/>
      <c r="R2381" s="44"/>
      <c r="S2381" s="44"/>
      <c r="T2381" s="44"/>
    </row>
    <row r="2382" spans="12:20" x14ac:dyDescent="0.2">
      <c r="L2382" s="43"/>
      <c r="M2382" s="43"/>
      <c r="N2382" s="43"/>
      <c r="O2382" s="43"/>
      <c r="Q2382" s="44"/>
      <c r="R2382" s="44"/>
      <c r="S2382" s="44"/>
      <c r="T2382" s="44"/>
    </row>
    <row r="2383" spans="12:20" x14ac:dyDescent="0.2">
      <c r="L2383" s="43"/>
      <c r="M2383" s="43"/>
      <c r="N2383" s="43"/>
      <c r="O2383" s="43"/>
      <c r="Q2383" s="44"/>
      <c r="R2383" s="44"/>
      <c r="S2383" s="44"/>
      <c r="T2383" s="44"/>
    </row>
    <row r="2384" spans="12:20" x14ac:dyDescent="0.2">
      <c r="L2384" s="43"/>
      <c r="M2384" s="43"/>
      <c r="N2384" s="43"/>
      <c r="O2384" s="43"/>
      <c r="Q2384" s="44"/>
      <c r="R2384" s="44"/>
      <c r="S2384" s="44"/>
      <c r="T2384" s="44"/>
    </row>
    <row r="2385" spans="12:20" x14ac:dyDescent="0.2">
      <c r="L2385" s="43"/>
      <c r="M2385" s="43"/>
      <c r="N2385" s="43"/>
      <c r="O2385" s="43"/>
      <c r="Q2385" s="44"/>
      <c r="R2385" s="44"/>
      <c r="S2385" s="44"/>
      <c r="T2385" s="44"/>
    </row>
    <row r="2386" spans="12:20" x14ac:dyDescent="0.2">
      <c r="L2386" s="43"/>
      <c r="M2386" s="43"/>
      <c r="N2386" s="43"/>
      <c r="O2386" s="43"/>
      <c r="Q2386" s="44"/>
      <c r="R2386" s="44"/>
      <c r="S2386" s="44"/>
      <c r="T2386" s="44"/>
    </row>
    <row r="2387" spans="12:20" x14ac:dyDescent="0.2">
      <c r="L2387" s="43"/>
      <c r="M2387" s="43"/>
      <c r="N2387" s="43"/>
      <c r="O2387" s="43"/>
      <c r="Q2387" s="44"/>
      <c r="R2387" s="44"/>
      <c r="S2387" s="44"/>
      <c r="T2387" s="44"/>
    </row>
    <row r="2388" spans="12:20" x14ac:dyDescent="0.2">
      <c r="L2388" s="43"/>
      <c r="M2388" s="43"/>
      <c r="N2388" s="43"/>
      <c r="O2388" s="43"/>
      <c r="Q2388" s="44"/>
      <c r="R2388" s="44"/>
      <c r="S2388" s="44"/>
      <c r="T2388" s="44"/>
    </row>
    <row r="2389" spans="12:20" x14ac:dyDescent="0.2">
      <c r="L2389" s="43"/>
      <c r="M2389" s="43"/>
      <c r="N2389" s="43"/>
      <c r="O2389" s="43"/>
      <c r="Q2389" s="44"/>
      <c r="R2389" s="44"/>
      <c r="S2389" s="44"/>
      <c r="T2389" s="44"/>
    </row>
    <row r="2390" spans="12:20" x14ac:dyDescent="0.2">
      <c r="L2390" s="43"/>
      <c r="M2390" s="43"/>
      <c r="N2390" s="43"/>
      <c r="O2390" s="43"/>
      <c r="Q2390" s="44"/>
      <c r="R2390" s="44"/>
      <c r="S2390" s="44"/>
      <c r="T2390" s="44"/>
    </row>
    <row r="2391" spans="12:20" x14ac:dyDescent="0.2">
      <c r="L2391" s="43"/>
      <c r="M2391" s="43"/>
      <c r="N2391" s="43"/>
      <c r="O2391" s="43"/>
      <c r="Q2391" s="44"/>
      <c r="R2391" s="44"/>
      <c r="S2391" s="44"/>
      <c r="T2391" s="44"/>
    </row>
    <row r="2392" spans="12:20" x14ac:dyDescent="0.2">
      <c r="L2392" s="43"/>
      <c r="M2392" s="43"/>
      <c r="N2392" s="43"/>
      <c r="O2392" s="43"/>
      <c r="Q2392" s="44"/>
      <c r="R2392" s="44"/>
      <c r="S2392" s="44"/>
      <c r="T2392" s="44"/>
    </row>
    <row r="2393" spans="12:20" x14ac:dyDescent="0.2">
      <c r="L2393" s="43"/>
      <c r="M2393" s="43"/>
      <c r="N2393" s="43"/>
      <c r="O2393" s="43"/>
      <c r="Q2393" s="44"/>
      <c r="R2393" s="44"/>
      <c r="S2393" s="44"/>
      <c r="T2393" s="44"/>
    </row>
    <row r="2394" spans="12:20" x14ac:dyDescent="0.2">
      <c r="L2394" s="43"/>
      <c r="M2394" s="43"/>
      <c r="N2394" s="43"/>
      <c r="O2394" s="43"/>
      <c r="Q2394" s="44"/>
      <c r="R2394" s="44"/>
      <c r="S2394" s="44"/>
      <c r="T2394" s="44"/>
    </row>
    <row r="2395" spans="12:20" x14ac:dyDescent="0.2">
      <c r="L2395" s="43"/>
      <c r="M2395" s="43"/>
      <c r="N2395" s="43"/>
      <c r="O2395" s="43"/>
      <c r="Q2395" s="44"/>
      <c r="R2395" s="44"/>
      <c r="S2395" s="44"/>
      <c r="T2395" s="44"/>
    </row>
    <row r="2396" spans="12:20" x14ac:dyDescent="0.2">
      <c r="L2396" s="43"/>
      <c r="M2396" s="43"/>
      <c r="N2396" s="43"/>
      <c r="O2396" s="43"/>
      <c r="Q2396" s="44"/>
      <c r="R2396" s="44"/>
      <c r="S2396" s="44"/>
      <c r="T2396" s="44"/>
    </row>
    <row r="2397" spans="12:20" x14ac:dyDescent="0.2">
      <c r="L2397" s="43"/>
      <c r="M2397" s="43"/>
      <c r="N2397" s="43"/>
      <c r="O2397" s="43"/>
      <c r="Q2397" s="44"/>
      <c r="R2397" s="44"/>
      <c r="S2397" s="44"/>
      <c r="T2397" s="44"/>
    </row>
    <row r="2398" spans="12:20" x14ac:dyDescent="0.2">
      <c r="L2398" s="43"/>
      <c r="M2398" s="43"/>
      <c r="N2398" s="43"/>
      <c r="O2398" s="43"/>
      <c r="Q2398" s="44"/>
      <c r="R2398" s="44"/>
      <c r="S2398" s="44"/>
      <c r="T2398" s="44"/>
    </row>
    <row r="2399" spans="12:20" x14ac:dyDescent="0.2">
      <c r="L2399" s="43"/>
      <c r="M2399" s="43"/>
      <c r="N2399" s="43"/>
      <c r="O2399" s="43"/>
      <c r="Q2399" s="44"/>
      <c r="R2399" s="44"/>
      <c r="S2399" s="44"/>
      <c r="T2399" s="44"/>
    </row>
    <row r="2400" spans="12:20" x14ac:dyDescent="0.2">
      <c r="L2400" s="43"/>
      <c r="M2400" s="43"/>
      <c r="N2400" s="43"/>
      <c r="O2400" s="43"/>
      <c r="Q2400" s="44"/>
      <c r="R2400" s="44"/>
      <c r="S2400" s="44"/>
      <c r="T2400" s="44"/>
    </row>
    <row r="2401" spans="12:20" x14ac:dyDescent="0.2">
      <c r="L2401" s="43"/>
      <c r="M2401" s="43"/>
      <c r="N2401" s="43"/>
      <c r="O2401" s="43"/>
      <c r="Q2401" s="44"/>
      <c r="R2401" s="44"/>
      <c r="S2401" s="44"/>
      <c r="T2401" s="44"/>
    </row>
    <row r="2402" spans="12:20" x14ac:dyDescent="0.2">
      <c r="L2402" s="43"/>
      <c r="M2402" s="43"/>
      <c r="N2402" s="43"/>
      <c r="O2402" s="43"/>
      <c r="Q2402" s="44"/>
      <c r="R2402" s="44"/>
      <c r="S2402" s="44"/>
      <c r="T2402" s="44"/>
    </row>
    <row r="2403" spans="12:20" x14ac:dyDescent="0.2">
      <c r="L2403" s="43"/>
      <c r="M2403" s="43"/>
      <c r="N2403" s="43"/>
      <c r="O2403" s="43"/>
      <c r="Q2403" s="44"/>
      <c r="R2403" s="44"/>
      <c r="S2403" s="44"/>
      <c r="T2403" s="44"/>
    </row>
    <row r="2404" spans="12:20" x14ac:dyDescent="0.2">
      <c r="L2404" s="43"/>
      <c r="M2404" s="43"/>
      <c r="N2404" s="43"/>
      <c r="O2404" s="43"/>
      <c r="Q2404" s="44"/>
      <c r="R2404" s="44"/>
      <c r="S2404" s="44"/>
      <c r="T2404" s="44"/>
    </row>
    <row r="2405" spans="12:20" x14ac:dyDescent="0.2">
      <c r="L2405" s="43"/>
      <c r="M2405" s="43"/>
      <c r="N2405" s="43"/>
      <c r="O2405" s="43"/>
      <c r="Q2405" s="44"/>
      <c r="R2405" s="44"/>
      <c r="S2405" s="44"/>
      <c r="T2405" s="44"/>
    </row>
    <row r="2406" spans="12:20" x14ac:dyDescent="0.2">
      <c r="L2406" s="43"/>
      <c r="M2406" s="43"/>
      <c r="N2406" s="43"/>
      <c r="O2406" s="43"/>
      <c r="Q2406" s="44"/>
      <c r="R2406" s="44"/>
      <c r="S2406" s="44"/>
      <c r="T2406" s="44"/>
    </row>
    <row r="2407" spans="12:20" x14ac:dyDescent="0.2">
      <c r="L2407" s="43"/>
      <c r="M2407" s="43"/>
      <c r="N2407" s="43"/>
      <c r="O2407" s="43"/>
      <c r="Q2407" s="44"/>
      <c r="R2407" s="44"/>
      <c r="S2407" s="44"/>
      <c r="T2407" s="44"/>
    </row>
    <row r="2408" spans="12:20" x14ac:dyDescent="0.2">
      <c r="L2408" s="43"/>
      <c r="M2408" s="43"/>
      <c r="N2408" s="43"/>
      <c r="O2408" s="43"/>
      <c r="Q2408" s="44"/>
      <c r="R2408" s="44"/>
      <c r="S2408" s="44"/>
      <c r="T2408" s="44"/>
    </row>
    <row r="2409" spans="12:20" x14ac:dyDescent="0.2">
      <c r="L2409" s="43"/>
      <c r="M2409" s="43"/>
      <c r="N2409" s="43"/>
      <c r="O2409" s="43"/>
      <c r="Q2409" s="44"/>
      <c r="R2409" s="44"/>
      <c r="S2409" s="44"/>
      <c r="T2409" s="44"/>
    </row>
    <row r="2410" spans="12:20" x14ac:dyDescent="0.2">
      <c r="L2410" s="43"/>
      <c r="M2410" s="43"/>
      <c r="N2410" s="43"/>
      <c r="O2410" s="43"/>
      <c r="Q2410" s="44"/>
      <c r="R2410" s="44"/>
      <c r="S2410" s="44"/>
      <c r="T2410" s="44"/>
    </row>
    <row r="2411" spans="12:20" x14ac:dyDescent="0.2">
      <c r="L2411" s="43"/>
      <c r="M2411" s="43"/>
      <c r="N2411" s="43"/>
      <c r="O2411" s="43"/>
      <c r="Q2411" s="44"/>
      <c r="R2411" s="44"/>
      <c r="S2411" s="44"/>
      <c r="T2411" s="44"/>
    </row>
    <row r="2412" spans="12:20" x14ac:dyDescent="0.2">
      <c r="L2412" s="43"/>
      <c r="M2412" s="43"/>
      <c r="N2412" s="43"/>
      <c r="O2412" s="43"/>
      <c r="Q2412" s="44"/>
      <c r="R2412" s="44"/>
      <c r="S2412" s="44"/>
      <c r="T2412" s="44"/>
    </row>
    <row r="2413" spans="12:20" x14ac:dyDescent="0.2">
      <c r="L2413" s="43"/>
      <c r="M2413" s="43"/>
      <c r="N2413" s="43"/>
      <c r="O2413" s="43"/>
      <c r="Q2413" s="44"/>
      <c r="R2413" s="44"/>
      <c r="S2413" s="44"/>
      <c r="T2413" s="44"/>
    </row>
    <row r="2414" spans="12:20" x14ac:dyDescent="0.2">
      <c r="L2414" s="43"/>
      <c r="M2414" s="43"/>
      <c r="N2414" s="43"/>
      <c r="O2414" s="43"/>
      <c r="Q2414" s="44"/>
      <c r="R2414" s="44"/>
      <c r="S2414" s="44"/>
      <c r="T2414" s="44"/>
    </row>
    <row r="2415" spans="12:20" x14ac:dyDescent="0.2">
      <c r="L2415" s="43"/>
      <c r="M2415" s="43"/>
      <c r="N2415" s="43"/>
      <c r="O2415" s="43"/>
      <c r="Q2415" s="44"/>
      <c r="R2415" s="44"/>
      <c r="S2415" s="44"/>
      <c r="T2415" s="44"/>
    </row>
    <row r="2416" spans="12:20" x14ac:dyDescent="0.2">
      <c r="L2416" s="43"/>
      <c r="M2416" s="43"/>
      <c r="N2416" s="43"/>
      <c r="O2416" s="43"/>
      <c r="Q2416" s="44"/>
      <c r="R2416" s="44"/>
      <c r="S2416" s="44"/>
      <c r="T2416" s="44"/>
    </row>
    <row r="2417" spans="12:20" x14ac:dyDescent="0.2">
      <c r="L2417" s="43"/>
      <c r="M2417" s="43"/>
      <c r="N2417" s="43"/>
      <c r="O2417" s="43"/>
      <c r="Q2417" s="44"/>
      <c r="R2417" s="44"/>
      <c r="S2417" s="44"/>
      <c r="T2417" s="44"/>
    </row>
    <row r="2418" spans="12:20" x14ac:dyDescent="0.2">
      <c r="L2418" s="43"/>
      <c r="M2418" s="43"/>
      <c r="N2418" s="43"/>
      <c r="O2418" s="43"/>
      <c r="Q2418" s="44"/>
      <c r="R2418" s="44"/>
      <c r="S2418" s="44"/>
      <c r="T2418" s="44"/>
    </row>
    <row r="2419" spans="12:20" x14ac:dyDescent="0.2">
      <c r="L2419" s="43"/>
      <c r="M2419" s="43"/>
      <c r="N2419" s="43"/>
      <c r="O2419" s="43"/>
      <c r="Q2419" s="44"/>
      <c r="R2419" s="44"/>
      <c r="S2419" s="44"/>
      <c r="T2419" s="44"/>
    </row>
    <row r="2420" spans="12:20" x14ac:dyDescent="0.2">
      <c r="L2420" s="43"/>
      <c r="M2420" s="43"/>
      <c r="N2420" s="43"/>
      <c r="O2420" s="43"/>
      <c r="Q2420" s="44"/>
      <c r="R2420" s="44"/>
      <c r="S2420" s="44"/>
      <c r="T2420" s="44"/>
    </row>
    <row r="2421" spans="12:20" x14ac:dyDescent="0.2">
      <c r="L2421" s="43"/>
      <c r="M2421" s="43"/>
      <c r="N2421" s="43"/>
      <c r="O2421" s="43"/>
      <c r="Q2421" s="44"/>
      <c r="R2421" s="44"/>
      <c r="S2421" s="44"/>
      <c r="T2421" s="44"/>
    </row>
    <row r="2422" spans="12:20" x14ac:dyDescent="0.2">
      <c r="L2422" s="43"/>
      <c r="M2422" s="43"/>
      <c r="N2422" s="43"/>
      <c r="O2422" s="43"/>
      <c r="Q2422" s="44"/>
      <c r="R2422" s="44"/>
      <c r="S2422" s="44"/>
      <c r="T2422" s="44"/>
    </row>
    <row r="2423" spans="12:20" x14ac:dyDescent="0.2">
      <c r="L2423" s="43"/>
      <c r="M2423" s="43"/>
      <c r="N2423" s="43"/>
      <c r="O2423" s="43"/>
      <c r="Q2423" s="44"/>
      <c r="R2423" s="44"/>
      <c r="S2423" s="44"/>
      <c r="T2423" s="44"/>
    </row>
    <row r="2424" spans="12:20" x14ac:dyDescent="0.2">
      <c r="L2424" s="43"/>
      <c r="M2424" s="43"/>
      <c r="N2424" s="43"/>
      <c r="O2424" s="43"/>
      <c r="Q2424" s="44"/>
      <c r="R2424" s="44"/>
      <c r="S2424" s="44"/>
      <c r="T2424" s="44"/>
    </row>
    <row r="2425" spans="12:20" x14ac:dyDescent="0.2">
      <c r="L2425" s="43"/>
      <c r="M2425" s="43"/>
      <c r="N2425" s="43"/>
      <c r="O2425" s="43"/>
      <c r="Q2425" s="44"/>
      <c r="R2425" s="44"/>
      <c r="S2425" s="44"/>
      <c r="T2425" s="44"/>
    </row>
    <row r="2426" spans="12:20" x14ac:dyDescent="0.2">
      <c r="L2426" s="43"/>
      <c r="M2426" s="43"/>
      <c r="N2426" s="43"/>
      <c r="O2426" s="43"/>
      <c r="Q2426" s="44"/>
      <c r="R2426" s="44"/>
      <c r="S2426" s="44"/>
      <c r="T2426" s="44"/>
    </row>
    <row r="2427" spans="12:20" x14ac:dyDescent="0.2">
      <c r="L2427" s="43"/>
      <c r="M2427" s="43"/>
      <c r="N2427" s="43"/>
      <c r="O2427" s="43"/>
      <c r="Q2427" s="44"/>
      <c r="R2427" s="44"/>
      <c r="S2427" s="44"/>
      <c r="T2427" s="44"/>
    </row>
    <row r="2428" spans="12:20" x14ac:dyDescent="0.2">
      <c r="L2428" s="43"/>
      <c r="M2428" s="43"/>
      <c r="N2428" s="43"/>
      <c r="O2428" s="43"/>
      <c r="Q2428" s="44"/>
      <c r="R2428" s="44"/>
      <c r="S2428" s="44"/>
      <c r="T2428" s="44"/>
    </row>
    <row r="2429" spans="12:20" x14ac:dyDescent="0.2">
      <c r="L2429" s="43"/>
      <c r="M2429" s="43"/>
      <c r="N2429" s="43"/>
      <c r="O2429" s="43"/>
      <c r="Q2429" s="44"/>
      <c r="R2429" s="44"/>
      <c r="S2429" s="44"/>
      <c r="T2429" s="44"/>
    </row>
    <row r="2430" spans="12:20" x14ac:dyDescent="0.2">
      <c r="L2430" s="43"/>
      <c r="M2430" s="43"/>
      <c r="N2430" s="43"/>
      <c r="O2430" s="43"/>
      <c r="Q2430" s="44"/>
      <c r="R2430" s="44"/>
      <c r="S2430" s="44"/>
      <c r="T2430" s="44"/>
    </row>
    <row r="2431" spans="12:20" x14ac:dyDescent="0.2">
      <c r="L2431" s="43"/>
      <c r="M2431" s="43"/>
      <c r="N2431" s="43"/>
      <c r="O2431" s="43"/>
      <c r="Q2431" s="44"/>
      <c r="R2431" s="44"/>
      <c r="S2431" s="44"/>
      <c r="T2431" s="44"/>
    </row>
    <row r="2432" spans="12:20" x14ac:dyDescent="0.2">
      <c r="L2432" s="43"/>
      <c r="M2432" s="43"/>
      <c r="N2432" s="43"/>
      <c r="O2432" s="43"/>
      <c r="Q2432" s="44"/>
      <c r="R2432" s="44"/>
      <c r="S2432" s="44"/>
      <c r="T2432" s="44"/>
    </row>
    <row r="2433" spans="12:20" x14ac:dyDescent="0.2">
      <c r="L2433" s="43"/>
      <c r="M2433" s="43"/>
      <c r="N2433" s="43"/>
      <c r="O2433" s="43"/>
      <c r="Q2433" s="44"/>
      <c r="R2433" s="44"/>
      <c r="S2433" s="44"/>
      <c r="T2433" s="44"/>
    </row>
    <row r="2434" spans="12:20" x14ac:dyDescent="0.2">
      <c r="L2434" s="43"/>
      <c r="M2434" s="43"/>
      <c r="N2434" s="43"/>
      <c r="O2434" s="43"/>
      <c r="Q2434" s="44"/>
      <c r="R2434" s="44"/>
      <c r="S2434" s="44"/>
      <c r="T2434" s="44"/>
    </row>
    <row r="2435" spans="12:20" x14ac:dyDescent="0.2">
      <c r="L2435" s="43"/>
      <c r="M2435" s="43"/>
      <c r="N2435" s="43"/>
      <c r="O2435" s="43"/>
      <c r="Q2435" s="44"/>
      <c r="R2435" s="44"/>
      <c r="S2435" s="44"/>
      <c r="T2435" s="44"/>
    </row>
    <row r="2436" spans="12:20" x14ac:dyDescent="0.2">
      <c r="L2436" s="43"/>
      <c r="M2436" s="43"/>
      <c r="N2436" s="43"/>
      <c r="O2436" s="43"/>
      <c r="Q2436" s="44"/>
      <c r="R2436" s="44"/>
      <c r="S2436" s="44"/>
      <c r="T2436" s="44"/>
    </row>
    <row r="2437" spans="12:20" x14ac:dyDescent="0.2">
      <c r="L2437" s="43"/>
      <c r="M2437" s="43"/>
      <c r="N2437" s="43"/>
      <c r="O2437" s="43"/>
      <c r="Q2437" s="44"/>
      <c r="R2437" s="44"/>
      <c r="S2437" s="44"/>
      <c r="T2437" s="44"/>
    </row>
    <row r="2438" spans="12:20" x14ac:dyDescent="0.2">
      <c r="L2438" s="43"/>
      <c r="M2438" s="43"/>
      <c r="N2438" s="43"/>
      <c r="O2438" s="43"/>
      <c r="Q2438" s="44"/>
      <c r="R2438" s="44"/>
      <c r="S2438" s="44"/>
      <c r="T2438" s="44"/>
    </row>
    <row r="2439" spans="12:20" x14ac:dyDescent="0.2">
      <c r="L2439" s="43"/>
      <c r="M2439" s="43"/>
      <c r="N2439" s="43"/>
      <c r="O2439" s="43"/>
      <c r="Q2439" s="44"/>
      <c r="R2439" s="44"/>
      <c r="S2439" s="44"/>
      <c r="T2439" s="44"/>
    </row>
    <row r="2440" spans="12:20" x14ac:dyDescent="0.2">
      <c r="L2440" s="43"/>
      <c r="M2440" s="43"/>
      <c r="N2440" s="43"/>
      <c r="O2440" s="43"/>
      <c r="Q2440" s="44"/>
      <c r="R2440" s="44"/>
      <c r="S2440" s="44"/>
      <c r="T2440" s="44"/>
    </row>
    <row r="2441" spans="12:20" x14ac:dyDescent="0.2">
      <c r="L2441" s="43"/>
      <c r="M2441" s="43"/>
      <c r="N2441" s="43"/>
      <c r="O2441" s="43"/>
      <c r="Q2441" s="44"/>
      <c r="R2441" s="44"/>
      <c r="S2441" s="44"/>
      <c r="T2441" s="44"/>
    </row>
    <row r="2442" spans="12:20" x14ac:dyDescent="0.2">
      <c r="L2442" s="43"/>
      <c r="M2442" s="43"/>
      <c r="N2442" s="43"/>
      <c r="O2442" s="43"/>
      <c r="Q2442" s="44"/>
      <c r="R2442" s="44"/>
      <c r="S2442" s="44"/>
      <c r="T2442" s="44"/>
    </row>
    <row r="2443" spans="12:20" x14ac:dyDescent="0.2">
      <c r="L2443" s="43"/>
      <c r="M2443" s="43"/>
      <c r="N2443" s="43"/>
      <c r="O2443" s="43"/>
      <c r="Q2443" s="44"/>
      <c r="R2443" s="44"/>
      <c r="S2443" s="44"/>
      <c r="T2443" s="44"/>
    </row>
    <row r="2444" spans="12:20" x14ac:dyDescent="0.2">
      <c r="L2444" s="43"/>
      <c r="M2444" s="43"/>
      <c r="N2444" s="43"/>
      <c r="O2444" s="43"/>
      <c r="Q2444" s="44"/>
      <c r="R2444" s="44"/>
      <c r="S2444" s="44"/>
      <c r="T2444" s="44"/>
    </row>
    <row r="2445" spans="12:20" x14ac:dyDescent="0.2">
      <c r="L2445" s="43"/>
      <c r="M2445" s="43"/>
      <c r="N2445" s="43"/>
      <c r="O2445" s="43"/>
      <c r="Q2445" s="44"/>
      <c r="R2445" s="44"/>
      <c r="S2445" s="44"/>
      <c r="T2445" s="44"/>
    </row>
    <row r="2446" spans="12:20" x14ac:dyDescent="0.2">
      <c r="L2446" s="43"/>
      <c r="M2446" s="43"/>
      <c r="N2446" s="43"/>
      <c r="O2446" s="43"/>
      <c r="Q2446" s="44"/>
      <c r="R2446" s="44"/>
      <c r="S2446" s="44"/>
      <c r="T2446" s="44"/>
    </row>
    <row r="2447" spans="12:20" x14ac:dyDescent="0.2">
      <c r="L2447" s="43"/>
      <c r="M2447" s="43"/>
      <c r="N2447" s="43"/>
      <c r="O2447" s="43"/>
      <c r="Q2447" s="44"/>
      <c r="R2447" s="44"/>
      <c r="S2447" s="44"/>
      <c r="T2447" s="44"/>
    </row>
    <row r="2448" spans="12:20" x14ac:dyDescent="0.2">
      <c r="L2448" s="43"/>
      <c r="M2448" s="43"/>
      <c r="N2448" s="43"/>
      <c r="O2448" s="43"/>
      <c r="Q2448" s="44"/>
      <c r="R2448" s="44"/>
      <c r="S2448" s="44"/>
      <c r="T2448" s="44"/>
    </row>
    <row r="2449" spans="12:20" x14ac:dyDescent="0.2">
      <c r="L2449" s="43"/>
      <c r="M2449" s="43"/>
      <c r="N2449" s="43"/>
      <c r="O2449" s="43"/>
      <c r="Q2449" s="44"/>
      <c r="R2449" s="44"/>
      <c r="S2449" s="44"/>
      <c r="T2449" s="44"/>
    </row>
    <row r="2450" spans="12:20" x14ac:dyDescent="0.2">
      <c r="L2450" s="43"/>
      <c r="M2450" s="43"/>
      <c r="N2450" s="43"/>
      <c r="O2450" s="43"/>
      <c r="Q2450" s="44"/>
      <c r="R2450" s="44"/>
      <c r="S2450" s="44"/>
      <c r="T2450" s="44"/>
    </row>
    <row r="2451" spans="12:20" x14ac:dyDescent="0.2">
      <c r="L2451" s="43"/>
      <c r="M2451" s="43"/>
      <c r="N2451" s="43"/>
      <c r="O2451" s="43"/>
      <c r="Q2451" s="44"/>
      <c r="R2451" s="44"/>
      <c r="S2451" s="44"/>
      <c r="T2451" s="44"/>
    </row>
    <row r="2452" spans="12:20" x14ac:dyDescent="0.2">
      <c r="L2452" s="43"/>
      <c r="M2452" s="43"/>
      <c r="N2452" s="43"/>
      <c r="O2452" s="43"/>
      <c r="Q2452" s="44"/>
      <c r="R2452" s="44"/>
      <c r="S2452" s="44"/>
      <c r="T2452" s="44"/>
    </row>
    <row r="2453" spans="12:20" x14ac:dyDescent="0.2">
      <c r="L2453" s="43"/>
      <c r="M2453" s="43"/>
      <c r="N2453" s="43"/>
      <c r="O2453" s="43"/>
      <c r="Q2453" s="44"/>
      <c r="R2453" s="44"/>
      <c r="S2453" s="44"/>
      <c r="T2453" s="44"/>
    </row>
    <row r="2454" spans="12:20" x14ac:dyDescent="0.2">
      <c r="L2454" s="43"/>
      <c r="M2454" s="43"/>
      <c r="N2454" s="43"/>
      <c r="O2454" s="43"/>
      <c r="Q2454" s="44"/>
      <c r="R2454" s="44"/>
      <c r="S2454" s="44"/>
      <c r="T2454" s="44"/>
    </row>
    <row r="2455" spans="12:20" x14ac:dyDescent="0.2">
      <c r="L2455" s="43"/>
      <c r="M2455" s="43"/>
      <c r="N2455" s="43"/>
      <c r="O2455" s="43"/>
      <c r="Q2455" s="44"/>
      <c r="R2455" s="44"/>
      <c r="S2455" s="44"/>
      <c r="T2455" s="44"/>
    </row>
    <row r="2456" spans="12:20" x14ac:dyDescent="0.2">
      <c r="L2456" s="43"/>
      <c r="M2456" s="43"/>
      <c r="N2456" s="43"/>
      <c r="O2456" s="43"/>
      <c r="Q2456" s="44"/>
      <c r="R2456" s="44"/>
      <c r="S2456" s="44"/>
      <c r="T2456" s="44"/>
    </row>
    <row r="2457" spans="12:20" x14ac:dyDescent="0.2">
      <c r="L2457" s="43"/>
      <c r="M2457" s="43"/>
      <c r="N2457" s="43"/>
      <c r="O2457" s="43"/>
      <c r="Q2457" s="44"/>
      <c r="R2457" s="44"/>
      <c r="S2457" s="44"/>
      <c r="T2457" s="44"/>
    </row>
    <row r="2458" spans="12:20" x14ac:dyDescent="0.2">
      <c r="L2458" s="43"/>
      <c r="M2458" s="43"/>
      <c r="N2458" s="43"/>
      <c r="O2458" s="43"/>
      <c r="Q2458" s="44"/>
      <c r="R2458" s="44"/>
      <c r="S2458" s="44"/>
      <c r="T2458" s="44"/>
    </row>
    <row r="2459" spans="12:20" x14ac:dyDescent="0.2">
      <c r="L2459" s="43"/>
      <c r="M2459" s="43"/>
      <c r="N2459" s="43"/>
      <c r="O2459" s="43"/>
      <c r="Q2459" s="44"/>
      <c r="R2459" s="44"/>
      <c r="S2459" s="44"/>
      <c r="T2459" s="44"/>
    </row>
    <row r="2460" spans="12:20" x14ac:dyDescent="0.2">
      <c r="L2460" s="43"/>
      <c r="M2460" s="43"/>
      <c r="N2460" s="43"/>
      <c r="O2460" s="43"/>
      <c r="Q2460" s="44"/>
      <c r="R2460" s="44"/>
      <c r="S2460" s="44"/>
      <c r="T2460" s="44"/>
    </row>
    <row r="2461" spans="12:20" x14ac:dyDescent="0.2">
      <c r="L2461" s="43"/>
      <c r="M2461" s="43"/>
      <c r="N2461" s="43"/>
      <c r="O2461" s="43"/>
      <c r="Q2461" s="44"/>
      <c r="R2461" s="44"/>
      <c r="S2461" s="44"/>
      <c r="T2461" s="44"/>
    </row>
    <row r="2462" spans="12:20" x14ac:dyDescent="0.2">
      <c r="L2462" s="43"/>
      <c r="M2462" s="43"/>
      <c r="N2462" s="43"/>
      <c r="O2462" s="43"/>
      <c r="Q2462" s="44"/>
      <c r="R2462" s="44"/>
      <c r="S2462" s="44"/>
      <c r="T2462" s="44"/>
    </row>
    <row r="2463" spans="12:20" x14ac:dyDescent="0.2">
      <c r="L2463" s="43"/>
      <c r="M2463" s="43"/>
      <c r="N2463" s="43"/>
      <c r="O2463" s="43"/>
      <c r="Q2463" s="44"/>
      <c r="R2463" s="44"/>
      <c r="S2463" s="44"/>
      <c r="T2463" s="44"/>
    </row>
    <row r="2464" spans="12:20" x14ac:dyDescent="0.2">
      <c r="L2464" s="43"/>
      <c r="M2464" s="43"/>
      <c r="N2464" s="43"/>
      <c r="O2464" s="43"/>
      <c r="Q2464" s="44"/>
      <c r="R2464" s="44"/>
      <c r="S2464" s="44"/>
      <c r="T2464" s="44"/>
    </row>
    <row r="2465" spans="12:20" x14ac:dyDescent="0.2">
      <c r="L2465" s="43"/>
      <c r="M2465" s="43"/>
      <c r="N2465" s="43"/>
      <c r="O2465" s="43"/>
      <c r="Q2465" s="44"/>
      <c r="R2465" s="44"/>
      <c r="S2465" s="44"/>
      <c r="T2465" s="44"/>
    </row>
    <row r="2466" spans="12:20" x14ac:dyDescent="0.2">
      <c r="L2466" s="43"/>
      <c r="M2466" s="43"/>
      <c r="N2466" s="43"/>
      <c r="O2466" s="43"/>
      <c r="Q2466" s="44"/>
      <c r="R2466" s="44"/>
      <c r="S2466" s="44"/>
      <c r="T2466" s="44"/>
    </row>
    <row r="2467" spans="12:20" x14ac:dyDescent="0.2">
      <c r="L2467" s="43"/>
      <c r="M2467" s="43"/>
      <c r="N2467" s="43"/>
      <c r="O2467" s="43"/>
      <c r="Q2467" s="44"/>
      <c r="R2467" s="44"/>
      <c r="S2467" s="44"/>
      <c r="T2467" s="44"/>
    </row>
    <row r="2468" spans="12:20" x14ac:dyDescent="0.2">
      <c r="L2468" s="43"/>
      <c r="M2468" s="43"/>
      <c r="N2468" s="43"/>
      <c r="O2468" s="43"/>
      <c r="Q2468" s="44"/>
      <c r="R2468" s="44"/>
      <c r="S2468" s="44"/>
      <c r="T2468" s="44"/>
    </row>
    <row r="2469" spans="12:20" x14ac:dyDescent="0.2">
      <c r="L2469" s="43"/>
      <c r="M2469" s="43"/>
      <c r="N2469" s="43"/>
      <c r="O2469" s="43"/>
      <c r="Q2469" s="44"/>
      <c r="R2469" s="44"/>
      <c r="S2469" s="44"/>
      <c r="T2469" s="44"/>
    </row>
    <row r="2470" spans="12:20" x14ac:dyDescent="0.2">
      <c r="L2470" s="43"/>
      <c r="M2470" s="43"/>
      <c r="N2470" s="43"/>
      <c r="O2470" s="43"/>
      <c r="Q2470" s="44"/>
      <c r="R2470" s="44"/>
      <c r="S2470" s="44"/>
      <c r="T2470" s="44"/>
    </row>
    <row r="2471" spans="12:20" x14ac:dyDescent="0.2">
      <c r="L2471" s="43"/>
      <c r="M2471" s="43"/>
      <c r="N2471" s="43"/>
      <c r="O2471" s="43"/>
      <c r="Q2471" s="44"/>
      <c r="R2471" s="44"/>
      <c r="S2471" s="44"/>
      <c r="T2471" s="44"/>
    </row>
    <row r="2472" spans="12:20" x14ac:dyDescent="0.2">
      <c r="L2472" s="43"/>
      <c r="M2472" s="43"/>
      <c r="N2472" s="43"/>
      <c r="O2472" s="43"/>
      <c r="Q2472" s="44"/>
      <c r="R2472" s="44"/>
      <c r="S2472" s="44"/>
      <c r="T2472" s="44"/>
    </row>
    <row r="2473" spans="12:20" x14ac:dyDescent="0.2">
      <c r="L2473" s="43"/>
      <c r="M2473" s="43"/>
      <c r="N2473" s="43"/>
      <c r="O2473" s="43"/>
      <c r="Q2473" s="44"/>
      <c r="R2473" s="44"/>
      <c r="S2473" s="44"/>
      <c r="T2473" s="44"/>
    </row>
    <row r="2474" spans="12:20" x14ac:dyDescent="0.2">
      <c r="L2474" s="43"/>
      <c r="M2474" s="43"/>
      <c r="N2474" s="43"/>
      <c r="O2474" s="43"/>
      <c r="Q2474" s="44"/>
      <c r="R2474" s="44"/>
      <c r="S2474" s="44"/>
      <c r="T2474" s="44"/>
    </row>
    <row r="2475" spans="12:20" x14ac:dyDescent="0.2">
      <c r="L2475" s="43"/>
      <c r="M2475" s="43"/>
      <c r="N2475" s="43"/>
      <c r="O2475" s="43"/>
      <c r="Q2475" s="44"/>
      <c r="R2475" s="44"/>
      <c r="S2475" s="44"/>
      <c r="T2475" s="44"/>
    </row>
    <row r="2476" spans="12:20" x14ac:dyDescent="0.2">
      <c r="L2476" s="43"/>
      <c r="M2476" s="43"/>
      <c r="N2476" s="43"/>
      <c r="O2476" s="43"/>
      <c r="Q2476" s="44"/>
      <c r="R2476" s="44"/>
      <c r="S2476" s="44"/>
      <c r="T2476" s="44"/>
    </row>
    <row r="2477" spans="12:20" x14ac:dyDescent="0.2">
      <c r="L2477" s="43"/>
      <c r="M2477" s="43"/>
      <c r="N2477" s="43"/>
      <c r="O2477" s="43"/>
      <c r="Q2477" s="44"/>
      <c r="R2477" s="44"/>
      <c r="S2477" s="44"/>
      <c r="T2477" s="44"/>
    </row>
    <row r="2478" spans="12:20" x14ac:dyDescent="0.2">
      <c r="L2478" s="43"/>
      <c r="M2478" s="43"/>
      <c r="N2478" s="43"/>
      <c r="O2478" s="43"/>
      <c r="Q2478" s="44"/>
      <c r="R2478" s="44"/>
      <c r="S2478" s="44"/>
      <c r="T2478" s="44"/>
    </row>
    <row r="2479" spans="12:20" x14ac:dyDescent="0.2">
      <c r="L2479" s="43"/>
      <c r="M2479" s="43"/>
      <c r="N2479" s="43"/>
      <c r="O2479" s="43"/>
      <c r="Q2479" s="44"/>
      <c r="R2479" s="44"/>
      <c r="S2479" s="44"/>
      <c r="T2479" s="44"/>
    </row>
    <row r="2480" spans="12:20" x14ac:dyDescent="0.2">
      <c r="L2480" s="43"/>
      <c r="M2480" s="43"/>
      <c r="N2480" s="43"/>
      <c r="O2480" s="43"/>
      <c r="Q2480" s="44"/>
      <c r="R2480" s="44"/>
      <c r="S2480" s="44"/>
      <c r="T2480" s="44"/>
    </row>
    <row r="2481" spans="12:20" x14ac:dyDescent="0.2">
      <c r="L2481" s="43"/>
      <c r="M2481" s="43"/>
      <c r="N2481" s="43"/>
      <c r="O2481" s="43"/>
      <c r="Q2481" s="44"/>
      <c r="R2481" s="44"/>
      <c r="S2481" s="44"/>
      <c r="T2481" s="44"/>
    </row>
    <row r="2482" spans="12:20" x14ac:dyDescent="0.2">
      <c r="L2482" s="43"/>
      <c r="M2482" s="43"/>
      <c r="N2482" s="43"/>
      <c r="O2482" s="43"/>
      <c r="Q2482" s="44"/>
      <c r="R2482" s="44"/>
      <c r="S2482" s="44"/>
      <c r="T2482" s="44"/>
    </row>
    <row r="2483" spans="12:20" x14ac:dyDescent="0.2">
      <c r="L2483" s="43"/>
      <c r="M2483" s="43"/>
      <c r="N2483" s="43"/>
      <c r="O2483" s="43"/>
      <c r="Q2483" s="44"/>
      <c r="R2483" s="44"/>
      <c r="S2483" s="44"/>
      <c r="T2483" s="44"/>
    </row>
    <row r="2484" spans="12:20" x14ac:dyDescent="0.2">
      <c r="L2484" s="43"/>
      <c r="M2484" s="43"/>
      <c r="N2484" s="43"/>
      <c r="O2484" s="43"/>
      <c r="Q2484" s="44"/>
      <c r="R2484" s="44"/>
      <c r="S2484" s="44"/>
      <c r="T2484" s="44"/>
    </row>
    <row r="2485" spans="12:20" x14ac:dyDescent="0.2">
      <c r="L2485" s="43"/>
      <c r="M2485" s="43"/>
      <c r="N2485" s="43"/>
      <c r="O2485" s="43"/>
      <c r="Q2485" s="44"/>
      <c r="R2485" s="44"/>
      <c r="S2485" s="44"/>
      <c r="T2485" s="44"/>
    </row>
    <row r="2486" spans="12:20" x14ac:dyDescent="0.2">
      <c r="L2486" s="43"/>
      <c r="M2486" s="43"/>
      <c r="N2486" s="43"/>
      <c r="O2486" s="43"/>
      <c r="Q2486" s="44"/>
      <c r="R2486" s="44"/>
      <c r="S2486" s="44"/>
      <c r="T2486" s="44"/>
    </row>
    <row r="2487" spans="12:20" x14ac:dyDescent="0.2">
      <c r="L2487" s="43"/>
      <c r="M2487" s="43"/>
      <c r="N2487" s="43"/>
      <c r="O2487" s="43"/>
      <c r="Q2487" s="44"/>
      <c r="R2487" s="44"/>
      <c r="S2487" s="44"/>
      <c r="T2487" s="44"/>
    </row>
    <row r="2488" spans="12:20" x14ac:dyDescent="0.2">
      <c r="L2488" s="43"/>
      <c r="M2488" s="43"/>
      <c r="N2488" s="43"/>
      <c r="O2488" s="43"/>
      <c r="Q2488" s="44"/>
      <c r="R2488" s="44"/>
      <c r="S2488" s="44"/>
      <c r="T2488" s="44"/>
    </row>
    <row r="2489" spans="12:20" x14ac:dyDescent="0.2">
      <c r="L2489" s="43"/>
      <c r="M2489" s="43"/>
      <c r="N2489" s="43"/>
      <c r="O2489" s="43"/>
      <c r="Q2489" s="44"/>
      <c r="R2489" s="44"/>
      <c r="S2489" s="44"/>
      <c r="T2489" s="44"/>
    </row>
    <row r="2490" spans="12:20" x14ac:dyDescent="0.2">
      <c r="L2490" s="43"/>
      <c r="M2490" s="43"/>
      <c r="N2490" s="43"/>
      <c r="O2490" s="43"/>
      <c r="Q2490" s="44"/>
      <c r="R2490" s="44"/>
      <c r="S2490" s="44"/>
      <c r="T2490" s="44"/>
    </row>
    <row r="2491" spans="12:20" x14ac:dyDescent="0.2">
      <c r="L2491" s="43"/>
      <c r="M2491" s="43"/>
      <c r="N2491" s="43"/>
      <c r="O2491" s="43"/>
      <c r="Q2491" s="44"/>
      <c r="R2491" s="44"/>
      <c r="S2491" s="44"/>
      <c r="T2491" s="44"/>
    </row>
    <row r="2492" spans="12:20" x14ac:dyDescent="0.2">
      <c r="L2492" s="43"/>
      <c r="M2492" s="43"/>
      <c r="N2492" s="43"/>
      <c r="O2492" s="43"/>
      <c r="Q2492" s="44"/>
      <c r="R2492" s="44"/>
      <c r="S2492" s="44"/>
      <c r="T2492" s="44"/>
    </row>
    <row r="2493" spans="12:20" x14ac:dyDescent="0.2">
      <c r="L2493" s="43"/>
      <c r="M2493" s="43"/>
      <c r="N2493" s="43"/>
      <c r="O2493" s="43"/>
      <c r="Q2493" s="44"/>
      <c r="R2493" s="44"/>
      <c r="S2493" s="44"/>
      <c r="T2493" s="44"/>
    </row>
    <row r="2494" spans="12:20" x14ac:dyDescent="0.2">
      <c r="L2494" s="43"/>
      <c r="M2494" s="43"/>
      <c r="N2494" s="43"/>
      <c r="O2494" s="43"/>
      <c r="Q2494" s="44"/>
      <c r="R2494" s="44"/>
      <c r="S2494" s="44"/>
      <c r="T2494" s="44"/>
    </row>
    <row r="2495" spans="12:20" x14ac:dyDescent="0.2">
      <c r="L2495" s="43"/>
      <c r="M2495" s="43"/>
      <c r="N2495" s="43"/>
      <c r="O2495" s="43"/>
      <c r="Q2495" s="44"/>
      <c r="R2495" s="44"/>
      <c r="S2495" s="44"/>
      <c r="T2495" s="44"/>
    </row>
    <row r="2496" spans="12:20" x14ac:dyDescent="0.2">
      <c r="L2496" s="43"/>
      <c r="M2496" s="43"/>
      <c r="N2496" s="43"/>
      <c r="O2496" s="43"/>
      <c r="Q2496" s="44"/>
      <c r="R2496" s="44"/>
      <c r="S2496" s="44"/>
      <c r="T2496" s="44"/>
    </row>
    <row r="2497" spans="12:20" x14ac:dyDescent="0.2">
      <c r="L2497" s="43"/>
      <c r="M2497" s="43"/>
      <c r="N2497" s="43"/>
      <c r="O2497" s="43"/>
      <c r="Q2497" s="44"/>
      <c r="R2497" s="44"/>
      <c r="S2497" s="44"/>
      <c r="T2497" s="44"/>
    </row>
    <row r="2498" spans="12:20" x14ac:dyDescent="0.2">
      <c r="L2498" s="43"/>
      <c r="M2498" s="43"/>
      <c r="N2498" s="43"/>
      <c r="O2498" s="43"/>
      <c r="Q2498" s="44"/>
      <c r="R2498" s="44"/>
      <c r="S2498" s="44"/>
      <c r="T2498" s="44"/>
    </row>
    <row r="2499" spans="12:20" x14ac:dyDescent="0.2">
      <c r="L2499" s="43"/>
      <c r="M2499" s="43"/>
      <c r="N2499" s="43"/>
      <c r="O2499" s="43"/>
      <c r="Q2499" s="44"/>
      <c r="R2499" s="44"/>
      <c r="S2499" s="44"/>
      <c r="T2499" s="44"/>
    </row>
    <row r="2500" spans="12:20" x14ac:dyDescent="0.2">
      <c r="L2500" s="43"/>
      <c r="M2500" s="43"/>
      <c r="N2500" s="43"/>
      <c r="O2500" s="43"/>
      <c r="Q2500" s="44"/>
      <c r="R2500" s="44"/>
      <c r="S2500" s="44"/>
      <c r="T2500" s="44"/>
    </row>
    <row r="2501" spans="12:20" x14ac:dyDescent="0.2">
      <c r="L2501" s="43"/>
      <c r="M2501" s="43"/>
      <c r="N2501" s="43"/>
      <c r="O2501" s="43"/>
      <c r="Q2501" s="44"/>
      <c r="R2501" s="44"/>
      <c r="S2501" s="44"/>
      <c r="T2501" s="44"/>
    </row>
    <row r="2502" spans="12:20" x14ac:dyDescent="0.2">
      <c r="L2502" s="43"/>
      <c r="M2502" s="43"/>
      <c r="N2502" s="43"/>
      <c r="O2502" s="43"/>
      <c r="Q2502" s="44"/>
      <c r="R2502" s="44"/>
      <c r="S2502" s="44"/>
      <c r="T2502" s="44"/>
    </row>
    <row r="2503" spans="12:20" x14ac:dyDescent="0.2">
      <c r="L2503" s="43"/>
      <c r="M2503" s="43"/>
      <c r="N2503" s="43"/>
      <c r="O2503" s="43"/>
      <c r="Q2503" s="44"/>
      <c r="R2503" s="44"/>
      <c r="S2503" s="44"/>
      <c r="T2503" s="44"/>
    </row>
    <row r="2504" spans="12:20" x14ac:dyDescent="0.2">
      <c r="L2504" s="43"/>
      <c r="M2504" s="43"/>
      <c r="N2504" s="43"/>
      <c r="O2504" s="43"/>
      <c r="Q2504" s="44"/>
      <c r="R2504" s="44"/>
      <c r="S2504" s="44"/>
      <c r="T2504" s="44"/>
    </row>
    <row r="2505" spans="12:20" x14ac:dyDescent="0.2">
      <c r="L2505" s="43"/>
      <c r="M2505" s="43"/>
      <c r="N2505" s="43"/>
      <c r="O2505" s="43"/>
      <c r="Q2505" s="44"/>
      <c r="R2505" s="44"/>
      <c r="S2505" s="44"/>
      <c r="T2505" s="44"/>
    </row>
    <row r="2506" spans="12:20" x14ac:dyDescent="0.2">
      <c r="L2506" s="43"/>
      <c r="M2506" s="43"/>
      <c r="N2506" s="43"/>
      <c r="O2506" s="43"/>
      <c r="Q2506" s="44"/>
      <c r="R2506" s="44"/>
      <c r="S2506" s="44"/>
      <c r="T2506" s="44"/>
    </row>
    <row r="2507" spans="12:20" x14ac:dyDescent="0.2">
      <c r="L2507" s="43"/>
      <c r="M2507" s="43"/>
      <c r="N2507" s="43"/>
      <c r="O2507" s="43"/>
      <c r="Q2507" s="44"/>
      <c r="R2507" s="44"/>
      <c r="S2507" s="44"/>
      <c r="T2507" s="44"/>
    </row>
    <row r="2508" spans="12:20" x14ac:dyDescent="0.2">
      <c r="L2508" s="43"/>
      <c r="M2508" s="43"/>
      <c r="N2508" s="43"/>
      <c r="O2508" s="43"/>
      <c r="Q2508" s="44"/>
      <c r="R2508" s="44"/>
      <c r="S2508" s="44"/>
      <c r="T2508" s="44"/>
    </row>
    <row r="2509" spans="12:20" x14ac:dyDescent="0.2">
      <c r="L2509" s="43"/>
      <c r="M2509" s="43"/>
      <c r="N2509" s="43"/>
      <c r="O2509" s="43"/>
      <c r="Q2509" s="44"/>
      <c r="R2509" s="44"/>
      <c r="S2509" s="44"/>
      <c r="T2509" s="44"/>
    </row>
    <row r="2510" spans="12:20" x14ac:dyDescent="0.2">
      <c r="L2510" s="43"/>
      <c r="M2510" s="43"/>
      <c r="N2510" s="43"/>
      <c r="O2510" s="43"/>
      <c r="Q2510" s="44"/>
      <c r="R2510" s="44"/>
      <c r="S2510" s="44"/>
      <c r="T2510" s="44"/>
    </row>
    <row r="2511" spans="12:20" x14ac:dyDescent="0.2">
      <c r="L2511" s="43"/>
      <c r="M2511" s="43"/>
      <c r="N2511" s="43"/>
      <c r="O2511" s="43"/>
      <c r="Q2511" s="44"/>
      <c r="R2511" s="44"/>
      <c r="S2511" s="44"/>
      <c r="T2511" s="44"/>
    </row>
    <row r="2512" spans="12:20" x14ac:dyDescent="0.2">
      <c r="L2512" s="43"/>
      <c r="M2512" s="43"/>
      <c r="N2512" s="43"/>
      <c r="O2512" s="43"/>
      <c r="Q2512" s="44"/>
      <c r="R2512" s="44"/>
      <c r="S2512" s="44"/>
      <c r="T2512" s="44"/>
    </row>
    <row r="2513" spans="12:20" x14ac:dyDescent="0.2">
      <c r="L2513" s="43"/>
      <c r="M2513" s="43"/>
      <c r="N2513" s="43"/>
      <c r="O2513" s="43"/>
      <c r="Q2513" s="44"/>
      <c r="R2513" s="44"/>
      <c r="S2513" s="44"/>
      <c r="T2513" s="44"/>
    </row>
    <row r="2514" spans="12:20" x14ac:dyDescent="0.2">
      <c r="L2514" s="43"/>
      <c r="M2514" s="43"/>
      <c r="N2514" s="43"/>
      <c r="O2514" s="43"/>
      <c r="Q2514" s="44"/>
      <c r="R2514" s="44"/>
      <c r="S2514" s="44"/>
      <c r="T2514" s="44"/>
    </row>
    <row r="2515" spans="12:20" x14ac:dyDescent="0.2">
      <c r="L2515" s="43"/>
      <c r="M2515" s="43"/>
      <c r="N2515" s="43"/>
      <c r="O2515" s="43"/>
      <c r="Q2515" s="44"/>
      <c r="R2515" s="44"/>
      <c r="S2515" s="44"/>
      <c r="T2515" s="44"/>
    </row>
    <row r="2516" spans="12:20" x14ac:dyDescent="0.2">
      <c r="L2516" s="43"/>
      <c r="M2516" s="43"/>
      <c r="N2516" s="43"/>
      <c r="O2516" s="43"/>
      <c r="Q2516" s="44"/>
      <c r="R2516" s="44"/>
      <c r="S2516" s="44"/>
      <c r="T2516" s="44"/>
    </row>
    <row r="2517" spans="12:20" x14ac:dyDescent="0.2">
      <c r="L2517" s="43"/>
      <c r="M2517" s="43"/>
      <c r="N2517" s="43"/>
      <c r="O2517" s="43"/>
      <c r="Q2517" s="44"/>
      <c r="R2517" s="44"/>
      <c r="S2517" s="44"/>
      <c r="T2517" s="44"/>
    </row>
    <row r="2518" spans="12:20" x14ac:dyDescent="0.2">
      <c r="L2518" s="43"/>
      <c r="M2518" s="43"/>
      <c r="N2518" s="43"/>
      <c r="O2518" s="43"/>
      <c r="Q2518" s="44"/>
      <c r="R2518" s="44"/>
      <c r="S2518" s="44"/>
      <c r="T2518" s="44"/>
    </row>
    <row r="2519" spans="12:20" x14ac:dyDescent="0.2">
      <c r="L2519" s="43"/>
      <c r="M2519" s="43"/>
      <c r="N2519" s="43"/>
      <c r="O2519" s="43"/>
      <c r="Q2519" s="44"/>
      <c r="R2519" s="44"/>
      <c r="S2519" s="44"/>
      <c r="T2519" s="44"/>
    </row>
    <row r="2520" spans="12:20" x14ac:dyDescent="0.2">
      <c r="L2520" s="43"/>
      <c r="M2520" s="43"/>
      <c r="N2520" s="43"/>
      <c r="O2520" s="43"/>
      <c r="Q2520" s="44"/>
      <c r="R2520" s="44"/>
      <c r="S2520" s="44"/>
      <c r="T2520" s="44"/>
    </row>
    <row r="2521" spans="12:20" x14ac:dyDescent="0.2">
      <c r="L2521" s="43"/>
      <c r="M2521" s="43"/>
      <c r="N2521" s="43"/>
      <c r="O2521" s="43"/>
      <c r="Q2521" s="44"/>
      <c r="R2521" s="44"/>
      <c r="S2521" s="44"/>
      <c r="T2521" s="44"/>
    </row>
    <row r="2522" spans="12:20" x14ac:dyDescent="0.2">
      <c r="L2522" s="43"/>
      <c r="M2522" s="43"/>
      <c r="N2522" s="43"/>
      <c r="O2522" s="43"/>
      <c r="Q2522" s="44"/>
      <c r="R2522" s="44"/>
      <c r="S2522" s="44"/>
      <c r="T2522" s="44"/>
    </row>
    <row r="2523" spans="12:20" x14ac:dyDescent="0.2">
      <c r="L2523" s="43"/>
      <c r="M2523" s="43"/>
      <c r="N2523" s="43"/>
      <c r="O2523" s="43"/>
      <c r="Q2523" s="44"/>
      <c r="R2523" s="44"/>
      <c r="S2523" s="44"/>
      <c r="T2523" s="44"/>
    </row>
    <row r="2524" spans="12:20" x14ac:dyDescent="0.2">
      <c r="L2524" s="43"/>
      <c r="M2524" s="43"/>
      <c r="N2524" s="43"/>
      <c r="O2524" s="43"/>
      <c r="Q2524" s="44"/>
      <c r="R2524" s="44"/>
      <c r="S2524" s="44"/>
      <c r="T2524" s="44"/>
    </row>
    <row r="2525" spans="12:20" x14ac:dyDescent="0.2">
      <c r="L2525" s="43"/>
      <c r="M2525" s="43"/>
      <c r="N2525" s="43"/>
      <c r="O2525" s="43"/>
      <c r="Q2525" s="44"/>
      <c r="R2525" s="44"/>
      <c r="S2525" s="44"/>
      <c r="T2525" s="44"/>
    </row>
    <row r="2526" spans="12:20" x14ac:dyDescent="0.2">
      <c r="L2526" s="43"/>
      <c r="M2526" s="43"/>
      <c r="N2526" s="43"/>
      <c r="O2526" s="43"/>
      <c r="Q2526" s="44"/>
      <c r="R2526" s="44"/>
      <c r="S2526" s="44"/>
      <c r="T2526" s="44"/>
    </row>
    <row r="2527" spans="12:20" x14ac:dyDescent="0.2">
      <c r="L2527" s="43"/>
      <c r="M2527" s="43"/>
      <c r="N2527" s="43"/>
      <c r="O2527" s="43"/>
      <c r="Q2527" s="44"/>
      <c r="R2527" s="44"/>
      <c r="S2527" s="44"/>
      <c r="T2527" s="44"/>
    </row>
    <row r="2528" spans="12:20" x14ac:dyDescent="0.2">
      <c r="L2528" s="43"/>
      <c r="M2528" s="43"/>
      <c r="N2528" s="43"/>
      <c r="O2528" s="43"/>
      <c r="Q2528" s="44"/>
      <c r="R2528" s="44"/>
      <c r="S2528" s="44"/>
      <c r="T2528" s="44"/>
    </row>
    <row r="2529" spans="12:20" x14ac:dyDescent="0.2">
      <c r="L2529" s="43"/>
      <c r="M2529" s="43"/>
      <c r="N2529" s="43"/>
      <c r="O2529" s="43"/>
      <c r="Q2529" s="44"/>
      <c r="R2529" s="44"/>
      <c r="S2529" s="44"/>
      <c r="T2529" s="44"/>
    </row>
    <row r="2530" spans="12:20" x14ac:dyDescent="0.2">
      <c r="L2530" s="43"/>
      <c r="M2530" s="43"/>
      <c r="N2530" s="43"/>
      <c r="O2530" s="43"/>
      <c r="Q2530" s="44"/>
      <c r="R2530" s="44"/>
      <c r="S2530" s="44"/>
      <c r="T2530" s="44"/>
    </row>
    <row r="2531" spans="12:20" x14ac:dyDescent="0.2">
      <c r="L2531" s="43"/>
      <c r="M2531" s="43"/>
      <c r="N2531" s="43"/>
      <c r="O2531" s="43"/>
      <c r="Q2531" s="44"/>
      <c r="R2531" s="44"/>
      <c r="S2531" s="44"/>
      <c r="T2531" s="44"/>
    </row>
    <row r="2532" spans="12:20" x14ac:dyDescent="0.2">
      <c r="L2532" s="43"/>
      <c r="M2532" s="43"/>
      <c r="N2532" s="43"/>
      <c r="O2532" s="43"/>
      <c r="Q2532" s="44"/>
      <c r="R2532" s="44"/>
      <c r="S2532" s="44"/>
      <c r="T2532" s="44"/>
    </row>
    <row r="2533" spans="12:20" x14ac:dyDescent="0.2">
      <c r="L2533" s="43"/>
      <c r="M2533" s="43"/>
      <c r="N2533" s="43"/>
      <c r="O2533" s="43"/>
      <c r="Q2533" s="44"/>
      <c r="R2533" s="44"/>
      <c r="S2533" s="44"/>
      <c r="T2533" s="44"/>
    </row>
    <row r="2534" spans="12:20" x14ac:dyDescent="0.2">
      <c r="L2534" s="43"/>
      <c r="M2534" s="43"/>
      <c r="N2534" s="43"/>
      <c r="O2534" s="43"/>
      <c r="Q2534" s="44"/>
      <c r="R2534" s="44"/>
      <c r="S2534" s="44"/>
      <c r="T2534" s="44"/>
    </row>
    <row r="2535" spans="12:20" x14ac:dyDescent="0.2">
      <c r="L2535" s="43"/>
      <c r="M2535" s="43"/>
      <c r="N2535" s="43"/>
      <c r="O2535" s="43"/>
      <c r="Q2535" s="44"/>
      <c r="R2535" s="44"/>
      <c r="S2535" s="44"/>
      <c r="T2535" s="44"/>
    </row>
    <row r="2536" spans="12:20" x14ac:dyDescent="0.2">
      <c r="L2536" s="43"/>
      <c r="M2536" s="43"/>
      <c r="N2536" s="43"/>
      <c r="O2536" s="43"/>
      <c r="Q2536" s="44"/>
      <c r="R2536" s="44"/>
      <c r="S2536" s="44"/>
      <c r="T2536" s="44"/>
    </row>
    <row r="2537" spans="12:20" x14ac:dyDescent="0.2">
      <c r="L2537" s="43"/>
      <c r="M2537" s="43"/>
      <c r="N2537" s="43"/>
      <c r="O2537" s="43"/>
      <c r="Q2537" s="44"/>
      <c r="R2537" s="44"/>
      <c r="S2537" s="44"/>
      <c r="T2537" s="44"/>
    </row>
    <row r="2538" spans="12:20" x14ac:dyDescent="0.2">
      <c r="L2538" s="43"/>
      <c r="M2538" s="43"/>
      <c r="N2538" s="43"/>
      <c r="O2538" s="43"/>
      <c r="Q2538" s="44"/>
      <c r="R2538" s="44"/>
      <c r="S2538" s="44"/>
      <c r="T2538" s="44"/>
    </row>
    <row r="2539" spans="12:20" x14ac:dyDescent="0.2">
      <c r="L2539" s="43"/>
      <c r="M2539" s="43"/>
      <c r="N2539" s="43"/>
      <c r="O2539" s="43"/>
      <c r="Q2539" s="44"/>
      <c r="R2539" s="44"/>
      <c r="S2539" s="44"/>
      <c r="T2539" s="44"/>
    </row>
    <row r="2540" spans="12:20" x14ac:dyDescent="0.2">
      <c r="L2540" s="43"/>
      <c r="M2540" s="43"/>
      <c r="N2540" s="43"/>
      <c r="O2540" s="43"/>
      <c r="Q2540" s="44"/>
      <c r="R2540" s="44"/>
      <c r="S2540" s="44"/>
      <c r="T2540" s="44"/>
    </row>
    <row r="2541" spans="12:20" x14ac:dyDescent="0.2">
      <c r="L2541" s="43"/>
      <c r="M2541" s="43"/>
      <c r="N2541" s="43"/>
      <c r="O2541" s="43"/>
      <c r="Q2541" s="44"/>
      <c r="R2541" s="44"/>
      <c r="S2541" s="44"/>
      <c r="T2541" s="44"/>
    </row>
    <row r="2542" spans="12:20" x14ac:dyDescent="0.2">
      <c r="L2542" s="43"/>
      <c r="M2542" s="43"/>
      <c r="N2542" s="43"/>
      <c r="O2542" s="43"/>
      <c r="Q2542" s="44"/>
      <c r="R2542" s="44"/>
      <c r="S2542" s="44"/>
      <c r="T2542" s="44"/>
    </row>
    <row r="2543" spans="12:20" x14ac:dyDescent="0.2">
      <c r="L2543" s="43"/>
      <c r="M2543" s="43"/>
      <c r="N2543" s="43"/>
      <c r="O2543" s="43"/>
      <c r="Q2543" s="44"/>
      <c r="R2543" s="44"/>
      <c r="S2543" s="44"/>
      <c r="T2543" s="44"/>
    </row>
    <row r="2544" spans="12:20" x14ac:dyDescent="0.2">
      <c r="L2544" s="43"/>
      <c r="M2544" s="43"/>
      <c r="N2544" s="43"/>
      <c r="O2544" s="43"/>
      <c r="Q2544" s="44"/>
      <c r="R2544" s="44"/>
      <c r="S2544" s="44"/>
      <c r="T2544" s="44"/>
    </row>
    <row r="2545" spans="12:20" x14ac:dyDescent="0.2">
      <c r="L2545" s="43"/>
      <c r="M2545" s="43"/>
      <c r="N2545" s="43"/>
      <c r="O2545" s="43"/>
      <c r="Q2545" s="44"/>
      <c r="R2545" s="44"/>
      <c r="S2545" s="44"/>
      <c r="T2545" s="44"/>
    </row>
    <row r="2546" spans="12:20" x14ac:dyDescent="0.2">
      <c r="L2546" s="43"/>
      <c r="M2546" s="43"/>
      <c r="N2546" s="43"/>
      <c r="O2546" s="43"/>
      <c r="Q2546" s="44"/>
      <c r="R2546" s="44"/>
      <c r="S2546" s="44"/>
      <c r="T2546" s="44"/>
    </row>
    <row r="2547" spans="12:20" x14ac:dyDescent="0.2">
      <c r="L2547" s="43"/>
      <c r="M2547" s="43"/>
      <c r="N2547" s="43"/>
      <c r="O2547" s="43"/>
      <c r="Q2547" s="44"/>
      <c r="R2547" s="44"/>
      <c r="S2547" s="44"/>
      <c r="T2547" s="44"/>
    </row>
    <row r="2548" spans="12:20" x14ac:dyDescent="0.2">
      <c r="L2548" s="43"/>
      <c r="M2548" s="43"/>
      <c r="N2548" s="43"/>
      <c r="O2548" s="43"/>
      <c r="Q2548" s="44"/>
      <c r="R2548" s="44"/>
      <c r="S2548" s="44"/>
      <c r="T2548" s="44"/>
    </row>
    <row r="2549" spans="12:20" x14ac:dyDescent="0.2">
      <c r="L2549" s="43"/>
      <c r="M2549" s="43"/>
      <c r="N2549" s="43"/>
      <c r="O2549" s="43"/>
      <c r="Q2549" s="44"/>
      <c r="R2549" s="44"/>
      <c r="S2549" s="44"/>
      <c r="T2549" s="44"/>
    </row>
    <row r="2550" spans="12:20" x14ac:dyDescent="0.2">
      <c r="L2550" s="43"/>
      <c r="M2550" s="43"/>
      <c r="N2550" s="43"/>
      <c r="O2550" s="43"/>
      <c r="Q2550" s="44"/>
      <c r="R2550" s="44"/>
      <c r="S2550" s="44"/>
      <c r="T2550" s="44"/>
    </row>
    <row r="2551" spans="12:20" x14ac:dyDescent="0.2">
      <c r="L2551" s="43"/>
      <c r="M2551" s="43"/>
      <c r="N2551" s="43"/>
      <c r="O2551" s="43"/>
      <c r="Q2551" s="44"/>
      <c r="R2551" s="44"/>
      <c r="S2551" s="44"/>
      <c r="T2551" s="44"/>
    </row>
    <row r="2552" spans="12:20" x14ac:dyDescent="0.2">
      <c r="L2552" s="43"/>
      <c r="M2552" s="43"/>
      <c r="N2552" s="43"/>
      <c r="O2552" s="43"/>
      <c r="Q2552" s="44"/>
      <c r="R2552" s="44"/>
      <c r="S2552" s="44"/>
      <c r="T2552" s="44"/>
    </row>
    <row r="2553" spans="12:20" x14ac:dyDescent="0.2">
      <c r="L2553" s="43"/>
      <c r="M2553" s="43"/>
      <c r="N2553" s="43"/>
      <c r="O2553" s="43"/>
      <c r="Q2553" s="44"/>
      <c r="R2553" s="44"/>
      <c r="S2553" s="44"/>
      <c r="T2553" s="44"/>
    </row>
    <row r="2554" spans="12:20" x14ac:dyDescent="0.2">
      <c r="L2554" s="43"/>
      <c r="M2554" s="43"/>
      <c r="N2554" s="43"/>
      <c r="O2554" s="43"/>
      <c r="Q2554" s="44"/>
      <c r="R2554" s="44"/>
      <c r="S2554" s="44"/>
      <c r="T2554" s="44"/>
    </row>
    <row r="2555" spans="12:20" x14ac:dyDescent="0.2">
      <c r="L2555" s="43"/>
      <c r="M2555" s="43"/>
      <c r="N2555" s="43"/>
      <c r="O2555" s="43"/>
      <c r="Q2555" s="44"/>
      <c r="R2555" s="44"/>
      <c r="S2555" s="44"/>
      <c r="T2555" s="44"/>
    </row>
    <row r="2556" spans="12:20" x14ac:dyDescent="0.2">
      <c r="L2556" s="43"/>
      <c r="M2556" s="43"/>
      <c r="N2556" s="43"/>
      <c r="O2556" s="43"/>
      <c r="Q2556" s="44"/>
      <c r="R2556" s="44"/>
      <c r="S2556" s="44"/>
      <c r="T2556" s="44"/>
    </row>
    <row r="2557" spans="12:20" x14ac:dyDescent="0.2">
      <c r="L2557" s="43"/>
      <c r="M2557" s="43"/>
      <c r="N2557" s="43"/>
      <c r="O2557" s="43"/>
      <c r="Q2557" s="44"/>
      <c r="R2557" s="44"/>
      <c r="S2557" s="44"/>
      <c r="T2557" s="44"/>
    </row>
    <row r="2558" spans="12:20" x14ac:dyDescent="0.2">
      <c r="L2558" s="43"/>
      <c r="M2558" s="43"/>
      <c r="N2558" s="43"/>
      <c r="O2558" s="43"/>
      <c r="Q2558" s="44"/>
      <c r="R2558" s="44"/>
      <c r="S2558" s="44"/>
      <c r="T2558" s="44"/>
    </row>
    <row r="2559" spans="12:20" x14ac:dyDescent="0.2">
      <c r="L2559" s="43"/>
      <c r="M2559" s="43"/>
      <c r="N2559" s="43"/>
      <c r="O2559" s="43"/>
      <c r="Q2559" s="44"/>
      <c r="R2559" s="44"/>
      <c r="S2559" s="44"/>
      <c r="T2559" s="44"/>
    </row>
    <row r="2560" spans="12:20" x14ac:dyDescent="0.2">
      <c r="L2560" s="43"/>
      <c r="M2560" s="43"/>
      <c r="N2560" s="43"/>
      <c r="O2560" s="43"/>
      <c r="Q2560" s="44"/>
      <c r="R2560" s="44"/>
      <c r="S2560" s="44"/>
      <c r="T2560" s="44"/>
    </row>
    <row r="2561" spans="12:20" x14ac:dyDescent="0.2">
      <c r="L2561" s="43"/>
      <c r="M2561" s="43"/>
      <c r="N2561" s="43"/>
      <c r="O2561" s="43"/>
      <c r="Q2561" s="44"/>
      <c r="R2561" s="44"/>
      <c r="S2561" s="44"/>
      <c r="T2561" s="44"/>
    </row>
    <row r="2562" spans="12:20" x14ac:dyDescent="0.2">
      <c r="L2562" s="43"/>
      <c r="M2562" s="43"/>
      <c r="N2562" s="43"/>
      <c r="O2562" s="43"/>
      <c r="Q2562" s="44"/>
      <c r="R2562" s="44"/>
      <c r="S2562" s="44"/>
      <c r="T2562" s="44"/>
    </row>
    <row r="2563" spans="12:20" x14ac:dyDescent="0.2">
      <c r="L2563" s="43"/>
      <c r="M2563" s="43"/>
      <c r="N2563" s="43"/>
      <c r="O2563" s="43"/>
      <c r="Q2563" s="44"/>
      <c r="R2563" s="44"/>
      <c r="S2563" s="44"/>
      <c r="T2563" s="44"/>
    </row>
    <row r="2564" spans="12:20" x14ac:dyDescent="0.2">
      <c r="L2564" s="43"/>
      <c r="M2564" s="43"/>
      <c r="N2564" s="43"/>
      <c r="O2564" s="43"/>
      <c r="Q2564" s="44"/>
      <c r="R2564" s="44"/>
      <c r="S2564" s="44"/>
      <c r="T2564" s="44"/>
    </row>
    <row r="2565" spans="12:20" x14ac:dyDescent="0.2">
      <c r="L2565" s="43"/>
      <c r="M2565" s="43"/>
      <c r="N2565" s="43"/>
      <c r="O2565" s="43"/>
      <c r="Q2565" s="44"/>
      <c r="R2565" s="44"/>
      <c r="S2565" s="44"/>
      <c r="T2565" s="44"/>
    </row>
    <row r="2566" spans="12:20" x14ac:dyDescent="0.2">
      <c r="L2566" s="43"/>
      <c r="M2566" s="43"/>
      <c r="N2566" s="43"/>
      <c r="O2566" s="43"/>
      <c r="Q2566" s="44"/>
      <c r="R2566" s="44"/>
      <c r="S2566" s="44"/>
      <c r="T2566" s="44"/>
    </row>
    <row r="2567" spans="12:20" x14ac:dyDescent="0.2">
      <c r="L2567" s="43"/>
      <c r="M2567" s="43"/>
      <c r="N2567" s="43"/>
      <c r="O2567" s="43"/>
      <c r="Q2567" s="44"/>
      <c r="R2567" s="44"/>
      <c r="S2567" s="44"/>
      <c r="T2567" s="44"/>
    </row>
    <row r="2568" spans="12:20" x14ac:dyDescent="0.2">
      <c r="L2568" s="43"/>
      <c r="M2568" s="43"/>
      <c r="N2568" s="43"/>
      <c r="O2568" s="43"/>
      <c r="Q2568" s="44"/>
      <c r="R2568" s="44"/>
      <c r="S2568" s="44"/>
      <c r="T2568" s="44"/>
    </row>
    <row r="2569" spans="12:20" x14ac:dyDescent="0.2">
      <c r="L2569" s="43"/>
      <c r="M2569" s="43"/>
      <c r="N2569" s="43"/>
      <c r="O2569" s="43"/>
      <c r="Q2569" s="44"/>
      <c r="R2569" s="44"/>
      <c r="S2569" s="44"/>
      <c r="T2569" s="44"/>
    </row>
    <row r="2570" spans="12:20" x14ac:dyDescent="0.2">
      <c r="L2570" s="43"/>
      <c r="M2570" s="43"/>
      <c r="N2570" s="43"/>
      <c r="O2570" s="43"/>
      <c r="Q2570" s="44"/>
      <c r="R2570" s="44"/>
      <c r="S2570" s="44"/>
      <c r="T2570" s="44"/>
    </row>
    <row r="2571" spans="12:20" x14ac:dyDescent="0.2">
      <c r="L2571" s="43"/>
      <c r="M2571" s="43"/>
      <c r="N2571" s="43"/>
      <c r="O2571" s="43"/>
      <c r="Q2571" s="44"/>
      <c r="R2571" s="44"/>
      <c r="S2571" s="44"/>
      <c r="T2571" s="44"/>
    </row>
    <row r="2572" spans="12:20" x14ac:dyDescent="0.2">
      <c r="L2572" s="43"/>
      <c r="M2572" s="43"/>
      <c r="N2572" s="43"/>
      <c r="O2572" s="43"/>
      <c r="Q2572" s="44"/>
      <c r="R2572" s="44"/>
      <c r="S2572" s="44"/>
      <c r="T2572" s="44"/>
    </row>
    <row r="2573" spans="12:20" x14ac:dyDescent="0.2">
      <c r="L2573" s="43"/>
      <c r="M2573" s="43"/>
      <c r="N2573" s="43"/>
      <c r="O2573" s="43"/>
      <c r="Q2573" s="44"/>
      <c r="R2573" s="44"/>
      <c r="S2573" s="44"/>
      <c r="T2573" s="44"/>
    </row>
    <row r="2574" spans="12:20" x14ac:dyDescent="0.2">
      <c r="L2574" s="43"/>
      <c r="M2574" s="43"/>
      <c r="N2574" s="43"/>
      <c r="O2574" s="43"/>
      <c r="Q2574" s="44"/>
      <c r="R2574" s="44"/>
      <c r="S2574" s="44"/>
      <c r="T2574" s="44"/>
    </row>
    <row r="2575" spans="12:20" x14ac:dyDescent="0.2">
      <c r="L2575" s="43"/>
      <c r="M2575" s="43"/>
      <c r="N2575" s="43"/>
      <c r="O2575" s="43"/>
      <c r="Q2575" s="44"/>
      <c r="R2575" s="44"/>
      <c r="S2575" s="44"/>
      <c r="T2575" s="44"/>
    </row>
    <row r="2576" spans="12:20" x14ac:dyDescent="0.2">
      <c r="L2576" s="43"/>
      <c r="M2576" s="43"/>
      <c r="N2576" s="43"/>
      <c r="O2576" s="43"/>
      <c r="Q2576" s="44"/>
      <c r="R2576" s="44"/>
      <c r="S2576" s="44"/>
      <c r="T2576" s="44"/>
    </row>
    <row r="2577" spans="12:20" x14ac:dyDescent="0.2">
      <c r="L2577" s="43"/>
      <c r="M2577" s="43"/>
      <c r="N2577" s="43"/>
      <c r="O2577" s="43"/>
      <c r="Q2577" s="44"/>
      <c r="R2577" s="44"/>
      <c r="S2577" s="44"/>
      <c r="T2577" s="44"/>
    </row>
    <row r="2578" spans="12:20" x14ac:dyDescent="0.2">
      <c r="L2578" s="43"/>
      <c r="M2578" s="43"/>
      <c r="N2578" s="43"/>
      <c r="O2578" s="43"/>
      <c r="Q2578" s="44"/>
      <c r="R2578" s="44"/>
      <c r="S2578" s="44"/>
      <c r="T2578" s="44"/>
    </row>
    <row r="2579" spans="12:20" x14ac:dyDescent="0.2">
      <c r="L2579" s="43"/>
      <c r="M2579" s="43"/>
      <c r="N2579" s="43"/>
      <c r="O2579" s="43"/>
      <c r="Q2579" s="44"/>
      <c r="R2579" s="44"/>
      <c r="S2579" s="44"/>
      <c r="T2579" s="44"/>
    </row>
    <row r="2580" spans="12:20" x14ac:dyDescent="0.2">
      <c r="L2580" s="43"/>
      <c r="M2580" s="43"/>
      <c r="N2580" s="43"/>
      <c r="O2580" s="43"/>
      <c r="Q2580" s="44"/>
      <c r="R2580" s="44"/>
      <c r="S2580" s="44"/>
      <c r="T2580" s="44"/>
    </row>
    <row r="2581" spans="12:20" x14ac:dyDescent="0.2">
      <c r="L2581" s="43"/>
      <c r="M2581" s="43"/>
      <c r="N2581" s="43"/>
      <c r="O2581" s="43"/>
      <c r="Q2581" s="44"/>
      <c r="R2581" s="44"/>
      <c r="S2581" s="44"/>
      <c r="T2581" s="44"/>
    </row>
    <row r="2582" spans="12:20" x14ac:dyDescent="0.2">
      <c r="L2582" s="43"/>
      <c r="M2582" s="43"/>
      <c r="N2582" s="43"/>
      <c r="O2582" s="43"/>
      <c r="Q2582" s="44"/>
      <c r="R2582" s="44"/>
      <c r="S2582" s="44"/>
      <c r="T2582" s="44"/>
    </row>
    <row r="2583" spans="12:20" x14ac:dyDescent="0.2">
      <c r="L2583" s="43"/>
      <c r="M2583" s="43"/>
      <c r="N2583" s="43"/>
      <c r="O2583" s="43"/>
      <c r="Q2583" s="44"/>
      <c r="R2583" s="44"/>
      <c r="S2583" s="44"/>
      <c r="T2583" s="44"/>
    </row>
    <row r="2584" spans="12:20" x14ac:dyDescent="0.2">
      <c r="L2584" s="43"/>
      <c r="M2584" s="43"/>
      <c r="N2584" s="43"/>
      <c r="O2584" s="43"/>
      <c r="Q2584" s="44"/>
      <c r="R2584" s="44"/>
      <c r="S2584" s="44"/>
      <c r="T2584" s="44"/>
    </row>
    <row r="2585" spans="12:20" x14ac:dyDescent="0.2">
      <c r="L2585" s="43"/>
      <c r="M2585" s="43"/>
      <c r="N2585" s="43"/>
      <c r="O2585" s="43"/>
      <c r="Q2585" s="44"/>
      <c r="R2585" s="44"/>
      <c r="S2585" s="44"/>
      <c r="T2585" s="44"/>
    </row>
    <row r="2586" spans="12:20" x14ac:dyDescent="0.2">
      <c r="L2586" s="43"/>
      <c r="M2586" s="43"/>
      <c r="N2586" s="43"/>
      <c r="O2586" s="43"/>
      <c r="Q2586" s="44"/>
      <c r="R2586" s="44"/>
      <c r="S2586" s="44"/>
      <c r="T2586" s="44"/>
    </row>
    <row r="2587" spans="12:20" x14ac:dyDescent="0.2">
      <c r="L2587" s="43"/>
      <c r="M2587" s="43"/>
      <c r="N2587" s="43"/>
      <c r="O2587" s="43"/>
      <c r="Q2587" s="44"/>
      <c r="R2587" s="44"/>
      <c r="S2587" s="44"/>
      <c r="T2587" s="44"/>
    </row>
    <row r="2588" spans="12:20" x14ac:dyDescent="0.2">
      <c r="L2588" s="43"/>
      <c r="M2588" s="43"/>
      <c r="N2588" s="43"/>
      <c r="O2588" s="43"/>
      <c r="Q2588" s="44"/>
      <c r="R2588" s="44"/>
      <c r="S2588" s="44"/>
      <c r="T2588" s="44"/>
    </row>
    <row r="2589" spans="12:20" x14ac:dyDescent="0.2">
      <c r="L2589" s="43"/>
      <c r="M2589" s="43"/>
      <c r="N2589" s="43"/>
      <c r="O2589" s="43"/>
      <c r="Q2589" s="44"/>
      <c r="R2589" s="44"/>
      <c r="S2589" s="44"/>
      <c r="T2589" s="44"/>
    </row>
    <row r="2590" spans="12:20" x14ac:dyDescent="0.2">
      <c r="L2590" s="43"/>
      <c r="M2590" s="43"/>
      <c r="N2590" s="43"/>
      <c r="O2590" s="43"/>
      <c r="Q2590" s="44"/>
      <c r="R2590" s="44"/>
      <c r="S2590" s="44"/>
      <c r="T2590" s="44"/>
    </row>
    <row r="2591" spans="12:20" x14ac:dyDescent="0.2">
      <c r="L2591" s="43"/>
      <c r="M2591" s="43"/>
      <c r="N2591" s="43"/>
      <c r="O2591" s="43"/>
      <c r="Q2591" s="44"/>
      <c r="R2591" s="44"/>
      <c r="S2591" s="44"/>
      <c r="T2591" s="44"/>
    </row>
    <row r="2592" spans="12:20" x14ac:dyDescent="0.2">
      <c r="L2592" s="43"/>
      <c r="M2592" s="43"/>
      <c r="N2592" s="43"/>
      <c r="O2592" s="43"/>
      <c r="Q2592" s="44"/>
      <c r="R2592" s="44"/>
      <c r="S2592" s="44"/>
      <c r="T2592" s="44"/>
    </row>
    <row r="2593" spans="12:20" x14ac:dyDescent="0.2">
      <c r="L2593" s="43"/>
      <c r="M2593" s="43"/>
      <c r="N2593" s="43"/>
      <c r="O2593" s="43"/>
      <c r="Q2593" s="44"/>
      <c r="R2593" s="44"/>
      <c r="S2593" s="44"/>
      <c r="T2593" s="44"/>
    </row>
    <row r="2594" spans="12:20" x14ac:dyDescent="0.2">
      <c r="L2594" s="43"/>
      <c r="M2594" s="43"/>
      <c r="N2594" s="43"/>
      <c r="O2594" s="43"/>
      <c r="Q2594" s="44"/>
      <c r="R2594" s="44"/>
      <c r="S2594" s="44"/>
      <c r="T2594" s="44"/>
    </row>
    <row r="2595" spans="12:20" x14ac:dyDescent="0.2">
      <c r="L2595" s="43"/>
      <c r="M2595" s="43"/>
      <c r="N2595" s="43"/>
      <c r="O2595" s="43"/>
      <c r="Q2595" s="44"/>
      <c r="R2595" s="44"/>
      <c r="S2595" s="44"/>
      <c r="T2595" s="44"/>
    </row>
    <row r="2596" spans="12:20" x14ac:dyDescent="0.2">
      <c r="L2596" s="43"/>
      <c r="M2596" s="43"/>
      <c r="N2596" s="43"/>
      <c r="O2596" s="43"/>
      <c r="Q2596" s="44"/>
      <c r="R2596" s="44"/>
      <c r="S2596" s="44"/>
      <c r="T2596" s="44"/>
    </row>
    <row r="2597" spans="12:20" x14ac:dyDescent="0.2">
      <c r="L2597" s="43"/>
      <c r="M2597" s="43"/>
      <c r="N2597" s="43"/>
      <c r="O2597" s="43"/>
      <c r="Q2597" s="44"/>
      <c r="R2597" s="44"/>
      <c r="S2597" s="44"/>
      <c r="T2597" s="44"/>
    </row>
    <row r="2598" spans="12:20" x14ac:dyDescent="0.2">
      <c r="L2598" s="43"/>
      <c r="M2598" s="43"/>
      <c r="N2598" s="43"/>
      <c r="O2598" s="43"/>
      <c r="Q2598" s="44"/>
      <c r="R2598" s="44"/>
      <c r="S2598" s="44"/>
      <c r="T2598" s="44"/>
    </row>
    <row r="2599" spans="12:20" x14ac:dyDescent="0.2">
      <c r="L2599" s="43"/>
      <c r="M2599" s="43"/>
      <c r="N2599" s="43"/>
      <c r="O2599" s="43"/>
      <c r="Q2599" s="44"/>
      <c r="R2599" s="44"/>
      <c r="S2599" s="44"/>
      <c r="T2599" s="44"/>
    </row>
    <row r="2600" spans="12:20" x14ac:dyDescent="0.2">
      <c r="L2600" s="43"/>
      <c r="M2600" s="43"/>
      <c r="N2600" s="43"/>
      <c r="O2600" s="43"/>
      <c r="Q2600" s="44"/>
      <c r="R2600" s="44"/>
      <c r="S2600" s="44"/>
      <c r="T2600" s="44"/>
    </row>
    <row r="2601" spans="12:20" x14ac:dyDescent="0.2">
      <c r="L2601" s="43"/>
      <c r="M2601" s="43"/>
      <c r="N2601" s="43"/>
      <c r="O2601" s="43"/>
      <c r="Q2601" s="44"/>
      <c r="R2601" s="44"/>
      <c r="S2601" s="44"/>
      <c r="T2601" s="44"/>
    </row>
    <row r="2602" spans="12:20" x14ac:dyDescent="0.2">
      <c r="L2602" s="43"/>
      <c r="M2602" s="43"/>
      <c r="N2602" s="43"/>
      <c r="O2602" s="43"/>
      <c r="Q2602" s="44"/>
      <c r="R2602" s="44"/>
      <c r="S2602" s="44"/>
      <c r="T2602" s="44"/>
    </row>
    <row r="2603" spans="12:20" x14ac:dyDescent="0.2">
      <c r="L2603" s="43"/>
      <c r="M2603" s="43"/>
      <c r="N2603" s="43"/>
      <c r="O2603" s="43"/>
      <c r="Q2603" s="44"/>
      <c r="R2603" s="44"/>
      <c r="S2603" s="44"/>
      <c r="T2603" s="44"/>
    </row>
    <row r="2604" spans="12:20" x14ac:dyDescent="0.2">
      <c r="L2604" s="43"/>
      <c r="M2604" s="43"/>
      <c r="N2604" s="43"/>
      <c r="O2604" s="43"/>
      <c r="Q2604" s="44"/>
      <c r="R2604" s="44"/>
      <c r="S2604" s="44"/>
      <c r="T2604" s="44"/>
    </row>
    <row r="2605" spans="12:20" x14ac:dyDescent="0.2">
      <c r="L2605" s="43"/>
      <c r="M2605" s="43"/>
      <c r="N2605" s="43"/>
      <c r="O2605" s="43"/>
      <c r="Q2605" s="44"/>
      <c r="R2605" s="44"/>
      <c r="S2605" s="44"/>
      <c r="T2605" s="44"/>
    </row>
    <row r="2606" spans="12:20" x14ac:dyDescent="0.2">
      <c r="L2606" s="43"/>
      <c r="M2606" s="43"/>
      <c r="N2606" s="43"/>
      <c r="O2606" s="43"/>
      <c r="Q2606" s="44"/>
      <c r="R2606" s="44"/>
      <c r="S2606" s="44"/>
      <c r="T2606" s="44"/>
    </row>
    <row r="2607" spans="12:20" x14ac:dyDescent="0.2">
      <c r="L2607" s="43"/>
      <c r="M2607" s="43"/>
      <c r="N2607" s="43"/>
      <c r="O2607" s="43"/>
      <c r="Q2607" s="44"/>
      <c r="R2607" s="44"/>
      <c r="S2607" s="44"/>
      <c r="T2607" s="44"/>
    </row>
    <row r="2608" spans="12:20" x14ac:dyDescent="0.2">
      <c r="L2608" s="43"/>
      <c r="M2608" s="43"/>
      <c r="N2608" s="43"/>
      <c r="O2608" s="43"/>
      <c r="Q2608" s="44"/>
      <c r="R2608" s="44"/>
      <c r="S2608" s="44"/>
      <c r="T2608" s="44"/>
    </row>
    <row r="2609" spans="12:20" x14ac:dyDescent="0.2">
      <c r="L2609" s="43"/>
      <c r="M2609" s="43"/>
      <c r="N2609" s="43"/>
      <c r="O2609" s="43"/>
      <c r="Q2609" s="44"/>
      <c r="R2609" s="44"/>
      <c r="S2609" s="44"/>
      <c r="T2609" s="44"/>
    </row>
    <row r="2610" spans="12:20" x14ac:dyDescent="0.2">
      <c r="L2610" s="43"/>
      <c r="M2610" s="43"/>
      <c r="N2610" s="43"/>
      <c r="O2610" s="43"/>
      <c r="Q2610" s="44"/>
      <c r="R2610" s="44"/>
      <c r="S2610" s="44"/>
      <c r="T2610" s="44"/>
    </row>
    <row r="2611" spans="12:20" x14ac:dyDescent="0.2">
      <c r="L2611" s="43"/>
      <c r="M2611" s="43"/>
      <c r="N2611" s="43"/>
      <c r="O2611" s="43"/>
      <c r="Q2611" s="44"/>
      <c r="R2611" s="44"/>
      <c r="S2611" s="44"/>
      <c r="T2611" s="44"/>
    </row>
    <row r="2612" spans="12:20" x14ac:dyDescent="0.2">
      <c r="L2612" s="43"/>
      <c r="M2612" s="43"/>
      <c r="N2612" s="43"/>
      <c r="O2612" s="43"/>
      <c r="Q2612" s="44"/>
      <c r="R2612" s="44"/>
      <c r="S2612" s="44"/>
      <c r="T2612" s="44"/>
    </row>
    <row r="2613" spans="12:20" x14ac:dyDescent="0.2">
      <c r="L2613" s="43"/>
      <c r="M2613" s="43"/>
      <c r="N2613" s="43"/>
      <c r="O2613" s="43"/>
      <c r="Q2613" s="44"/>
      <c r="R2613" s="44"/>
      <c r="S2613" s="44"/>
      <c r="T2613" s="44"/>
    </row>
    <row r="2614" spans="12:20" x14ac:dyDescent="0.2">
      <c r="L2614" s="43"/>
      <c r="M2614" s="43"/>
      <c r="N2614" s="43"/>
      <c r="O2614" s="43"/>
      <c r="Q2614" s="44"/>
      <c r="R2614" s="44"/>
      <c r="S2614" s="44"/>
      <c r="T2614" s="44"/>
    </row>
    <row r="2615" spans="12:20" x14ac:dyDescent="0.2">
      <c r="L2615" s="43"/>
      <c r="M2615" s="43"/>
      <c r="N2615" s="43"/>
      <c r="O2615" s="43"/>
      <c r="Q2615" s="44"/>
      <c r="R2615" s="44"/>
      <c r="S2615" s="44"/>
      <c r="T2615" s="44"/>
    </row>
    <row r="2616" spans="12:20" x14ac:dyDescent="0.2">
      <c r="L2616" s="43"/>
      <c r="M2616" s="43"/>
      <c r="N2616" s="43"/>
      <c r="O2616" s="43"/>
      <c r="Q2616" s="44"/>
      <c r="R2616" s="44"/>
      <c r="S2616" s="44"/>
      <c r="T2616" s="44"/>
    </row>
    <row r="2617" spans="12:20" x14ac:dyDescent="0.2">
      <c r="L2617" s="43"/>
      <c r="M2617" s="43"/>
      <c r="N2617" s="43"/>
      <c r="O2617" s="43"/>
      <c r="Q2617" s="44"/>
      <c r="R2617" s="44"/>
      <c r="S2617" s="44"/>
      <c r="T2617" s="44"/>
    </row>
    <row r="2618" spans="12:20" x14ac:dyDescent="0.2">
      <c r="L2618" s="43"/>
      <c r="M2618" s="43"/>
      <c r="N2618" s="43"/>
      <c r="O2618" s="43"/>
      <c r="Q2618" s="44"/>
      <c r="R2618" s="44"/>
      <c r="S2618" s="44"/>
      <c r="T2618" s="44"/>
    </row>
    <row r="2619" spans="12:20" x14ac:dyDescent="0.2">
      <c r="L2619" s="43"/>
      <c r="M2619" s="43"/>
      <c r="N2619" s="43"/>
      <c r="O2619" s="43"/>
      <c r="Q2619" s="44"/>
      <c r="R2619" s="44"/>
      <c r="S2619" s="44"/>
      <c r="T2619" s="44"/>
    </row>
    <row r="2620" spans="12:20" x14ac:dyDescent="0.2">
      <c r="L2620" s="43"/>
      <c r="M2620" s="43"/>
      <c r="N2620" s="43"/>
      <c r="O2620" s="43"/>
      <c r="Q2620" s="44"/>
      <c r="R2620" s="44"/>
      <c r="S2620" s="44"/>
      <c r="T2620" s="44"/>
    </row>
    <row r="2621" spans="12:20" x14ac:dyDescent="0.2">
      <c r="L2621" s="43"/>
      <c r="M2621" s="43"/>
      <c r="N2621" s="43"/>
      <c r="O2621" s="43"/>
      <c r="Q2621" s="44"/>
      <c r="R2621" s="44"/>
      <c r="S2621" s="44"/>
      <c r="T2621" s="44"/>
    </row>
    <row r="2622" spans="12:20" x14ac:dyDescent="0.2">
      <c r="L2622" s="43"/>
      <c r="M2622" s="43"/>
      <c r="N2622" s="43"/>
      <c r="O2622" s="43"/>
      <c r="Q2622" s="44"/>
      <c r="R2622" s="44"/>
      <c r="S2622" s="44"/>
      <c r="T2622" s="44"/>
    </row>
    <row r="2623" spans="12:20" x14ac:dyDescent="0.2">
      <c r="L2623" s="43"/>
      <c r="M2623" s="43"/>
      <c r="N2623" s="43"/>
      <c r="O2623" s="43"/>
      <c r="Q2623" s="44"/>
      <c r="R2623" s="44"/>
      <c r="S2623" s="44"/>
      <c r="T2623" s="44"/>
    </row>
    <row r="2624" spans="12:20" x14ac:dyDescent="0.2">
      <c r="L2624" s="43"/>
      <c r="M2624" s="43"/>
      <c r="N2624" s="43"/>
      <c r="O2624" s="43"/>
      <c r="Q2624" s="44"/>
      <c r="R2624" s="44"/>
      <c r="S2624" s="44"/>
      <c r="T2624" s="44"/>
    </row>
    <row r="2625" spans="12:20" x14ac:dyDescent="0.2">
      <c r="L2625" s="43"/>
      <c r="M2625" s="43"/>
      <c r="N2625" s="43"/>
      <c r="O2625" s="43"/>
      <c r="Q2625" s="44"/>
      <c r="R2625" s="44"/>
      <c r="S2625" s="44"/>
      <c r="T2625" s="44"/>
    </row>
    <row r="2626" spans="12:20" x14ac:dyDescent="0.2">
      <c r="L2626" s="43"/>
      <c r="M2626" s="43"/>
      <c r="N2626" s="43"/>
      <c r="O2626" s="43"/>
      <c r="Q2626" s="44"/>
      <c r="R2626" s="44"/>
      <c r="S2626" s="44"/>
      <c r="T2626" s="44"/>
    </row>
    <row r="2627" spans="12:20" x14ac:dyDescent="0.2">
      <c r="L2627" s="43"/>
      <c r="M2627" s="43"/>
      <c r="N2627" s="43"/>
      <c r="O2627" s="43"/>
      <c r="Q2627" s="44"/>
      <c r="R2627" s="44"/>
      <c r="S2627" s="44"/>
      <c r="T2627" s="44"/>
    </row>
    <row r="2628" spans="12:20" x14ac:dyDescent="0.2">
      <c r="L2628" s="43"/>
      <c r="M2628" s="43"/>
      <c r="N2628" s="43"/>
      <c r="O2628" s="43"/>
      <c r="Q2628" s="44"/>
      <c r="R2628" s="44"/>
      <c r="S2628" s="44"/>
      <c r="T2628" s="44"/>
    </row>
    <row r="2629" spans="12:20" x14ac:dyDescent="0.2">
      <c r="L2629" s="43"/>
      <c r="M2629" s="43"/>
      <c r="N2629" s="43"/>
      <c r="O2629" s="43"/>
      <c r="Q2629" s="44"/>
      <c r="R2629" s="44"/>
      <c r="S2629" s="44"/>
      <c r="T2629" s="44"/>
    </row>
    <row r="2630" spans="12:20" x14ac:dyDescent="0.2">
      <c r="L2630" s="43"/>
      <c r="M2630" s="43"/>
      <c r="N2630" s="43"/>
      <c r="O2630" s="43"/>
      <c r="Q2630" s="44"/>
      <c r="R2630" s="44"/>
      <c r="S2630" s="44"/>
      <c r="T2630" s="44"/>
    </row>
    <row r="2631" spans="12:20" x14ac:dyDescent="0.2">
      <c r="L2631" s="43"/>
      <c r="M2631" s="43"/>
      <c r="N2631" s="43"/>
      <c r="O2631" s="43"/>
      <c r="Q2631" s="44"/>
      <c r="R2631" s="44"/>
      <c r="S2631" s="44"/>
      <c r="T2631" s="44"/>
    </row>
    <row r="2632" spans="12:20" x14ac:dyDescent="0.2">
      <c r="L2632" s="43"/>
      <c r="M2632" s="43"/>
      <c r="N2632" s="43"/>
      <c r="O2632" s="43"/>
      <c r="Q2632" s="44"/>
      <c r="R2632" s="44"/>
      <c r="S2632" s="44"/>
      <c r="T2632" s="44"/>
    </row>
    <row r="2633" spans="12:20" x14ac:dyDescent="0.2">
      <c r="L2633" s="43"/>
      <c r="M2633" s="43"/>
      <c r="N2633" s="43"/>
      <c r="O2633" s="43"/>
      <c r="Q2633" s="44"/>
      <c r="R2633" s="44"/>
      <c r="S2633" s="44"/>
      <c r="T2633" s="44"/>
    </row>
    <row r="2634" spans="12:20" x14ac:dyDescent="0.2">
      <c r="L2634" s="43"/>
      <c r="M2634" s="43"/>
      <c r="N2634" s="43"/>
      <c r="O2634" s="43"/>
      <c r="Q2634" s="44"/>
      <c r="R2634" s="44"/>
      <c r="S2634" s="44"/>
      <c r="T2634" s="44"/>
    </row>
    <row r="2635" spans="12:20" x14ac:dyDescent="0.2">
      <c r="L2635" s="43"/>
      <c r="M2635" s="43"/>
      <c r="N2635" s="43"/>
      <c r="O2635" s="43"/>
      <c r="Q2635" s="44"/>
      <c r="R2635" s="44"/>
      <c r="S2635" s="44"/>
      <c r="T2635" s="44"/>
    </row>
    <row r="2636" spans="12:20" x14ac:dyDescent="0.2">
      <c r="L2636" s="43"/>
      <c r="M2636" s="43"/>
      <c r="N2636" s="43"/>
      <c r="O2636" s="43"/>
      <c r="Q2636" s="44"/>
      <c r="R2636" s="44"/>
      <c r="S2636" s="44"/>
      <c r="T2636" s="44"/>
    </row>
    <row r="2637" spans="12:20" x14ac:dyDescent="0.2">
      <c r="L2637" s="43"/>
      <c r="M2637" s="43"/>
      <c r="N2637" s="43"/>
      <c r="O2637" s="43"/>
      <c r="Q2637" s="44"/>
      <c r="R2637" s="44"/>
      <c r="S2637" s="44"/>
      <c r="T2637" s="44"/>
    </row>
    <row r="2638" spans="12:20" x14ac:dyDescent="0.2">
      <c r="L2638" s="43"/>
      <c r="M2638" s="43"/>
      <c r="N2638" s="43"/>
      <c r="O2638" s="43"/>
      <c r="Q2638" s="44"/>
      <c r="R2638" s="44"/>
      <c r="S2638" s="44"/>
      <c r="T2638" s="44"/>
    </row>
    <row r="2639" spans="12:20" x14ac:dyDescent="0.2">
      <c r="L2639" s="43"/>
      <c r="M2639" s="43"/>
      <c r="N2639" s="43"/>
      <c r="O2639" s="43"/>
      <c r="Q2639" s="44"/>
      <c r="R2639" s="44"/>
      <c r="S2639" s="44"/>
      <c r="T2639" s="44"/>
    </row>
    <row r="2640" spans="12:20" x14ac:dyDescent="0.2">
      <c r="L2640" s="43"/>
      <c r="M2640" s="43"/>
      <c r="N2640" s="43"/>
      <c r="O2640" s="43"/>
      <c r="Q2640" s="44"/>
      <c r="R2640" s="44"/>
      <c r="S2640" s="44"/>
      <c r="T2640" s="44"/>
    </row>
    <row r="2641" spans="12:20" x14ac:dyDescent="0.2">
      <c r="L2641" s="43"/>
      <c r="M2641" s="43"/>
      <c r="N2641" s="43"/>
      <c r="O2641" s="43"/>
      <c r="Q2641" s="44"/>
      <c r="R2641" s="44"/>
      <c r="S2641" s="44"/>
      <c r="T2641" s="44"/>
    </row>
    <row r="2642" spans="12:20" x14ac:dyDescent="0.2">
      <c r="L2642" s="43"/>
      <c r="M2642" s="43"/>
      <c r="N2642" s="43"/>
      <c r="O2642" s="43"/>
      <c r="Q2642" s="44"/>
      <c r="R2642" s="44"/>
      <c r="S2642" s="44"/>
      <c r="T2642" s="44"/>
    </row>
    <row r="2643" spans="12:20" x14ac:dyDescent="0.2">
      <c r="L2643" s="43"/>
      <c r="M2643" s="43"/>
      <c r="N2643" s="43"/>
      <c r="O2643" s="43"/>
      <c r="Q2643" s="44"/>
      <c r="R2643" s="44"/>
      <c r="S2643" s="44"/>
      <c r="T2643" s="44"/>
    </row>
    <row r="2644" spans="12:20" x14ac:dyDescent="0.2">
      <c r="L2644" s="43"/>
      <c r="M2644" s="43"/>
      <c r="N2644" s="43"/>
      <c r="O2644" s="43"/>
      <c r="Q2644" s="44"/>
      <c r="R2644" s="44"/>
      <c r="S2644" s="44"/>
      <c r="T2644" s="44"/>
    </row>
    <row r="2645" spans="12:20" x14ac:dyDescent="0.2">
      <c r="L2645" s="43"/>
      <c r="M2645" s="43"/>
      <c r="N2645" s="43"/>
      <c r="O2645" s="43"/>
      <c r="Q2645" s="44"/>
      <c r="R2645" s="44"/>
      <c r="S2645" s="44"/>
      <c r="T2645" s="44"/>
    </row>
    <row r="2646" spans="12:20" x14ac:dyDescent="0.2">
      <c r="L2646" s="43"/>
      <c r="M2646" s="43"/>
      <c r="N2646" s="43"/>
      <c r="O2646" s="43"/>
      <c r="Q2646" s="44"/>
      <c r="R2646" s="44"/>
      <c r="S2646" s="44"/>
      <c r="T2646" s="44"/>
    </row>
    <row r="2647" spans="12:20" x14ac:dyDescent="0.2">
      <c r="L2647" s="43"/>
      <c r="M2647" s="43"/>
      <c r="N2647" s="43"/>
      <c r="O2647" s="43"/>
      <c r="Q2647" s="44"/>
      <c r="R2647" s="44"/>
      <c r="S2647" s="44"/>
      <c r="T2647" s="44"/>
    </row>
    <row r="2648" spans="12:20" x14ac:dyDescent="0.2">
      <c r="L2648" s="43"/>
      <c r="M2648" s="43"/>
      <c r="N2648" s="43"/>
      <c r="O2648" s="43"/>
      <c r="Q2648" s="44"/>
      <c r="R2648" s="44"/>
      <c r="S2648" s="44"/>
      <c r="T2648" s="44"/>
    </row>
    <row r="2649" spans="12:20" x14ac:dyDescent="0.2">
      <c r="L2649" s="43"/>
      <c r="M2649" s="43"/>
      <c r="N2649" s="43"/>
      <c r="O2649" s="43"/>
      <c r="Q2649" s="44"/>
      <c r="R2649" s="44"/>
      <c r="S2649" s="44"/>
      <c r="T2649" s="44"/>
    </row>
    <row r="2650" spans="12:20" x14ac:dyDescent="0.2">
      <c r="L2650" s="43"/>
      <c r="M2650" s="43"/>
      <c r="N2650" s="43"/>
      <c r="O2650" s="43"/>
      <c r="Q2650" s="44"/>
      <c r="R2650" s="44"/>
      <c r="S2650" s="44"/>
      <c r="T2650" s="44"/>
    </row>
    <row r="2651" spans="12:20" x14ac:dyDescent="0.2">
      <c r="L2651" s="43"/>
      <c r="M2651" s="43"/>
      <c r="N2651" s="43"/>
      <c r="O2651" s="43"/>
      <c r="Q2651" s="44"/>
      <c r="R2651" s="44"/>
      <c r="S2651" s="44"/>
      <c r="T2651" s="44"/>
    </row>
    <row r="2652" spans="12:20" x14ac:dyDescent="0.2">
      <c r="L2652" s="43"/>
      <c r="M2652" s="43"/>
      <c r="N2652" s="43"/>
      <c r="O2652" s="43"/>
      <c r="Q2652" s="44"/>
      <c r="R2652" s="44"/>
      <c r="S2652" s="44"/>
      <c r="T2652" s="44"/>
    </row>
    <row r="2653" spans="12:20" x14ac:dyDescent="0.2">
      <c r="L2653" s="43"/>
      <c r="M2653" s="43"/>
      <c r="N2653" s="43"/>
      <c r="O2653" s="43"/>
      <c r="Q2653" s="44"/>
      <c r="R2653" s="44"/>
      <c r="S2653" s="44"/>
      <c r="T2653" s="44"/>
    </row>
    <row r="2654" spans="12:20" x14ac:dyDescent="0.2">
      <c r="L2654" s="43"/>
      <c r="M2654" s="43"/>
      <c r="N2654" s="43"/>
      <c r="O2654" s="43"/>
      <c r="Q2654" s="44"/>
      <c r="R2654" s="44"/>
      <c r="S2654" s="44"/>
      <c r="T2654" s="44"/>
    </row>
    <row r="2655" spans="12:20" x14ac:dyDescent="0.2">
      <c r="L2655" s="43"/>
      <c r="M2655" s="43"/>
      <c r="N2655" s="43"/>
      <c r="O2655" s="43"/>
      <c r="Q2655" s="44"/>
      <c r="R2655" s="44"/>
      <c r="S2655" s="44"/>
      <c r="T2655" s="44"/>
    </row>
    <row r="2656" spans="12:20" x14ac:dyDescent="0.2">
      <c r="L2656" s="43"/>
      <c r="M2656" s="43"/>
      <c r="N2656" s="43"/>
      <c r="O2656" s="43"/>
      <c r="Q2656" s="44"/>
      <c r="R2656" s="44"/>
      <c r="S2656" s="44"/>
      <c r="T2656" s="44"/>
    </row>
    <row r="2657" spans="12:20" x14ac:dyDescent="0.2">
      <c r="L2657" s="43"/>
      <c r="M2657" s="43"/>
      <c r="N2657" s="43"/>
      <c r="O2657" s="43"/>
      <c r="Q2657" s="44"/>
      <c r="R2657" s="44"/>
      <c r="S2657" s="44"/>
      <c r="T2657" s="44"/>
    </row>
    <row r="2658" spans="12:20" x14ac:dyDescent="0.2">
      <c r="L2658" s="43"/>
      <c r="M2658" s="43"/>
      <c r="N2658" s="43"/>
      <c r="O2658" s="43"/>
      <c r="Q2658" s="44"/>
      <c r="R2658" s="44"/>
      <c r="S2658" s="44"/>
      <c r="T2658" s="44"/>
    </row>
    <row r="2659" spans="12:20" x14ac:dyDescent="0.2">
      <c r="L2659" s="43"/>
      <c r="M2659" s="43"/>
      <c r="N2659" s="43"/>
      <c r="O2659" s="43"/>
      <c r="Q2659" s="44"/>
      <c r="R2659" s="44"/>
      <c r="S2659" s="44"/>
      <c r="T2659" s="44"/>
    </row>
    <row r="2660" spans="12:20" x14ac:dyDescent="0.2">
      <c r="L2660" s="43"/>
      <c r="M2660" s="43"/>
      <c r="N2660" s="43"/>
      <c r="O2660" s="43"/>
      <c r="Q2660" s="44"/>
      <c r="R2660" s="44"/>
      <c r="S2660" s="44"/>
      <c r="T2660" s="44"/>
    </row>
    <row r="2661" spans="12:20" x14ac:dyDescent="0.2">
      <c r="L2661" s="43"/>
      <c r="M2661" s="43"/>
      <c r="N2661" s="43"/>
      <c r="O2661" s="43"/>
      <c r="Q2661" s="44"/>
      <c r="R2661" s="44"/>
      <c r="S2661" s="44"/>
      <c r="T2661" s="44"/>
    </row>
    <row r="2662" spans="12:20" x14ac:dyDescent="0.2">
      <c r="L2662" s="43"/>
      <c r="M2662" s="43"/>
      <c r="N2662" s="43"/>
      <c r="O2662" s="43"/>
      <c r="Q2662" s="44"/>
      <c r="R2662" s="44"/>
      <c r="S2662" s="44"/>
      <c r="T2662" s="44"/>
    </row>
    <row r="2663" spans="12:20" x14ac:dyDescent="0.2">
      <c r="L2663" s="43"/>
      <c r="M2663" s="43"/>
      <c r="N2663" s="43"/>
      <c r="O2663" s="43"/>
      <c r="Q2663" s="44"/>
      <c r="R2663" s="44"/>
      <c r="S2663" s="44"/>
      <c r="T2663" s="44"/>
    </row>
    <row r="2664" spans="12:20" x14ac:dyDescent="0.2">
      <c r="L2664" s="43"/>
      <c r="M2664" s="43"/>
      <c r="N2664" s="43"/>
      <c r="O2664" s="43"/>
      <c r="Q2664" s="44"/>
      <c r="R2664" s="44"/>
      <c r="S2664" s="44"/>
      <c r="T2664" s="44"/>
    </row>
    <row r="2665" spans="12:20" x14ac:dyDescent="0.2">
      <c r="L2665" s="43"/>
      <c r="M2665" s="43"/>
      <c r="N2665" s="43"/>
      <c r="O2665" s="43"/>
      <c r="Q2665" s="44"/>
      <c r="R2665" s="44"/>
      <c r="S2665" s="44"/>
      <c r="T2665" s="44"/>
    </row>
    <row r="2666" spans="12:20" x14ac:dyDescent="0.2">
      <c r="L2666" s="43"/>
      <c r="M2666" s="43"/>
      <c r="N2666" s="43"/>
      <c r="O2666" s="43"/>
      <c r="Q2666" s="44"/>
      <c r="R2666" s="44"/>
      <c r="S2666" s="44"/>
      <c r="T2666" s="44"/>
    </row>
    <row r="2667" spans="12:20" x14ac:dyDescent="0.2">
      <c r="L2667" s="43"/>
      <c r="M2667" s="43"/>
      <c r="N2667" s="43"/>
      <c r="O2667" s="43"/>
      <c r="Q2667" s="44"/>
      <c r="R2667" s="44"/>
      <c r="S2667" s="44"/>
      <c r="T2667" s="44"/>
    </row>
    <row r="2668" spans="12:20" x14ac:dyDescent="0.2">
      <c r="L2668" s="43"/>
      <c r="M2668" s="43"/>
      <c r="N2668" s="43"/>
      <c r="O2668" s="43"/>
      <c r="Q2668" s="44"/>
      <c r="R2668" s="44"/>
      <c r="S2668" s="44"/>
      <c r="T2668" s="44"/>
    </row>
    <row r="2669" spans="12:20" x14ac:dyDescent="0.2">
      <c r="L2669" s="43"/>
      <c r="M2669" s="43"/>
      <c r="N2669" s="43"/>
      <c r="O2669" s="43"/>
      <c r="Q2669" s="44"/>
      <c r="R2669" s="44"/>
      <c r="S2669" s="44"/>
      <c r="T2669" s="44"/>
    </row>
    <row r="2670" spans="12:20" x14ac:dyDescent="0.2">
      <c r="L2670" s="43"/>
      <c r="M2670" s="43"/>
      <c r="N2670" s="43"/>
      <c r="O2670" s="43"/>
      <c r="Q2670" s="44"/>
      <c r="R2670" s="44"/>
      <c r="S2670" s="44"/>
      <c r="T2670" s="44"/>
    </row>
    <row r="2671" spans="12:20" x14ac:dyDescent="0.2">
      <c r="L2671" s="43"/>
      <c r="M2671" s="43"/>
      <c r="N2671" s="43"/>
      <c r="O2671" s="43"/>
      <c r="Q2671" s="44"/>
      <c r="R2671" s="44"/>
      <c r="S2671" s="44"/>
      <c r="T2671" s="44"/>
    </row>
    <row r="2672" spans="12:20" x14ac:dyDescent="0.2">
      <c r="L2672" s="43"/>
      <c r="M2672" s="43"/>
      <c r="N2672" s="43"/>
      <c r="O2672" s="43"/>
      <c r="Q2672" s="44"/>
      <c r="R2672" s="44"/>
      <c r="S2672" s="44"/>
      <c r="T2672" s="44"/>
    </row>
    <row r="2673" spans="12:20" x14ac:dyDescent="0.2">
      <c r="L2673" s="43"/>
      <c r="M2673" s="43"/>
      <c r="N2673" s="43"/>
      <c r="O2673" s="43"/>
      <c r="Q2673" s="44"/>
      <c r="R2673" s="44"/>
      <c r="S2673" s="44"/>
      <c r="T2673" s="44"/>
    </row>
    <row r="2674" spans="12:20" x14ac:dyDescent="0.2">
      <c r="L2674" s="43"/>
      <c r="M2674" s="43"/>
      <c r="N2674" s="43"/>
      <c r="O2674" s="43"/>
      <c r="Q2674" s="44"/>
      <c r="R2674" s="44"/>
      <c r="S2674" s="44"/>
      <c r="T2674" s="44"/>
    </row>
    <row r="2675" spans="12:20" x14ac:dyDescent="0.2">
      <c r="L2675" s="43"/>
      <c r="M2675" s="43"/>
      <c r="N2675" s="43"/>
      <c r="O2675" s="43"/>
      <c r="Q2675" s="44"/>
      <c r="R2675" s="44"/>
      <c r="S2675" s="44"/>
      <c r="T2675" s="44"/>
    </row>
    <row r="2676" spans="12:20" x14ac:dyDescent="0.2">
      <c r="L2676" s="43"/>
      <c r="M2676" s="43"/>
      <c r="N2676" s="43"/>
      <c r="O2676" s="43"/>
      <c r="Q2676" s="44"/>
      <c r="R2676" s="44"/>
      <c r="S2676" s="44"/>
      <c r="T2676" s="44"/>
    </row>
    <row r="2677" spans="12:20" x14ac:dyDescent="0.2">
      <c r="L2677" s="43"/>
      <c r="M2677" s="43"/>
      <c r="N2677" s="43"/>
      <c r="O2677" s="43"/>
      <c r="Q2677" s="44"/>
      <c r="R2677" s="44"/>
      <c r="S2677" s="44"/>
      <c r="T2677" s="44"/>
    </row>
    <row r="2678" spans="12:20" x14ac:dyDescent="0.2">
      <c r="L2678" s="43"/>
      <c r="M2678" s="43"/>
      <c r="N2678" s="43"/>
      <c r="O2678" s="43"/>
      <c r="Q2678" s="44"/>
      <c r="R2678" s="44"/>
      <c r="S2678" s="44"/>
      <c r="T2678" s="44"/>
    </row>
    <row r="2679" spans="12:20" x14ac:dyDescent="0.2">
      <c r="L2679" s="43"/>
      <c r="M2679" s="43"/>
      <c r="N2679" s="43"/>
      <c r="O2679" s="43"/>
      <c r="Q2679" s="44"/>
      <c r="R2679" s="44"/>
      <c r="S2679" s="44"/>
      <c r="T2679" s="44"/>
    </row>
    <row r="2680" spans="12:20" x14ac:dyDescent="0.2">
      <c r="L2680" s="43"/>
      <c r="M2680" s="43"/>
      <c r="N2680" s="43"/>
      <c r="O2680" s="43"/>
      <c r="Q2680" s="44"/>
      <c r="R2680" s="44"/>
      <c r="S2680" s="44"/>
      <c r="T2680" s="44"/>
    </row>
    <row r="2681" spans="12:20" x14ac:dyDescent="0.2">
      <c r="L2681" s="43"/>
      <c r="M2681" s="43"/>
      <c r="N2681" s="43"/>
      <c r="O2681" s="43"/>
      <c r="Q2681" s="44"/>
      <c r="R2681" s="44"/>
      <c r="S2681" s="44"/>
      <c r="T2681" s="44"/>
    </row>
    <row r="2682" spans="12:20" x14ac:dyDescent="0.2">
      <c r="L2682" s="43"/>
      <c r="M2682" s="43"/>
      <c r="N2682" s="43"/>
      <c r="O2682" s="43"/>
      <c r="Q2682" s="44"/>
      <c r="R2682" s="44"/>
      <c r="S2682" s="44"/>
      <c r="T2682" s="44"/>
    </row>
    <row r="2683" spans="12:20" x14ac:dyDescent="0.2">
      <c r="L2683" s="43"/>
      <c r="M2683" s="43"/>
      <c r="N2683" s="43"/>
      <c r="O2683" s="43"/>
      <c r="Q2683" s="44"/>
      <c r="R2683" s="44"/>
      <c r="S2683" s="44"/>
      <c r="T2683" s="44"/>
    </row>
    <row r="2684" spans="12:20" x14ac:dyDescent="0.2">
      <c r="L2684" s="43"/>
      <c r="M2684" s="43"/>
      <c r="N2684" s="43"/>
      <c r="O2684" s="43"/>
      <c r="Q2684" s="44"/>
      <c r="R2684" s="44"/>
      <c r="S2684" s="44"/>
      <c r="T2684" s="44"/>
    </row>
    <row r="2685" spans="12:20" x14ac:dyDescent="0.2">
      <c r="L2685" s="43"/>
      <c r="M2685" s="43"/>
      <c r="N2685" s="43"/>
      <c r="O2685" s="43"/>
      <c r="Q2685" s="44"/>
      <c r="R2685" s="44"/>
      <c r="S2685" s="44"/>
      <c r="T2685" s="44"/>
    </row>
    <row r="2686" spans="12:20" x14ac:dyDescent="0.2">
      <c r="L2686" s="43"/>
      <c r="M2686" s="43"/>
      <c r="N2686" s="43"/>
      <c r="O2686" s="43"/>
      <c r="Q2686" s="44"/>
      <c r="R2686" s="44"/>
      <c r="S2686" s="44"/>
      <c r="T2686" s="44"/>
    </row>
    <row r="2687" spans="12:20" x14ac:dyDescent="0.2">
      <c r="L2687" s="43"/>
      <c r="M2687" s="43"/>
      <c r="N2687" s="43"/>
      <c r="O2687" s="43"/>
      <c r="Q2687" s="44"/>
      <c r="R2687" s="44"/>
      <c r="S2687" s="44"/>
      <c r="T2687" s="44"/>
    </row>
    <row r="2688" spans="12:20" x14ac:dyDescent="0.2">
      <c r="L2688" s="43"/>
      <c r="M2688" s="43"/>
      <c r="N2688" s="43"/>
      <c r="O2688" s="43"/>
      <c r="Q2688" s="44"/>
      <c r="R2688" s="44"/>
      <c r="S2688" s="44"/>
      <c r="T2688" s="44"/>
    </row>
    <row r="2689" spans="12:20" x14ac:dyDescent="0.2">
      <c r="L2689" s="43"/>
      <c r="M2689" s="43"/>
      <c r="N2689" s="43"/>
      <c r="O2689" s="43"/>
      <c r="Q2689" s="44"/>
      <c r="R2689" s="44"/>
      <c r="S2689" s="44"/>
      <c r="T2689" s="44"/>
    </row>
    <row r="2690" spans="12:20" x14ac:dyDescent="0.2">
      <c r="L2690" s="43"/>
      <c r="M2690" s="43"/>
      <c r="N2690" s="43"/>
      <c r="O2690" s="43"/>
      <c r="Q2690" s="44"/>
      <c r="R2690" s="44"/>
      <c r="S2690" s="44"/>
      <c r="T2690" s="44"/>
    </row>
    <row r="2691" spans="12:20" x14ac:dyDescent="0.2">
      <c r="L2691" s="43"/>
      <c r="M2691" s="43"/>
      <c r="N2691" s="43"/>
      <c r="O2691" s="43"/>
      <c r="Q2691" s="44"/>
      <c r="R2691" s="44"/>
      <c r="S2691" s="44"/>
      <c r="T2691" s="44"/>
    </row>
    <row r="2692" spans="12:20" x14ac:dyDescent="0.2">
      <c r="L2692" s="43"/>
      <c r="M2692" s="43"/>
      <c r="N2692" s="43"/>
      <c r="O2692" s="43"/>
      <c r="Q2692" s="44"/>
      <c r="R2692" s="44"/>
      <c r="S2692" s="44"/>
      <c r="T2692" s="44"/>
    </row>
    <row r="2693" spans="12:20" x14ac:dyDescent="0.2">
      <c r="L2693" s="43"/>
      <c r="M2693" s="43"/>
      <c r="N2693" s="43"/>
      <c r="O2693" s="43"/>
      <c r="Q2693" s="44"/>
      <c r="R2693" s="44"/>
      <c r="S2693" s="44"/>
      <c r="T2693" s="44"/>
    </row>
    <row r="2694" spans="12:20" x14ac:dyDescent="0.2">
      <c r="L2694" s="43"/>
      <c r="M2694" s="43"/>
      <c r="N2694" s="43"/>
      <c r="O2694" s="43"/>
      <c r="Q2694" s="44"/>
      <c r="R2694" s="44"/>
      <c r="S2694" s="44"/>
      <c r="T2694" s="44"/>
    </row>
    <row r="2695" spans="12:20" x14ac:dyDescent="0.2">
      <c r="L2695" s="43"/>
      <c r="M2695" s="43"/>
      <c r="N2695" s="43"/>
      <c r="O2695" s="43"/>
      <c r="Q2695" s="44"/>
      <c r="R2695" s="44"/>
      <c r="S2695" s="44"/>
      <c r="T2695" s="44"/>
    </row>
    <row r="2696" spans="12:20" x14ac:dyDescent="0.2">
      <c r="L2696" s="43"/>
      <c r="M2696" s="43"/>
      <c r="N2696" s="43"/>
      <c r="O2696" s="43"/>
      <c r="Q2696" s="44"/>
      <c r="R2696" s="44"/>
      <c r="S2696" s="44"/>
      <c r="T2696" s="44"/>
    </row>
    <row r="2697" spans="12:20" x14ac:dyDescent="0.2">
      <c r="L2697" s="43"/>
      <c r="M2697" s="43"/>
      <c r="N2697" s="43"/>
      <c r="O2697" s="43"/>
      <c r="Q2697" s="44"/>
      <c r="R2697" s="44"/>
      <c r="S2697" s="44"/>
      <c r="T2697" s="44"/>
    </row>
    <row r="2698" spans="12:20" x14ac:dyDescent="0.2">
      <c r="L2698" s="43"/>
      <c r="M2698" s="43"/>
      <c r="N2698" s="43"/>
      <c r="O2698" s="43"/>
      <c r="Q2698" s="44"/>
      <c r="R2698" s="44"/>
      <c r="S2698" s="44"/>
      <c r="T2698" s="44"/>
    </row>
    <row r="2699" spans="12:20" x14ac:dyDescent="0.2">
      <c r="L2699" s="43"/>
      <c r="M2699" s="43"/>
      <c r="N2699" s="43"/>
      <c r="O2699" s="43"/>
      <c r="Q2699" s="44"/>
      <c r="R2699" s="44"/>
      <c r="S2699" s="44"/>
      <c r="T2699" s="44"/>
    </row>
    <row r="2700" spans="12:20" x14ac:dyDescent="0.2">
      <c r="L2700" s="43"/>
      <c r="M2700" s="43"/>
      <c r="N2700" s="43"/>
      <c r="O2700" s="43"/>
      <c r="Q2700" s="44"/>
      <c r="R2700" s="44"/>
      <c r="S2700" s="44"/>
      <c r="T2700" s="44"/>
    </row>
    <row r="2701" spans="12:20" x14ac:dyDescent="0.2">
      <c r="L2701" s="43"/>
      <c r="M2701" s="43"/>
      <c r="N2701" s="43"/>
      <c r="O2701" s="43"/>
      <c r="Q2701" s="44"/>
      <c r="R2701" s="44"/>
      <c r="S2701" s="44"/>
      <c r="T2701" s="44"/>
    </row>
    <row r="2702" spans="12:20" x14ac:dyDescent="0.2">
      <c r="L2702" s="43"/>
      <c r="M2702" s="43"/>
      <c r="N2702" s="43"/>
      <c r="O2702" s="43"/>
      <c r="Q2702" s="44"/>
      <c r="R2702" s="44"/>
      <c r="S2702" s="44"/>
      <c r="T2702" s="44"/>
    </row>
    <row r="2703" spans="12:20" x14ac:dyDescent="0.2">
      <c r="L2703" s="43"/>
      <c r="M2703" s="43"/>
      <c r="N2703" s="43"/>
      <c r="O2703" s="43"/>
      <c r="Q2703" s="44"/>
      <c r="R2703" s="44"/>
      <c r="S2703" s="44"/>
      <c r="T2703" s="44"/>
    </row>
    <row r="2704" spans="12:20" x14ac:dyDescent="0.2">
      <c r="L2704" s="43"/>
      <c r="M2704" s="43"/>
      <c r="N2704" s="43"/>
      <c r="O2704" s="43"/>
      <c r="Q2704" s="44"/>
      <c r="R2704" s="44"/>
      <c r="S2704" s="44"/>
      <c r="T2704" s="44"/>
    </row>
    <row r="2705" spans="12:20" x14ac:dyDescent="0.2">
      <c r="L2705" s="43"/>
      <c r="M2705" s="43"/>
      <c r="N2705" s="43"/>
      <c r="O2705" s="43"/>
      <c r="Q2705" s="44"/>
      <c r="R2705" s="44"/>
      <c r="S2705" s="44"/>
      <c r="T2705" s="44"/>
    </row>
    <row r="2706" spans="12:20" x14ac:dyDescent="0.2">
      <c r="L2706" s="43"/>
      <c r="M2706" s="43"/>
      <c r="N2706" s="43"/>
      <c r="O2706" s="43"/>
      <c r="Q2706" s="44"/>
      <c r="R2706" s="44"/>
      <c r="S2706" s="44"/>
      <c r="T2706" s="44"/>
    </row>
    <row r="2707" spans="12:20" x14ac:dyDescent="0.2">
      <c r="L2707" s="43"/>
      <c r="M2707" s="43"/>
      <c r="N2707" s="43"/>
      <c r="O2707" s="43"/>
      <c r="Q2707" s="44"/>
      <c r="R2707" s="44"/>
      <c r="S2707" s="44"/>
      <c r="T2707" s="44"/>
    </row>
    <row r="2708" spans="12:20" x14ac:dyDescent="0.2">
      <c r="L2708" s="43"/>
      <c r="M2708" s="43"/>
      <c r="N2708" s="43"/>
      <c r="O2708" s="43"/>
      <c r="Q2708" s="44"/>
      <c r="R2708" s="44"/>
      <c r="S2708" s="44"/>
      <c r="T2708" s="44"/>
    </row>
    <row r="2709" spans="12:20" x14ac:dyDescent="0.2">
      <c r="L2709" s="43"/>
      <c r="M2709" s="43"/>
      <c r="N2709" s="43"/>
      <c r="O2709" s="43"/>
      <c r="Q2709" s="44"/>
      <c r="R2709" s="44"/>
      <c r="S2709" s="44"/>
      <c r="T2709" s="44"/>
    </row>
    <row r="2710" spans="12:20" x14ac:dyDescent="0.2">
      <c r="L2710" s="43"/>
      <c r="M2710" s="43"/>
      <c r="N2710" s="43"/>
      <c r="O2710" s="43"/>
      <c r="Q2710" s="44"/>
      <c r="R2710" s="44"/>
      <c r="S2710" s="44"/>
      <c r="T2710" s="44"/>
    </row>
    <row r="2711" spans="12:20" x14ac:dyDescent="0.2">
      <c r="L2711" s="43"/>
      <c r="M2711" s="43"/>
      <c r="N2711" s="43"/>
      <c r="O2711" s="43"/>
      <c r="Q2711" s="44"/>
      <c r="R2711" s="44"/>
      <c r="S2711" s="44"/>
      <c r="T2711" s="44"/>
    </row>
    <row r="2712" spans="12:20" x14ac:dyDescent="0.2">
      <c r="L2712" s="43"/>
      <c r="M2712" s="43"/>
      <c r="N2712" s="43"/>
      <c r="O2712" s="43"/>
      <c r="Q2712" s="44"/>
      <c r="R2712" s="44"/>
      <c r="S2712" s="44"/>
      <c r="T2712" s="44"/>
    </row>
    <row r="2713" spans="12:20" x14ac:dyDescent="0.2">
      <c r="L2713" s="43"/>
      <c r="M2713" s="43"/>
      <c r="N2713" s="43"/>
      <c r="O2713" s="43"/>
      <c r="Q2713" s="44"/>
      <c r="R2713" s="44"/>
      <c r="S2713" s="44"/>
      <c r="T2713" s="44"/>
    </row>
    <row r="2714" spans="12:20" x14ac:dyDescent="0.2">
      <c r="L2714" s="43"/>
      <c r="M2714" s="43"/>
      <c r="N2714" s="43"/>
      <c r="O2714" s="43"/>
      <c r="Q2714" s="44"/>
      <c r="R2714" s="44"/>
      <c r="S2714" s="44"/>
      <c r="T2714" s="44"/>
    </row>
    <row r="2715" spans="12:20" x14ac:dyDescent="0.2">
      <c r="L2715" s="43"/>
      <c r="M2715" s="43"/>
      <c r="N2715" s="43"/>
      <c r="O2715" s="43"/>
      <c r="Q2715" s="44"/>
      <c r="R2715" s="44"/>
      <c r="S2715" s="44"/>
      <c r="T2715" s="44"/>
    </row>
    <row r="2716" spans="12:20" x14ac:dyDescent="0.2">
      <c r="L2716" s="43"/>
      <c r="M2716" s="43"/>
      <c r="N2716" s="43"/>
      <c r="O2716" s="43"/>
      <c r="Q2716" s="44"/>
      <c r="R2716" s="44"/>
      <c r="S2716" s="44"/>
      <c r="T2716" s="44"/>
    </row>
    <row r="2717" spans="12:20" x14ac:dyDescent="0.2">
      <c r="L2717" s="43"/>
      <c r="M2717" s="43"/>
      <c r="N2717" s="43"/>
      <c r="O2717" s="43"/>
      <c r="Q2717" s="44"/>
      <c r="R2717" s="44"/>
      <c r="S2717" s="44"/>
      <c r="T2717" s="44"/>
    </row>
    <row r="2718" spans="12:20" x14ac:dyDescent="0.2">
      <c r="L2718" s="43"/>
      <c r="M2718" s="43"/>
      <c r="N2718" s="43"/>
      <c r="O2718" s="43"/>
      <c r="Q2718" s="44"/>
      <c r="R2718" s="44"/>
      <c r="S2718" s="44"/>
      <c r="T2718" s="44"/>
    </row>
    <row r="2719" spans="12:20" x14ac:dyDescent="0.2">
      <c r="L2719" s="43"/>
      <c r="M2719" s="43"/>
      <c r="N2719" s="43"/>
      <c r="O2719" s="43"/>
      <c r="Q2719" s="44"/>
      <c r="R2719" s="44"/>
      <c r="S2719" s="44"/>
      <c r="T2719" s="44"/>
    </row>
    <row r="2720" spans="12:20" x14ac:dyDescent="0.2">
      <c r="L2720" s="43"/>
      <c r="M2720" s="43"/>
      <c r="N2720" s="43"/>
      <c r="O2720" s="43"/>
      <c r="Q2720" s="44"/>
      <c r="R2720" s="44"/>
      <c r="S2720" s="44"/>
      <c r="T2720" s="44"/>
    </row>
    <row r="2721" spans="12:20" x14ac:dyDescent="0.2">
      <c r="L2721" s="43"/>
      <c r="M2721" s="43"/>
      <c r="N2721" s="43"/>
      <c r="O2721" s="43"/>
      <c r="Q2721" s="44"/>
      <c r="R2721" s="44"/>
      <c r="S2721" s="44"/>
      <c r="T2721" s="44"/>
    </row>
    <row r="2722" spans="12:20" x14ac:dyDescent="0.2">
      <c r="L2722" s="43"/>
      <c r="M2722" s="43"/>
      <c r="N2722" s="43"/>
      <c r="O2722" s="43"/>
      <c r="Q2722" s="44"/>
      <c r="R2722" s="44"/>
      <c r="S2722" s="44"/>
      <c r="T2722" s="44"/>
    </row>
    <row r="2723" spans="12:20" x14ac:dyDescent="0.2">
      <c r="L2723" s="43"/>
      <c r="M2723" s="43"/>
      <c r="N2723" s="43"/>
      <c r="O2723" s="43"/>
      <c r="Q2723" s="44"/>
      <c r="R2723" s="44"/>
      <c r="S2723" s="44"/>
      <c r="T2723" s="44"/>
    </row>
    <row r="2724" spans="12:20" x14ac:dyDescent="0.2">
      <c r="L2724" s="43"/>
      <c r="M2724" s="43"/>
      <c r="N2724" s="43"/>
      <c r="O2724" s="43"/>
      <c r="Q2724" s="44"/>
      <c r="R2724" s="44"/>
      <c r="S2724" s="44"/>
      <c r="T2724" s="44"/>
    </row>
    <row r="2725" spans="12:20" x14ac:dyDescent="0.2">
      <c r="L2725" s="43"/>
      <c r="M2725" s="43"/>
      <c r="N2725" s="43"/>
      <c r="O2725" s="43"/>
      <c r="Q2725" s="44"/>
      <c r="R2725" s="44"/>
      <c r="S2725" s="44"/>
      <c r="T2725" s="44"/>
    </row>
    <row r="2726" spans="12:20" x14ac:dyDescent="0.2">
      <c r="L2726" s="43"/>
      <c r="M2726" s="43"/>
      <c r="N2726" s="43"/>
      <c r="O2726" s="43"/>
      <c r="Q2726" s="44"/>
      <c r="R2726" s="44"/>
      <c r="S2726" s="44"/>
      <c r="T2726" s="44"/>
    </row>
    <row r="2727" spans="12:20" x14ac:dyDescent="0.2">
      <c r="L2727" s="43"/>
      <c r="M2727" s="43"/>
      <c r="N2727" s="43"/>
      <c r="O2727" s="43"/>
      <c r="Q2727" s="44"/>
      <c r="R2727" s="44"/>
      <c r="S2727" s="44"/>
      <c r="T2727" s="44"/>
    </row>
    <row r="2728" spans="12:20" x14ac:dyDescent="0.2">
      <c r="L2728" s="43"/>
      <c r="M2728" s="43"/>
      <c r="N2728" s="43"/>
      <c r="O2728" s="43"/>
      <c r="Q2728" s="44"/>
      <c r="R2728" s="44"/>
      <c r="S2728" s="44"/>
      <c r="T2728" s="44"/>
    </row>
    <row r="2729" spans="12:20" x14ac:dyDescent="0.2">
      <c r="L2729" s="43"/>
      <c r="M2729" s="43"/>
      <c r="N2729" s="43"/>
      <c r="O2729" s="43"/>
      <c r="Q2729" s="44"/>
      <c r="R2729" s="44"/>
      <c r="S2729" s="44"/>
      <c r="T2729" s="44"/>
    </row>
    <row r="2730" spans="12:20" x14ac:dyDescent="0.2">
      <c r="L2730" s="43"/>
      <c r="M2730" s="43"/>
      <c r="N2730" s="43"/>
      <c r="O2730" s="43"/>
      <c r="Q2730" s="44"/>
      <c r="R2730" s="44"/>
      <c r="S2730" s="44"/>
      <c r="T2730" s="44"/>
    </row>
    <row r="2731" spans="12:20" x14ac:dyDescent="0.2">
      <c r="L2731" s="43"/>
      <c r="M2731" s="43"/>
      <c r="N2731" s="43"/>
      <c r="O2731" s="43"/>
      <c r="Q2731" s="44"/>
      <c r="R2731" s="44"/>
      <c r="S2731" s="44"/>
      <c r="T2731" s="44"/>
    </row>
    <row r="2732" spans="12:20" x14ac:dyDescent="0.2">
      <c r="L2732" s="43"/>
      <c r="M2732" s="43"/>
      <c r="N2732" s="43"/>
      <c r="O2732" s="43"/>
      <c r="Q2732" s="44"/>
      <c r="R2732" s="44"/>
      <c r="S2732" s="44"/>
      <c r="T2732" s="44"/>
    </row>
    <row r="2733" spans="12:20" x14ac:dyDescent="0.2">
      <c r="L2733" s="43"/>
      <c r="M2733" s="43"/>
      <c r="N2733" s="43"/>
      <c r="O2733" s="43"/>
      <c r="Q2733" s="44"/>
      <c r="R2733" s="44"/>
      <c r="S2733" s="44"/>
      <c r="T2733" s="44"/>
    </row>
    <row r="2734" spans="12:20" x14ac:dyDescent="0.2">
      <c r="L2734" s="43"/>
      <c r="M2734" s="43"/>
      <c r="N2734" s="43"/>
      <c r="O2734" s="43"/>
      <c r="Q2734" s="44"/>
      <c r="R2734" s="44"/>
      <c r="S2734" s="44"/>
      <c r="T2734" s="44"/>
    </row>
    <row r="2735" spans="12:20" x14ac:dyDescent="0.2">
      <c r="L2735" s="43"/>
      <c r="M2735" s="43"/>
      <c r="N2735" s="43"/>
      <c r="O2735" s="43"/>
      <c r="Q2735" s="44"/>
      <c r="R2735" s="44"/>
      <c r="S2735" s="44"/>
      <c r="T2735" s="44"/>
    </row>
    <row r="2736" spans="12:20" x14ac:dyDescent="0.2">
      <c r="L2736" s="43"/>
      <c r="M2736" s="43"/>
      <c r="N2736" s="43"/>
      <c r="O2736" s="43"/>
      <c r="Q2736" s="44"/>
      <c r="R2736" s="44"/>
      <c r="S2736" s="44"/>
      <c r="T2736" s="44"/>
    </row>
    <row r="2737" spans="12:20" x14ac:dyDescent="0.2">
      <c r="L2737" s="43"/>
      <c r="M2737" s="43"/>
      <c r="N2737" s="43"/>
      <c r="O2737" s="43"/>
      <c r="Q2737" s="44"/>
      <c r="R2737" s="44"/>
      <c r="S2737" s="44"/>
      <c r="T2737" s="44"/>
    </row>
    <row r="2738" spans="12:20" x14ac:dyDescent="0.2">
      <c r="L2738" s="43"/>
      <c r="M2738" s="43"/>
      <c r="N2738" s="43"/>
      <c r="O2738" s="43"/>
      <c r="Q2738" s="44"/>
      <c r="R2738" s="44"/>
      <c r="S2738" s="44"/>
      <c r="T2738" s="44"/>
    </row>
    <row r="2739" spans="12:20" x14ac:dyDescent="0.2">
      <c r="L2739" s="43"/>
      <c r="M2739" s="43"/>
      <c r="N2739" s="43"/>
      <c r="O2739" s="43"/>
      <c r="Q2739" s="44"/>
      <c r="R2739" s="44"/>
      <c r="S2739" s="44"/>
      <c r="T2739" s="44"/>
    </row>
    <row r="2740" spans="12:20" x14ac:dyDescent="0.2">
      <c r="L2740" s="43"/>
      <c r="M2740" s="43"/>
      <c r="N2740" s="43"/>
      <c r="O2740" s="43"/>
      <c r="Q2740" s="44"/>
      <c r="R2740" s="44"/>
      <c r="S2740" s="44"/>
      <c r="T2740" s="44"/>
    </row>
    <row r="2741" spans="12:20" x14ac:dyDescent="0.2">
      <c r="L2741" s="43"/>
      <c r="M2741" s="43"/>
      <c r="N2741" s="43"/>
      <c r="O2741" s="43"/>
      <c r="Q2741" s="44"/>
      <c r="R2741" s="44"/>
      <c r="S2741" s="44"/>
      <c r="T2741" s="44"/>
    </row>
    <row r="2742" spans="12:20" x14ac:dyDescent="0.2">
      <c r="L2742" s="43"/>
      <c r="M2742" s="43"/>
      <c r="N2742" s="43"/>
      <c r="O2742" s="43"/>
      <c r="Q2742" s="44"/>
      <c r="R2742" s="44"/>
      <c r="S2742" s="44"/>
      <c r="T2742" s="44"/>
    </row>
    <row r="2743" spans="12:20" x14ac:dyDescent="0.2">
      <c r="L2743" s="43"/>
      <c r="M2743" s="43"/>
      <c r="N2743" s="43"/>
      <c r="O2743" s="43"/>
      <c r="Q2743" s="44"/>
      <c r="R2743" s="44"/>
      <c r="S2743" s="44"/>
      <c r="T2743" s="44"/>
    </row>
    <row r="2744" spans="12:20" x14ac:dyDescent="0.2">
      <c r="L2744" s="43"/>
      <c r="M2744" s="43"/>
      <c r="N2744" s="43"/>
      <c r="O2744" s="43"/>
      <c r="Q2744" s="44"/>
      <c r="R2744" s="44"/>
      <c r="S2744" s="44"/>
      <c r="T2744" s="44"/>
    </row>
    <row r="2745" spans="12:20" x14ac:dyDescent="0.2">
      <c r="L2745" s="43"/>
      <c r="M2745" s="43"/>
      <c r="N2745" s="43"/>
      <c r="O2745" s="43"/>
      <c r="Q2745" s="44"/>
      <c r="R2745" s="44"/>
      <c r="S2745" s="44"/>
      <c r="T2745" s="44"/>
    </row>
    <row r="2746" spans="12:20" x14ac:dyDescent="0.2">
      <c r="L2746" s="43"/>
      <c r="M2746" s="43"/>
      <c r="N2746" s="43"/>
      <c r="O2746" s="43"/>
      <c r="Q2746" s="44"/>
      <c r="R2746" s="44"/>
      <c r="S2746" s="44"/>
      <c r="T2746" s="44"/>
    </row>
    <row r="2747" spans="12:20" x14ac:dyDescent="0.2">
      <c r="L2747" s="43"/>
      <c r="M2747" s="43"/>
      <c r="N2747" s="43"/>
      <c r="O2747" s="43"/>
      <c r="Q2747" s="44"/>
      <c r="R2747" s="44"/>
      <c r="S2747" s="44"/>
      <c r="T2747" s="44"/>
    </row>
    <row r="2748" spans="12:20" x14ac:dyDescent="0.2">
      <c r="L2748" s="43"/>
      <c r="M2748" s="43"/>
      <c r="N2748" s="43"/>
      <c r="O2748" s="43"/>
      <c r="Q2748" s="44"/>
      <c r="R2748" s="44"/>
      <c r="S2748" s="44"/>
      <c r="T2748" s="44"/>
    </row>
    <row r="2749" spans="12:20" x14ac:dyDescent="0.2">
      <c r="L2749" s="43"/>
      <c r="M2749" s="43"/>
      <c r="N2749" s="43"/>
      <c r="O2749" s="43"/>
      <c r="Q2749" s="44"/>
      <c r="R2749" s="44"/>
      <c r="S2749" s="44"/>
      <c r="T2749" s="44"/>
    </row>
    <row r="2750" spans="12:20" x14ac:dyDescent="0.2">
      <c r="L2750" s="43"/>
      <c r="M2750" s="43"/>
      <c r="N2750" s="43"/>
      <c r="O2750" s="43"/>
      <c r="Q2750" s="44"/>
      <c r="R2750" s="44"/>
      <c r="S2750" s="44"/>
      <c r="T2750" s="44"/>
    </row>
    <row r="2751" spans="12:20" x14ac:dyDescent="0.2">
      <c r="L2751" s="43"/>
      <c r="M2751" s="43"/>
      <c r="N2751" s="43"/>
      <c r="O2751" s="43"/>
      <c r="Q2751" s="44"/>
      <c r="R2751" s="44"/>
      <c r="S2751" s="44"/>
      <c r="T2751" s="44"/>
    </row>
    <row r="2752" spans="12:20" x14ac:dyDescent="0.2">
      <c r="L2752" s="43"/>
      <c r="M2752" s="43"/>
      <c r="N2752" s="43"/>
      <c r="O2752" s="43"/>
      <c r="Q2752" s="44"/>
      <c r="R2752" s="44"/>
      <c r="S2752" s="44"/>
      <c r="T2752" s="44"/>
    </row>
    <row r="2753" spans="12:20" x14ac:dyDescent="0.2">
      <c r="L2753" s="43"/>
      <c r="M2753" s="43"/>
      <c r="N2753" s="43"/>
      <c r="O2753" s="43"/>
      <c r="Q2753" s="44"/>
      <c r="R2753" s="44"/>
      <c r="S2753" s="44"/>
      <c r="T2753" s="44"/>
    </row>
    <row r="2754" spans="12:20" x14ac:dyDescent="0.2">
      <c r="L2754" s="43"/>
      <c r="M2754" s="43"/>
      <c r="N2754" s="43"/>
      <c r="O2754" s="43"/>
      <c r="Q2754" s="44"/>
      <c r="R2754" s="44"/>
      <c r="S2754" s="44"/>
      <c r="T2754" s="44"/>
    </row>
    <row r="2755" spans="12:20" x14ac:dyDescent="0.2">
      <c r="L2755" s="43"/>
      <c r="M2755" s="43"/>
      <c r="N2755" s="43"/>
      <c r="O2755" s="43"/>
      <c r="Q2755" s="44"/>
      <c r="R2755" s="44"/>
      <c r="S2755" s="44"/>
      <c r="T2755" s="44"/>
    </row>
    <row r="2756" spans="12:20" x14ac:dyDescent="0.2">
      <c r="L2756" s="43"/>
      <c r="M2756" s="43"/>
      <c r="N2756" s="43"/>
      <c r="O2756" s="43"/>
      <c r="Q2756" s="44"/>
      <c r="R2756" s="44"/>
      <c r="S2756" s="44"/>
      <c r="T2756" s="44"/>
    </row>
    <row r="2757" spans="12:20" x14ac:dyDescent="0.2">
      <c r="L2757" s="43"/>
      <c r="M2757" s="43"/>
      <c r="N2757" s="43"/>
      <c r="O2757" s="43"/>
      <c r="Q2757" s="44"/>
      <c r="R2757" s="44"/>
      <c r="S2757" s="44"/>
      <c r="T2757" s="44"/>
    </row>
    <row r="2758" spans="12:20" x14ac:dyDescent="0.2">
      <c r="L2758" s="43"/>
      <c r="M2758" s="43"/>
      <c r="N2758" s="43"/>
      <c r="O2758" s="43"/>
      <c r="Q2758" s="44"/>
      <c r="R2758" s="44"/>
      <c r="S2758" s="44"/>
      <c r="T2758" s="44"/>
    </row>
    <row r="2759" spans="12:20" x14ac:dyDescent="0.2">
      <c r="L2759" s="43"/>
      <c r="M2759" s="43"/>
      <c r="N2759" s="43"/>
      <c r="O2759" s="43"/>
      <c r="Q2759" s="44"/>
      <c r="R2759" s="44"/>
      <c r="S2759" s="44"/>
      <c r="T2759" s="44"/>
    </row>
    <row r="2760" spans="12:20" x14ac:dyDescent="0.2">
      <c r="L2760" s="43"/>
      <c r="M2760" s="43"/>
      <c r="N2760" s="43"/>
      <c r="O2760" s="43"/>
      <c r="Q2760" s="44"/>
      <c r="R2760" s="44"/>
      <c r="S2760" s="44"/>
      <c r="T2760" s="44"/>
    </row>
    <row r="2761" spans="12:20" x14ac:dyDescent="0.2">
      <c r="L2761" s="43"/>
      <c r="M2761" s="43"/>
      <c r="N2761" s="43"/>
      <c r="O2761" s="43"/>
      <c r="Q2761" s="44"/>
      <c r="R2761" s="44"/>
      <c r="S2761" s="44"/>
      <c r="T2761" s="44"/>
    </row>
    <row r="2762" spans="12:20" x14ac:dyDescent="0.2">
      <c r="L2762" s="43"/>
      <c r="M2762" s="43"/>
      <c r="N2762" s="43"/>
      <c r="O2762" s="43"/>
      <c r="Q2762" s="44"/>
      <c r="R2762" s="44"/>
      <c r="S2762" s="44"/>
      <c r="T2762" s="44"/>
    </row>
    <row r="2763" spans="12:20" x14ac:dyDescent="0.2">
      <c r="L2763" s="43"/>
      <c r="M2763" s="43"/>
      <c r="N2763" s="43"/>
      <c r="O2763" s="43"/>
      <c r="Q2763" s="44"/>
      <c r="R2763" s="44"/>
      <c r="S2763" s="44"/>
      <c r="T2763" s="44"/>
    </row>
    <row r="2764" spans="12:20" x14ac:dyDescent="0.2">
      <c r="L2764" s="43"/>
      <c r="M2764" s="43"/>
      <c r="N2764" s="43"/>
      <c r="O2764" s="43"/>
      <c r="Q2764" s="44"/>
      <c r="R2764" s="44"/>
      <c r="S2764" s="44"/>
      <c r="T2764" s="44"/>
    </row>
    <row r="2765" spans="12:20" x14ac:dyDescent="0.2">
      <c r="L2765" s="43"/>
      <c r="M2765" s="43"/>
      <c r="N2765" s="43"/>
      <c r="O2765" s="43"/>
      <c r="Q2765" s="44"/>
      <c r="R2765" s="44"/>
      <c r="S2765" s="44"/>
      <c r="T2765" s="44"/>
    </row>
    <row r="2766" spans="12:20" x14ac:dyDescent="0.2">
      <c r="L2766" s="43"/>
      <c r="M2766" s="43"/>
      <c r="N2766" s="43"/>
      <c r="O2766" s="43"/>
      <c r="Q2766" s="44"/>
      <c r="R2766" s="44"/>
      <c r="S2766" s="44"/>
      <c r="T2766" s="44"/>
    </row>
    <row r="2767" spans="12:20" x14ac:dyDescent="0.2">
      <c r="L2767" s="43"/>
      <c r="M2767" s="43"/>
      <c r="N2767" s="43"/>
      <c r="O2767" s="43"/>
      <c r="Q2767" s="44"/>
      <c r="R2767" s="44"/>
      <c r="S2767" s="44"/>
      <c r="T2767" s="44"/>
    </row>
    <row r="2768" spans="12:20" x14ac:dyDescent="0.2">
      <c r="L2768" s="43"/>
      <c r="M2768" s="43"/>
      <c r="N2768" s="43"/>
      <c r="O2768" s="43"/>
      <c r="Q2768" s="44"/>
      <c r="R2768" s="44"/>
      <c r="S2768" s="44"/>
      <c r="T2768" s="44"/>
    </row>
    <row r="2769" spans="12:20" x14ac:dyDescent="0.2">
      <c r="L2769" s="43"/>
      <c r="M2769" s="43"/>
      <c r="N2769" s="43"/>
      <c r="O2769" s="43"/>
      <c r="Q2769" s="44"/>
      <c r="R2769" s="44"/>
      <c r="S2769" s="44"/>
      <c r="T2769" s="44"/>
    </row>
    <row r="2770" spans="12:20" x14ac:dyDescent="0.2">
      <c r="L2770" s="43"/>
      <c r="M2770" s="43"/>
      <c r="N2770" s="43"/>
      <c r="O2770" s="43"/>
      <c r="Q2770" s="44"/>
      <c r="R2770" s="44"/>
      <c r="S2770" s="44"/>
      <c r="T2770" s="44"/>
    </row>
    <row r="2771" spans="12:20" x14ac:dyDescent="0.2">
      <c r="L2771" s="43"/>
      <c r="M2771" s="43"/>
      <c r="N2771" s="43"/>
      <c r="O2771" s="43"/>
      <c r="Q2771" s="44"/>
      <c r="R2771" s="44"/>
      <c r="S2771" s="44"/>
      <c r="T2771" s="44"/>
    </row>
    <row r="2772" spans="12:20" x14ac:dyDescent="0.2">
      <c r="L2772" s="43"/>
      <c r="M2772" s="43"/>
      <c r="N2772" s="43"/>
      <c r="O2772" s="43"/>
      <c r="Q2772" s="44"/>
      <c r="R2772" s="44"/>
      <c r="S2772" s="44"/>
      <c r="T2772" s="44"/>
    </row>
    <row r="2773" spans="12:20" x14ac:dyDescent="0.2">
      <c r="L2773" s="43"/>
      <c r="M2773" s="43"/>
      <c r="N2773" s="43"/>
      <c r="O2773" s="43"/>
      <c r="Q2773" s="44"/>
      <c r="R2773" s="44"/>
      <c r="S2773" s="44"/>
      <c r="T2773" s="44"/>
    </row>
    <row r="2774" spans="12:20" x14ac:dyDescent="0.2">
      <c r="L2774" s="43"/>
      <c r="M2774" s="43"/>
      <c r="N2774" s="43"/>
      <c r="O2774" s="43"/>
      <c r="Q2774" s="44"/>
      <c r="R2774" s="44"/>
      <c r="S2774" s="44"/>
      <c r="T2774" s="44"/>
    </row>
    <row r="2775" spans="12:20" x14ac:dyDescent="0.2">
      <c r="L2775" s="43"/>
      <c r="M2775" s="43"/>
      <c r="N2775" s="43"/>
      <c r="O2775" s="43"/>
      <c r="Q2775" s="44"/>
      <c r="R2775" s="44"/>
      <c r="S2775" s="44"/>
      <c r="T2775" s="44"/>
    </row>
    <row r="2776" spans="12:20" x14ac:dyDescent="0.2">
      <c r="L2776" s="43"/>
      <c r="M2776" s="43"/>
      <c r="N2776" s="43"/>
      <c r="O2776" s="43"/>
      <c r="Q2776" s="44"/>
      <c r="R2776" s="44"/>
      <c r="S2776" s="44"/>
      <c r="T2776" s="44"/>
    </row>
    <row r="2777" spans="12:20" x14ac:dyDescent="0.2">
      <c r="L2777" s="43"/>
      <c r="M2777" s="43"/>
      <c r="N2777" s="43"/>
      <c r="O2777" s="43"/>
      <c r="Q2777" s="44"/>
      <c r="R2777" s="44"/>
      <c r="S2777" s="44"/>
      <c r="T2777" s="44"/>
    </row>
    <row r="2778" spans="12:20" x14ac:dyDescent="0.2">
      <c r="L2778" s="43"/>
      <c r="M2778" s="43"/>
      <c r="N2778" s="43"/>
      <c r="O2778" s="43"/>
      <c r="Q2778" s="44"/>
      <c r="R2778" s="44"/>
      <c r="S2778" s="44"/>
      <c r="T2778" s="44"/>
    </row>
    <row r="2779" spans="12:20" x14ac:dyDescent="0.2">
      <c r="L2779" s="43"/>
      <c r="M2779" s="43"/>
      <c r="N2779" s="43"/>
      <c r="O2779" s="43"/>
      <c r="Q2779" s="44"/>
      <c r="R2779" s="44"/>
      <c r="S2779" s="44"/>
      <c r="T2779" s="44"/>
    </row>
    <row r="2780" spans="12:20" x14ac:dyDescent="0.2">
      <c r="L2780" s="43"/>
      <c r="M2780" s="43"/>
      <c r="N2780" s="43"/>
      <c r="O2780" s="43"/>
      <c r="Q2780" s="44"/>
      <c r="R2780" s="44"/>
      <c r="S2780" s="44"/>
      <c r="T2780" s="44"/>
    </row>
    <row r="2781" spans="12:20" x14ac:dyDescent="0.2">
      <c r="L2781" s="43"/>
      <c r="M2781" s="43"/>
      <c r="N2781" s="43"/>
      <c r="O2781" s="43"/>
      <c r="Q2781" s="44"/>
      <c r="R2781" s="44"/>
      <c r="S2781" s="44"/>
      <c r="T2781" s="44"/>
    </row>
    <row r="2782" spans="12:20" x14ac:dyDescent="0.2">
      <c r="L2782" s="43"/>
      <c r="M2782" s="43"/>
      <c r="N2782" s="43"/>
      <c r="O2782" s="43"/>
      <c r="Q2782" s="44"/>
      <c r="R2782" s="44"/>
      <c r="S2782" s="44"/>
      <c r="T2782" s="44"/>
    </row>
    <row r="2783" spans="12:20" x14ac:dyDescent="0.2">
      <c r="L2783" s="43"/>
      <c r="M2783" s="43"/>
      <c r="N2783" s="43"/>
      <c r="O2783" s="43"/>
      <c r="Q2783" s="44"/>
      <c r="R2783" s="44"/>
      <c r="S2783" s="44"/>
      <c r="T2783" s="44"/>
    </row>
    <row r="2784" spans="12:20" x14ac:dyDescent="0.2">
      <c r="L2784" s="43"/>
      <c r="M2784" s="43"/>
      <c r="N2784" s="43"/>
      <c r="O2784" s="43"/>
      <c r="Q2784" s="44"/>
      <c r="R2784" s="44"/>
      <c r="S2784" s="44"/>
      <c r="T2784" s="44"/>
    </row>
    <row r="2785" spans="12:20" x14ac:dyDescent="0.2">
      <c r="L2785" s="43"/>
      <c r="M2785" s="43"/>
      <c r="N2785" s="43"/>
      <c r="O2785" s="43"/>
      <c r="Q2785" s="44"/>
      <c r="R2785" s="44"/>
      <c r="S2785" s="44"/>
      <c r="T2785" s="44"/>
    </row>
    <row r="2786" spans="12:20" x14ac:dyDescent="0.2">
      <c r="L2786" s="43"/>
      <c r="M2786" s="43"/>
      <c r="N2786" s="43"/>
      <c r="O2786" s="43"/>
      <c r="Q2786" s="44"/>
      <c r="R2786" s="44"/>
      <c r="S2786" s="44"/>
      <c r="T2786" s="44"/>
    </row>
    <row r="2787" spans="12:20" x14ac:dyDescent="0.2">
      <c r="L2787" s="43"/>
      <c r="M2787" s="43"/>
      <c r="N2787" s="43"/>
      <c r="O2787" s="43"/>
      <c r="Q2787" s="44"/>
      <c r="R2787" s="44"/>
      <c r="S2787" s="44"/>
      <c r="T2787" s="44"/>
    </row>
    <row r="2788" spans="12:20" x14ac:dyDescent="0.2">
      <c r="L2788" s="43"/>
      <c r="M2788" s="43"/>
      <c r="N2788" s="43"/>
      <c r="O2788" s="43"/>
      <c r="Q2788" s="44"/>
      <c r="R2788" s="44"/>
      <c r="S2788" s="44"/>
      <c r="T2788" s="44"/>
    </row>
    <row r="2789" spans="12:20" x14ac:dyDescent="0.2">
      <c r="L2789" s="43"/>
      <c r="M2789" s="43"/>
      <c r="N2789" s="43"/>
      <c r="O2789" s="43"/>
      <c r="Q2789" s="44"/>
      <c r="R2789" s="44"/>
      <c r="S2789" s="44"/>
      <c r="T2789" s="44"/>
    </row>
    <row r="2790" spans="12:20" x14ac:dyDescent="0.2">
      <c r="L2790" s="43"/>
      <c r="M2790" s="43"/>
      <c r="N2790" s="43"/>
      <c r="O2790" s="43"/>
      <c r="Q2790" s="44"/>
      <c r="R2790" s="44"/>
      <c r="S2790" s="44"/>
      <c r="T2790" s="44"/>
    </row>
    <row r="2791" spans="12:20" x14ac:dyDescent="0.2">
      <c r="L2791" s="43"/>
      <c r="M2791" s="43"/>
      <c r="N2791" s="43"/>
      <c r="O2791" s="43"/>
      <c r="Q2791" s="44"/>
      <c r="R2791" s="44"/>
      <c r="S2791" s="44"/>
      <c r="T2791" s="44"/>
    </row>
    <row r="2792" spans="12:20" x14ac:dyDescent="0.2">
      <c r="L2792" s="43"/>
      <c r="M2792" s="43"/>
      <c r="N2792" s="43"/>
      <c r="O2792" s="43"/>
      <c r="Q2792" s="44"/>
      <c r="R2792" s="44"/>
      <c r="S2792" s="44"/>
      <c r="T2792" s="44"/>
    </row>
    <row r="2793" spans="12:20" x14ac:dyDescent="0.2">
      <c r="L2793" s="43"/>
      <c r="M2793" s="43"/>
      <c r="N2793" s="43"/>
      <c r="O2793" s="43"/>
      <c r="Q2793" s="44"/>
      <c r="R2793" s="44"/>
      <c r="S2793" s="44"/>
      <c r="T2793" s="44"/>
    </row>
    <row r="2794" spans="12:20" x14ac:dyDescent="0.2">
      <c r="L2794" s="43"/>
      <c r="M2794" s="43"/>
      <c r="N2794" s="43"/>
      <c r="O2794" s="43"/>
      <c r="Q2794" s="44"/>
      <c r="R2794" s="44"/>
      <c r="S2794" s="44"/>
      <c r="T2794" s="44"/>
    </row>
    <row r="2795" spans="12:20" x14ac:dyDescent="0.2">
      <c r="L2795" s="43"/>
      <c r="M2795" s="43"/>
      <c r="N2795" s="43"/>
      <c r="O2795" s="43"/>
      <c r="Q2795" s="44"/>
      <c r="R2795" s="44"/>
      <c r="S2795" s="44"/>
      <c r="T2795" s="44"/>
    </row>
    <row r="2796" spans="12:20" x14ac:dyDescent="0.2">
      <c r="L2796" s="43"/>
      <c r="M2796" s="43"/>
      <c r="N2796" s="43"/>
      <c r="O2796" s="43"/>
      <c r="Q2796" s="44"/>
      <c r="R2796" s="44"/>
      <c r="S2796" s="44"/>
      <c r="T2796" s="44"/>
    </row>
    <row r="2797" spans="12:20" x14ac:dyDescent="0.2">
      <c r="L2797" s="43"/>
      <c r="M2797" s="43"/>
      <c r="N2797" s="43"/>
      <c r="O2797" s="43"/>
      <c r="Q2797" s="44"/>
      <c r="R2797" s="44"/>
      <c r="S2797" s="44"/>
      <c r="T2797" s="44"/>
    </row>
    <row r="2798" spans="12:20" x14ac:dyDescent="0.2">
      <c r="L2798" s="43"/>
      <c r="M2798" s="43"/>
      <c r="N2798" s="43"/>
      <c r="O2798" s="43"/>
      <c r="Q2798" s="44"/>
      <c r="R2798" s="44"/>
      <c r="S2798" s="44"/>
      <c r="T2798" s="44"/>
    </row>
    <row r="2799" spans="12:20" x14ac:dyDescent="0.2">
      <c r="L2799" s="43"/>
      <c r="M2799" s="43"/>
      <c r="N2799" s="43"/>
      <c r="O2799" s="43"/>
      <c r="Q2799" s="44"/>
      <c r="R2799" s="44"/>
      <c r="S2799" s="44"/>
      <c r="T2799" s="44"/>
    </row>
    <row r="2800" spans="12:20" x14ac:dyDescent="0.2">
      <c r="L2800" s="43"/>
      <c r="M2800" s="43"/>
      <c r="N2800" s="43"/>
      <c r="O2800" s="43"/>
      <c r="Q2800" s="44"/>
      <c r="R2800" s="44"/>
      <c r="S2800" s="44"/>
      <c r="T2800" s="44"/>
    </row>
    <row r="2801" spans="12:20" x14ac:dyDescent="0.2">
      <c r="L2801" s="43"/>
      <c r="M2801" s="43"/>
      <c r="N2801" s="43"/>
      <c r="O2801" s="43"/>
      <c r="Q2801" s="44"/>
      <c r="R2801" s="44"/>
      <c r="S2801" s="44"/>
      <c r="T2801" s="44"/>
    </row>
    <row r="2802" spans="12:20" x14ac:dyDescent="0.2">
      <c r="L2802" s="43"/>
      <c r="M2802" s="43"/>
      <c r="N2802" s="43"/>
      <c r="O2802" s="43"/>
      <c r="Q2802" s="44"/>
      <c r="R2802" s="44"/>
      <c r="S2802" s="44"/>
      <c r="T2802" s="44"/>
    </row>
    <row r="2803" spans="12:20" x14ac:dyDescent="0.2">
      <c r="L2803" s="43"/>
      <c r="M2803" s="43"/>
      <c r="N2803" s="43"/>
      <c r="O2803" s="43"/>
      <c r="Q2803" s="44"/>
      <c r="R2803" s="44"/>
      <c r="S2803" s="44"/>
      <c r="T2803" s="44"/>
    </row>
    <row r="2804" spans="12:20" x14ac:dyDescent="0.2">
      <c r="L2804" s="43"/>
      <c r="M2804" s="43"/>
      <c r="N2804" s="43"/>
      <c r="O2804" s="43"/>
      <c r="Q2804" s="44"/>
      <c r="R2804" s="44"/>
      <c r="S2804" s="44"/>
      <c r="T2804" s="44"/>
    </row>
    <row r="2805" spans="12:20" x14ac:dyDescent="0.2">
      <c r="L2805" s="43"/>
      <c r="M2805" s="43"/>
      <c r="N2805" s="43"/>
      <c r="O2805" s="43"/>
      <c r="Q2805" s="44"/>
      <c r="R2805" s="44"/>
      <c r="S2805" s="44"/>
      <c r="T2805" s="44"/>
    </row>
    <row r="2806" spans="12:20" x14ac:dyDescent="0.2">
      <c r="L2806" s="43"/>
      <c r="M2806" s="43"/>
      <c r="N2806" s="43"/>
      <c r="O2806" s="43"/>
      <c r="Q2806" s="44"/>
      <c r="R2806" s="44"/>
      <c r="S2806" s="44"/>
      <c r="T2806" s="44"/>
    </row>
    <row r="2807" spans="12:20" x14ac:dyDescent="0.2">
      <c r="L2807" s="43"/>
      <c r="M2807" s="43"/>
      <c r="N2807" s="43"/>
      <c r="O2807" s="43"/>
      <c r="Q2807" s="44"/>
      <c r="R2807" s="44"/>
      <c r="S2807" s="44"/>
      <c r="T2807" s="44"/>
    </row>
    <row r="2808" spans="12:20" x14ac:dyDescent="0.2">
      <c r="L2808" s="43"/>
      <c r="M2808" s="43"/>
      <c r="N2808" s="43"/>
      <c r="O2808" s="43"/>
      <c r="Q2808" s="44"/>
      <c r="R2808" s="44"/>
      <c r="S2808" s="44"/>
      <c r="T2808" s="44"/>
    </row>
    <row r="2809" spans="12:20" x14ac:dyDescent="0.2">
      <c r="L2809" s="43"/>
      <c r="M2809" s="43"/>
      <c r="N2809" s="43"/>
      <c r="O2809" s="43"/>
      <c r="Q2809" s="44"/>
      <c r="R2809" s="44"/>
      <c r="S2809" s="44"/>
      <c r="T2809" s="44"/>
    </row>
    <row r="2810" spans="12:20" x14ac:dyDescent="0.2">
      <c r="L2810" s="43"/>
      <c r="M2810" s="43"/>
      <c r="N2810" s="43"/>
      <c r="O2810" s="43"/>
      <c r="Q2810" s="44"/>
      <c r="R2810" s="44"/>
      <c r="S2810" s="44"/>
      <c r="T2810" s="44"/>
    </row>
    <row r="2811" spans="12:20" x14ac:dyDescent="0.2">
      <c r="L2811" s="43"/>
      <c r="M2811" s="43"/>
      <c r="N2811" s="43"/>
      <c r="O2811" s="43"/>
      <c r="Q2811" s="44"/>
      <c r="R2811" s="44"/>
      <c r="S2811" s="44"/>
      <c r="T2811" s="44"/>
    </row>
    <row r="2812" spans="12:20" x14ac:dyDescent="0.2">
      <c r="L2812" s="43"/>
      <c r="M2812" s="43"/>
      <c r="N2812" s="43"/>
      <c r="O2812" s="43"/>
      <c r="Q2812" s="44"/>
      <c r="R2812" s="44"/>
      <c r="S2812" s="44"/>
      <c r="T2812" s="44"/>
    </row>
    <row r="2813" spans="12:20" x14ac:dyDescent="0.2">
      <c r="L2813" s="43"/>
      <c r="M2813" s="43"/>
      <c r="N2813" s="43"/>
      <c r="O2813" s="43"/>
      <c r="Q2813" s="44"/>
      <c r="R2813" s="44"/>
      <c r="S2813" s="44"/>
      <c r="T2813" s="44"/>
    </row>
    <row r="2814" spans="12:20" x14ac:dyDescent="0.2">
      <c r="L2814" s="43"/>
      <c r="M2814" s="43"/>
      <c r="N2814" s="43"/>
      <c r="O2814" s="43"/>
      <c r="Q2814" s="44"/>
      <c r="R2814" s="44"/>
      <c r="S2814" s="44"/>
      <c r="T2814" s="44"/>
    </row>
    <row r="2815" spans="12:20" x14ac:dyDescent="0.2">
      <c r="L2815" s="43"/>
      <c r="M2815" s="43"/>
      <c r="N2815" s="43"/>
      <c r="O2815" s="43"/>
      <c r="Q2815" s="44"/>
      <c r="R2815" s="44"/>
      <c r="S2815" s="44"/>
      <c r="T2815" s="44"/>
    </row>
    <row r="2816" spans="12:20" x14ac:dyDescent="0.2">
      <c r="L2816" s="43"/>
      <c r="M2816" s="43"/>
      <c r="N2816" s="43"/>
      <c r="O2816" s="43"/>
      <c r="Q2816" s="44"/>
      <c r="R2816" s="44"/>
      <c r="S2816" s="44"/>
      <c r="T2816" s="44"/>
    </row>
    <row r="2817" spans="12:20" x14ac:dyDescent="0.2">
      <c r="L2817" s="43"/>
      <c r="M2817" s="43"/>
      <c r="N2817" s="43"/>
      <c r="O2817" s="43"/>
      <c r="Q2817" s="44"/>
      <c r="R2817" s="44"/>
      <c r="S2817" s="44"/>
      <c r="T2817" s="44"/>
    </row>
    <row r="2818" spans="12:20" x14ac:dyDescent="0.2">
      <c r="L2818" s="43"/>
      <c r="M2818" s="43"/>
      <c r="N2818" s="43"/>
      <c r="O2818" s="43"/>
      <c r="Q2818" s="44"/>
      <c r="R2818" s="44"/>
      <c r="S2818" s="44"/>
      <c r="T2818" s="44"/>
    </row>
    <row r="2819" spans="12:20" x14ac:dyDescent="0.2">
      <c r="L2819" s="43"/>
      <c r="M2819" s="43"/>
      <c r="N2819" s="43"/>
      <c r="O2819" s="43"/>
      <c r="Q2819" s="44"/>
      <c r="R2819" s="44"/>
      <c r="S2819" s="44"/>
      <c r="T2819" s="44"/>
    </row>
    <row r="2820" spans="12:20" x14ac:dyDescent="0.2">
      <c r="L2820" s="43"/>
      <c r="M2820" s="43"/>
      <c r="N2820" s="43"/>
      <c r="O2820" s="43"/>
      <c r="Q2820" s="44"/>
      <c r="R2820" s="44"/>
      <c r="S2820" s="44"/>
      <c r="T2820" s="44"/>
    </row>
    <row r="2821" spans="12:20" x14ac:dyDescent="0.2">
      <c r="L2821" s="43"/>
      <c r="M2821" s="43"/>
      <c r="N2821" s="43"/>
      <c r="O2821" s="43"/>
      <c r="Q2821" s="44"/>
      <c r="R2821" s="44"/>
      <c r="S2821" s="44"/>
      <c r="T2821" s="44"/>
    </row>
    <row r="2822" spans="12:20" x14ac:dyDescent="0.2">
      <c r="L2822" s="43"/>
      <c r="M2822" s="43"/>
      <c r="N2822" s="43"/>
      <c r="O2822" s="43"/>
      <c r="Q2822" s="44"/>
      <c r="R2822" s="44"/>
      <c r="S2822" s="44"/>
      <c r="T2822" s="44"/>
    </row>
    <row r="2823" spans="12:20" x14ac:dyDescent="0.2">
      <c r="L2823" s="43"/>
      <c r="M2823" s="43"/>
      <c r="N2823" s="43"/>
      <c r="O2823" s="43"/>
      <c r="Q2823" s="44"/>
      <c r="R2823" s="44"/>
      <c r="S2823" s="44"/>
      <c r="T2823" s="44"/>
    </row>
    <row r="2824" spans="12:20" x14ac:dyDescent="0.2">
      <c r="L2824" s="43"/>
      <c r="M2824" s="43"/>
      <c r="N2824" s="43"/>
      <c r="O2824" s="43"/>
      <c r="Q2824" s="44"/>
      <c r="R2824" s="44"/>
      <c r="S2824" s="44"/>
      <c r="T2824" s="44"/>
    </row>
    <row r="2825" spans="12:20" x14ac:dyDescent="0.2">
      <c r="L2825" s="43"/>
      <c r="M2825" s="43"/>
      <c r="N2825" s="43"/>
      <c r="O2825" s="43"/>
      <c r="Q2825" s="44"/>
      <c r="R2825" s="44"/>
      <c r="S2825" s="44"/>
      <c r="T2825" s="44"/>
    </row>
    <row r="2826" spans="12:20" x14ac:dyDescent="0.2">
      <c r="L2826" s="43"/>
      <c r="M2826" s="43"/>
      <c r="N2826" s="43"/>
      <c r="O2826" s="43"/>
      <c r="Q2826" s="44"/>
      <c r="R2826" s="44"/>
      <c r="S2826" s="44"/>
      <c r="T2826" s="44"/>
    </row>
    <row r="2827" spans="12:20" x14ac:dyDescent="0.2">
      <c r="L2827" s="43"/>
      <c r="M2827" s="43"/>
      <c r="N2827" s="43"/>
      <c r="O2827" s="43"/>
      <c r="Q2827" s="44"/>
      <c r="R2827" s="44"/>
      <c r="S2827" s="44"/>
      <c r="T2827" s="44"/>
    </row>
    <row r="2828" spans="12:20" x14ac:dyDescent="0.2">
      <c r="L2828" s="43"/>
      <c r="M2828" s="43"/>
      <c r="N2828" s="43"/>
      <c r="O2828" s="43"/>
      <c r="Q2828" s="44"/>
      <c r="R2828" s="44"/>
      <c r="S2828" s="44"/>
      <c r="T2828" s="44"/>
    </row>
    <row r="2829" spans="12:20" x14ac:dyDescent="0.2">
      <c r="L2829" s="43"/>
      <c r="M2829" s="43"/>
      <c r="N2829" s="43"/>
      <c r="O2829" s="43"/>
      <c r="Q2829" s="44"/>
      <c r="R2829" s="44"/>
      <c r="S2829" s="44"/>
      <c r="T2829" s="44"/>
    </row>
    <row r="2830" spans="12:20" x14ac:dyDescent="0.2">
      <c r="L2830" s="43"/>
      <c r="M2830" s="43"/>
      <c r="N2830" s="43"/>
      <c r="O2830" s="43"/>
      <c r="Q2830" s="44"/>
      <c r="R2830" s="44"/>
      <c r="S2830" s="44"/>
      <c r="T2830" s="44"/>
    </row>
    <row r="2831" spans="12:20" x14ac:dyDescent="0.2">
      <c r="L2831" s="43"/>
      <c r="M2831" s="43"/>
      <c r="N2831" s="43"/>
      <c r="O2831" s="43"/>
      <c r="Q2831" s="44"/>
      <c r="R2831" s="44"/>
      <c r="S2831" s="44"/>
      <c r="T2831" s="44"/>
    </row>
    <row r="2832" spans="12:20" x14ac:dyDescent="0.2">
      <c r="L2832" s="43"/>
      <c r="M2832" s="43"/>
      <c r="N2832" s="43"/>
      <c r="O2832" s="43"/>
      <c r="Q2832" s="44"/>
      <c r="R2832" s="44"/>
      <c r="S2832" s="44"/>
      <c r="T2832" s="44"/>
    </row>
    <row r="2833" spans="12:20" x14ac:dyDescent="0.2">
      <c r="L2833" s="43"/>
      <c r="M2833" s="43"/>
      <c r="N2833" s="43"/>
      <c r="O2833" s="43"/>
      <c r="Q2833" s="44"/>
      <c r="R2833" s="44"/>
      <c r="S2833" s="44"/>
      <c r="T2833" s="44"/>
    </row>
    <row r="2834" spans="12:20" x14ac:dyDescent="0.2">
      <c r="L2834" s="43"/>
      <c r="M2834" s="43"/>
      <c r="N2834" s="43"/>
      <c r="O2834" s="43"/>
      <c r="Q2834" s="44"/>
      <c r="R2834" s="44"/>
      <c r="S2834" s="44"/>
      <c r="T2834" s="44"/>
    </row>
    <row r="2835" spans="12:20" x14ac:dyDescent="0.2">
      <c r="L2835" s="43"/>
      <c r="M2835" s="43"/>
      <c r="N2835" s="43"/>
      <c r="O2835" s="43"/>
      <c r="Q2835" s="44"/>
      <c r="R2835" s="44"/>
      <c r="S2835" s="44"/>
      <c r="T2835" s="44"/>
    </row>
    <row r="2836" spans="12:20" x14ac:dyDescent="0.2">
      <c r="L2836" s="43"/>
      <c r="M2836" s="43"/>
      <c r="N2836" s="43"/>
      <c r="O2836" s="43"/>
      <c r="Q2836" s="44"/>
      <c r="R2836" s="44"/>
      <c r="S2836" s="44"/>
      <c r="T2836" s="44"/>
    </row>
    <row r="2837" spans="12:20" x14ac:dyDescent="0.2">
      <c r="L2837" s="43"/>
      <c r="M2837" s="43"/>
      <c r="N2837" s="43"/>
      <c r="O2837" s="43"/>
      <c r="Q2837" s="44"/>
      <c r="R2837" s="44"/>
      <c r="S2837" s="44"/>
      <c r="T2837" s="44"/>
    </row>
    <row r="2838" spans="12:20" x14ac:dyDescent="0.2">
      <c r="L2838" s="43"/>
      <c r="M2838" s="43"/>
      <c r="N2838" s="43"/>
      <c r="O2838" s="43"/>
      <c r="Q2838" s="44"/>
      <c r="R2838" s="44"/>
      <c r="S2838" s="44"/>
      <c r="T2838" s="44"/>
    </row>
    <row r="2839" spans="12:20" x14ac:dyDescent="0.2">
      <c r="L2839" s="43"/>
      <c r="M2839" s="43"/>
      <c r="N2839" s="43"/>
      <c r="O2839" s="43"/>
      <c r="Q2839" s="44"/>
      <c r="R2839" s="44"/>
      <c r="S2839" s="44"/>
      <c r="T2839" s="44"/>
    </row>
    <row r="2840" spans="12:20" x14ac:dyDescent="0.2">
      <c r="L2840" s="43"/>
      <c r="M2840" s="43"/>
      <c r="N2840" s="43"/>
      <c r="O2840" s="43"/>
      <c r="Q2840" s="44"/>
      <c r="R2840" s="44"/>
      <c r="S2840" s="44"/>
      <c r="T2840" s="44"/>
    </row>
    <row r="2841" spans="12:20" x14ac:dyDescent="0.2">
      <c r="L2841" s="43"/>
      <c r="M2841" s="43"/>
      <c r="N2841" s="43"/>
      <c r="O2841" s="43"/>
      <c r="Q2841" s="44"/>
      <c r="R2841" s="44"/>
      <c r="S2841" s="44"/>
      <c r="T2841" s="44"/>
    </row>
    <row r="2842" spans="12:20" x14ac:dyDescent="0.2">
      <c r="L2842" s="43"/>
      <c r="M2842" s="43"/>
      <c r="N2842" s="43"/>
      <c r="O2842" s="43"/>
      <c r="Q2842" s="44"/>
      <c r="R2842" s="44"/>
      <c r="S2842" s="44"/>
      <c r="T2842" s="44"/>
    </row>
    <row r="2843" spans="12:20" x14ac:dyDescent="0.2">
      <c r="L2843" s="43"/>
      <c r="M2843" s="43"/>
      <c r="N2843" s="43"/>
      <c r="O2843" s="43"/>
      <c r="Q2843" s="44"/>
      <c r="R2843" s="44"/>
      <c r="S2843" s="44"/>
      <c r="T2843" s="44"/>
    </row>
    <row r="2844" spans="12:20" x14ac:dyDescent="0.2">
      <c r="L2844" s="43"/>
      <c r="M2844" s="43"/>
      <c r="N2844" s="43"/>
      <c r="O2844" s="43"/>
      <c r="Q2844" s="44"/>
      <c r="R2844" s="44"/>
      <c r="S2844" s="44"/>
      <c r="T2844" s="44"/>
    </row>
    <row r="2845" spans="12:20" x14ac:dyDescent="0.2">
      <c r="L2845" s="43"/>
      <c r="M2845" s="43"/>
      <c r="N2845" s="43"/>
      <c r="O2845" s="43"/>
      <c r="Q2845" s="44"/>
      <c r="R2845" s="44"/>
      <c r="S2845" s="44"/>
      <c r="T2845" s="44"/>
    </row>
    <row r="2846" spans="12:20" x14ac:dyDescent="0.2">
      <c r="L2846" s="43"/>
      <c r="M2846" s="43"/>
      <c r="N2846" s="43"/>
      <c r="O2846" s="43"/>
      <c r="Q2846" s="44"/>
      <c r="R2846" s="44"/>
      <c r="S2846" s="44"/>
      <c r="T2846" s="44"/>
    </row>
    <row r="2847" spans="12:20" x14ac:dyDescent="0.2">
      <c r="L2847" s="43"/>
      <c r="M2847" s="43"/>
      <c r="N2847" s="43"/>
      <c r="O2847" s="43"/>
      <c r="Q2847" s="44"/>
      <c r="R2847" s="44"/>
      <c r="S2847" s="44"/>
      <c r="T2847" s="44"/>
    </row>
    <row r="2848" spans="12:20" x14ac:dyDescent="0.2">
      <c r="L2848" s="43"/>
      <c r="M2848" s="43"/>
      <c r="N2848" s="43"/>
      <c r="O2848" s="43"/>
      <c r="Q2848" s="44"/>
      <c r="R2848" s="44"/>
      <c r="S2848" s="44"/>
      <c r="T2848" s="44"/>
    </row>
    <row r="2849" spans="12:20" x14ac:dyDescent="0.2">
      <c r="L2849" s="43"/>
      <c r="M2849" s="43"/>
      <c r="N2849" s="43"/>
      <c r="O2849" s="43"/>
      <c r="Q2849" s="44"/>
      <c r="R2849" s="44"/>
      <c r="S2849" s="44"/>
      <c r="T2849" s="44"/>
    </row>
    <row r="2850" spans="12:20" x14ac:dyDescent="0.2">
      <c r="L2850" s="43"/>
      <c r="M2850" s="43"/>
      <c r="N2850" s="43"/>
      <c r="O2850" s="43"/>
      <c r="Q2850" s="44"/>
      <c r="R2850" s="44"/>
      <c r="S2850" s="44"/>
      <c r="T2850" s="44"/>
    </row>
    <row r="2851" spans="12:20" x14ac:dyDescent="0.2">
      <c r="L2851" s="43"/>
      <c r="M2851" s="43"/>
      <c r="N2851" s="43"/>
      <c r="O2851" s="43"/>
      <c r="Q2851" s="44"/>
      <c r="R2851" s="44"/>
      <c r="S2851" s="44"/>
      <c r="T2851" s="44"/>
    </row>
    <row r="2852" spans="12:20" x14ac:dyDescent="0.2">
      <c r="L2852" s="43"/>
      <c r="M2852" s="43"/>
      <c r="N2852" s="43"/>
      <c r="O2852" s="43"/>
      <c r="Q2852" s="44"/>
      <c r="R2852" s="44"/>
      <c r="S2852" s="44"/>
      <c r="T2852" s="44"/>
    </row>
    <row r="2853" spans="12:20" x14ac:dyDescent="0.2">
      <c r="L2853" s="43"/>
      <c r="M2853" s="43"/>
      <c r="N2853" s="43"/>
      <c r="O2853" s="43"/>
      <c r="Q2853" s="44"/>
      <c r="R2853" s="44"/>
      <c r="S2853" s="44"/>
      <c r="T2853" s="44"/>
    </row>
    <row r="2854" spans="12:20" x14ac:dyDescent="0.2">
      <c r="L2854" s="43"/>
      <c r="M2854" s="43"/>
      <c r="N2854" s="43"/>
      <c r="O2854" s="43"/>
      <c r="Q2854" s="44"/>
      <c r="R2854" s="44"/>
      <c r="S2854" s="44"/>
      <c r="T2854" s="44"/>
    </row>
    <row r="2855" spans="12:20" x14ac:dyDescent="0.2">
      <c r="L2855" s="43"/>
      <c r="M2855" s="43"/>
      <c r="N2855" s="43"/>
      <c r="O2855" s="43"/>
      <c r="Q2855" s="44"/>
      <c r="R2855" s="44"/>
      <c r="S2855" s="44"/>
      <c r="T2855" s="44"/>
    </row>
    <row r="2856" spans="12:20" x14ac:dyDescent="0.2">
      <c r="L2856" s="43"/>
      <c r="M2856" s="43"/>
      <c r="N2856" s="43"/>
      <c r="O2856" s="43"/>
      <c r="Q2856" s="44"/>
      <c r="R2856" s="44"/>
      <c r="S2856" s="44"/>
      <c r="T2856" s="44"/>
    </row>
    <row r="2857" spans="12:20" x14ac:dyDescent="0.2">
      <c r="L2857" s="43"/>
      <c r="M2857" s="43"/>
      <c r="N2857" s="43"/>
      <c r="O2857" s="43"/>
      <c r="Q2857" s="44"/>
      <c r="R2857" s="44"/>
      <c r="S2857" s="44"/>
      <c r="T2857" s="44"/>
    </row>
    <row r="2858" spans="12:20" x14ac:dyDescent="0.2">
      <c r="L2858" s="43"/>
      <c r="M2858" s="43"/>
      <c r="N2858" s="43"/>
      <c r="O2858" s="43"/>
      <c r="Q2858" s="44"/>
      <c r="R2858" s="44"/>
      <c r="S2858" s="44"/>
      <c r="T2858" s="44"/>
    </row>
    <row r="2859" spans="12:20" x14ac:dyDescent="0.2">
      <c r="L2859" s="43"/>
      <c r="M2859" s="43"/>
      <c r="N2859" s="43"/>
      <c r="O2859" s="43"/>
      <c r="Q2859" s="44"/>
      <c r="R2859" s="44"/>
      <c r="S2859" s="44"/>
      <c r="T2859" s="44"/>
    </row>
    <row r="2860" spans="12:20" x14ac:dyDescent="0.2">
      <c r="L2860" s="43"/>
      <c r="M2860" s="43"/>
      <c r="N2860" s="43"/>
      <c r="O2860" s="43"/>
      <c r="Q2860" s="44"/>
      <c r="R2860" s="44"/>
      <c r="S2860" s="44"/>
      <c r="T2860" s="44"/>
    </row>
    <row r="2861" spans="12:20" x14ac:dyDescent="0.2">
      <c r="L2861" s="43"/>
      <c r="M2861" s="43"/>
      <c r="N2861" s="43"/>
      <c r="O2861" s="43"/>
      <c r="Q2861" s="44"/>
      <c r="R2861" s="44"/>
      <c r="S2861" s="44"/>
      <c r="T2861" s="44"/>
    </row>
    <row r="2862" spans="12:20" x14ac:dyDescent="0.2">
      <c r="L2862" s="43"/>
      <c r="M2862" s="43"/>
      <c r="N2862" s="43"/>
      <c r="O2862" s="43"/>
      <c r="Q2862" s="44"/>
      <c r="R2862" s="44"/>
      <c r="S2862" s="44"/>
      <c r="T2862" s="44"/>
    </row>
    <row r="2863" spans="12:20" x14ac:dyDescent="0.2">
      <c r="L2863" s="43"/>
      <c r="M2863" s="43"/>
      <c r="N2863" s="43"/>
      <c r="O2863" s="43"/>
      <c r="Q2863" s="44"/>
      <c r="R2863" s="44"/>
      <c r="S2863" s="44"/>
      <c r="T2863" s="44"/>
    </row>
    <row r="2864" spans="12:20" x14ac:dyDescent="0.2">
      <c r="L2864" s="43"/>
      <c r="M2864" s="43"/>
      <c r="N2864" s="43"/>
      <c r="O2864" s="43"/>
      <c r="Q2864" s="44"/>
      <c r="R2864" s="44"/>
      <c r="S2864" s="44"/>
      <c r="T2864" s="44"/>
    </row>
    <row r="2865" spans="12:20" x14ac:dyDescent="0.2">
      <c r="L2865" s="43"/>
      <c r="M2865" s="43"/>
      <c r="N2865" s="43"/>
      <c r="O2865" s="43"/>
      <c r="Q2865" s="44"/>
      <c r="R2865" s="44"/>
      <c r="S2865" s="44"/>
      <c r="T2865" s="44"/>
    </row>
    <row r="2866" spans="12:20" x14ac:dyDescent="0.2">
      <c r="L2866" s="43"/>
      <c r="M2866" s="43"/>
      <c r="N2866" s="43"/>
      <c r="O2866" s="43"/>
      <c r="Q2866" s="44"/>
      <c r="R2866" s="44"/>
      <c r="S2866" s="44"/>
      <c r="T2866" s="44"/>
    </row>
    <row r="2867" spans="12:20" x14ac:dyDescent="0.2">
      <c r="L2867" s="43"/>
      <c r="M2867" s="43"/>
      <c r="N2867" s="43"/>
      <c r="O2867" s="43"/>
      <c r="Q2867" s="44"/>
      <c r="R2867" s="44"/>
      <c r="S2867" s="44"/>
      <c r="T2867" s="44"/>
    </row>
    <row r="2868" spans="12:20" x14ac:dyDescent="0.2">
      <c r="L2868" s="43"/>
      <c r="M2868" s="43"/>
      <c r="N2868" s="43"/>
      <c r="O2868" s="43"/>
      <c r="Q2868" s="44"/>
      <c r="R2868" s="44"/>
      <c r="S2868" s="44"/>
      <c r="T2868" s="44"/>
    </row>
    <row r="2869" spans="12:20" x14ac:dyDescent="0.2">
      <c r="L2869" s="43"/>
      <c r="M2869" s="43"/>
      <c r="N2869" s="43"/>
      <c r="O2869" s="43"/>
      <c r="Q2869" s="44"/>
      <c r="R2869" s="44"/>
      <c r="S2869" s="44"/>
      <c r="T2869" s="44"/>
    </row>
    <row r="2870" spans="12:20" x14ac:dyDescent="0.2">
      <c r="L2870" s="43"/>
      <c r="M2870" s="43"/>
      <c r="N2870" s="43"/>
      <c r="O2870" s="43"/>
      <c r="Q2870" s="44"/>
      <c r="R2870" s="44"/>
      <c r="S2870" s="44"/>
      <c r="T2870" s="44"/>
    </row>
    <row r="2871" spans="12:20" x14ac:dyDescent="0.2">
      <c r="L2871" s="43"/>
      <c r="M2871" s="43"/>
      <c r="N2871" s="43"/>
      <c r="O2871" s="43"/>
      <c r="Q2871" s="44"/>
      <c r="R2871" s="44"/>
      <c r="S2871" s="44"/>
      <c r="T2871" s="44"/>
    </row>
    <row r="2872" spans="12:20" x14ac:dyDescent="0.2">
      <c r="L2872" s="43"/>
      <c r="M2872" s="43"/>
      <c r="N2872" s="43"/>
      <c r="O2872" s="43"/>
      <c r="Q2872" s="44"/>
      <c r="R2872" s="44"/>
      <c r="S2872" s="44"/>
      <c r="T2872" s="44"/>
    </row>
    <row r="2873" spans="12:20" x14ac:dyDescent="0.2">
      <c r="L2873" s="43"/>
      <c r="M2873" s="43"/>
      <c r="N2873" s="43"/>
      <c r="O2873" s="43"/>
      <c r="Q2873" s="44"/>
      <c r="R2873" s="44"/>
      <c r="S2873" s="44"/>
      <c r="T2873" s="44"/>
    </row>
    <row r="2874" spans="12:20" x14ac:dyDescent="0.2">
      <c r="L2874" s="43"/>
      <c r="M2874" s="43"/>
      <c r="N2874" s="43"/>
      <c r="O2874" s="43"/>
      <c r="Q2874" s="44"/>
      <c r="R2874" s="44"/>
      <c r="S2874" s="44"/>
      <c r="T2874" s="44"/>
    </row>
    <row r="2875" spans="12:20" x14ac:dyDescent="0.2">
      <c r="L2875" s="43"/>
      <c r="M2875" s="43"/>
      <c r="N2875" s="43"/>
      <c r="O2875" s="43"/>
      <c r="Q2875" s="44"/>
      <c r="R2875" s="44"/>
      <c r="S2875" s="44"/>
      <c r="T2875" s="44"/>
    </row>
    <row r="2876" spans="12:20" x14ac:dyDescent="0.2">
      <c r="L2876" s="43"/>
      <c r="M2876" s="43"/>
      <c r="N2876" s="43"/>
      <c r="O2876" s="43"/>
      <c r="Q2876" s="44"/>
      <c r="R2876" s="44"/>
      <c r="S2876" s="44"/>
      <c r="T2876" s="44"/>
    </row>
    <row r="2877" spans="12:20" x14ac:dyDescent="0.2">
      <c r="L2877" s="43"/>
      <c r="M2877" s="43"/>
      <c r="N2877" s="43"/>
      <c r="O2877" s="43"/>
      <c r="Q2877" s="44"/>
      <c r="R2877" s="44"/>
      <c r="S2877" s="44"/>
      <c r="T2877" s="44"/>
    </row>
    <row r="2878" spans="12:20" x14ac:dyDescent="0.2">
      <c r="L2878" s="43"/>
      <c r="M2878" s="43"/>
      <c r="N2878" s="43"/>
      <c r="O2878" s="43"/>
      <c r="Q2878" s="44"/>
      <c r="R2878" s="44"/>
      <c r="S2878" s="44"/>
      <c r="T2878" s="44"/>
    </row>
    <row r="2879" spans="12:20" x14ac:dyDescent="0.2">
      <c r="L2879" s="43"/>
      <c r="M2879" s="43"/>
      <c r="N2879" s="43"/>
      <c r="O2879" s="43"/>
      <c r="Q2879" s="44"/>
      <c r="R2879" s="44"/>
      <c r="S2879" s="44"/>
      <c r="T2879" s="44"/>
    </row>
    <row r="2880" spans="12:20" x14ac:dyDescent="0.2">
      <c r="L2880" s="43"/>
      <c r="M2880" s="43"/>
      <c r="N2880" s="43"/>
      <c r="O2880" s="43"/>
      <c r="Q2880" s="44"/>
      <c r="R2880" s="44"/>
      <c r="S2880" s="44"/>
      <c r="T2880" s="44"/>
    </row>
    <row r="2881" spans="12:20" x14ac:dyDescent="0.2">
      <c r="L2881" s="43"/>
      <c r="M2881" s="43"/>
      <c r="N2881" s="43"/>
      <c r="O2881" s="43"/>
      <c r="Q2881" s="44"/>
      <c r="R2881" s="44"/>
      <c r="S2881" s="44"/>
      <c r="T2881" s="44"/>
    </row>
    <row r="2882" spans="12:20" x14ac:dyDescent="0.2">
      <c r="L2882" s="43"/>
      <c r="M2882" s="43"/>
      <c r="N2882" s="43"/>
      <c r="O2882" s="43"/>
      <c r="Q2882" s="44"/>
      <c r="R2882" s="44"/>
      <c r="S2882" s="44"/>
      <c r="T2882" s="44"/>
    </row>
    <row r="2883" spans="12:20" x14ac:dyDescent="0.2">
      <c r="L2883" s="43"/>
      <c r="M2883" s="43"/>
      <c r="N2883" s="43"/>
      <c r="O2883" s="43"/>
      <c r="Q2883" s="44"/>
      <c r="R2883" s="44"/>
      <c r="S2883" s="44"/>
      <c r="T2883" s="44"/>
    </row>
    <row r="2884" spans="12:20" x14ac:dyDescent="0.2">
      <c r="L2884" s="43"/>
      <c r="M2884" s="43"/>
      <c r="N2884" s="43"/>
      <c r="O2884" s="43"/>
      <c r="Q2884" s="44"/>
      <c r="R2884" s="44"/>
      <c r="S2884" s="44"/>
      <c r="T2884" s="44"/>
    </row>
    <row r="2885" spans="12:20" x14ac:dyDescent="0.2">
      <c r="L2885" s="43"/>
      <c r="M2885" s="43"/>
      <c r="N2885" s="43"/>
      <c r="O2885" s="43"/>
      <c r="Q2885" s="44"/>
      <c r="R2885" s="44"/>
      <c r="S2885" s="44"/>
      <c r="T2885" s="44"/>
    </row>
    <row r="2886" spans="12:20" x14ac:dyDescent="0.2">
      <c r="L2886" s="43"/>
      <c r="M2886" s="43"/>
      <c r="N2886" s="43"/>
      <c r="O2886" s="43"/>
      <c r="Q2886" s="44"/>
      <c r="R2886" s="44"/>
      <c r="S2886" s="44"/>
      <c r="T2886" s="44"/>
    </row>
    <row r="2887" spans="12:20" x14ac:dyDescent="0.2">
      <c r="L2887" s="43"/>
      <c r="M2887" s="43"/>
      <c r="N2887" s="43"/>
      <c r="O2887" s="43"/>
      <c r="Q2887" s="44"/>
      <c r="R2887" s="44"/>
      <c r="S2887" s="44"/>
      <c r="T2887" s="44"/>
    </row>
    <row r="2888" spans="12:20" x14ac:dyDescent="0.2">
      <c r="L2888" s="43"/>
      <c r="M2888" s="43"/>
      <c r="N2888" s="43"/>
      <c r="O2888" s="43"/>
      <c r="Q2888" s="44"/>
      <c r="R2888" s="44"/>
      <c r="S2888" s="44"/>
      <c r="T2888" s="44"/>
    </row>
    <row r="2889" spans="12:20" x14ac:dyDescent="0.2">
      <c r="L2889" s="43"/>
      <c r="M2889" s="43"/>
      <c r="N2889" s="43"/>
      <c r="O2889" s="43"/>
      <c r="Q2889" s="44"/>
      <c r="R2889" s="44"/>
      <c r="S2889" s="44"/>
      <c r="T2889" s="44"/>
    </row>
    <row r="2890" spans="12:20" x14ac:dyDescent="0.2">
      <c r="L2890" s="43"/>
      <c r="M2890" s="43"/>
      <c r="N2890" s="43"/>
      <c r="O2890" s="43"/>
      <c r="Q2890" s="44"/>
      <c r="R2890" s="44"/>
      <c r="S2890" s="44"/>
      <c r="T2890" s="44"/>
    </row>
    <row r="2891" spans="12:20" x14ac:dyDescent="0.2">
      <c r="L2891" s="43"/>
      <c r="M2891" s="43"/>
      <c r="N2891" s="43"/>
      <c r="O2891" s="43"/>
      <c r="Q2891" s="44"/>
      <c r="R2891" s="44"/>
      <c r="S2891" s="44"/>
      <c r="T2891" s="44"/>
    </row>
    <row r="2892" spans="12:20" x14ac:dyDescent="0.2">
      <c r="L2892" s="43"/>
      <c r="M2892" s="43"/>
      <c r="N2892" s="43"/>
      <c r="O2892" s="43"/>
      <c r="Q2892" s="44"/>
      <c r="R2892" s="44"/>
      <c r="S2892" s="44"/>
      <c r="T2892" s="44"/>
    </row>
    <row r="2893" spans="12:20" x14ac:dyDescent="0.2">
      <c r="L2893" s="43"/>
      <c r="M2893" s="43"/>
      <c r="N2893" s="43"/>
      <c r="O2893" s="43"/>
      <c r="Q2893" s="44"/>
      <c r="R2893" s="44"/>
      <c r="S2893" s="44"/>
      <c r="T2893" s="44"/>
    </row>
    <row r="2894" spans="12:20" x14ac:dyDescent="0.2">
      <c r="L2894" s="43"/>
      <c r="M2894" s="43"/>
      <c r="N2894" s="43"/>
      <c r="O2894" s="43"/>
      <c r="Q2894" s="44"/>
      <c r="R2894" s="44"/>
      <c r="S2894" s="44"/>
      <c r="T2894" s="44"/>
    </row>
    <row r="2895" spans="12:20" x14ac:dyDescent="0.2">
      <c r="L2895" s="43"/>
      <c r="M2895" s="43"/>
      <c r="N2895" s="43"/>
      <c r="O2895" s="43"/>
      <c r="Q2895" s="44"/>
      <c r="R2895" s="44"/>
      <c r="S2895" s="44"/>
      <c r="T2895" s="44"/>
    </row>
    <row r="2896" spans="12:20" x14ac:dyDescent="0.2">
      <c r="L2896" s="43"/>
      <c r="M2896" s="43"/>
      <c r="N2896" s="43"/>
      <c r="O2896" s="43"/>
      <c r="Q2896" s="44"/>
      <c r="R2896" s="44"/>
      <c r="S2896" s="44"/>
      <c r="T2896" s="44"/>
    </row>
    <row r="2897" spans="12:20" x14ac:dyDescent="0.2">
      <c r="L2897" s="43"/>
      <c r="M2897" s="43"/>
      <c r="N2897" s="43"/>
      <c r="O2897" s="43"/>
      <c r="Q2897" s="44"/>
      <c r="R2897" s="44"/>
      <c r="S2897" s="44"/>
      <c r="T2897" s="44"/>
    </row>
    <row r="2898" spans="12:20" x14ac:dyDescent="0.2">
      <c r="L2898" s="43"/>
      <c r="M2898" s="43"/>
      <c r="N2898" s="43"/>
      <c r="O2898" s="43"/>
      <c r="Q2898" s="44"/>
      <c r="R2898" s="44"/>
      <c r="S2898" s="44"/>
      <c r="T2898" s="44"/>
    </row>
    <row r="2899" spans="12:20" x14ac:dyDescent="0.2">
      <c r="L2899" s="43"/>
      <c r="M2899" s="43"/>
      <c r="N2899" s="43"/>
      <c r="O2899" s="43"/>
      <c r="Q2899" s="44"/>
      <c r="R2899" s="44"/>
      <c r="S2899" s="44"/>
      <c r="T2899" s="44"/>
    </row>
    <row r="2900" spans="12:20" x14ac:dyDescent="0.2">
      <c r="L2900" s="43"/>
      <c r="M2900" s="43"/>
      <c r="N2900" s="43"/>
      <c r="O2900" s="43"/>
      <c r="Q2900" s="44"/>
      <c r="R2900" s="44"/>
      <c r="S2900" s="44"/>
      <c r="T2900" s="44"/>
    </row>
    <row r="2901" spans="12:20" x14ac:dyDescent="0.2">
      <c r="L2901" s="43"/>
      <c r="M2901" s="43"/>
      <c r="N2901" s="43"/>
      <c r="O2901" s="43"/>
      <c r="Q2901" s="44"/>
      <c r="R2901" s="44"/>
      <c r="S2901" s="44"/>
      <c r="T2901" s="44"/>
    </row>
    <row r="2902" spans="12:20" x14ac:dyDescent="0.2">
      <c r="L2902" s="43"/>
      <c r="M2902" s="43"/>
      <c r="N2902" s="43"/>
      <c r="O2902" s="43"/>
      <c r="Q2902" s="44"/>
      <c r="R2902" s="44"/>
      <c r="S2902" s="44"/>
      <c r="T2902" s="44"/>
    </row>
    <row r="2903" spans="12:20" x14ac:dyDescent="0.2">
      <c r="L2903" s="43"/>
      <c r="M2903" s="43"/>
      <c r="N2903" s="43"/>
      <c r="O2903" s="43"/>
      <c r="Q2903" s="44"/>
      <c r="R2903" s="44"/>
      <c r="S2903" s="44"/>
      <c r="T2903" s="44"/>
    </row>
    <row r="2904" spans="12:20" x14ac:dyDescent="0.2">
      <c r="L2904" s="43"/>
      <c r="M2904" s="43"/>
      <c r="N2904" s="43"/>
      <c r="O2904" s="43"/>
      <c r="Q2904" s="44"/>
      <c r="R2904" s="44"/>
      <c r="S2904" s="44"/>
      <c r="T2904" s="44"/>
    </row>
    <row r="2905" spans="12:20" x14ac:dyDescent="0.2">
      <c r="L2905" s="43"/>
      <c r="M2905" s="43"/>
      <c r="N2905" s="43"/>
      <c r="O2905" s="43"/>
      <c r="Q2905" s="44"/>
      <c r="R2905" s="44"/>
      <c r="S2905" s="44"/>
      <c r="T2905" s="44"/>
    </row>
    <row r="2906" spans="12:20" x14ac:dyDescent="0.2">
      <c r="L2906" s="43"/>
      <c r="M2906" s="43"/>
      <c r="N2906" s="43"/>
      <c r="O2906" s="43"/>
      <c r="Q2906" s="44"/>
      <c r="R2906" s="44"/>
      <c r="S2906" s="44"/>
      <c r="T2906" s="44"/>
    </row>
    <row r="2907" spans="12:20" x14ac:dyDescent="0.2">
      <c r="L2907" s="43"/>
      <c r="M2907" s="43"/>
      <c r="N2907" s="43"/>
      <c r="O2907" s="43"/>
      <c r="Q2907" s="44"/>
      <c r="R2907" s="44"/>
      <c r="S2907" s="44"/>
      <c r="T2907" s="44"/>
    </row>
    <row r="2908" spans="12:20" x14ac:dyDescent="0.2">
      <c r="L2908" s="43"/>
      <c r="M2908" s="43"/>
      <c r="N2908" s="43"/>
      <c r="O2908" s="43"/>
      <c r="Q2908" s="44"/>
      <c r="R2908" s="44"/>
      <c r="S2908" s="44"/>
      <c r="T2908" s="44"/>
    </row>
    <row r="2909" spans="12:20" x14ac:dyDescent="0.2">
      <c r="L2909" s="43"/>
      <c r="M2909" s="43"/>
      <c r="N2909" s="43"/>
      <c r="O2909" s="43"/>
      <c r="Q2909" s="44"/>
      <c r="R2909" s="44"/>
      <c r="S2909" s="44"/>
      <c r="T2909" s="44"/>
    </row>
    <row r="2910" spans="12:20" x14ac:dyDescent="0.2">
      <c r="L2910" s="43"/>
      <c r="M2910" s="43"/>
      <c r="N2910" s="43"/>
      <c r="O2910" s="43"/>
      <c r="Q2910" s="44"/>
      <c r="R2910" s="44"/>
      <c r="S2910" s="44"/>
      <c r="T2910" s="44"/>
    </row>
    <row r="2911" spans="12:20" x14ac:dyDescent="0.2">
      <c r="L2911" s="43"/>
      <c r="M2911" s="43"/>
      <c r="N2911" s="43"/>
      <c r="O2911" s="43"/>
      <c r="Q2911" s="44"/>
      <c r="R2911" s="44"/>
      <c r="S2911" s="44"/>
      <c r="T2911" s="44"/>
    </row>
    <row r="2912" spans="12:20" x14ac:dyDescent="0.2">
      <c r="L2912" s="43"/>
      <c r="M2912" s="43"/>
      <c r="N2912" s="43"/>
      <c r="O2912" s="43"/>
      <c r="Q2912" s="44"/>
      <c r="R2912" s="44"/>
      <c r="S2912" s="44"/>
      <c r="T2912" s="44"/>
    </row>
    <row r="2913" spans="12:20" x14ac:dyDescent="0.2">
      <c r="L2913" s="43"/>
      <c r="M2913" s="43"/>
      <c r="N2913" s="43"/>
      <c r="O2913" s="43"/>
      <c r="Q2913" s="44"/>
      <c r="R2913" s="44"/>
      <c r="S2913" s="44"/>
      <c r="T2913" s="44"/>
    </row>
    <row r="2914" spans="12:20" x14ac:dyDescent="0.2">
      <c r="L2914" s="43"/>
      <c r="M2914" s="43"/>
      <c r="N2914" s="43"/>
      <c r="O2914" s="43"/>
      <c r="Q2914" s="44"/>
      <c r="R2914" s="44"/>
      <c r="S2914" s="44"/>
      <c r="T2914" s="44"/>
    </row>
    <row r="2915" spans="12:20" x14ac:dyDescent="0.2">
      <c r="L2915" s="43"/>
      <c r="M2915" s="43"/>
      <c r="N2915" s="43"/>
      <c r="O2915" s="43"/>
      <c r="Q2915" s="44"/>
      <c r="R2915" s="44"/>
      <c r="S2915" s="44"/>
      <c r="T2915" s="44"/>
    </row>
    <row r="2916" spans="12:20" x14ac:dyDescent="0.2">
      <c r="L2916" s="43"/>
      <c r="M2916" s="43"/>
      <c r="N2916" s="43"/>
      <c r="O2916" s="43"/>
      <c r="Q2916" s="44"/>
      <c r="R2916" s="44"/>
      <c r="S2916" s="44"/>
      <c r="T2916" s="44"/>
    </row>
    <row r="2917" spans="12:20" x14ac:dyDescent="0.2">
      <c r="L2917" s="43"/>
      <c r="M2917" s="43"/>
      <c r="N2917" s="43"/>
      <c r="O2917" s="43"/>
      <c r="Q2917" s="44"/>
      <c r="R2917" s="44"/>
      <c r="S2917" s="44"/>
      <c r="T2917" s="44"/>
    </row>
    <row r="2918" spans="12:20" x14ac:dyDescent="0.2">
      <c r="L2918" s="43"/>
      <c r="M2918" s="43"/>
      <c r="N2918" s="43"/>
      <c r="O2918" s="43"/>
      <c r="Q2918" s="44"/>
      <c r="R2918" s="44"/>
      <c r="S2918" s="44"/>
      <c r="T2918" s="44"/>
    </row>
    <row r="2919" spans="12:20" x14ac:dyDescent="0.2">
      <c r="L2919" s="43"/>
      <c r="M2919" s="43"/>
      <c r="N2919" s="43"/>
      <c r="O2919" s="43"/>
      <c r="Q2919" s="44"/>
      <c r="R2919" s="44"/>
      <c r="S2919" s="44"/>
      <c r="T2919" s="44"/>
    </row>
    <row r="2920" spans="12:20" x14ac:dyDescent="0.2">
      <c r="L2920" s="43"/>
      <c r="M2920" s="43"/>
      <c r="N2920" s="43"/>
      <c r="O2920" s="43"/>
      <c r="Q2920" s="44"/>
      <c r="R2920" s="44"/>
      <c r="S2920" s="44"/>
      <c r="T2920" s="44"/>
    </row>
    <row r="2921" spans="12:20" x14ac:dyDescent="0.2">
      <c r="L2921" s="43"/>
      <c r="M2921" s="43"/>
      <c r="N2921" s="43"/>
      <c r="O2921" s="43"/>
      <c r="Q2921" s="44"/>
      <c r="R2921" s="44"/>
      <c r="S2921" s="44"/>
      <c r="T2921" s="44"/>
    </row>
    <row r="2922" spans="12:20" x14ac:dyDescent="0.2">
      <c r="L2922" s="43"/>
      <c r="M2922" s="43"/>
      <c r="N2922" s="43"/>
      <c r="O2922" s="43"/>
      <c r="Q2922" s="44"/>
      <c r="R2922" s="44"/>
      <c r="S2922" s="44"/>
      <c r="T2922" s="44"/>
    </row>
    <row r="2923" spans="12:20" x14ac:dyDescent="0.2">
      <c r="L2923" s="43"/>
      <c r="M2923" s="43"/>
      <c r="N2923" s="43"/>
      <c r="O2923" s="43"/>
      <c r="Q2923" s="44"/>
      <c r="R2923" s="44"/>
      <c r="S2923" s="44"/>
      <c r="T2923" s="44"/>
    </row>
    <row r="2924" spans="12:20" x14ac:dyDescent="0.2">
      <c r="L2924" s="43"/>
      <c r="M2924" s="43"/>
      <c r="N2924" s="43"/>
      <c r="O2924" s="43"/>
      <c r="Q2924" s="44"/>
      <c r="R2924" s="44"/>
      <c r="S2924" s="44"/>
      <c r="T2924" s="44"/>
    </row>
    <row r="2925" spans="12:20" x14ac:dyDescent="0.2">
      <c r="L2925" s="43"/>
      <c r="M2925" s="43"/>
      <c r="N2925" s="43"/>
      <c r="O2925" s="43"/>
      <c r="Q2925" s="44"/>
      <c r="R2925" s="44"/>
      <c r="S2925" s="44"/>
      <c r="T2925" s="44"/>
    </row>
    <row r="2926" spans="12:20" x14ac:dyDescent="0.2">
      <c r="L2926" s="43"/>
      <c r="M2926" s="43"/>
      <c r="N2926" s="43"/>
      <c r="O2926" s="43"/>
      <c r="Q2926" s="44"/>
      <c r="R2926" s="44"/>
      <c r="S2926" s="44"/>
      <c r="T2926" s="44"/>
    </row>
    <row r="2927" spans="12:20" x14ac:dyDescent="0.2">
      <c r="L2927" s="43"/>
      <c r="M2927" s="43"/>
      <c r="N2927" s="43"/>
      <c r="O2927" s="43"/>
      <c r="Q2927" s="44"/>
      <c r="R2927" s="44"/>
      <c r="S2927" s="44"/>
      <c r="T2927" s="44"/>
    </row>
    <row r="2928" spans="12:20" x14ac:dyDescent="0.2">
      <c r="L2928" s="43"/>
      <c r="M2928" s="43"/>
      <c r="N2928" s="43"/>
      <c r="O2928" s="43"/>
      <c r="Q2928" s="44"/>
      <c r="R2928" s="44"/>
      <c r="S2928" s="44"/>
      <c r="T2928" s="44"/>
    </row>
    <row r="2929" spans="12:20" x14ac:dyDescent="0.2">
      <c r="L2929" s="43"/>
      <c r="M2929" s="43"/>
      <c r="N2929" s="43"/>
      <c r="O2929" s="43"/>
      <c r="Q2929" s="44"/>
      <c r="R2929" s="44"/>
      <c r="S2929" s="44"/>
      <c r="T2929" s="44"/>
    </row>
    <row r="2930" spans="12:20" x14ac:dyDescent="0.2">
      <c r="L2930" s="43"/>
      <c r="M2930" s="43"/>
      <c r="N2930" s="43"/>
      <c r="O2930" s="43"/>
      <c r="Q2930" s="44"/>
      <c r="R2930" s="44"/>
      <c r="S2930" s="44"/>
      <c r="T2930" s="44"/>
    </row>
    <row r="2931" spans="12:20" x14ac:dyDescent="0.2">
      <c r="L2931" s="43"/>
      <c r="M2931" s="43"/>
      <c r="N2931" s="43"/>
      <c r="O2931" s="43"/>
      <c r="Q2931" s="44"/>
      <c r="R2931" s="44"/>
      <c r="S2931" s="44"/>
      <c r="T2931" s="44"/>
    </row>
    <row r="2932" spans="12:20" x14ac:dyDescent="0.2">
      <c r="L2932" s="43"/>
      <c r="M2932" s="43"/>
      <c r="N2932" s="43"/>
      <c r="O2932" s="43"/>
      <c r="Q2932" s="44"/>
      <c r="R2932" s="44"/>
      <c r="S2932" s="44"/>
      <c r="T2932" s="44"/>
    </row>
    <row r="2933" spans="12:20" x14ac:dyDescent="0.2">
      <c r="L2933" s="43"/>
      <c r="M2933" s="43"/>
      <c r="N2933" s="43"/>
      <c r="O2933" s="43"/>
      <c r="Q2933" s="44"/>
      <c r="R2933" s="44"/>
      <c r="S2933" s="44"/>
      <c r="T2933" s="44"/>
    </row>
    <row r="2934" spans="12:20" x14ac:dyDescent="0.2">
      <c r="L2934" s="43"/>
      <c r="M2934" s="43"/>
      <c r="N2934" s="43"/>
      <c r="O2934" s="43"/>
      <c r="Q2934" s="44"/>
      <c r="R2934" s="44"/>
      <c r="S2934" s="44"/>
      <c r="T2934" s="44"/>
    </row>
    <row r="2935" spans="12:20" x14ac:dyDescent="0.2">
      <c r="L2935" s="43"/>
      <c r="M2935" s="43"/>
      <c r="N2935" s="43"/>
      <c r="O2935" s="43"/>
      <c r="Q2935" s="44"/>
      <c r="R2935" s="44"/>
      <c r="S2935" s="44"/>
      <c r="T2935" s="44"/>
    </row>
    <row r="2936" spans="12:20" x14ac:dyDescent="0.2">
      <c r="L2936" s="43"/>
      <c r="M2936" s="43"/>
      <c r="N2936" s="43"/>
      <c r="O2936" s="43"/>
      <c r="Q2936" s="44"/>
      <c r="R2936" s="44"/>
      <c r="S2936" s="44"/>
      <c r="T2936" s="44"/>
    </row>
    <row r="2937" spans="12:20" x14ac:dyDescent="0.2">
      <c r="L2937" s="43"/>
      <c r="M2937" s="43"/>
      <c r="N2937" s="43"/>
      <c r="O2937" s="43"/>
      <c r="Q2937" s="44"/>
      <c r="R2937" s="44"/>
      <c r="S2937" s="44"/>
      <c r="T2937" s="44"/>
    </row>
    <row r="2938" spans="12:20" x14ac:dyDescent="0.2">
      <c r="L2938" s="43"/>
      <c r="M2938" s="43"/>
      <c r="N2938" s="43"/>
      <c r="O2938" s="43"/>
      <c r="Q2938" s="44"/>
      <c r="R2938" s="44"/>
      <c r="S2938" s="44"/>
      <c r="T2938" s="44"/>
    </row>
    <row r="2939" spans="12:20" x14ac:dyDescent="0.2">
      <c r="L2939" s="43"/>
      <c r="M2939" s="43"/>
      <c r="N2939" s="43"/>
      <c r="O2939" s="43"/>
      <c r="Q2939" s="44"/>
      <c r="R2939" s="44"/>
      <c r="S2939" s="44"/>
      <c r="T2939" s="44"/>
    </row>
    <row r="2940" spans="12:20" x14ac:dyDescent="0.2">
      <c r="L2940" s="43"/>
      <c r="M2940" s="43"/>
      <c r="N2940" s="43"/>
      <c r="O2940" s="43"/>
      <c r="Q2940" s="44"/>
      <c r="R2940" s="44"/>
      <c r="S2940" s="44"/>
      <c r="T2940" s="44"/>
    </row>
    <row r="2941" spans="12:20" x14ac:dyDescent="0.2">
      <c r="L2941" s="43"/>
      <c r="M2941" s="43"/>
      <c r="N2941" s="43"/>
      <c r="O2941" s="43"/>
      <c r="Q2941" s="44"/>
      <c r="R2941" s="44"/>
      <c r="S2941" s="44"/>
      <c r="T2941" s="44"/>
    </row>
    <row r="2942" spans="12:20" x14ac:dyDescent="0.2">
      <c r="L2942" s="43"/>
      <c r="M2942" s="43"/>
      <c r="N2942" s="43"/>
      <c r="O2942" s="43"/>
      <c r="Q2942" s="44"/>
      <c r="R2942" s="44"/>
      <c r="S2942" s="44"/>
      <c r="T2942" s="44"/>
    </row>
    <row r="2943" spans="12:20" x14ac:dyDescent="0.2">
      <c r="L2943" s="43"/>
      <c r="M2943" s="43"/>
      <c r="N2943" s="43"/>
      <c r="O2943" s="43"/>
      <c r="Q2943" s="44"/>
      <c r="R2943" s="44"/>
      <c r="S2943" s="44"/>
      <c r="T2943" s="44"/>
    </row>
    <row r="2944" spans="12:20" x14ac:dyDescent="0.2">
      <c r="L2944" s="43"/>
      <c r="M2944" s="43"/>
      <c r="N2944" s="43"/>
      <c r="O2944" s="43"/>
      <c r="Q2944" s="44"/>
      <c r="R2944" s="44"/>
      <c r="S2944" s="44"/>
      <c r="T2944" s="44"/>
    </row>
    <row r="2945" spans="12:20" x14ac:dyDescent="0.2">
      <c r="L2945" s="43"/>
      <c r="M2945" s="43"/>
      <c r="N2945" s="43"/>
      <c r="O2945" s="43"/>
      <c r="Q2945" s="44"/>
      <c r="R2945" s="44"/>
      <c r="S2945" s="44"/>
      <c r="T2945" s="44"/>
    </row>
    <row r="2946" spans="12:20" x14ac:dyDescent="0.2">
      <c r="L2946" s="43"/>
      <c r="M2946" s="43"/>
      <c r="N2946" s="43"/>
      <c r="O2946" s="43"/>
      <c r="Q2946" s="44"/>
      <c r="R2946" s="44"/>
      <c r="S2946" s="44"/>
      <c r="T2946" s="44"/>
    </row>
    <row r="2947" spans="12:20" x14ac:dyDescent="0.2">
      <c r="L2947" s="43"/>
      <c r="M2947" s="43"/>
      <c r="N2947" s="43"/>
      <c r="O2947" s="43"/>
      <c r="Q2947" s="44"/>
      <c r="R2947" s="44"/>
      <c r="S2947" s="44"/>
      <c r="T2947" s="44"/>
    </row>
    <row r="2948" spans="12:20" x14ac:dyDescent="0.2">
      <c r="L2948" s="43"/>
      <c r="M2948" s="43"/>
      <c r="N2948" s="43"/>
      <c r="O2948" s="43"/>
      <c r="Q2948" s="44"/>
      <c r="R2948" s="44"/>
      <c r="S2948" s="44"/>
      <c r="T2948" s="44"/>
    </row>
    <row r="2949" spans="12:20" x14ac:dyDescent="0.2">
      <c r="L2949" s="43"/>
      <c r="M2949" s="43"/>
      <c r="N2949" s="43"/>
      <c r="O2949" s="43"/>
      <c r="Q2949" s="44"/>
      <c r="R2949" s="44"/>
      <c r="S2949" s="44"/>
      <c r="T2949" s="44"/>
    </row>
    <row r="2950" spans="12:20" x14ac:dyDescent="0.2">
      <c r="L2950" s="43"/>
      <c r="M2950" s="43"/>
      <c r="N2950" s="43"/>
      <c r="O2950" s="43"/>
      <c r="Q2950" s="44"/>
      <c r="R2950" s="44"/>
      <c r="S2950" s="44"/>
      <c r="T2950" s="44"/>
    </row>
    <row r="2951" spans="12:20" x14ac:dyDescent="0.2">
      <c r="L2951" s="43"/>
      <c r="M2951" s="43"/>
      <c r="N2951" s="43"/>
      <c r="O2951" s="43"/>
      <c r="Q2951" s="44"/>
      <c r="R2951" s="44"/>
      <c r="S2951" s="44"/>
      <c r="T2951" s="44"/>
    </row>
    <row r="2952" spans="12:20" x14ac:dyDescent="0.2">
      <c r="L2952" s="43"/>
      <c r="M2952" s="43"/>
      <c r="N2952" s="43"/>
      <c r="O2952" s="43"/>
      <c r="Q2952" s="44"/>
      <c r="R2952" s="44"/>
      <c r="S2952" s="44"/>
      <c r="T2952" s="44"/>
    </row>
    <row r="2953" spans="12:20" x14ac:dyDescent="0.2">
      <c r="L2953" s="43"/>
      <c r="M2953" s="43"/>
      <c r="N2953" s="43"/>
      <c r="O2953" s="43"/>
      <c r="Q2953" s="44"/>
      <c r="R2953" s="44"/>
      <c r="S2953" s="44"/>
      <c r="T2953" s="44"/>
    </row>
    <row r="2954" spans="12:20" x14ac:dyDescent="0.2">
      <c r="L2954" s="43"/>
      <c r="M2954" s="43"/>
      <c r="N2954" s="43"/>
      <c r="O2954" s="43"/>
      <c r="Q2954" s="44"/>
      <c r="R2954" s="44"/>
      <c r="S2954" s="44"/>
      <c r="T2954" s="44"/>
    </row>
    <row r="2955" spans="12:20" x14ac:dyDescent="0.2">
      <c r="L2955" s="43"/>
      <c r="M2955" s="43"/>
      <c r="N2955" s="43"/>
      <c r="O2955" s="43"/>
      <c r="Q2955" s="44"/>
      <c r="R2955" s="44"/>
      <c r="S2955" s="44"/>
      <c r="T2955" s="44"/>
    </row>
    <row r="2956" spans="12:20" x14ac:dyDescent="0.2">
      <c r="L2956" s="43"/>
      <c r="M2956" s="43"/>
      <c r="N2956" s="43"/>
      <c r="O2956" s="43"/>
      <c r="Q2956" s="44"/>
      <c r="R2956" s="44"/>
      <c r="S2956" s="44"/>
      <c r="T2956" s="44"/>
    </row>
    <row r="2957" spans="12:20" x14ac:dyDescent="0.2">
      <c r="L2957" s="43"/>
      <c r="M2957" s="43"/>
      <c r="N2957" s="43"/>
      <c r="O2957" s="43"/>
      <c r="Q2957" s="44"/>
      <c r="R2957" s="44"/>
      <c r="S2957" s="44"/>
      <c r="T2957" s="44"/>
    </row>
    <row r="2958" spans="12:20" x14ac:dyDescent="0.2">
      <c r="L2958" s="43"/>
      <c r="M2958" s="43"/>
      <c r="N2958" s="43"/>
      <c r="O2958" s="43"/>
      <c r="Q2958" s="44"/>
      <c r="R2958" s="44"/>
      <c r="S2958" s="44"/>
      <c r="T2958" s="44"/>
    </row>
    <row r="2959" spans="12:20" x14ac:dyDescent="0.2">
      <c r="L2959" s="43"/>
      <c r="M2959" s="43"/>
      <c r="N2959" s="43"/>
      <c r="O2959" s="43"/>
      <c r="Q2959" s="44"/>
      <c r="R2959" s="44"/>
      <c r="S2959" s="44"/>
      <c r="T2959" s="44"/>
    </row>
    <row r="2960" spans="12:20" x14ac:dyDescent="0.2">
      <c r="L2960" s="43"/>
      <c r="M2960" s="43"/>
      <c r="N2960" s="43"/>
      <c r="O2960" s="43"/>
      <c r="Q2960" s="44"/>
      <c r="R2960" s="44"/>
      <c r="S2960" s="44"/>
      <c r="T2960" s="44"/>
    </row>
    <row r="2961" spans="12:20" x14ac:dyDescent="0.2">
      <c r="L2961" s="43"/>
      <c r="M2961" s="43"/>
      <c r="N2961" s="43"/>
      <c r="O2961" s="43"/>
      <c r="Q2961" s="44"/>
      <c r="R2961" s="44"/>
      <c r="S2961" s="44"/>
      <c r="T2961" s="44"/>
    </row>
    <row r="2962" spans="12:20" x14ac:dyDescent="0.2">
      <c r="L2962" s="43"/>
      <c r="M2962" s="43"/>
      <c r="N2962" s="43"/>
      <c r="O2962" s="43"/>
      <c r="Q2962" s="44"/>
      <c r="R2962" s="44"/>
      <c r="S2962" s="44"/>
      <c r="T2962" s="44"/>
    </row>
    <row r="2963" spans="12:20" x14ac:dyDescent="0.2">
      <c r="L2963" s="43"/>
      <c r="M2963" s="43"/>
      <c r="N2963" s="43"/>
      <c r="O2963" s="43"/>
      <c r="Q2963" s="44"/>
      <c r="R2963" s="44"/>
      <c r="S2963" s="44"/>
      <c r="T2963" s="44"/>
    </row>
    <row r="2964" spans="12:20" x14ac:dyDescent="0.2">
      <c r="L2964" s="43"/>
      <c r="M2964" s="43"/>
      <c r="N2964" s="43"/>
      <c r="O2964" s="43"/>
      <c r="Q2964" s="44"/>
      <c r="R2964" s="44"/>
      <c r="S2964" s="44"/>
      <c r="T2964" s="44"/>
    </row>
    <row r="2965" spans="12:20" x14ac:dyDescent="0.2">
      <c r="L2965" s="43"/>
      <c r="M2965" s="43"/>
      <c r="N2965" s="43"/>
      <c r="O2965" s="43"/>
      <c r="Q2965" s="44"/>
      <c r="R2965" s="44"/>
      <c r="S2965" s="44"/>
      <c r="T2965" s="44"/>
    </row>
    <row r="2966" spans="12:20" x14ac:dyDescent="0.2">
      <c r="L2966" s="43"/>
      <c r="M2966" s="43"/>
      <c r="N2966" s="43"/>
      <c r="O2966" s="43"/>
      <c r="Q2966" s="44"/>
      <c r="R2966" s="44"/>
      <c r="S2966" s="44"/>
      <c r="T2966" s="44"/>
    </row>
    <row r="2967" spans="12:20" x14ac:dyDescent="0.2">
      <c r="L2967" s="43"/>
      <c r="M2967" s="43"/>
      <c r="N2967" s="43"/>
      <c r="O2967" s="43"/>
      <c r="Q2967" s="44"/>
      <c r="R2967" s="44"/>
      <c r="S2967" s="44"/>
      <c r="T2967" s="44"/>
    </row>
    <row r="2968" spans="12:20" x14ac:dyDescent="0.2">
      <c r="L2968" s="43"/>
      <c r="M2968" s="43"/>
      <c r="N2968" s="43"/>
      <c r="O2968" s="43"/>
      <c r="Q2968" s="44"/>
      <c r="R2968" s="44"/>
      <c r="S2968" s="44"/>
      <c r="T2968" s="44"/>
    </row>
    <row r="2969" spans="12:20" x14ac:dyDescent="0.2">
      <c r="L2969" s="43"/>
      <c r="M2969" s="43"/>
      <c r="N2969" s="43"/>
      <c r="O2969" s="43"/>
      <c r="Q2969" s="44"/>
      <c r="R2969" s="44"/>
      <c r="S2969" s="44"/>
      <c r="T2969" s="44"/>
    </row>
    <row r="2970" spans="12:20" x14ac:dyDescent="0.2">
      <c r="L2970" s="43"/>
      <c r="M2970" s="43"/>
      <c r="N2970" s="43"/>
      <c r="O2970" s="43"/>
      <c r="Q2970" s="44"/>
      <c r="R2970" s="44"/>
      <c r="S2970" s="44"/>
      <c r="T2970" s="44"/>
    </row>
    <row r="2971" spans="12:20" x14ac:dyDescent="0.2">
      <c r="L2971" s="43"/>
      <c r="M2971" s="43"/>
      <c r="N2971" s="43"/>
      <c r="O2971" s="43"/>
      <c r="Q2971" s="44"/>
      <c r="R2971" s="44"/>
      <c r="S2971" s="44"/>
      <c r="T2971" s="44"/>
    </row>
    <row r="2972" spans="12:20" x14ac:dyDescent="0.2">
      <c r="L2972" s="43"/>
      <c r="M2972" s="43"/>
      <c r="N2972" s="43"/>
      <c r="O2972" s="43"/>
      <c r="Q2972" s="44"/>
      <c r="R2972" s="44"/>
      <c r="S2972" s="44"/>
      <c r="T2972" s="44"/>
    </row>
    <row r="2973" spans="12:20" x14ac:dyDescent="0.2">
      <c r="L2973" s="43"/>
      <c r="M2973" s="43"/>
      <c r="N2973" s="43"/>
      <c r="O2973" s="43"/>
      <c r="Q2973" s="44"/>
      <c r="R2973" s="44"/>
      <c r="S2973" s="44"/>
      <c r="T2973" s="44"/>
    </row>
    <row r="2974" spans="12:20" x14ac:dyDescent="0.2">
      <c r="L2974" s="43"/>
      <c r="M2974" s="43"/>
      <c r="N2974" s="43"/>
      <c r="O2974" s="43"/>
      <c r="Q2974" s="44"/>
      <c r="R2974" s="44"/>
      <c r="S2974" s="44"/>
      <c r="T2974" s="44"/>
    </row>
    <row r="2975" spans="12:20" x14ac:dyDescent="0.2">
      <c r="L2975" s="43"/>
      <c r="M2975" s="43"/>
      <c r="N2975" s="43"/>
      <c r="O2975" s="43"/>
      <c r="Q2975" s="44"/>
      <c r="R2975" s="44"/>
      <c r="S2975" s="44"/>
      <c r="T2975" s="44"/>
    </row>
    <row r="2976" spans="12:20" x14ac:dyDescent="0.2">
      <c r="L2976" s="43"/>
      <c r="M2976" s="43"/>
      <c r="N2976" s="43"/>
      <c r="O2976" s="43"/>
      <c r="Q2976" s="44"/>
      <c r="R2976" s="44"/>
      <c r="S2976" s="44"/>
      <c r="T2976" s="44"/>
    </row>
    <row r="2977" spans="12:20" x14ac:dyDescent="0.2">
      <c r="L2977" s="43"/>
      <c r="M2977" s="43"/>
      <c r="N2977" s="43"/>
      <c r="O2977" s="43"/>
      <c r="Q2977" s="44"/>
      <c r="R2977" s="44"/>
      <c r="S2977" s="44"/>
      <c r="T2977" s="44"/>
    </row>
    <row r="2978" spans="12:20" x14ac:dyDescent="0.2">
      <c r="L2978" s="43"/>
      <c r="M2978" s="43"/>
      <c r="N2978" s="43"/>
      <c r="O2978" s="43"/>
      <c r="Q2978" s="44"/>
      <c r="R2978" s="44"/>
      <c r="S2978" s="44"/>
      <c r="T2978" s="44"/>
    </row>
    <row r="2979" spans="12:20" x14ac:dyDescent="0.2">
      <c r="L2979" s="43"/>
      <c r="M2979" s="43"/>
      <c r="N2979" s="43"/>
      <c r="O2979" s="43"/>
      <c r="Q2979" s="44"/>
      <c r="R2979" s="44"/>
      <c r="S2979" s="44"/>
      <c r="T2979" s="44"/>
    </row>
    <row r="2980" spans="12:20" x14ac:dyDescent="0.2">
      <c r="L2980" s="43"/>
      <c r="M2980" s="43"/>
      <c r="N2980" s="43"/>
      <c r="O2980" s="43"/>
      <c r="Q2980" s="44"/>
      <c r="R2980" s="44"/>
      <c r="S2980" s="44"/>
      <c r="T2980" s="44"/>
    </row>
    <row r="2981" spans="12:20" x14ac:dyDescent="0.2">
      <c r="L2981" s="43"/>
      <c r="M2981" s="43"/>
      <c r="N2981" s="43"/>
      <c r="O2981" s="43"/>
      <c r="Q2981" s="44"/>
      <c r="R2981" s="44"/>
      <c r="S2981" s="44"/>
      <c r="T2981" s="44"/>
    </row>
    <row r="2982" spans="12:20" x14ac:dyDescent="0.2">
      <c r="L2982" s="43"/>
      <c r="M2982" s="43"/>
      <c r="N2982" s="43"/>
      <c r="O2982" s="43"/>
      <c r="Q2982" s="44"/>
      <c r="R2982" s="44"/>
      <c r="S2982" s="44"/>
      <c r="T2982" s="44"/>
    </row>
    <row r="2983" spans="12:20" x14ac:dyDescent="0.2">
      <c r="L2983" s="43"/>
      <c r="M2983" s="43"/>
      <c r="N2983" s="43"/>
      <c r="O2983" s="43"/>
      <c r="Q2983" s="44"/>
      <c r="R2983" s="44"/>
      <c r="S2983" s="44"/>
      <c r="T2983" s="44"/>
    </row>
    <row r="2984" spans="12:20" x14ac:dyDescent="0.2">
      <c r="L2984" s="43"/>
      <c r="M2984" s="43"/>
      <c r="N2984" s="43"/>
      <c r="O2984" s="43"/>
      <c r="Q2984" s="44"/>
      <c r="R2984" s="44"/>
      <c r="S2984" s="44"/>
      <c r="T2984" s="44"/>
    </row>
    <row r="2985" spans="12:20" x14ac:dyDescent="0.2">
      <c r="L2985" s="43"/>
      <c r="M2985" s="43"/>
      <c r="N2985" s="43"/>
      <c r="O2985" s="43"/>
      <c r="Q2985" s="44"/>
      <c r="R2985" s="44"/>
      <c r="S2985" s="44"/>
      <c r="T2985" s="44"/>
    </row>
    <row r="2986" spans="12:20" x14ac:dyDescent="0.2">
      <c r="L2986" s="43"/>
      <c r="M2986" s="43"/>
      <c r="N2986" s="43"/>
      <c r="O2986" s="43"/>
      <c r="Q2986" s="44"/>
      <c r="R2986" s="44"/>
      <c r="S2986" s="44"/>
      <c r="T2986" s="44"/>
    </row>
    <row r="2987" spans="12:20" x14ac:dyDescent="0.2">
      <c r="L2987" s="43"/>
      <c r="M2987" s="43"/>
      <c r="N2987" s="43"/>
      <c r="O2987" s="43"/>
      <c r="Q2987" s="44"/>
      <c r="R2987" s="44"/>
      <c r="S2987" s="44"/>
      <c r="T2987" s="44"/>
    </row>
    <row r="2988" spans="12:20" x14ac:dyDescent="0.2">
      <c r="L2988" s="43"/>
      <c r="M2988" s="43"/>
      <c r="N2988" s="43"/>
      <c r="O2988" s="43"/>
      <c r="Q2988" s="44"/>
      <c r="R2988" s="44"/>
      <c r="S2988" s="44"/>
      <c r="T2988" s="44"/>
    </row>
    <row r="2989" spans="12:20" x14ac:dyDescent="0.2">
      <c r="L2989" s="43"/>
      <c r="M2989" s="43"/>
      <c r="N2989" s="43"/>
      <c r="O2989" s="43"/>
      <c r="Q2989" s="44"/>
      <c r="R2989" s="44"/>
      <c r="S2989" s="44"/>
      <c r="T2989" s="44"/>
    </row>
    <row r="2990" spans="12:20" x14ac:dyDescent="0.2">
      <c r="L2990" s="43"/>
      <c r="M2990" s="43"/>
      <c r="N2990" s="43"/>
      <c r="O2990" s="43"/>
      <c r="Q2990" s="44"/>
      <c r="R2990" s="44"/>
      <c r="S2990" s="44"/>
      <c r="T2990" s="44"/>
    </row>
    <row r="2991" spans="12:20" x14ac:dyDescent="0.2">
      <c r="L2991" s="43"/>
      <c r="M2991" s="43"/>
      <c r="N2991" s="43"/>
      <c r="O2991" s="43"/>
      <c r="Q2991" s="44"/>
      <c r="R2991" s="44"/>
      <c r="S2991" s="44"/>
      <c r="T2991" s="44"/>
    </row>
    <row r="2992" spans="12:20" x14ac:dyDescent="0.2">
      <c r="L2992" s="43"/>
      <c r="M2992" s="43"/>
      <c r="N2992" s="43"/>
      <c r="O2992" s="43"/>
      <c r="Q2992" s="44"/>
      <c r="R2992" s="44"/>
      <c r="S2992" s="44"/>
      <c r="T2992" s="44"/>
    </row>
    <row r="2993" spans="12:20" x14ac:dyDescent="0.2">
      <c r="L2993" s="43"/>
      <c r="M2993" s="43"/>
      <c r="N2993" s="43"/>
      <c r="O2993" s="43"/>
      <c r="Q2993" s="44"/>
      <c r="R2993" s="44"/>
      <c r="S2993" s="44"/>
      <c r="T2993" s="44"/>
    </row>
    <row r="2994" spans="12:20" x14ac:dyDescent="0.2">
      <c r="L2994" s="43"/>
      <c r="M2994" s="43"/>
      <c r="N2994" s="43"/>
      <c r="O2994" s="43"/>
      <c r="Q2994" s="44"/>
      <c r="R2994" s="44"/>
      <c r="S2994" s="44"/>
      <c r="T2994" s="44"/>
    </row>
    <row r="2995" spans="12:20" x14ac:dyDescent="0.2">
      <c r="L2995" s="43"/>
      <c r="M2995" s="43"/>
      <c r="N2995" s="43"/>
      <c r="O2995" s="43"/>
      <c r="Q2995" s="44"/>
      <c r="R2995" s="44"/>
      <c r="S2995" s="44"/>
      <c r="T2995" s="44"/>
    </row>
    <row r="2996" spans="12:20" x14ac:dyDescent="0.2">
      <c r="L2996" s="43"/>
      <c r="M2996" s="43"/>
      <c r="N2996" s="43"/>
      <c r="O2996" s="43"/>
      <c r="Q2996" s="44"/>
      <c r="R2996" s="44"/>
      <c r="S2996" s="44"/>
      <c r="T2996" s="44"/>
    </row>
    <row r="2997" spans="12:20" x14ac:dyDescent="0.2">
      <c r="L2997" s="43"/>
      <c r="M2997" s="43"/>
      <c r="N2997" s="43"/>
      <c r="O2997" s="43"/>
      <c r="Q2997" s="44"/>
      <c r="R2997" s="44"/>
      <c r="S2997" s="44"/>
      <c r="T2997" s="44"/>
    </row>
    <row r="2998" spans="12:20" x14ac:dyDescent="0.2">
      <c r="L2998" s="43"/>
      <c r="M2998" s="43"/>
      <c r="N2998" s="43"/>
      <c r="O2998" s="43"/>
      <c r="Q2998" s="44"/>
      <c r="R2998" s="44"/>
      <c r="S2998" s="44"/>
      <c r="T2998" s="44"/>
    </row>
    <row r="2999" spans="12:20" x14ac:dyDescent="0.2">
      <c r="L2999" s="43"/>
      <c r="M2999" s="43"/>
      <c r="N2999" s="43"/>
      <c r="O2999" s="43"/>
      <c r="Q2999" s="44"/>
      <c r="R2999" s="44"/>
      <c r="S2999" s="44"/>
      <c r="T2999" s="44"/>
    </row>
    <row r="3000" spans="12:20" x14ac:dyDescent="0.2">
      <c r="L3000" s="43"/>
      <c r="M3000" s="43"/>
      <c r="N3000" s="43"/>
      <c r="O3000" s="43"/>
      <c r="Q3000" s="44"/>
      <c r="R3000" s="44"/>
      <c r="S3000" s="44"/>
      <c r="T3000" s="44"/>
    </row>
    <row r="3001" spans="12:20" x14ac:dyDescent="0.2">
      <c r="L3001" s="43"/>
      <c r="M3001" s="43"/>
      <c r="N3001" s="43"/>
      <c r="O3001" s="43"/>
      <c r="Q3001" s="44"/>
      <c r="R3001" s="44"/>
      <c r="S3001" s="44"/>
      <c r="T3001" s="44"/>
    </row>
    <row r="3002" spans="12:20" x14ac:dyDescent="0.2">
      <c r="L3002" s="43"/>
      <c r="M3002" s="43"/>
      <c r="N3002" s="43"/>
      <c r="O3002" s="43"/>
      <c r="Q3002" s="44"/>
      <c r="R3002" s="44"/>
      <c r="S3002" s="44"/>
      <c r="T3002" s="44"/>
    </row>
    <row r="3003" spans="12:20" x14ac:dyDescent="0.2">
      <c r="L3003" s="43"/>
      <c r="M3003" s="43"/>
      <c r="N3003" s="43"/>
      <c r="O3003" s="43"/>
      <c r="Q3003" s="44"/>
      <c r="R3003" s="44"/>
      <c r="S3003" s="44"/>
      <c r="T3003" s="44"/>
    </row>
    <row r="3004" spans="12:20" x14ac:dyDescent="0.2">
      <c r="L3004" s="43"/>
      <c r="M3004" s="43"/>
      <c r="N3004" s="43"/>
      <c r="O3004" s="43"/>
      <c r="Q3004" s="44"/>
      <c r="R3004" s="44"/>
      <c r="S3004" s="44"/>
      <c r="T3004" s="44"/>
    </row>
    <row r="3005" spans="12:20" x14ac:dyDescent="0.2">
      <c r="L3005" s="43"/>
      <c r="M3005" s="43"/>
      <c r="N3005" s="43"/>
      <c r="O3005" s="43"/>
      <c r="Q3005" s="44"/>
      <c r="R3005" s="44"/>
      <c r="S3005" s="44"/>
      <c r="T3005" s="44"/>
    </row>
    <row r="3006" spans="12:20" x14ac:dyDescent="0.2">
      <c r="L3006" s="43"/>
      <c r="M3006" s="43"/>
      <c r="N3006" s="43"/>
      <c r="O3006" s="43"/>
      <c r="Q3006" s="44"/>
      <c r="R3006" s="44"/>
      <c r="S3006" s="44"/>
      <c r="T3006" s="44"/>
    </row>
    <row r="3007" spans="12:20" x14ac:dyDescent="0.2">
      <c r="L3007" s="43"/>
      <c r="M3007" s="43"/>
      <c r="N3007" s="43"/>
      <c r="O3007" s="43"/>
      <c r="Q3007" s="44"/>
      <c r="R3007" s="44"/>
      <c r="S3007" s="44"/>
      <c r="T3007" s="44"/>
    </row>
    <row r="3008" spans="12:20" x14ac:dyDescent="0.2">
      <c r="L3008" s="43"/>
      <c r="M3008" s="43"/>
      <c r="N3008" s="43"/>
      <c r="O3008" s="43"/>
      <c r="Q3008" s="44"/>
      <c r="R3008" s="44"/>
      <c r="S3008" s="44"/>
      <c r="T3008" s="44"/>
    </row>
    <row r="3009" spans="12:20" x14ac:dyDescent="0.2">
      <c r="L3009" s="43"/>
      <c r="M3009" s="43"/>
      <c r="N3009" s="43"/>
      <c r="O3009" s="43"/>
      <c r="Q3009" s="44"/>
      <c r="R3009" s="44"/>
      <c r="S3009" s="44"/>
      <c r="T3009" s="44"/>
    </row>
    <row r="3010" spans="12:20" x14ac:dyDescent="0.2">
      <c r="L3010" s="43"/>
      <c r="M3010" s="43"/>
      <c r="N3010" s="43"/>
      <c r="O3010" s="43"/>
      <c r="Q3010" s="44"/>
      <c r="R3010" s="44"/>
      <c r="S3010" s="44"/>
      <c r="T3010" s="44"/>
    </row>
    <row r="3011" spans="12:20" x14ac:dyDescent="0.2">
      <c r="L3011" s="43"/>
      <c r="M3011" s="43"/>
      <c r="N3011" s="43"/>
      <c r="O3011" s="43"/>
      <c r="Q3011" s="44"/>
      <c r="R3011" s="44"/>
      <c r="S3011" s="44"/>
      <c r="T3011" s="44"/>
    </row>
    <row r="3012" spans="12:20" x14ac:dyDescent="0.2">
      <c r="L3012" s="43"/>
      <c r="M3012" s="43"/>
      <c r="N3012" s="43"/>
      <c r="O3012" s="43"/>
      <c r="Q3012" s="44"/>
      <c r="R3012" s="44"/>
      <c r="S3012" s="44"/>
      <c r="T3012" s="44"/>
    </row>
    <row r="3013" spans="12:20" x14ac:dyDescent="0.2">
      <c r="L3013" s="43"/>
      <c r="M3013" s="43"/>
      <c r="N3013" s="43"/>
      <c r="O3013" s="43"/>
      <c r="Q3013" s="44"/>
      <c r="R3013" s="44"/>
      <c r="S3013" s="44"/>
      <c r="T3013" s="44"/>
    </row>
    <row r="3014" spans="12:20" x14ac:dyDescent="0.2">
      <c r="L3014" s="43"/>
      <c r="M3014" s="43"/>
      <c r="N3014" s="43"/>
      <c r="O3014" s="43"/>
      <c r="Q3014" s="44"/>
      <c r="R3014" s="44"/>
      <c r="S3014" s="44"/>
      <c r="T3014" s="44"/>
    </row>
    <row r="3015" spans="12:20" x14ac:dyDescent="0.2">
      <c r="L3015" s="43"/>
      <c r="M3015" s="43"/>
      <c r="N3015" s="43"/>
      <c r="O3015" s="43"/>
      <c r="Q3015" s="44"/>
      <c r="R3015" s="44"/>
      <c r="S3015" s="44"/>
      <c r="T3015" s="44"/>
    </row>
    <row r="3016" spans="12:20" x14ac:dyDescent="0.2">
      <c r="L3016" s="43"/>
      <c r="M3016" s="43"/>
      <c r="N3016" s="43"/>
      <c r="O3016" s="43"/>
      <c r="Q3016" s="44"/>
      <c r="R3016" s="44"/>
      <c r="S3016" s="44"/>
      <c r="T3016" s="44"/>
    </row>
    <row r="3017" spans="12:20" x14ac:dyDescent="0.2">
      <c r="L3017" s="43"/>
      <c r="M3017" s="43"/>
      <c r="N3017" s="43"/>
      <c r="O3017" s="43"/>
      <c r="Q3017" s="44"/>
      <c r="R3017" s="44"/>
      <c r="S3017" s="44"/>
      <c r="T3017" s="44"/>
    </row>
    <row r="3018" spans="12:20" x14ac:dyDescent="0.2">
      <c r="L3018" s="43"/>
      <c r="M3018" s="43"/>
      <c r="N3018" s="43"/>
      <c r="O3018" s="43"/>
      <c r="Q3018" s="44"/>
      <c r="R3018" s="44"/>
      <c r="S3018" s="44"/>
      <c r="T3018" s="44"/>
    </row>
    <row r="3019" spans="12:20" x14ac:dyDescent="0.2">
      <c r="L3019" s="43"/>
      <c r="M3019" s="43"/>
      <c r="N3019" s="43"/>
      <c r="O3019" s="43"/>
      <c r="Q3019" s="44"/>
      <c r="R3019" s="44"/>
      <c r="S3019" s="44"/>
      <c r="T3019" s="44"/>
    </row>
    <row r="3020" spans="12:20" x14ac:dyDescent="0.2">
      <c r="L3020" s="43"/>
      <c r="M3020" s="43"/>
      <c r="N3020" s="43"/>
      <c r="O3020" s="43"/>
      <c r="Q3020" s="44"/>
      <c r="R3020" s="44"/>
      <c r="S3020" s="44"/>
      <c r="T3020" s="44"/>
    </row>
    <row r="3021" spans="12:20" x14ac:dyDescent="0.2">
      <c r="L3021" s="43"/>
      <c r="M3021" s="43"/>
      <c r="N3021" s="43"/>
      <c r="O3021" s="43"/>
      <c r="Q3021" s="44"/>
      <c r="R3021" s="44"/>
      <c r="S3021" s="44"/>
      <c r="T3021" s="44"/>
    </row>
    <row r="3022" spans="12:20" x14ac:dyDescent="0.2">
      <c r="L3022" s="43"/>
      <c r="M3022" s="43"/>
      <c r="N3022" s="43"/>
      <c r="O3022" s="43"/>
      <c r="Q3022" s="44"/>
      <c r="R3022" s="44"/>
      <c r="S3022" s="44"/>
      <c r="T3022" s="44"/>
    </row>
    <row r="3023" spans="12:20" x14ac:dyDescent="0.2">
      <c r="L3023" s="43"/>
      <c r="M3023" s="43"/>
      <c r="N3023" s="43"/>
      <c r="O3023" s="43"/>
      <c r="Q3023" s="44"/>
      <c r="R3023" s="44"/>
      <c r="S3023" s="44"/>
      <c r="T3023" s="44"/>
    </row>
    <row r="3024" spans="12:20" x14ac:dyDescent="0.2">
      <c r="L3024" s="43"/>
      <c r="M3024" s="43"/>
      <c r="N3024" s="43"/>
      <c r="O3024" s="43"/>
      <c r="Q3024" s="44"/>
      <c r="R3024" s="44"/>
      <c r="S3024" s="44"/>
      <c r="T3024" s="44"/>
    </row>
    <row r="3025" spans="12:20" x14ac:dyDescent="0.2">
      <c r="L3025" s="43"/>
      <c r="M3025" s="43"/>
      <c r="N3025" s="43"/>
      <c r="O3025" s="43"/>
      <c r="Q3025" s="44"/>
      <c r="R3025" s="44"/>
      <c r="S3025" s="44"/>
      <c r="T3025" s="44"/>
    </row>
    <row r="3026" spans="12:20" x14ac:dyDescent="0.2">
      <c r="L3026" s="43"/>
      <c r="M3026" s="43"/>
      <c r="N3026" s="43"/>
      <c r="O3026" s="43"/>
      <c r="Q3026" s="44"/>
      <c r="R3026" s="44"/>
      <c r="S3026" s="44"/>
      <c r="T3026" s="44"/>
    </row>
    <row r="3027" spans="12:20" x14ac:dyDescent="0.2">
      <c r="L3027" s="43"/>
      <c r="M3027" s="43"/>
      <c r="N3027" s="43"/>
      <c r="O3027" s="43"/>
      <c r="Q3027" s="44"/>
      <c r="R3027" s="44"/>
      <c r="S3027" s="44"/>
      <c r="T3027" s="44"/>
    </row>
    <row r="3028" spans="12:20" x14ac:dyDescent="0.2">
      <c r="L3028" s="43"/>
      <c r="M3028" s="43"/>
      <c r="N3028" s="43"/>
      <c r="O3028" s="43"/>
      <c r="Q3028" s="44"/>
      <c r="R3028" s="44"/>
      <c r="S3028" s="44"/>
      <c r="T3028" s="44"/>
    </row>
    <row r="3029" spans="12:20" x14ac:dyDescent="0.2">
      <c r="L3029" s="43"/>
      <c r="M3029" s="43"/>
      <c r="N3029" s="43"/>
      <c r="O3029" s="43"/>
      <c r="Q3029" s="44"/>
      <c r="R3029" s="44"/>
      <c r="S3029" s="44"/>
      <c r="T3029" s="44"/>
    </row>
    <row r="3030" spans="12:20" x14ac:dyDescent="0.2">
      <c r="L3030" s="43"/>
      <c r="M3030" s="43"/>
      <c r="N3030" s="43"/>
      <c r="O3030" s="43"/>
      <c r="Q3030" s="44"/>
      <c r="R3030" s="44"/>
      <c r="S3030" s="44"/>
      <c r="T3030" s="44"/>
    </row>
    <row r="3031" spans="12:20" x14ac:dyDescent="0.2">
      <c r="L3031" s="43"/>
      <c r="M3031" s="43"/>
      <c r="N3031" s="43"/>
      <c r="O3031" s="43"/>
      <c r="Q3031" s="44"/>
      <c r="R3031" s="44"/>
      <c r="S3031" s="44"/>
      <c r="T3031" s="44"/>
    </row>
    <row r="3032" spans="12:20" x14ac:dyDescent="0.2">
      <c r="L3032" s="43"/>
      <c r="M3032" s="43"/>
      <c r="N3032" s="43"/>
      <c r="O3032" s="43"/>
      <c r="Q3032" s="44"/>
      <c r="R3032" s="44"/>
      <c r="S3032" s="44"/>
      <c r="T3032" s="44"/>
    </row>
    <row r="3033" spans="12:20" x14ac:dyDescent="0.2">
      <c r="L3033" s="43"/>
      <c r="M3033" s="43"/>
      <c r="N3033" s="43"/>
      <c r="O3033" s="43"/>
      <c r="Q3033" s="44"/>
      <c r="R3033" s="44"/>
      <c r="S3033" s="44"/>
      <c r="T3033" s="44"/>
    </row>
    <row r="3034" spans="12:20" x14ac:dyDescent="0.2">
      <c r="L3034" s="43"/>
      <c r="M3034" s="43"/>
      <c r="N3034" s="43"/>
      <c r="O3034" s="43"/>
      <c r="Q3034" s="44"/>
      <c r="R3034" s="44"/>
      <c r="S3034" s="44"/>
      <c r="T3034" s="44"/>
    </row>
    <row r="3035" spans="12:20" x14ac:dyDescent="0.2">
      <c r="L3035" s="43"/>
      <c r="M3035" s="43"/>
      <c r="N3035" s="43"/>
      <c r="O3035" s="43"/>
      <c r="Q3035" s="44"/>
      <c r="R3035" s="44"/>
      <c r="S3035" s="44"/>
      <c r="T3035" s="44"/>
    </row>
    <row r="3036" spans="12:20" x14ac:dyDescent="0.2">
      <c r="L3036" s="43"/>
      <c r="M3036" s="43"/>
      <c r="N3036" s="43"/>
      <c r="O3036" s="43"/>
      <c r="Q3036" s="44"/>
      <c r="R3036" s="44"/>
      <c r="S3036" s="44"/>
      <c r="T3036" s="44"/>
    </row>
    <row r="3037" spans="12:20" x14ac:dyDescent="0.2">
      <c r="L3037" s="43"/>
      <c r="M3037" s="43"/>
      <c r="N3037" s="43"/>
      <c r="O3037" s="43"/>
      <c r="Q3037" s="44"/>
      <c r="R3037" s="44"/>
      <c r="S3037" s="44"/>
      <c r="T3037" s="44"/>
    </row>
    <row r="3038" spans="12:20" x14ac:dyDescent="0.2">
      <c r="L3038" s="43"/>
      <c r="M3038" s="43"/>
      <c r="N3038" s="43"/>
      <c r="O3038" s="43"/>
      <c r="Q3038" s="44"/>
      <c r="R3038" s="44"/>
      <c r="S3038" s="44"/>
      <c r="T3038" s="44"/>
    </row>
    <row r="3039" spans="12:20" x14ac:dyDescent="0.2">
      <c r="L3039" s="43"/>
      <c r="M3039" s="43"/>
      <c r="N3039" s="43"/>
      <c r="O3039" s="43"/>
      <c r="Q3039" s="44"/>
      <c r="R3039" s="44"/>
      <c r="S3039" s="44"/>
      <c r="T3039" s="44"/>
    </row>
    <row r="3040" spans="12:20" x14ac:dyDescent="0.2">
      <c r="L3040" s="43"/>
      <c r="M3040" s="43"/>
      <c r="N3040" s="43"/>
      <c r="O3040" s="43"/>
      <c r="Q3040" s="44"/>
      <c r="R3040" s="44"/>
      <c r="S3040" s="44"/>
      <c r="T3040" s="44"/>
    </row>
    <row r="3041" spans="12:20" x14ac:dyDescent="0.2">
      <c r="L3041" s="43"/>
      <c r="M3041" s="43"/>
      <c r="N3041" s="43"/>
      <c r="O3041" s="43"/>
      <c r="Q3041" s="44"/>
      <c r="R3041" s="44"/>
      <c r="S3041" s="44"/>
      <c r="T3041" s="44"/>
    </row>
    <row r="3042" spans="12:20" x14ac:dyDescent="0.2">
      <c r="L3042" s="43"/>
      <c r="M3042" s="43"/>
      <c r="N3042" s="43"/>
      <c r="O3042" s="43"/>
      <c r="Q3042" s="44"/>
      <c r="R3042" s="44"/>
      <c r="S3042" s="44"/>
      <c r="T3042" s="44"/>
    </row>
    <row r="3043" spans="12:20" x14ac:dyDescent="0.2">
      <c r="L3043" s="43"/>
      <c r="M3043" s="43"/>
      <c r="N3043" s="43"/>
      <c r="O3043" s="43"/>
      <c r="Q3043" s="44"/>
      <c r="R3043" s="44"/>
      <c r="S3043" s="44"/>
      <c r="T3043" s="44"/>
    </row>
    <row r="3044" spans="12:20" x14ac:dyDescent="0.2">
      <c r="L3044" s="43"/>
      <c r="M3044" s="43"/>
      <c r="N3044" s="43"/>
      <c r="O3044" s="43"/>
      <c r="Q3044" s="44"/>
      <c r="R3044" s="44"/>
      <c r="S3044" s="44"/>
      <c r="T3044" s="44"/>
    </row>
    <row r="3045" spans="12:20" x14ac:dyDescent="0.2">
      <c r="L3045" s="43"/>
      <c r="M3045" s="43"/>
      <c r="N3045" s="43"/>
      <c r="O3045" s="43"/>
      <c r="Q3045" s="44"/>
      <c r="R3045" s="44"/>
      <c r="S3045" s="44"/>
      <c r="T3045" s="44"/>
    </row>
    <row r="3046" spans="12:20" x14ac:dyDescent="0.2">
      <c r="L3046" s="43"/>
      <c r="M3046" s="43"/>
      <c r="N3046" s="43"/>
      <c r="O3046" s="43"/>
      <c r="Q3046" s="44"/>
      <c r="R3046" s="44"/>
      <c r="S3046" s="44"/>
      <c r="T3046" s="44"/>
    </row>
    <row r="3047" spans="12:20" x14ac:dyDescent="0.2">
      <c r="L3047" s="43"/>
      <c r="M3047" s="43"/>
      <c r="N3047" s="43"/>
      <c r="O3047" s="43"/>
      <c r="Q3047" s="44"/>
      <c r="R3047" s="44"/>
      <c r="S3047" s="44"/>
      <c r="T3047" s="44"/>
    </row>
    <row r="3048" spans="12:20" x14ac:dyDescent="0.2">
      <c r="L3048" s="43"/>
      <c r="M3048" s="43"/>
      <c r="N3048" s="43"/>
      <c r="O3048" s="43"/>
      <c r="Q3048" s="44"/>
      <c r="R3048" s="44"/>
      <c r="S3048" s="44"/>
      <c r="T3048" s="44"/>
    </row>
    <row r="3049" spans="12:20" x14ac:dyDescent="0.2">
      <c r="L3049" s="43"/>
      <c r="M3049" s="43"/>
      <c r="N3049" s="43"/>
      <c r="O3049" s="43"/>
      <c r="Q3049" s="44"/>
      <c r="R3049" s="44"/>
      <c r="S3049" s="44"/>
      <c r="T3049" s="44"/>
    </row>
    <row r="3050" spans="12:20" x14ac:dyDescent="0.2">
      <c r="L3050" s="43"/>
      <c r="M3050" s="43"/>
      <c r="N3050" s="43"/>
      <c r="O3050" s="43"/>
      <c r="Q3050" s="44"/>
      <c r="R3050" s="44"/>
      <c r="S3050" s="44"/>
      <c r="T3050" s="44"/>
    </row>
    <row r="3051" spans="12:20" x14ac:dyDescent="0.2">
      <c r="L3051" s="43"/>
      <c r="M3051" s="43"/>
      <c r="N3051" s="43"/>
      <c r="O3051" s="43"/>
      <c r="Q3051" s="44"/>
      <c r="R3051" s="44"/>
      <c r="S3051" s="44"/>
      <c r="T3051" s="44"/>
    </row>
    <row r="3052" spans="12:20" x14ac:dyDescent="0.2">
      <c r="L3052" s="43"/>
      <c r="M3052" s="43"/>
      <c r="N3052" s="43"/>
      <c r="O3052" s="43"/>
      <c r="Q3052" s="44"/>
      <c r="R3052" s="44"/>
      <c r="S3052" s="44"/>
      <c r="T3052" s="44"/>
    </row>
    <row r="3053" spans="12:20" x14ac:dyDescent="0.2">
      <c r="L3053" s="43"/>
      <c r="M3053" s="43"/>
      <c r="N3053" s="43"/>
      <c r="O3053" s="43"/>
      <c r="Q3053" s="44"/>
      <c r="R3053" s="44"/>
      <c r="S3053" s="44"/>
      <c r="T3053" s="44"/>
    </row>
    <row r="3054" spans="12:20" x14ac:dyDescent="0.2">
      <c r="L3054" s="43"/>
      <c r="M3054" s="43"/>
      <c r="N3054" s="43"/>
      <c r="O3054" s="43"/>
      <c r="Q3054" s="44"/>
      <c r="R3054" s="44"/>
      <c r="S3054" s="44"/>
      <c r="T3054" s="44"/>
    </row>
    <row r="3055" spans="12:20" x14ac:dyDescent="0.2">
      <c r="L3055" s="43"/>
      <c r="M3055" s="43"/>
      <c r="N3055" s="43"/>
      <c r="O3055" s="43"/>
      <c r="Q3055" s="44"/>
      <c r="R3055" s="44"/>
      <c r="S3055" s="44"/>
      <c r="T3055" s="44"/>
    </row>
    <row r="3056" spans="12:20" x14ac:dyDescent="0.2">
      <c r="L3056" s="43"/>
      <c r="M3056" s="43"/>
      <c r="N3056" s="43"/>
      <c r="O3056" s="43"/>
      <c r="Q3056" s="44"/>
      <c r="R3056" s="44"/>
      <c r="S3056" s="44"/>
      <c r="T3056" s="44"/>
    </row>
    <row r="3057" spans="12:20" x14ac:dyDescent="0.2">
      <c r="L3057" s="43"/>
      <c r="M3057" s="43"/>
      <c r="N3057" s="43"/>
      <c r="O3057" s="43"/>
      <c r="Q3057" s="44"/>
      <c r="R3057" s="44"/>
      <c r="S3057" s="44"/>
      <c r="T3057" s="44"/>
    </row>
    <row r="3058" spans="12:20" x14ac:dyDescent="0.2">
      <c r="L3058" s="43"/>
      <c r="M3058" s="43"/>
      <c r="N3058" s="43"/>
      <c r="O3058" s="43"/>
      <c r="Q3058" s="44"/>
      <c r="R3058" s="44"/>
      <c r="S3058" s="44"/>
      <c r="T3058" s="44"/>
    </row>
    <row r="3059" spans="12:20" x14ac:dyDescent="0.2">
      <c r="L3059" s="43"/>
      <c r="M3059" s="43"/>
      <c r="N3059" s="43"/>
      <c r="O3059" s="43"/>
      <c r="Q3059" s="44"/>
      <c r="R3059" s="44"/>
      <c r="S3059" s="44"/>
      <c r="T3059" s="44"/>
    </row>
    <row r="3060" spans="12:20" x14ac:dyDescent="0.2">
      <c r="L3060" s="43"/>
      <c r="M3060" s="43"/>
      <c r="N3060" s="43"/>
      <c r="O3060" s="43"/>
      <c r="Q3060" s="44"/>
      <c r="R3060" s="44"/>
      <c r="S3060" s="44"/>
      <c r="T3060" s="44"/>
    </row>
    <row r="3061" spans="12:20" x14ac:dyDescent="0.2">
      <c r="L3061" s="43"/>
      <c r="M3061" s="43"/>
      <c r="N3061" s="43"/>
      <c r="O3061" s="43"/>
      <c r="Q3061" s="44"/>
      <c r="R3061" s="44"/>
      <c r="S3061" s="44"/>
      <c r="T3061" s="44"/>
    </row>
    <row r="3062" spans="12:20" x14ac:dyDescent="0.2">
      <c r="L3062" s="43"/>
      <c r="M3062" s="43"/>
      <c r="N3062" s="43"/>
      <c r="O3062" s="43"/>
      <c r="Q3062" s="44"/>
      <c r="R3062" s="44"/>
      <c r="S3062" s="44"/>
      <c r="T3062" s="44"/>
    </row>
    <row r="3063" spans="12:20" x14ac:dyDescent="0.2">
      <c r="L3063" s="43"/>
      <c r="M3063" s="43"/>
      <c r="N3063" s="43"/>
      <c r="O3063" s="43"/>
      <c r="Q3063" s="44"/>
      <c r="R3063" s="44"/>
      <c r="S3063" s="44"/>
      <c r="T3063" s="44"/>
    </row>
    <row r="3064" spans="12:20" x14ac:dyDescent="0.2">
      <c r="L3064" s="43"/>
      <c r="M3064" s="43"/>
      <c r="N3064" s="43"/>
      <c r="O3064" s="43"/>
      <c r="Q3064" s="44"/>
      <c r="R3064" s="44"/>
      <c r="S3064" s="44"/>
      <c r="T3064" s="44"/>
    </row>
    <row r="3065" spans="12:20" x14ac:dyDescent="0.2">
      <c r="L3065" s="43"/>
      <c r="M3065" s="43"/>
      <c r="N3065" s="43"/>
      <c r="O3065" s="43"/>
      <c r="Q3065" s="44"/>
      <c r="R3065" s="44"/>
      <c r="S3065" s="44"/>
      <c r="T3065" s="44"/>
    </row>
    <row r="3066" spans="12:20" x14ac:dyDescent="0.2">
      <c r="L3066" s="43"/>
      <c r="M3066" s="43"/>
      <c r="N3066" s="43"/>
      <c r="O3066" s="43"/>
      <c r="Q3066" s="44"/>
      <c r="R3066" s="44"/>
      <c r="S3066" s="44"/>
      <c r="T3066" s="44"/>
    </row>
    <row r="3067" spans="12:20" x14ac:dyDescent="0.2">
      <c r="L3067" s="43"/>
      <c r="M3067" s="43"/>
      <c r="N3067" s="43"/>
      <c r="O3067" s="43"/>
      <c r="Q3067" s="44"/>
      <c r="R3067" s="44"/>
      <c r="S3067" s="44"/>
      <c r="T3067" s="44"/>
    </row>
    <row r="3068" spans="12:20" x14ac:dyDescent="0.2">
      <c r="L3068" s="43"/>
      <c r="M3068" s="43"/>
      <c r="N3068" s="43"/>
      <c r="O3068" s="43"/>
      <c r="Q3068" s="44"/>
      <c r="R3068" s="44"/>
      <c r="S3068" s="44"/>
      <c r="T3068" s="44"/>
    </row>
    <row r="3069" spans="12:20" x14ac:dyDescent="0.2">
      <c r="L3069" s="43"/>
      <c r="M3069" s="43"/>
      <c r="N3069" s="43"/>
      <c r="O3069" s="43"/>
      <c r="Q3069" s="44"/>
      <c r="R3069" s="44"/>
      <c r="S3069" s="44"/>
      <c r="T3069" s="44"/>
    </row>
    <row r="3070" spans="12:20" x14ac:dyDescent="0.2">
      <c r="L3070" s="43"/>
      <c r="M3070" s="43"/>
      <c r="N3070" s="43"/>
      <c r="O3070" s="43"/>
      <c r="Q3070" s="44"/>
      <c r="R3070" s="44"/>
      <c r="S3070" s="44"/>
      <c r="T3070" s="44"/>
    </row>
    <row r="3071" spans="12:20" x14ac:dyDescent="0.2">
      <c r="L3071" s="43"/>
      <c r="M3071" s="43"/>
      <c r="N3071" s="43"/>
      <c r="O3071" s="43"/>
      <c r="Q3071" s="44"/>
      <c r="R3071" s="44"/>
      <c r="S3071" s="44"/>
      <c r="T3071" s="44"/>
    </row>
    <row r="3072" spans="12:20" x14ac:dyDescent="0.2">
      <c r="L3072" s="43"/>
      <c r="M3072" s="43"/>
      <c r="N3072" s="43"/>
      <c r="O3072" s="43"/>
      <c r="Q3072" s="44"/>
      <c r="R3072" s="44"/>
      <c r="S3072" s="44"/>
      <c r="T3072" s="44"/>
    </row>
    <row r="3073" spans="12:20" x14ac:dyDescent="0.2">
      <c r="L3073" s="43"/>
      <c r="M3073" s="43"/>
      <c r="N3073" s="43"/>
      <c r="O3073" s="43"/>
      <c r="Q3073" s="44"/>
      <c r="R3073" s="44"/>
      <c r="S3073" s="44"/>
      <c r="T3073" s="44"/>
    </row>
    <row r="3074" spans="12:20" x14ac:dyDescent="0.2">
      <c r="L3074" s="43"/>
      <c r="M3074" s="43"/>
      <c r="N3074" s="43"/>
      <c r="O3074" s="43"/>
      <c r="Q3074" s="44"/>
      <c r="R3074" s="44"/>
      <c r="S3074" s="44"/>
      <c r="T3074" s="44"/>
    </row>
    <row r="3075" spans="12:20" x14ac:dyDescent="0.2">
      <c r="L3075" s="43"/>
      <c r="M3075" s="43"/>
      <c r="N3075" s="43"/>
      <c r="O3075" s="43"/>
      <c r="Q3075" s="44"/>
      <c r="R3075" s="44"/>
      <c r="S3075" s="44"/>
      <c r="T3075" s="44"/>
    </row>
    <row r="3076" spans="12:20" x14ac:dyDescent="0.2">
      <c r="L3076" s="43"/>
      <c r="M3076" s="43"/>
      <c r="N3076" s="43"/>
      <c r="O3076" s="43"/>
      <c r="Q3076" s="44"/>
      <c r="R3076" s="44"/>
      <c r="S3076" s="44"/>
      <c r="T3076" s="44"/>
    </row>
    <row r="3077" spans="12:20" x14ac:dyDescent="0.2">
      <c r="L3077" s="43"/>
      <c r="M3077" s="43"/>
      <c r="N3077" s="43"/>
      <c r="O3077" s="43"/>
      <c r="Q3077" s="44"/>
      <c r="R3077" s="44"/>
      <c r="S3077" s="44"/>
      <c r="T3077" s="44"/>
    </row>
    <row r="3078" spans="12:20" x14ac:dyDescent="0.2">
      <c r="L3078" s="43"/>
      <c r="M3078" s="43"/>
      <c r="N3078" s="43"/>
      <c r="O3078" s="43"/>
      <c r="Q3078" s="44"/>
      <c r="R3078" s="44"/>
      <c r="S3078" s="44"/>
      <c r="T3078" s="44"/>
    </row>
    <row r="3079" spans="12:20" x14ac:dyDescent="0.2">
      <c r="L3079" s="43"/>
      <c r="M3079" s="43"/>
      <c r="N3079" s="43"/>
      <c r="O3079" s="43"/>
      <c r="Q3079" s="44"/>
      <c r="R3079" s="44"/>
      <c r="S3079" s="44"/>
      <c r="T3079" s="44"/>
    </row>
    <row r="3080" spans="12:20" x14ac:dyDescent="0.2">
      <c r="L3080" s="43"/>
      <c r="M3080" s="43"/>
      <c r="N3080" s="43"/>
      <c r="O3080" s="43"/>
      <c r="Q3080" s="44"/>
      <c r="R3080" s="44"/>
      <c r="S3080" s="44"/>
      <c r="T3080" s="44"/>
    </row>
    <row r="3081" spans="12:20" x14ac:dyDescent="0.2">
      <c r="L3081" s="43"/>
      <c r="M3081" s="43"/>
      <c r="N3081" s="43"/>
      <c r="O3081" s="43"/>
      <c r="Q3081" s="44"/>
      <c r="R3081" s="44"/>
      <c r="S3081" s="44"/>
      <c r="T3081" s="44"/>
    </row>
    <row r="3082" spans="12:20" x14ac:dyDescent="0.2">
      <c r="L3082" s="43"/>
      <c r="M3082" s="43"/>
      <c r="N3082" s="43"/>
      <c r="O3082" s="43"/>
      <c r="Q3082" s="44"/>
      <c r="R3082" s="44"/>
      <c r="S3082" s="44"/>
      <c r="T3082" s="44"/>
    </row>
    <row r="3083" spans="12:20" x14ac:dyDescent="0.2">
      <c r="L3083" s="43"/>
      <c r="M3083" s="43"/>
      <c r="N3083" s="43"/>
      <c r="O3083" s="43"/>
      <c r="Q3083" s="44"/>
      <c r="R3083" s="44"/>
      <c r="S3083" s="44"/>
      <c r="T3083" s="44"/>
    </row>
    <row r="3084" spans="12:20" x14ac:dyDescent="0.2">
      <c r="L3084" s="43"/>
      <c r="M3084" s="43"/>
      <c r="N3084" s="43"/>
      <c r="O3084" s="43"/>
      <c r="Q3084" s="44"/>
      <c r="R3084" s="44"/>
      <c r="S3084" s="44"/>
      <c r="T3084" s="44"/>
    </row>
    <row r="3085" spans="12:20" x14ac:dyDescent="0.2">
      <c r="L3085" s="43"/>
      <c r="M3085" s="43"/>
      <c r="N3085" s="43"/>
      <c r="O3085" s="43"/>
      <c r="Q3085" s="44"/>
      <c r="R3085" s="44"/>
      <c r="S3085" s="44"/>
      <c r="T3085" s="44"/>
    </row>
    <row r="3086" spans="12:20" x14ac:dyDescent="0.2">
      <c r="L3086" s="43"/>
      <c r="M3086" s="43"/>
      <c r="N3086" s="43"/>
      <c r="O3086" s="43"/>
      <c r="Q3086" s="44"/>
      <c r="R3086" s="44"/>
      <c r="S3086" s="44"/>
      <c r="T3086" s="44"/>
    </row>
    <row r="3087" spans="12:20" x14ac:dyDescent="0.2">
      <c r="L3087" s="43"/>
      <c r="M3087" s="43"/>
      <c r="N3087" s="43"/>
      <c r="O3087" s="43"/>
      <c r="Q3087" s="44"/>
      <c r="R3087" s="44"/>
      <c r="S3087" s="44"/>
      <c r="T3087" s="44"/>
    </row>
    <row r="3088" spans="12:20" x14ac:dyDescent="0.2">
      <c r="L3088" s="43"/>
      <c r="M3088" s="43"/>
      <c r="N3088" s="43"/>
      <c r="O3088" s="43"/>
      <c r="Q3088" s="44"/>
      <c r="R3088" s="44"/>
      <c r="S3088" s="44"/>
      <c r="T3088" s="44"/>
    </row>
    <row r="3089" spans="12:20" x14ac:dyDescent="0.2">
      <c r="L3089" s="43"/>
      <c r="M3089" s="43"/>
      <c r="N3089" s="43"/>
      <c r="O3089" s="43"/>
      <c r="Q3089" s="44"/>
      <c r="R3089" s="44"/>
      <c r="S3089" s="44"/>
      <c r="T3089" s="44"/>
    </row>
    <row r="3090" spans="12:20" x14ac:dyDescent="0.2">
      <c r="L3090" s="43"/>
      <c r="M3090" s="43"/>
      <c r="N3090" s="43"/>
      <c r="O3090" s="43"/>
      <c r="Q3090" s="44"/>
      <c r="R3090" s="44"/>
      <c r="S3090" s="44"/>
      <c r="T3090" s="44"/>
    </row>
    <row r="3091" spans="12:20" x14ac:dyDescent="0.2">
      <c r="L3091" s="43"/>
      <c r="M3091" s="43"/>
      <c r="N3091" s="43"/>
      <c r="O3091" s="43"/>
      <c r="Q3091" s="44"/>
      <c r="R3091" s="44"/>
      <c r="S3091" s="44"/>
      <c r="T3091" s="44"/>
    </row>
    <row r="3092" spans="12:20" x14ac:dyDescent="0.2">
      <c r="L3092" s="43"/>
      <c r="M3092" s="43"/>
      <c r="N3092" s="43"/>
      <c r="O3092" s="43"/>
      <c r="Q3092" s="44"/>
      <c r="R3092" s="44"/>
      <c r="S3092" s="44"/>
      <c r="T3092" s="44"/>
    </row>
    <row r="3093" spans="12:20" x14ac:dyDescent="0.2">
      <c r="L3093" s="43"/>
      <c r="M3093" s="43"/>
      <c r="N3093" s="43"/>
      <c r="O3093" s="43"/>
      <c r="Q3093" s="44"/>
      <c r="R3093" s="44"/>
      <c r="S3093" s="44"/>
      <c r="T3093" s="44"/>
    </row>
    <row r="3094" spans="12:20" x14ac:dyDescent="0.2">
      <c r="L3094" s="43"/>
      <c r="M3094" s="43"/>
      <c r="N3094" s="43"/>
      <c r="O3094" s="43"/>
      <c r="Q3094" s="44"/>
      <c r="R3094" s="44"/>
      <c r="S3094" s="44"/>
      <c r="T3094" s="44"/>
    </row>
    <row r="3095" spans="12:20" x14ac:dyDescent="0.2">
      <c r="L3095" s="43"/>
      <c r="M3095" s="43"/>
      <c r="N3095" s="43"/>
      <c r="O3095" s="43"/>
      <c r="Q3095" s="44"/>
      <c r="R3095" s="44"/>
      <c r="S3095" s="44"/>
      <c r="T3095" s="44"/>
    </row>
    <row r="3096" spans="12:20" x14ac:dyDescent="0.2">
      <c r="L3096" s="43"/>
      <c r="M3096" s="43"/>
      <c r="N3096" s="43"/>
      <c r="O3096" s="43"/>
      <c r="Q3096" s="44"/>
      <c r="R3096" s="44"/>
      <c r="S3096" s="44"/>
      <c r="T3096" s="44"/>
    </row>
    <row r="3097" spans="12:20" x14ac:dyDescent="0.2">
      <c r="L3097" s="43"/>
      <c r="M3097" s="43"/>
      <c r="N3097" s="43"/>
      <c r="O3097" s="43"/>
      <c r="Q3097" s="44"/>
      <c r="R3097" s="44"/>
      <c r="S3097" s="44"/>
      <c r="T3097" s="44"/>
    </row>
    <row r="3098" spans="12:20" x14ac:dyDescent="0.2">
      <c r="L3098" s="43"/>
      <c r="M3098" s="43"/>
      <c r="N3098" s="43"/>
      <c r="O3098" s="43"/>
      <c r="Q3098" s="44"/>
      <c r="R3098" s="44"/>
      <c r="S3098" s="44"/>
      <c r="T3098" s="44"/>
    </row>
    <row r="3099" spans="12:20" x14ac:dyDescent="0.2">
      <c r="L3099" s="43"/>
      <c r="M3099" s="43"/>
      <c r="N3099" s="43"/>
      <c r="O3099" s="43"/>
      <c r="Q3099" s="44"/>
      <c r="R3099" s="44"/>
      <c r="S3099" s="44"/>
      <c r="T3099" s="44"/>
    </row>
    <row r="3100" spans="12:20" x14ac:dyDescent="0.2">
      <c r="L3100" s="43"/>
      <c r="M3100" s="43"/>
      <c r="N3100" s="43"/>
      <c r="O3100" s="43"/>
      <c r="Q3100" s="44"/>
      <c r="R3100" s="44"/>
      <c r="S3100" s="44"/>
      <c r="T3100" s="44"/>
    </row>
    <row r="3101" spans="12:20" x14ac:dyDescent="0.2">
      <c r="L3101" s="43"/>
      <c r="M3101" s="43"/>
      <c r="N3101" s="43"/>
      <c r="O3101" s="43"/>
      <c r="Q3101" s="44"/>
      <c r="R3101" s="44"/>
      <c r="S3101" s="44"/>
      <c r="T3101" s="44"/>
    </row>
    <row r="3102" spans="12:20" x14ac:dyDescent="0.2">
      <c r="L3102" s="43"/>
      <c r="M3102" s="43"/>
      <c r="N3102" s="43"/>
      <c r="O3102" s="43"/>
      <c r="Q3102" s="44"/>
      <c r="R3102" s="44"/>
      <c r="S3102" s="44"/>
      <c r="T3102" s="44"/>
    </row>
    <row r="3103" spans="12:20" x14ac:dyDescent="0.2">
      <c r="L3103" s="43"/>
      <c r="M3103" s="43"/>
      <c r="N3103" s="43"/>
      <c r="O3103" s="43"/>
      <c r="Q3103" s="44"/>
      <c r="R3103" s="44"/>
      <c r="S3103" s="44"/>
      <c r="T3103" s="44"/>
    </row>
    <row r="3104" spans="12:20" x14ac:dyDescent="0.2">
      <c r="L3104" s="43"/>
      <c r="M3104" s="43"/>
      <c r="N3104" s="43"/>
      <c r="O3104" s="43"/>
      <c r="Q3104" s="44"/>
      <c r="R3104" s="44"/>
      <c r="S3104" s="44"/>
      <c r="T3104" s="44"/>
    </row>
    <row r="3105" spans="12:20" x14ac:dyDescent="0.2">
      <c r="L3105" s="43"/>
      <c r="M3105" s="43"/>
      <c r="N3105" s="43"/>
      <c r="O3105" s="43"/>
      <c r="Q3105" s="44"/>
      <c r="R3105" s="44"/>
      <c r="S3105" s="44"/>
      <c r="T3105" s="44"/>
    </row>
    <row r="3106" spans="12:20" x14ac:dyDescent="0.2">
      <c r="L3106" s="43"/>
      <c r="M3106" s="43"/>
      <c r="N3106" s="43"/>
      <c r="O3106" s="43"/>
      <c r="Q3106" s="44"/>
      <c r="R3106" s="44"/>
      <c r="S3106" s="44"/>
      <c r="T3106" s="44"/>
    </row>
    <row r="3107" spans="12:20" x14ac:dyDescent="0.2">
      <c r="L3107" s="43"/>
      <c r="M3107" s="43"/>
      <c r="N3107" s="43"/>
      <c r="O3107" s="43"/>
      <c r="Q3107" s="44"/>
      <c r="R3107" s="44"/>
      <c r="S3107" s="44"/>
      <c r="T3107" s="44"/>
    </row>
    <row r="3108" spans="12:20" x14ac:dyDescent="0.2">
      <c r="L3108" s="43"/>
      <c r="M3108" s="43"/>
      <c r="N3108" s="43"/>
      <c r="O3108" s="43"/>
      <c r="Q3108" s="44"/>
      <c r="R3108" s="44"/>
      <c r="S3108" s="44"/>
      <c r="T3108" s="44"/>
    </row>
    <row r="3109" spans="12:20" x14ac:dyDescent="0.2">
      <c r="L3109" s="43"/>
      <c r="M3109" s="43"/>
      <c r="N3109" s="43"/>
      <c r="O3109" s="43"/>
      <c r="Q3109" s="44"/>
      <c r="R3109" s="44"/>
      <c r="S3109" s="44"/>
      <c r="T3109" s="44"/>
    </row>
    <row r="3110" spans="12:20" x14ac:dyDescent="0.2">
      <c r="L3110" s="43"/>
      <c r="M3110" s="43"/>
      <c r="N3110" s="43"/>
      <c r="O3110" s="43"/>
      <c r="Q3110" s="44"/>
      <c r="R3110" s="44"/>
      <c r="S3110" s="44"/>
      <c r="T3110" s="44"/>
    </row>
    <row r="3111" spans="12:20" x14ac:dyDescent="0.2">
      <c r="L3111" s="43"/>
      <c r="M3111" s="43"/>
      <c r="N3111" s="43"/>
      <c r="O3111" s="43"/>
      <c r="Q3111" s="44"/>
      <c r="R3111" s="44"/>
      <c r="S3111" s="44"/>
      <c r="T3111" s="44"/>
    </row>
    <row r="3112" spans="12:20" x14ac:dyDescent="0.2">
      <c r="L3112" s="43"/>
      <c r="M3112" s="43"/>
      <c r="N3112" s="43"/>
      <c r="O3112" s="43"/>
      <c r="Q3112" s="44"/>
      <c r="R3112" s="44"/>
      <c r="S3112" s="44"/>
      <c r="T3112" s="44"/>
    </row>
    <row r="3113" spans="12:20" x14ac:dyDescent="0.2">
      <c r="L3113" s="43"/>
      <c r="M3113" s="43"/>
      <c r="N3113" s="43"/>
      <c r="O3113" s="43"/>
      <c r="Q3113" s="44"/>
      <c r="R3113" s="44"/>
      <c r="S3113" s="44"/>
      <c r="T3113" s="44"/>
    </row>
    <row r="3114" spans="12:20" x14ac:dyDescent="0.2">
      <c r="L3114" s="43"/>
      <c r="M3114" s="43"/>
      <c r="N3114" s="43"/>
      <c r="O3114" s="43"/>
      <c r="Q3114" s="44"/>
      <c r="R3114" s="44"/>
      <c r="S3114" s="44"/>
      <c r="T3114" s="44"/>
    </row>
    <row r="3115" spans="12:20" x14ac:dyDescent="0.2">
      <c r="L3115" s="43"/>
      <c r="M3115" s="43"/>
      <c r="N3115" s="43"/>
      <c r="O3115" s="43"/>
      <c r="Q3115" s="44"/>
      <c r="R3115" s="44"/>
      <c r="S3115" s="44"/>
      <c r="T3115" s="44"/>
    </row>
    <row r="3116" spans="12:20" x14ac:dyDescent="0.2">
      <c r="L3116" s="43"/>
      <c r="M3116" s="43"/>
      <c r="N3116" s="43"/>
      <c r="O3116" s="43"/>
      <c r="Q3116" s="44"/>
      <c r="R3116" s="44"/>
      <c r="S3116" s="44"/>
      <c r="T3116" s="44"/>
    </row>
    <row r="3117" spans="12:20" x14ac:dyDescent="0.2">
      <c r="L3117" s="43"/>
      <c r="M3117" s="43"/>
      <c r="N3117" s="43"/>
      <c r="O3117" s="43"/>
      <c r="Q3117" s="44"/>
      <c r="R3117" s="44"/>
      <c r="S3117" s="44"/>
      <c r="T3117" s="44"/>
    </row>
    <row r="3118" spans="12:20" x14ac:dyDescent="0.2">
      <c r="L3118" s="43"/>
      <c r="M3118" s="43"/>
      <c r="N3118" s="43"/>
      <c r="O3118" s="43"/>
      <c r="Q3118" s="44"/>
      <c r="R3118" s="44"/>
      <c r="S3118" s="44"/>
      <c r="T3118" s="44"/>
    </row>
    <row r="3119" spans="12:20" x14ac:dyDescent="0.2">
      <c r="L3119" s="43"/>
      <c r="M3119" s="43"/>
      <c r="N3119" s="43"/>
      <c r="O3119" s="43"/>
      <c r="Q3119" s="44"/>
      <c r="R3119" s="44"/>
      <c r="S3119" s="44"/>
      <c r="T3119" s="44"/>
    </row>
    <row r="3120" spans="12:20" x14ac:dyDescent="0.2">
      <c r="L3120" s="43"/>
      <c r="M3120" s="43"/>
      <c r="N3120" s="43"/>
      <c r="O3120" s="43"/>
      <c r="Q3120" s="44"/>
      <c r="R3120" s="44"/>
      <c r="S3120" s="44"/>
      <c r="T3120" s="44"/>
    </row>
    <row r="3121" spans="12:20" x14ac:dyDescent="0.2">
      <c r="L3121" s="43"/>
      <c r="M3121" s="43"/>
      <c r="N3121" s="43"/>
      <c r="O3121" s="43"/>
      <c r="Q3121" s="44"/>
      <c r="R3121" s="44"/>
      <c r="S3121" s="44"/>
      <c r="T3121" s="44"/>
    </row>
    <row r="3122" spans="12:20" x14ac:dyDescent="0.2">
      <c r="L3122" s="43"/>
      <c r="M3122" s="43"/>
      <c r="N3122" s="43"/>
      <c r="O3122" s="43"/>
      <c r="Q3122" s="44"/>
      <c r="R3122" s="44"/>
      <c r="S3122" s="44"/>
      <c r="T3122" s="44"/>
    </row>
    <row r="3123" spans="12:20" x14ac:dyDescent="0.2">
      <c r="L3123" s="43"/>
      <c r="M3123" s="43"/>
      <c r="N3123" s="43"/>
      <c r="O3123" s="43"/>
      <c r="Q3123" s="44"/>
      <c r="R3123" s="44"/>
      <c r="S3123" s="44"/>
      <c r="T3123" s="44"/>
    </row>
    <row r="3124" spans="12:20" x14ac:dyDescent="0.2">
      <c r="L3124" s="43"/>
      <c r="M3124" s="43"/>
      <c r="N3124" s="43"/>
      <c r="O3124" s="43"/>
      <c r="Q3124" s="44"/>
      <c r="R3124" s="44"/>
      <c r="S3124" s="44"/>
      <c r="T3124" s="44"/>
    </row>
    <row r="3125" spans="12:20" x14ac:dyDescent="0.2">
      <c r="L3125" s="43"/>
      <c r="M3125" s="43"/>
      <c r="N3125" s="43"/>
      <c r="O3125" s="43"/>
      <c r="Q3125" s="44"/>
      <c r="R3125" s="44"/>
      <c r="S3125" s="44"/>
      <c r="T3125" s="44"/>
    </row>
    <row r="3126" spans="12:20" x14ac:dyDescent="0.2">
      <c r="L3126" s="43"/>
      <c r="M3126" s="43"/>
      <c r="N3126" s="43"/>
      <c r="O3126" s="43"/>
      <c r="Q3126" s="44"/>
      <c r="R3126" s="44"/>
      <c r="S3126" s="44"/>
      <c r="T3126" s="44"/>
    </row>
    <row r="3127" spans="12:20" x14ac:dyDescent="0.2">
      <c r="L3127" s="43"/>
      <c r="M3127" s="43"/>
      <c r="N3127" s="43"/>
      <c r="O3127" s="43"/>
      <c r="Q3127" s="44"/>
      <c r="R3127" s="44"/>
      <c r="S3127" s="44"/>
      <c r="T3127" s="44"/>
    </row>
    <row r="3128" spans="12:20" x14ac:dyDescent="0.2">
      <c r="L3128" s="43"/>
      <c r="M3128" s="43"/>
      <c r="N3128" s="43"/>
      <c r="O3128" s="43"/>
      <c r="Q3128" s="44"/>
      <c r="R3128" s="44"/>
      <c r="S3128" s="44"/>
      <c r="T3128" s="44"/>
    </row>
    <row r="3129" spans="12:20" x14ac:dyDescent="0.2">
      <c r="L3129" s="43"/>
      <c r="M3129" s="43"/>
      <c r="N3129" s="43"/>
      <c r="O3129" s="43"/>
      <c r="Q3129" s="44"/>
      <c r="R3129" s="44"/>
      <c r="S3129" s="44"/>
      <c r="T3129" s="44"/>
    </row>
    <row r="3130" spans="12:20" x14ac:dyDescent="0.2">
      <c r="L3130" s="43"/>
      <c r="M3130" s="43"/>
      <c r="N3130" s="43"/>
      <c r="O3130" s="43"/>
      <c r="Q3130" s="44"/>
      <c r="R3130" s="44"/>
      <c r="S3130" s="44"/>
      <c r="T3130" s="44"/>
    </row>
    <row r="3131" spans="12:20" x14ac:dyDescent="0.2">
      <c r="L3131" s="43"/>
      <c r="M3131" s="43"/>
      <c r="N3131" s="43"/>
      <c r="O3131" s="43"/>
      <c r="Q3131" s="44"/>
      <c r="R3131" s="44"/>
      <c r="S3131" s="44"/>
      <c r="T3131" s="44"/>
    </row>
    <row r="3132" spans="12:20" x14ac:dyDescent="0.2">
      <c r="L3132" s="43"/>
      <c r="M3132" s="43"/>
      <c r="N3132" s="43"/>
      <c r="O3132" s="43"/>
      <c r="Q3132" s="44"/>
      <c r="R3132" s="44"/>
      <c r="S3132" s="44"/>
      <c r="T3132" s="44"/>
    </row>
    <row r="3133" spans="12:20" x14ac:dyDescent="0.2">
      <c r="L3133" s="43"/>
      <c r="M3133" s="43"/>
      <c r="N3133" s="43"/>
      <c r="O3133" s="43"/>
      <c r="Q3133" s="44"/>
      <c r="R3133" s="44"/>
      <c r="S3133" s="44"/>
      <c r="T3133" s="44"/>
    </row>
    <row r="3134" spans="12:20" x14ac:dyDescent="0.2">
      <c r="L3134" s="43"/>
      <c r="M3134" s="43"/>
      <c r="N3134" s="43"/>
      <c r="O3134" s="43"/>
      <c r="Q3134" s="44"/>
      <c r="R3134" s="44"/>
      <c r="S3134" s="44"/>
      <c r="T3134" s="44"/>
    </row>
    <row r="3135" spans="12:20" x14ac:dyDescent="0.2">
      <c r="L3135" s="43"/>
      <c r="M3135" s="43"/>
      <c r="N3135" s="43"/>
      <c r="O3135" s="43"/>
      <c r="Q3135" s="44"/>
      <c r="R3135" s="44"/>
      <c r="S3135" s="44"/>
      <c r="T3135" s="44"/>
    </row>
    <row r="3136" spans="12:20" x14ac:dyDescent="0.2">
      <c r="L3136" s="43"/>
      <c r="M3136" s="43"/>
      <c r="N3136" s="43"/>
      <c r="O3136" s="43"/>
      <c r="Q3136" s="44"/>
      <c r="R3136" s="44"/>
      <c r="S3136" s="44"/>
      <c r="T3136" s="44"/>
    </row>
    <row r="3137" spans="12:20" x14ac:dyDescent="0.2">
      <c r="L3137" s="43"/>
      <c r="M3137" s="43"/>
      <c r="N3137" s="43"/>
      <c r="O3137" s="43"/>
      <c r="Q3137" s="44"/>
      <c r="R3137" s="44"/>
      <c r="S3137" s="44"/>
      <c r="T3137" s="44"/>
    </row>
    <row r="3138" spans="12:20" x14ac:dyDescent="0.2">
      <c r="L3138" s="43"/>
      <c r="M3138" s="43"/>
      <c r="N3138" s="43"/>
      <c r="O3138" s="43"/>
      <c r="Q3138" s="44"/>
      <c r="R3138" s="44"/>
      <c r="S3138" s="44"/>
      <c r="T3138" s="44"/>
    </row>
    <row r="3139" spans="12:20" x14ac:dyDescent="0.2">
      <c r="L3139" s="43"/>
      <c r="M3139" s="43"/>
      <c r="N3139" s="43"/>
      <c r="O3139" s="43"/>
      <c r="Q3139" s="44"/>
      <c r="R3139" s="44"/>
      <c r="S3139" s="44"/>
      <c r="T3139" s="44"/>
    </row>
    <row r="3140" spans="12:20" x14ac:dyDescent="0.2">
      <c r="L3140" s="43"/>
      <c r="M3140" s="43"/>
      <c r="N3140" s="43"/>
      <c r="O3140" s="43"/>
      <c r="Q3140" s="44"/>
      <c r="R3140" s="44"/>
      <c r="S3140" s="44"/>
      <c r="T3140" s="44"/>
    </row>
    <row r="3141" spans="12:20" x14ac:dyDescent="0.2">
      <c r="L3141" s="43"/>
      <c r="M3141" s="43"/>
      <c r="N3141" s="43"/>
      <c r="O3141" s="43"/>
      <c r="Q3141" s="44"/>
      <c r="R3141" s="44"/>
      <c r="S3141" s="44"/>
      <c r="T3141" s="44"/>
    </row>
    <row r="3142" spans="12:20" x14ac:dyDescent="0.2">
      <c r="L3142" s="43"/>
      <c r="M3142" s="43"/>
      <c r="N3142" s="43"/>
      <c r="O3142" s="43"/>
      <c r="Q3142" s="44"/>
      <c r="R3142" s="44"/>
      <c r="S3142" s="44"/>
      <c r="T3142" s="44"/>
    </row>
    <row r="3143" spans="12:20" x14ac:dyDescent="0.2">
      <c r="L3143" s="43"/>
      <c r="M3143" s="43"/>
      <c r="N3143" s="43"/>
      <c r="O3143" s="43"/>
      <c r="Q3143" s="44"/>
      <c r="R3143" s="44"/>
      <c r="S3143" s="44"/>
      <c r="T3143" s="44"/>
    </row>
    <row r="3144" spans="12:20" x14ac:dyDescent="0.2">
      <c r="L3144" s="43"/>
      <c r="M3144" s="43"/>
      <c r="N3144" s="43"/>
      <c r="O3144" s="43"/>
      <c r="Q3144" s="44"/>
      <c r="R3144" s="44"/>
      <c r="S3144" s="44"/>
      <c r="T3144" s="44"/>
    </row>
    <row r="3145" spans="12:20" x14ac:dyDescent="0.2">
      <c r="L3145" s="43"/>
      <c r="M3145" s="43"/>
      <c r="N3145" s="43"/>
      <c r="O3145" s="43"/>
      <c r="Q3145" s="44"/>
      <c r="R3145" s="44"/>
      <c r="S3145" s="44"/>
      <c r="T3145" s="44"/>
    </row>
    <row r="3146" spans="12:20" x14ac:dyDescent="0.2">
      <c r="L3146" s="43"/>
      <c r="M3146" s="43"/>
      <c r="N3146" s="43"/>
      <c r="O3146" s="43"/>
      <c r="Q3146" s="44"/>
      <c r="R3146" s="44"/>
      <c r="S3146" s="44"/>
      <c r="T3146" s="44"/>
    </row>
    <row r="3147" spans="12:20" x14ac:dyDescent="0.2">
      <c r="L3147" s="43"/>
      <c r="M3147" s="43"/>
      <c r="N3147" s="43"/>
      <c r="O3147" s="43"/>
      <c r="Q3147" s="44"/>
      <c r="R3147" s="44"/>
      <c r="S3147" s="44"/>
      <c r="T3147" s="44"/>
    </row>
    <row r="3148" spans="12:20" x14ac:dyDescent="0.2">
      <c r="L3148" s="43"/>
      <c r="M3148" s="43"/>
      <c r="N3148" s="43"/>
      <c r="O3148" s="43"/>
      <c r="Q3148" s="44"/>
      <c r="R3148" s="44"/>
      <c r="S3148" s="44"/>
      <c r="T3148" s="44"/>
    </row>
    <row r="3149" spans="12:20" x14ac:dyDescent="0.2">
      <c r="L3149" s="43"/>
      <c r="M3149" s="43"/>
      <c r="N3149" s="43"/>
      <c r="O3149" s="43"/>
      <c r="Q3149" s="44"/>
      <c r="R3149" s="44"/>
      <c r="S3149" s="44"/>
      <c r="T3149" s="44"/>
    </row>
    <row r="3150" spans="12:20" x14ac:dyDescent="0.2">
      <c r="L3150" s="43"/>
      <c r="M3150" s="43"/>
      <c r="N3150" s="43"/>
      <c r="O3150" s="43"/>
      <c r="Q3150" s="44"/>
      <c r="R3150" s="44"/>
      <c r="S3150" s="44"/>
      <c r="T3150" s="44"/>
    </row>
    <row r="3151" spans="12:20" x14ac:dyDescent="0.2">
      <c r="L3151" s="43"/>
      <c r="M3151" s="43"/>
      <c r="N3151" s="43"/>
      <c r="O3151" s="43"/>
      <c r="Q3151" s="44"/>
      <c r="R3151" s="44"/>
      <c r="S3151" s="44"/>
      <c r="T3151" s="44"/>
    </row>
    <row r="3152" spans="12:20" x14ac:dyDescent="0.2">
      <c r="L3152" s="43"/>
      <c r="M3152" s="43"/>
      <c r="N3152" s="43"/>
      <c r="O3152" s="43"/>
      <c r="Q3152" s="44"/>
      <c r="R3152" s="44"/>
      <c r="S3152" s="44"/>
      <c r="T3152" s="44"/>
    </row>
    <row r="3153" spans="12:20" x14ac:dyDescent="0.2">
      <c r="L3153" s="43"/>
      <c r="M3153" s="43"/>
      <c r="N3153" s="43"/>
      <c r="O3153" s="43"/>
      <c r="Q3153" s="44"/>
      <c r="R3153" s="44"/>
      <c r="S3153" s="44"/>
      <c r="T3153" s="44"/>
    </row>
    <row r="3154" spans="12:20" x14ac:dyDescent="0.2">
      <c r="L3154" s="43"/>
      <c r="M3154" s="43"/>
      <c r="N3154" s="43"/>
      <c r="O3154" s="43"/>
      <c r="Q3154" s="44"/>
      <c r="R3154" s="44"/>
      <c r="S3154" s="44"/>
      <c r="T3154" s="44"/>
    </row>
    <row r="3155" spans="12:20" x14ac:dyDescent="0.2">
      <c r="L3155" s="43"/>
      <c r="M3155" s="43"/>
      <c r="N3155" s="43"/>
      <c r="O3155" s="43"/>
      <c r="Q3155" s="44"/>
      <c r="R3155" s="44"/>
      <c r="S3155" s="44"/>
      <c r="T3155" s="44"/>
    </row>
    <row r="3156" spans="12:20" x14ac:dyDescent="0.2">
      <c r="L3156" s="43"/>
      <c r="M3156" s="43"/>
      <c r="N3156" s="43"/>
      <c r="O3156" s="43"/>
      <c r="Q3156" s="44"/>
      <c r="R3156" s="44"/>
      <c r="S3156" s="44"/>
      <c r="T3156" s="44"/>
    </row>
    <row r="3157" spans="12:20" x14ac:dyDescent="0.2">
      <c r="L3157" s="43"/>
      <c r="M3157" s="43"/>
      <c r="N3157" s="43"/>
      <c r="O3157" s="43"/>
      <c r="Q3157" s="44"/>
      <c r="R3157" s="44"/>
      <c r="S3157" s="44"/>
      <c r="T3157" s="44"/>
    </row>
    <row r="3158" spans="12:20" x14ac:dyDescent="0.2">
      <c r="L3158" s="43"/>
      <c r="M3158" s="43"/>
      <c r="N3158" s="43"/>
      <c r="O3158" s="43"/>
      <c r="Q3158" s="44"/>
      <c r="R3158" s="44"/>
      <c r="S3158" s="44"/>
      <c r="T3158" s="44"/>
    </row>
    <row r="3159" spans="12:20" x14ac:dyDescent="0.2">
      <c r="L3159" s="43"/>
      <c r="M3159" s="43"/>
      <c r="N3159" s="43"/>
      <c r="O3159" s="43"/>
      <c r="Q3159" s="44"/>
      <c r="R3159" s="44"/>
      <c r="S3159" s="44"/>
      <c r="T3159" s="44"/>
    </row>
    <row r="3160" spans="12:20" x14ac:dyDescent="0.2">
      <c r="L3160" s="43"/>
      <c r="M3160" s="43"/>
      <c r="N3160" s="43"/>
      <c r="O3160" s="43"/>
      <c r="Q3160" s="44"/>
      <c r="R3160" s="44"/>
      <c r="S3160" s="44"/>
      <c r="T3160" s="44"/>
    </row>
    <row r="3161" spans="12:20" x14ac:dyDescent="0.2">
      <c r="L3161" s="43"/>
      <c r="M3161" s="43"/>
      <c r="N3161" s="43"/>
      <c r="O3161" s="43"/>
      <c r="Q3161" s="44"/>
      <c r="R3161" s="44"/>
      <c r="S3161" s="44"/>
      <c r="T3161" s="44"/>
    </row>
    <row r="3162" spans="12:20" x14ac:dyDescent="0.2">
      <c r="L3162" s="43"/>
      <c r="M3162" s="43"/>
      <c r="N3162" s="43"/>
      <c r="O3162" s="43"/>
      <c r="Q3162" s="44"/>
      <c r="R3162" s="44"/>
      <c r="S3162" s="44"/>
      <c r="T3162" s="44"/>
    </row>
    <row r="3163" spans="12:20" x14ac:dyDescent="0.2">
      <c r="L3163" s="43"/>
      <c r="M3163" s="43"/>
      <c r="N3163" s="43"/>
      <c r="O3163" s="43"/>
      <c r="Q3163" s="44"/>
      <c r="R3163" s="44"/>
      <c r="S3163" s="44"/>
      <c r="T3163" s="44"/>
    </row>
    <row r="3164" spans="12:20" x14ac:dyDescent="0.2">
      <c r="L3164" s="43"/>
      <c r="M3164" s="43"/>
      <c r="N3164" s="43"/>
      <c r="O3164" s="43"/>
      <c r="Q3164" s="44"/>
      <c r="R3164" s="44"/>
      <c r="S3164" s="44"/>
      <c r="T3164" s="44"/>
    </row>
    <row r="3165" spans="12:20" x14ac:dyDescent="0.2">
      <c r="L3165" s="43"/>
      <c r="M3165" s="43"/>
      <c r="N3165" s="43"/>
      <c r="O3165" s="43"/>
      <c r="Q3165" s="44"/>
      <c r="R3165" s="44"/>
      <c r="S3165" s="44"/>
      <c r="T3165" s="44"/>
    </row>
    <row r="3166" spans="12:20" x14ac:dyDescent="0.2">
      <c r="L3166" s="43"/>
      <c r="M3166" s="43"/>
      <c r="N3166" s="43"/>
      <c r="O3166" s="43"/>
      <c r="Q3166" s="44"/>
      <c r="R3166" s="44"/>
      <c r="S3166" s="44"/>
      <c r="T3166" s="44"/>
    </row>
    <row r="3167" spans="12:20" x14ac:dyDescent="0.2">
      <c r="L3167" s="43"/>
      <c r="M3167" s="43"/>
      <c r="N3167" s="43"/>
      <c r="O3167" s="43"/>
      <c r="Q3167" s="44"/>
      <c r="R3167" s="44"/>
      <c r="S3167" s="44"/>
      <c r="T3167" s="44"/>
    </row>
    <row r="3168" spans="12:20" x14ac:dyDescent="0.2">
      <c r="L3168" s="43"/>
      <c r="M3168" s="43"/>
      <c r="N3168" s="43"/>
      <c r="O3168" s="43"/>
      <c r="Q3168" s="44"/>
      <c r="R3168" s="44"/>
      <c r="S3168" s="44"/>
      <c r="T3168" s="44"/>
    </row>
    <row r="3169" spans="12:20" x14ac:dyDescent="0.2">
      <c r="L3169" s="43"/>
      <c r="M3169" s="43"/>
      <c r="N3169" s="43"/>
      <c r="O3169" s="43"/>
      <c r="Q3169" s="44"/>
      <c r="R3169" s="44"/>
      <c r="S3169" s="44"/>
      <c r="T3169" s="44"/>
    </row>
    <row r="3170" spans="12:20" x14ac:dyDescent="0.2">
      <c r="L3170" s="43"/>
      <c r="M3170" s="43"/>
      <c r="N3170" s="43"/>
      <c r="O3170" s="43"/>
      <c r="Q3170" s="44"/>
      <c r="R3170" s="44"/>
      <c r="S3170" s="44"/>
      <c r="T3170" s="44"/>
    </row>
    <row r="3171" spans="12:20" x14ac:dyDescent="0.2">
      <c r="L3171" s="43"/>
      <c r="M3171" s="43"/>
      <c r="N3171" s="43"/>
      <c r="O3171" s="43"/>
      <c r="Q3171" s="44"/>
      <c r="R3171" s="44"/>
      <c r="S3171" s="44"/>
      <c r="T3171" s="44"/>
    </row>
    <row r="3172" spans="12:20" x14ac:dyDescent="0.2">
      <c r="L3172" s="43"/>
      <c r="M3172" s="43"/>
      <c r="N3172" s="43"/>
      <c r="O3172" s="43"/>
      <c r="Q3172" s="44"/>
      <c r="R3172" s="44"/>
      <c r="S3172" s="44"/>
      <c r="T3172" s="44"/>
    </row>
    <row r="3173" spans="12:20" x14ac:dyDescent="0.2">
      <c r="L3173" s="43"/>
      <c r="M3173" s="43"/>
      <c r="N3173" s="43"/>
      <c r="O3173" s="43"/>
      <c r="Q3173" s="44"/>
      <c r="R3173" s="44"/>
      <c r="S3173" s="44"/>
      <c r="T3173" s="44"/>
    </row>
    <row r="3174" spans="12:20" x14ac:dyDescent="0.2">
      <c r="L3174" s="43"/>
      <c r="M3174" s="43"/>
      <c r="N3174" s="43"/>
      <c r="O3174" s="43"/>
      <c r="Q3174" s="44"/>
      <c r="R3174" s="44"/>
      <c r="S3174" s="44"/>
      <c r="T3174" s="44"/>
    </row>
    <row r="3175" spans="12:20" x14ac:dyDescent="0.2">
      <c r="L3175" s="43"/>
      <c r="M3175" s="43"/>
      <c r="N3175" s="43"/>
      <c r="O3175" s="43"/>
      <c r="Q3175" s="44"/>
      <c r="R3175" s="44"/>
      <c r="S3175" s="44"/>
      <c r="T3175" s="44"/>
    </row>
    <row r="3176" spans="12:20" x14ac:dyDescent="0.2">
      <c r="L3176" s="43"/>
      <c r="M3176" s="43"/>
      <c r="N3176" s="43"/>
      <c r="O3176" s="43"/>
      <c r="Q3176" s="44"/>
      <c r="R3176" s="44"/>
      <c r="S3176" s="44"/>
      <c r="T3176" s="44"/>
    </row>
    <row r="3177" spans="12:20" x14ac:dyDescent="0.2">
      <c r="L3177" s="43"/>
      <c r="M3177" s="43"/>
      <c r="N3177" s="43"/>
      <c r="O3177" s="43"/>
      <c r="Q3177" s="44"/>
      <c r="R3177" s="44"/>
      <c r="S3177" s="44"/>
      <c r="T3177" s="44"/>
    </row>
    <row r="3178" spans="12:20" x14ac:dyDescent="0.2">
      <c r="L3178" s="43"/>
      <c r="M3178" s="43"/>
      <c r="N3178" s="43"/>
      <c r="O3178" s="43"/>
      <c r="Q3178" s="44"/>
      <c r="R3178" s="44"/>
      <c r="S3178" s="44"/>
      <c r="T3178" s="44"/>
    </row>
    <row r="3179" spans="12:20" x14ac:dyDescent="0.2">
      <c r="L3179" s="43"/>
      <c r="M3179" s="43"/>
      <c r="N3179" s="43"/>
      <c r="O3179" s="43"/>
      <c r="Q3179" s="44"/>
      <c r="R3179" s="44"/>
      <c r="S3179" s="44"/>
      <c r="T3179" s="44"/>
    </row>
    <row r="3180" spans="12:20" x14ac:dyDescent="0.2">
      <c r="L3180" s="43"/>
      <c r="M3180" s="43"/>
      <c r="N3180" s="43"/>
      <c r="O3180" s="43"/>
      <c r="Q3180" s="44"/>
      <c r="R3180" s="44"/>
      <c r="S3180" s="44"/>
      <c r="T3180" s="44"/>
    </row>
    <row r="3181" spans="12:20" x14ac:dyDescent="0.2">
      <c r="L3181" s="43"/>
      <c r="M3181" s="43"/>
      <c r="N3181" s="43"/>
      <c r="O3181" s="43"/>
      <c r="Q3181" s="44"/>
      <c r="R3181" s="44"/>
      <c r="S3181" s="44"/>
      <c r="T3181" s="44"/>
    </row>
    <row r="3182" spans="12:20" x14ac:dyDescent="0.2">
      <c r="L3182" s="43"/>
      <c r="M3182" s="43"/>
      <c r="N3182" s="43"/>
      <c r="O3182" s="43"/>
      <c r="Q3182" s="44"/>
      <c r="R3182" s="44"/>
      <c r="S3182" s="44"/>
      <c r="T3182" s="44"/>
    </row>
    <row r="3183" spans="12:20" x14ac:dyDescent="0.2">
      <c r="L3183" s="43"/>
      <c r="M3183" s="43"/>
      <c r="N3183" s="43"/>
      <c r="O3183" s="43"/>
      <c r="Q3183" s="44"/>
      <c r="R3183" s="44"/>
      <c r="S3183" s="44"/>
      <c r="T3183" s="44"/>
    </row>
    <row r="3184" spans="12:20" x14ac:dyDescent="0.2">
      <c r="L3184" s="43"/>
      <c r="M3184" s="43"/>
      <c r="N3184" s="43"/>
      <c r="O3184" s="43"/>
      <c r="Q3184" s="44"/>
      <c r="R3184" s="44"/>
      <c r="S3184" s="44"/>
      <c r="T3184" s="44"/>
    </row>
    <row r="3185" spans="12:20" x14ac:dyDescent="0.2">
      <c r="L3185" s="43"/>
      <c r="M3185" s="43"/>
      <c r="N3185" s="43"/>
      <c r="O3185" s="43"/>
      <c r="Q3185" s="44"/>
      <c r="R3185" s="44"/>
      <c r="S3185" s="44"/>
      <c r="T3185" s="44"/>
    </row>
    <row r="3186" spans="12:20" x14ac:dyDescent="0.2">
      <c r="L3186" s="43"/>
      <c r="M3186" s="43"/>
      <c r="N3186" s="43"/>
      <c r="O3186" s="43"/>
      <c r="Q3186" s="44"/>
      <c r="R3186" s="44"/>
      <c r="S3186" s="44"/>
      <c r="T3186" s="44"/>
    </row>
    <row r="3187" spans="12:20" x14ac:dyDescent="0.2">
      <c r="L3187" s="43"/>
      <c r="M3187" s="43"/>
      <c r="N3187" s="43"/>
      <c r="O3187" s="43"/>
      <c r="Q3187" s="44"/>
      <c r="R3187" s="44"/>
      <c r="S3187" s="44"/>
      <c r="T3187" s="44"/>
    </row>
    <row r="3188" spans="12:20" x14ac:dyDescent="0.2">
      <c r="L3188" s="43"/>
      <c r="M3188" s="43"/>
      <c r="N3188" s="43"/>
      <c r="O3188" s="43"/>
      <c r="Q3188" s="44"/>
      <c r="R3188" s="44"/>
      <c r="S3188" s="44"/>
      <c r="T3188" s="44"/>
    </row>
    <row r="3189" spans="12:20" x14ac:dyDescent="0.2">
      <c r="L3189" s="43"/>
      <c r="M3189" s="43"/>
      <c r="N3189" s="43"/>
      <c r="O3189" s="43"/>
      <c r="Q3189" s="44"/>
      <c r="R3189" s="44"/>
      <c r="S3189" s="44"/>
      <c r="T3189" s="44"/>
    </row>
    <row r="3190" spans="12:20" x14ac:dyDescent="0.2">
      <c r="L3190" s="43"/>
      <c r="M3190" s="43"/>
      <c r="N3190" s="43"/>
      <c r="O3190" s="43"/>
      <c r="Q3190" s="44"/>
      <c r="R3190" s="44"/>
      <c r="S3190" s="44"/>
      <c r="T3190" s="44"/>
    </row>
    <row r="3191" spans="12:20" x14ac:dyDescent="0.2">
      <c r="L3191" s="43"/>
      <c r="M3191" s="43"/>
      <c r="N3191" s="43"/>
      <c r="O3191" s="43"/>
      <c r="Q3191" s="44"/>
      <c r="R3191" s="44"/>
      <c r="S3191" s="44"/>
      <c r="T3191" s="44"/>
    </row>
    <row r="3192" spans="12:20" x14ac:dyDescent="0.2">
      <c r="L3192" s="43"/>
      <c r="M3192" s="43"/>
      <c r="N3192" s="43"/>
      <c r="O3192" s="43"/>
      <c r="Q3192" s="44"/>
      <c r="R3192" s="44"/>
      <c r="S3192" s="44"/>
      <c r="T3192" s="44"/>
    </row>
    <row r="3193" spans="12:20" x14ac:dyDescent="0.2">
      <c r="L3193" s="43"/>
      <c r="M3193" s="43"/>
      <c r="N3193" s="43"/>
      <c r="O3193" s="43"/>
      <c r="Q3193" s="44"/>
      <c r="R3193" s="44"/>
      <c r="S3193" s="44"/>
      <c r="T3193" s="44"/>
    </row>
    <row r="3194" spans="12:20" x14ac:dyDescent="0.2">
      <c r="L3194" s="43"/>
      <c r="M3194" s="43"/>
      <c r="N3194" s="43"/>
      <c r="O3194" s="43"/>
      <c r="Q3194" s="44"/>
      <c r="R3194" s="44"/>
      <c r="S3194" s="44"/>
      <c r="T3194" s="44"/>
    </row>
    <row r="3195" spans="12:20" x14ac:dyDescent="0.2">
      <c r="L3195" s="43"/>
      <c r="M3195" s="43"/>
      <c r="N3195" s="43"/>
      <c r="O3195" s="43"/>
      <c r="Q3195" s="44"/>
      <c r="R3195" s="44"/>
      <c r="S3195" s="44"/>
      <c r="T3195" s="44"/>
    </row>
    <row r="3196" spans="12:20" x14ac:dyDescent="0.2">
      <c r="L3196" s="43"/>
      <c r="M3196" s="43"/>
      <c r="N3196" s="43"/>
      <c r="O3196" s="43"/>
      <c r="Q3196" s="44"/>
      <c r="R3196" s="44"/>
      <c r="S3196" s="44"/>
      <c r="T3196" s="44"/>
    </row>
    <row r="3197" spans="12:20" x14ac:dyDescent="0.2">
      <c r="L3197" s="43"/>
      <c r="M3197" s="43"/>
      <c r="N3197" s="43"/>
      <c r="O3197" s="43"/>
      <c r="Q3197" s="44"/>
      <c r="R3197" s="44"/>
      <c r="S3197" s="44"/>
      <c r="T3197" s="44"/>
    </row>
    <row r="3198" spans="12:20" x14ac:dyDescent="0.2">
      <c r="L3198" s="43"/>
      <c r="M3198" s="43"/>
      <c r="N3198" s="43"/>
      <c r="O3198" s="43"/>
      <c r="Q3198" s="44"/>
      <c r="R3198" s="44"/>
      <c r="S3198" s="44"/>
      <c r="T3198" s="44"/>
    </row>
    <row r="3199" spans="12:20" x14ac:dyDescent="0.2">
      <c r="L3199" s="43"/>
      <c r="M3199" s="43"/>
      <c r="N3199" s="43"/>
      <c r="O3199" s="43"/>
      <c r="Q3199" s="44"/>
      <c r="R3199" s="44"/>
      <c r="S3199" s="44"/>
      <c r="T3199" s="44"/>
    </row>
    <row r="3200" spans="12:20" x14ac:dyDescent="0.2">
      <c r="L3200" s="43"/>
      <c r="M3200" s="43"/>
      <c r="N3200" s="43"/>
      <c r="O3200" s="43"/>
      <c r="Q3200" s="44"/>
      <c r="R3200" s="44"/>
      <c r="S3200" s="44"/>
      <c r="T3200" s="44"/>
    </row>
    <row r="3201" spans="12:20" x14ac:dyDescent="0.2">
      <c r="L3201" s="43"/>
      <c r="M3201" s="43"/>
      <c r="N3201" s="43"/>
      <c r="O3201" s="43"/>
      <c r="Q3201" s="44"/>
      <c r="R3201" s="44"/>
      <c r="S3201" s="44"/>
      <c r="T3201" s="44"/>
    </row>
    <row r="3202" spans="12:20" x14ac:dyDescent="0.2">
      <c r="L3202" s="43"/>
      <c r="M3202" s="43"/>
      <c r="N3202" s="43"/>
      <c r="O3202" s="43"/>
      <c r="Q3202" s="44"/>
      <c r="R3202" s="44"/>
      <c r="S3202" s="44"/>
      <c r="T3202" s="44"/>
    </row>
    <row r="3203" spans="12:20" x14ac:dyDescent="0.2">
      <c r="L3203" s="43"/>
      <c r="M3203" s="43"/>
      <c r="N3203" s="43"/>
      <c r="O3203" s="43"/>
      <c r="Q3203" s="44"/>
      <c r="R3203" s="44"/>
      <c r="S3203" s="44"/>
      <c r="T3203" s="44"/>
    </row>
    <row r="3204" spans="12:20" x14ac:dyDescent="0.2">
      <c r="L3204" s="43"/>
      <c r="M3204" s="43"/>
      <c r="N3204" s="43"/>
      <c r="O3204" s="43"/>
      <c r="Q3204" s="44"/>
      <c r="R3204" s="44"/>
      <c r="S3204" s="44"/>
      <c r="T3204" s="44"/>
    </row>
    <row r="3205" spans="12:20" x14ac:dyDescent="0.2">
      <c r="L3205" s="43"/>
      <c r="M3205" s="43"/>
      <c r="N3205" s="43"/>
      <c r="O3205" s="43"/>
      <c r="Q3205" s="44"/>
      <c r="R3205" s="44"/>
      <c r="S3205" s="44"/>
      <c r="T3205" s="44"/>
    </row>
    <row r="3206" spans="12:20" x14ac:dyDescent="0.2">
      <c r="L3206" s="43"/>
      <c r="M3206" s="43"/>
      <c r="N3206" s="43"/>
      <c r="O3206" s="43"/>
      <c r="Q3206" s="44"/>
      <c r="R3206" s="44"/>
      <c r="S3206" s="44"/>
      <c r="T3206" s="44"/>
    </row>
    <row r="3207" spans="12:20" x14ac:dyDescent="0.2">
      <c r="L3207" s="43"/>
      <c r="M3207" s="43"/>
      <c r="N3207" s="43"/>
      <c r="O3207" s="43"/>
      <c r="Q3207" s="44"/>
      <c r="R3207" s="44"/>
      <c r="S3207" s="44"/>
      <c r="T3207" s="44"/>
    </row>
    <row r="3208" spans="12:20" x14ac:dyDescent="0.2">
      <c r="L3208" s="43"/>
      <c r="M3208" s="43"/>
      <c r="N3208" s="43"/>
      <c r="O3208" s="43"/>
      <c r="Q3208" s="44"/>
      <c r="R3208" s="44"/>
      <c r="S3208" s="44"/>
      <c r="T3208" s="44"/>
    </row>
    <row r="3209" spans="12:20" x14ac:dyDescent="0.2">
      <c r="L3209" s="43"/>
      <c r="M3209" s="43"/>
      <c r="N3209" s="43"/>
      <c r="O3209" s="43"/>
      <c r="Q3209" s="44"/>
      <c r="R3209" s="44"/>
      <c r="S3209" s="44"/>
      <c r="T3209" s="44"/>
    </row>
    <row r="3210" spans="12:20" x14ac:dyDescent="0.2">
      <c r="L3210" s="43"/>
      <c r="M3210" s="43"/>
      <c r="N3210" s="43"/>
      <c r="O3210" s="43"/>
      <c r="Q3210" s="44"/>
      <c r="R3210" s="44"/>
      <c r="S3210" s="44"/>
      <c r="T3210" s="44"/>
    </row>
    <row r="3211" spans="12:20" x14ac:dyDescent="0.2">
      <c r="L3211" s="43"/>
      <c r="M3211" s="43"/>
      <c r="N3211" s="43"/>
      <c r="O3211" s="43"/>
      <c r="Q3211" s="44"/>
      <c r="R3211" s="44"/>
      <c r="S3211" s="44"/>
      <c r="T3211" s="44"/>
    </row>
    <row r="3212" spans="12:20" x14ac:dyDescent="0.2">
      <c r="L3212" s="43"/>
      <c r="M3212" s="43"/>
      <c r="N3212" s="43"/>
      <c r="O3212" s="43"/>
      <c r="Q3212" s="44"/>
      <c r="R3212" s="44"/>
      <c r="S3212" s="44"/>
      <c r="T3212" s="44"/>
    </row>
    <row r="3213" spans="12:20" x14ac:dyDescent="0.2">
      <c r="L3213" s="43"/>
      <c r="M3213" s="43"/>
      <c r="N3213" s="43"/>
      <c r="O3213" s="43"/>
      <c r="Q3213" s="44"/>
      <c r="R3213" s="44"/>
      <c r="S3213" s="44"/>
      <c r="T3213" s="44"/>
    </row>
    <row r="3214" spans="12:20" x14ac:dyDescent="0.2">
      <c r="L3214" s="43"/>
      <c r="M3214" s="43"/>
      <c r="N3214" s="43"/>
      <c r="O3214" s="43"/>
      <c r="Q3214" s="44"/>
      <c r="R3214" s="44"/>
      <c r="S3214" s="44"/>
      <c r="T3214" s="44"/>
    </row>
    <row r="3215" spans="12:20" x14ac:dyDescent="0.2">
      <c r="L3215" s="43"/>
      <c r="M3215" s="43"/>
      <c r="N3215" s="43"/>
      <c r="O3215" s="43"/>
      <c r="Q3215" s="44"/>
      <c r="R3215" s="44"/>
      <c r="S3215" s="44"/>
      <c r="T3215" s="44"/>
    </row>
    <row r="3216" spans="12:20" x14ac:dyDescent="0.2">
      <c r="L3216" s="43"/>
      <c r="M3216" s="43"/>
      <c r="N3216" s="43"/>
      <c r="O3216" s="43"/>
      <c r="Q3216" s="44"/>
      <c r="R3216" s="44"/>
      <c r="S3216" s="44"/>
      <c r="T3216" s="44"/>
    </row>
    <row r="3217" spans="12:20" x14ac:dyDescent="0.2">
      <c r="L3217" s="43"/>
      <c r="M3217" s="43"/>
      <c r="N3217" s="43"/>
      <c r="O3217" s="43"/>
      <c r="Q3217" s="44"/>
      <c r="R3217" s="44"/>
      <c r="S3217" s="44"/>
      <c r="T3217" s="44"/>
    </row>
    <row r="3218" spans="12:20" x14ac:dyDescent="0.2">
      <c r="L3218" s="43"/>
      <c r="M3218" s="43"/>
      <c r="N3218" s="43"/>
      <c r="O3218" s="43"/>
      <c r="Q3218" s="44"/>
      <c r="R3218" s="44"/>
      <c r="S3218" s="44"/>
      <c r="T3218" s="44"/>
    </row>
    <row r="3219" spans="12:20" x14ac:dyDescent="0.2">
      <c r="L3219" s="43"/>
      <c r="M3219" s="43"/>
      <c r="N3219" s="43"/>
      <c r="O3219" s="43"/>
      <c r="Q3219" s="44"/>
      <c r="R3219" s="44"/>
      <c r="S3219" s="44"/>
      <c r="T3219" s="44"/>
    </row>
    <row r="3220" spans="12:20" x14ac:dyDescent="0.2">
      <c r="L3220" s="43"/>
      <c r="M3220" s="43"/>
      <c r="N3220" s="43"/>
      <c r="O3220" s="43"/>
      <c r="Q3220" s="44"/>
      <c r="R3220" s="44"/>
      <c r="S3220" s="44"/>
      <c r="T3220" s="44"/>
    </row>
    <row r="3221" spans="12:20" x14ac:dyDescent="0.2">
      <c r="L3221" s="43"/>
      <c r="M3221" s="43"/>
      <c r="N3221" s="43"/>
      <c r="O3221" s="43"/>
      <c r="Q3221" s="44"/>
      <c r="R3221" s="44"/>
      <c r="S3221" s="44"/>
      <c r="T3221" s="44"/>
    </row>
    <row r="3222" spans="12:20" x14ac:dyDescent="0.2">
      <c r="L3222" s="43"/>
      <c r="M3222" s="43"/>
      <c r="N3222" s="43"/>
      <c r="O3222" s="43"/>
      <c r="Q3222" s="44"/>
      <c r="R3222" s="44"/>
      <c r="S3222" s="44"/>
      <c r="T3222" s="44"/>
    </row>
    <row r="3223" spans="12:20" x14ac:dyDescent="0.2">
      <c r="L3223" s="43"/>
      <c r="M3223" s="43"/>
      <c r="N3223" s="43"/>
      <c r="O3223" s="43"/>
      <c r="Q3223" s="44"/>
      <c r="R3223" s="44"/>
      <c r="S3223" s="44"/>
      <c r="T3223" s="44"/>
    </row>
    <row r="3224" spans="12:20" x14ac:dyDescent="0.2">
      <c r="L3224" s="43"/>
      <c r="M3224" s="43"/>
      <c r="N3224" s="43"/>
      <c r="O3224" s="43"/>
      <c r="Q3224" s="44"/>
      <c r="R3224" s="44"/>
      <c r="S3224" s="44"/>
      <c r="T3224" s="44"/>
    </row>
    <row r="3225" spans="12:20" x14ac:dyDescent="0.2">
      <c r="L3225" s="43"/>
      <c r="M3225" s="43"/>
      <c r="N3225" s="43"/>
      <c r="O3225" s="43"/>
      <c r="Q3225" s="44"/>
      <c r="R3225" s="44"/>
      <c r="S3225" s="44"/>
      <c r="T3225" s="44"/>
    </row>
    <row r="3226" spans="12:20" x14ac:dyDescent="0.2">
      <c r="L3226" s="43"/>
      <c r="M3226" s="43"/>
      <c r="N3226" s="43"/>
      <c r="O3226" s="43"/>
      <c r="Q3226" s="44"/>
      <c r="R3226" s="44"/>
      <c r="S3226" s="44"/>
      <c r="T3226" s="44"/>
    </row>
    <row r="3227" spans="12:20" x14ac:dyDescent="0.2">
      <c r="L3227" s="43"/>
      <c r="M3227" s="43"/>
      <c r="N3227" s="43"/>
      <c r="O3227" s="43"/>
      <c r="Q3227" s="44"/>
      <c r="R3227" s="44"/>
      <c r="S3227" s="44"/>
      <c r="T3227" s="44"/>
    </row>
    <row r="3228" spans="12:20" x14ac:dyDescent="0.2">
      <c r="L3228" s="43"/>
      <c r="M3228" s="43"/>
      <c r="N3228" s="43"/>
      <c r="O3228" s="43"/>
      <c r="Q3228" s="44"/>
      <c r="R3228" s="44"/>
      <c r="S3228" s="44"/>
      <c r="T3228" s="44"/>
    </row>
    <row r="3229" spans="12:20" x14ac:dyDescent="0.2">
      <c r="L3229" s="43"/>
      <c r="M3229" s="43"/>
      <c r="N3229" s="43"/>
      <c r="O3229" s="43"/>
      <c r="Q3229" s="44"/>
      <c r="R3229" s="44"/>
      <c r="S3229" s="44"/>
      <c r="T3229" s="44"/>
    </row>
    <row r="3230" spans="12:20" x14ac:dyDescent="0.2">
      <c r="L3230" s="43"/>
      <c r="M3230" s="43"/>
      <c r="N3230" s="43"/>
      <c r="O3230" s="43"/>
      <c r="Q3230" s="44"/>
      <c r="R3230" s="44"/>
      <c r="S3230" s="44"/>
      <c r="T3230" s="44"/>
    </row>
    <row r="3231" spans="12:20" x14ac:dyDescent="0.2">
      <c r="L3231" s="43"/>
      <c r="M3231" s="43"/>
      <c r="N3231" s="43"/>
      <c r="O3231" s="43"/>
      <c r="Q3231" s="44"/>
      <c r="R3231" s="44"/>
      <c r="S3231" s="44"/>
      <c r="T3231" s="44"/>
    </row>
    <row r="3232" spans="12:20" x14ac:dyDescent="0.2">
      <c r="L3232" s="43"/>
      <c r="M3232" s="43"/>
      <c r="N3232" s="43"/>
      <c r="O3232" s="43"/>
      <c r="Q3232" s="44"/>
      <c r="R3232" s="44"/>
      <c r="S3232" s="44"/>
      <c r="T3232" s="44"/>
    </row>
    <row r="3233" spans="12:20" x14ac:dyDescent="0.2">
      <c r="L3233" s="43"/>
      <c r="M3233" s="43"/>
      <c r="N3233" s="43"/>
      <c r="O3233" s="43"/>
      <c r="Q3233" s="44"/>
      <c r="R3233" s="44"/>
      <c r="S3233" s="44"/>
      <c r="T3233" s="44"/>
    </row>
    <row r="3234" spans="12:20" x14ac:dyDescent="0.2">
      <c r="L3234" s="43"/>
      <c r="M3234" s="43"/>
      <c r="N3234" s="43"/>
      <c r="O3234" s="43"/>
      <c r="Q3234" s="44"/>
      <c r="R3234" s="44"/>
      <c r="S3234" s="44"/>
      <c r="T3234" s="44"/>
    </row>
    <row r="3235" spans="12:20" x14ac:dyDescent="0.2">
      <c r="L3235" s="43"/>
      <c r="M3235" s="43"/>
      <c r="N3235" s="43"/>
      <c r="O3235" s="43"/>
      <c r="Q3235" s="44"/>
      <c r="R3235" s="44"/>
      <c r="S3235" s="44"/>
      <c r="T3235" s="44"/>
    </row>
    <row r="3236" spans="12:20" x14ac:dyDescent="0.2">
      <c r="L3236" s="43"/>
      <c r="M3236" s="43"/>
      <c r="N3236" s="43"/>
      <c r="O3236" s="43"/>
      <c r="Q3236" s="44"/>
      <c r="R3236" s="44"/>
      <c r="S3236" s="44"/>
      <c r="T3236" s="44"/>
    </row>
    <row r="3237" spans="12:20" x14ac:dyDescent="0.2">
      <c r="L3237" s="43"/>
      <c r="M3237" s="43"/>
      <c r="N3237" s="43"/>
      <c r="O3237" s="43"/>
      <c r="Q3237" s="44"/>
      <c r="R3237" s="44"/>
      <c r="S3237" s="44"/>
      <c r="T3237" s="44"/>
    </row>
    <row r="3238" spans="12:20" x14ac:dyDescent="0.2">
      <c r="L3238" s="43"/>
      <c r="M3238" s="43"/>
      <c r="N3238" s="43"/>
      <c r="O3238" s="43"/>
      <c r="Q3238" s="44"/>
      <c r="R3238" s="44"/>
      <c r="S3238" s="44"/>
      <c r="T3238" s="44"/>
    </row>
    <row r="3239" spans="12:20" x14ac:dyDescent="0.2">
      <c r="L3239" s="43"/>
      <c r="M3239" s="43"/>
      <c r="N3239" s="43"/>
      <c r="O3239" s="43"/>
      <c r="Q3239" s="44"/>
      <c r="R3239" s="44"/>
      <c r="S3239" s="44"/>
      <c r="T3239" s="44"/>
    </row>
    <row r="3240" spans="12:20" x14ac:dyDescent="0.2">
      <c r="L3240" s="43"/>
      <c r="M3240" s="43"/>
      <c r="N3240" s="43"/>
      <c r="O3240" s="43"/>
      <c r="Q3240" s="44"/>
      <c r="R3240" s="44"/>
      <c r="S3240" s="44"/>
      <c r="T3240" s="44"/>
    </row>
    <row r="3241" spans="12:20" x14ac:dyDescent="0.2">
      <c r="L3241" s="43"/>
      <c r="M3241" s="43"/>
      <c r="N3241" s="43"/>
      <c r="O3241" s="43"/>
      <c r="Q3241" s="44"/>
      <c r="R3241" s="44"/>
      <c r="S3241" s="44"/>
      <c r="T3241" s="44"/>
    </row>
    <row r="3242" spans="12:20" x14ac:dyDescent="0.2">
      <c r="L3242" s="43"/>
      <c r="M3242" s="43"/>
      <c r="N3242" s="43"/>
      <c r="O3242" s="43"/>
      <c r="Q3242" s="44"/>
      <c r="R3242" s="44"/>
      <c r="S3242" s="44"/>
      <c r="T3242" s="44"/>
    </row>
    <row r="3243" spans="12:20" x14ac:dyDescent="0.2">
      <c r="L3243" s="43"/>
      <c r="M3243" s="43"/>
      <c r="N3243" s="43"/>
      <c r="O3243" s="43"/>
      <c r="Q3243" s="44"/>
      <c r="R3243" s="44"/>
      <c r="S3243" s="44"/>
      <c r="T3243" s="44"/>
    </row>
    <row r="3244" spans="12:20" x14ac:dyDescent="0.2">
      <c r="L3244" s="43"/>
      <c r="M3244" s="43"/>
      <c r="N3244" s="43"/>
      <c r="O3244" s="43"/>
      <c r="Q3244" s="44"/>
      <c r="R3244" s="44"/>
      <c r="S3244" s="44"/>
      <c r="T3244" s="44"/>
    </row>
    <row r="3245" spans="12:20" x14ac:dyDescent="0.2">
      <c r="L3245" s="43"/>
      <c r="M3245" s="43"/>
      <c r="N3245" s="43"/>
      <c r="O3245" s="43"/>
      <c r="Q3245" s="44"/>
      <c r="R3245" s="44"/>
      <c r="S3245" s="44"/>
      <c r="T3245" s="44"/>
    </row>
    <row r="3246" spans="12:20" x14ac:dyDescent="0.2">
      <c r="L3246" s="43"/>
      <c r="M3246" s="43"/>
      <c r="N3246" s="43"/>
      <c r="O3246" s="43"/>
      <c r="Q3246" s="44"/>
      <c r="R3246" s="44"/>
      <c r="S3246" s="44"/>
      <c r="T3246" s="44"/>
    </row>
    <row r="3247" spans="12:20" x14ac:dyDescent="0.2">
      <c r="L3247" s="43"/>
      <c r="M3247" s="43"/>
      <c r="N3247" s="43"/>
      <c r="O3247" s="43"/>
      <c r="Q3247" s="44"/>
      <c r="R3247" s="44"/>
      <c r="S3247" s="44"/>
      <c r="T3247" s="44"/>
    </row>
    <row r="3248" spans="12:20" x14ac:dyDescent="0.2">
      <c r="L3248" s="43"/>
      <c r="M3248" s="43"/>
      <c r="N3248" s="43"/>
      <c r="O3248" s="43"/>
      <c r="Q3248" s="44"/>
      <c r="R3248" s="44"/>
      <c r="S3248" s="44"/>
      <c r="T3248" s="44"/>
    </row>
    <row r="3249" spans="12:20" x14ac:dyDescent="0.2">
      <c r="L3249" s="43"/>
      <c r="M3249" s="43"/>
      <c r="N3249" s="43"/>
      <c r="O3249" s="43"/>
      <c r="Q3249" s="44"/>
      <c r="R3249" s="44"/>
      <c r="S3249" s="44"/>
      <c r="T3249" s="44"/>
    </row>
    <row r="3250" spans="12:20" x14ac:dyDescent="0.2">
      <c r="L3250" s="43"/>
      <c r="M3250" s="43"/>
      <c r="N3250" s="43"/>
      <c r="O3250" s="43"/>
      <c r="Q3250" s="44"/>
      <c r="R3250" s="44"/>
      <c r="S3250" s="44"/>
      <c r="T3250" s="44"/>
    </row>
    <row r="3251" spans="12:20" x14ac:dyDescent="0.2">
      <c r="L3251" s="43"/>
      <c r="M3251" s="43"/>
      <c r="N3251" s="43"/>
      <c r="O3251" s="43"/>
      <c r="Q3251" s="44"/>
      <c r="R3251" s="44"/>
      <c r="S3251" s="44"/>
      <c r="T3251" s="44"/>
    </row>
    <row r="3252" spans="12:20" x14ac:dyDescent="0.2">
      <c r="L3252" s="43"/>
      <c r="M3252" s="43"/>
      <c r="N3252" s="43"/>
      <c r="O3252" s="43"/>
      <c r="Q3252" s="44"/>
      <c r="R3252" s="44"/>
      <c r="S3252" s="44"/>
      <c r="T3252" s="44"/>
    </row>
    <row r="3253" spans="12:20" x14ac:dyDescent="0.2">
      <c r="L3253" s="43"/>
      <c r="M3253" s="43"/>
      <c r="N3253" s="43"/>
      <c r="O3253" s="43"/>
      <c r="Q3253" s="44"/>
      <c r="R3253" s="44"/>
      <c r="S3253" s="44"/>
      <c r="T3253" s="44"/>
    </row>
    <row r="3254" spans="12:20" x14ac:dyDescent="0.2">
      <c r="L3254" s="43"/>
      <c r="M3254" s="43"/>
      <c r="N3254" s="43"/>
      <c r="O3254" s="43"/>
      <c r="Q3254" s="44"/>
      <c r="R3254" s="44"/>
      <c r="S3254" s="44"/>
      <c r="T3254" s="44"/>
    </row>
    <row r="3255" spans="12:20" x14ac:dyDescent="0.2">
      <c r="L3255" s="43"/>
      <c r="M3255" s="43"/>
      <c r="N3255" s="43"/>
      <c r="O3255" s="43"/>
      <c r="Q3255" s="44"/>
      <c r="R3255" s="44"/>
      <c r="S3255" s="44"/>
      <c r="T3255" s="44"/>
    </row>
    <row r="3256" spans="12:20" x14ac:dyDescent="0.2">
      <c r="L3256" s="43"/>
      <c r="M3256" s="43"/>
      <c r="N3256" s="43"/>
      <c r="O3256" s="43"/>
      <c r="Q3256" s="44"/>
      <c r="R3256" s="44"/>
      <c r="S3256" s="44"/>
      <c r="T3256" s="44"/>
    </row>
    <row r="3257" spans="12:20" x14ac:dyDescent="0.2">
      <c r="L3257" s="43"/>
      <c r="M3257" s="43"/>
      <c r="N3257" s="43"/>
      <c r="O3257" s="43"/>
      <c r="Q3257" s="44"/>
      <c r="R3257" s="44"/>
      <c r="S3257" s="44"/>
      <c r="T3257" s="44"/>
    </row>
    <row r="3258" spans="12:20" x14ac:dyDescent="0.2">
      <c r="L3258" s="43"/>
      <c r="M3258" s="43"/>
      <c r="N3258" s="43"/>
      <c r="O3258" s="43"/>
      <c r="Q3258" s="44"/>
      <c r="R3258" s="44"/>
      <c r="S3258" s="44"/>
      <c r="T3258" s="44"/>
    </row>
    <row r="3259" spans="12:20" x14ac:dyDescent="0.2">
      <c r="L3259" s="43"/>
      <c r="M3259" s="43"/>
      <c r="N3259" s="43"/>
      <c r="O3259" s="43"/>
      <c r="Q3259" s="44"/>
      <c r="R3259" s="44"/>
      <c r="S3259" s="44"/>
      <c r="T3259" s="44"/>
    </row>
    <row r="3260" spans="12:20" x14ac:dyDescent="0.2">
      <c r="L3260" s="43"/>
      <c r="M3260" s="43"/>
      <c r="N3260" s="43"/>
      <c r="O3260" s="43"/>
      <c r="Q3260" s="44"/>
      <c r="R3260" s="44"/>
      <c r="S3260" s="44"/>
      <c r="T3260" s="44"/>
    </row>
    <row r="3261" spans="12:20" x14ac:dyDescent="0.2">
      <c r="L3261" s="43"/>
      <c r="M3261" s="43"/>
      <c r="N3261" s="43"/>
      <c r="O3261" s="43"/>
      <c r="Q3261" s="44"/>
      <c r="R3261" s="44"/>
      <c r="S3261" s="44"/>
      <c r="T3261" s="44"/>
    </row>
    <row r="3262" spans="12:20" x14ac:dyDescent="0.2">
      <c r="L3262" s="43"/>
      <c r="M3262" s="43"/>
      <c r="N3262" s="43"/>
      <c r="O3262" s="43"/>
      <c r="Q3262" s="44"/>
      <c r="R3262" s="44"/>
      <c r="S3262" s="44"/>
      <c r="T3262" s="44"/>
    </row>
    <row r="3263" spans="12:20" x14ac:dyDescent="0.2">
      <c r="L3263" s="43"/>
      <c r="M3263" s="43"/>
      <c r="N3263" s="43"/>
      <c r="O3263" s="43"/>
      <c r="Q3263" s="44"/>
      <c r="R3263" s="44"/>
      <c r="S3263" s="44"/>
      <c r="T3263" s="44"/>
    </row>
    <row r="3264" spans="12:20" x14ac:dyDescent="0.2">
      <c r="L3264" s="43"/>
      <c r="M3264" s="43"/>
      <c r="N3264" s="43"/>
      <c r="O3264" s="43"/>
      <c r="Q3264" s="44"/>
      <c r="R3264" s="44"/>
      <c r="S3264" s="44"/>
      <c r="T3264" s="44"/>
    </row>
    <row r="3265" spans="12:20" x14ac:dyDescent="0.2">
      <c r="L3265" s="43"/>
      <c r="M3265" s="43"/>
      <c r="N3265" s="43"/>
      <c r="O3265" s="43"/>
      <c r="Q3265" s="44"/>
      <c r="R3265" s="44"/>
      <c r="S3265" s="44"/>
      <c r="T3265" s="44"/>
    </row>
    <row r="3266" spans="12:20" x14ac:dyDescent="0.2">
      <c r="L3266" s="43"/>
      <c r="M3266" s="43"/>
      <c r="N3266" s="43"/>
      <c r="O3266" s="43"/>
      <c r="Q3266" s="44"/>
      <c r="R3266" s="44"/>
      <c r="S3266" s="44"/>
      <c r="T3266" s="44"/>
    </row>
    <row r="3267" spans="12:20" x14ac:dyDescent="0.2">
      <c r="L3267" s="43"/>
      <c r="M3267" s="43"/>
      <c r="N3267" s="43"/>
      <c r="O3267" s="43"/>
      <c r="Q3267" s="44"/>
      <c r="R3267" s="44"/>
      <c r="S3267" s="44"/>
      <c r="T3267" s="44"/>
    </row>
    <row r="3268" spans="12:20" x14ac:dyDescent="0.2">
      <c r="L3268" s="43"/>
      <c r="M3268" s="43"/>
      <c r="N3268" s="43"/>
      <c r="O3268" s="43"/>
      <c r="Q3268" s="44"/>
      <c r="R3268" s="44"/>
      <c r="S3268" s="44"/>
      <c r="T3268" s="44"/>
    </row>
    <row r="3269" spans="12:20" x14ac:dyDescent="0.2">
      <c r="L3269" s="43"/>
      <c r="M3269" s="43"/>
      <c r="N3269" s="43"/>
      <c r="O3269" s="43"/>
      <c r="Q3269" s="44"/>
      <c r="R3269" s="44"/>
      <c r="S3269" s="44"/>
      <c r="T3269" s="44"/>
    </row>
    <row r="3270" spans="12:20" x14ac:dyDescent="0.2">
      <c r="L3270" s="43"/>
      <c r="M3270" s="43"/>
      <c r="N3270" s="43"/>
      <c r="O3270" s="43"/>
      <c r="Q3270" s="44"/>
      <c r="R3270" s="44"/>
      <c r="S3270" s="44"/>
      <c r="T3270" s="44"/>
    </row>
    <row r="3271" spans="12:20" x14ac:dyDescent="0.2">
      <c r="L3271" s="43"/>
      <c r="M3271" s="43"/>
      <c r="N3271" s="43"/>
      <c r="O3271" s="43"/>
      <c r="Q3271" s="44"/>
      <c r="R3271" s="44"/>
      <c r="S3271" s="44"/>
      <c r="T3271" s="44"/>
    </row>
    <row r="3272" spans="12:20" x14ac:dyDescent="0.2">
      <c r="L3272" s="43"/>
      <c r="M3272" s="43"/>
      <c r="N3272" s="43"/>
      <c r="O3272" s="43"/>
      <c r="Q3272" s="44"/>
      <c r="R3272" s="44"/>
      <c r="S3272" s="44"/>
      <c r="T3272" s="44"/>
    </row>
    <row r="3273" spans="12:20" x14ac:dyDescent="0.2">
      <c r="L3273" s="43"/>
      <c r="M3273" s="43"/>
      <c r="N3273" s="43"/>
      <c r="O3273" s="43"/>
      <c r="Q3273" s="44"/>
      <c r="R3273" s="44"/>
      <c r="S3273" s="44"/>
      <c r="T3273" s="44"/>
    </row>
    <row r="3274" spans="12:20" x14ac:dyDescent="0.2">
      <c r="L3274" s="43"/>
      <c r="M3274" s="43"/>
      <c r="N3274" s="43"/>
      <c r="O3274" s="43"/>
      <c r="Q3274" s="44"/>
      <c r="R3274" s="44"/>
      <c r="S3274" s="44"/>
      <c r="T3274" s="44"/>
    </row>
    <row r="3275" spans="12:20" x14ac:dyDescent="0.2">
      <c r="L3275" s="43"/>
      <c r="M3275" s="43"/>
      <c r="N3275" s="43"/>
      <c r="O3275" s="43"/>
      <c r="Q3275" s="44"/>
      <c r="R3275" s="44"/>
      <c r="S3275" s="44"/>
      <c r="T3275" s="44"/>
    </row>
    <row r="3276" spans="12:20" x14ac:dyDescent="0.2">
      <c r="L3276" s="43"/>
      <c r="M3276" s="43"/>
      <c r="N3276" s="43"/>
      <c r="O3276" s="43"/>
      <c r="Q3276" s="44"/>
      <c r="R3276" s="44"/>
      <c r="S3276" s="44"/>
      <c r="T3276" s="44"/>
    </row>
    <row r="3277" spans="12:20" x14ac:dyDescent="0.2">
      <c r="L3277" s="43"/>
      <c r="M3277" s="43"/>
      <c r="N3277" s="43"/>
      <c r="O3277" s="43"/>
      <c r="Q3277" s="44"/>
      <c r="R3277" s="44"/>
      <c r="S3277" s="44"/>
      <c r="T3277" s="44"/>
    </row>
    <row r="3278" spans="12:20" x14ac:dyDescent="0.2">
      <c r="L3278" s="43"/>
      <c r="M3278" s="43"/>
      <c r="N3278" s="43"/>
      <c r="O3278" s="43"/>
      <c r="Q3278" s="44"/>
      <c r="R3278" s="44"/>
      <c r="S3278" s="44"/>
      <c r="T3278" s="44"/>
    </row>
    <row r="3279" spans="12:20" x14ac:dyDescent="0.2">
      <c r="L3279" s="43"/>
      <c r="M3279" s="43"/>
      <c r="N3279" s="43"/>
      <c r="O3279" s="43"/>
      <c r="Q3279" s="44"/>
      <c r="R3279" s="44"/>
      <c r="S3279" s="44"/>
      <c r="T3279" s="44"/>
    </row>
    <row r="3280" spans="12:20" x14ac:dyDescent="0.2">
      <c r="L3280" s="43"/>
      <c r="M3280" s="43"/>
      <c r="N3280" s="43"/>
      <c r="O3280" s="43"/>
      <c r="Q3280" s="44"/>
      <c r="R3280" s="44"/>
      <c r="S3280" s="44"/>
      <c r="T3280" s="44"/>
    </row>
    <row r="3281" spans="12:20" x14ac:dyDescent="0.2">
      <c r="L3281" s="43"/>
      <c r="M3281" s="43"/>
      <c r="N3281" s="43"/>
      <c r="O3281" s="43"/>
      <c r="Q3281" s="44"/>
      <c r="R3281" s="44"/>
      <c r="S3281" s="44"/>
      <c r="T3281" s="44"/>
    </row>
    <row r="3282" spans="12:20" x14ac:dyDescent="0.2">
      <c r="L3282" s="43"/>
      <c r="M3282" s="43"/>
      <c r="N3282" s="43"/>
      <c r="O3282" s="43"/>
      <c r="Q3282" s="44"/>
      <c r="R3282" s="44"/>
      <c r="S3282" s="44"/>
      <c r="T3282" s="44"/>
    </row>
    <row r="3283" spans="12:20" x14ac:dyDescent="0.2">
      <c r="L3283" s="43"/>
      <c r="M3283" s="43"/>
      <c r="N3283" s="43"/>
      <c r="O3283" s="43"/>
      <c r="Q3283" s="44"/>
      <c r="R3283" s="44"/>
      <c r="S3283" s="44"/>
      <c r="T3283" s="44"/>
    </row>
    <row r="3284" spans="12:20" x14ac:dyDescent="0.2">
      <c r="L3284" s="43"/>
      <c r="M3284" s="43"/>
      <c r="N3284" s="43"/>
      <c r="O3284" s="43"/>
      <c r="Q3284" s="44"/>
      <c r="R3284" s="44"/>
      <c r="S3284" s="44"/>
      <c r="T3284" s="44"/>
    </row>
    <row r="3285" spans="12:20" x14ac:dyDescent="0.2">
      <c r="L3285" s="43"/>
      <c r="M3285" s="43"/>
      <c r="N3285" s="43"/>
      <c r="O3285" s="43"/>
      <c r="Q3285" s="44"/>
      <c r="R3285" s="44"/>
      <c r="S3285" s="44"/>
      <c r="T3285" s="44"/>
    </row>
    <row r="3286" spans="12:20" x14ac:dyDescent="0.2">
      <c r="L3286" s="43"/>
      <c r="M3286" s="43"/>
      <c r="N3286" s="43"/>
      <c r="O3286" s="43"/>
      <c r="Q3286" s="44"/>
      <c r="R3286" s="44"/>
      <c r="S3286" s="44"/>
      <c r="T3286" s="44"/>
    </row>
    <row r="3287" spans="12:20" x14ac:dyDescent="0.2">
      <c r="L3287" s="43"/>
      <c r="M3287" s="43"/>
      <c r="N3287" s="43"/>
      <c r="O3287" s="43"/>
      <c r="Q3287" s="44"/>
      <c r="R3287" s="44"/>
      <c r="S3287" s="44"/>
      <c r="T3287" s="44"/>
    </row>
    <row r="3288" spans="12:20" x14ac:dyDescent="0.2">
      <c r="L3288" s="43"/>
      <c r="M3288" s="43"/>
      <c r="N3288" s="43"/>
      <c r="O3288" s="43"/>
      <c r="Q3288" s="44"/>
      <c r="R3288" s="44"/>
      <c r="S3288" s="44"/>
      <c r="T3288" s="44"/>
    </row>
    <row r="3289" spans="12:20" x14ac:dyDescent="0.2">
      <c r="L3289" s="43"/>
      <c r="M3289" s="43"/>
      <c r="N3289" s="43"/>
      <c r="O3289" s="43"/>
      <c r="Q3289" s="44"/>
      <c r="R3289" s="44"/>
      <c r="S3289" s="44"/>
      <c r="T3289" s="44"/>
    </row>
    <row r="3290" spans="12:20" x14ac:dyDescent="0.2">
      <c r="L3290" s="43"/>
      <c r="M3290" s="43"/>
      <c r="N3290" s="43"/>
      <c r="O3290" s="43"/>
      <c r="Q3290" s="44"/>
      <c r="R3290" s="44"/>
      <c r="S3290" s="44"/>
      <c r="T3290" s="44"/>
    </row>
    <row r="3291" spans="12:20" x14ac:dyDescent="0.2">
      <c r="L3291" s="43"/>
      <c r="M3291" s="43"/>
      <c r="N3291" s="43"/>
      <c r="O3291" s="43"/>
      <c r="Q3291" s="44"/>
      <c r="R3291" s="44"/>
      <c r="S3291" s="44"/>
      <c r="T3291" s="44"/>
    </row>
    <row r="3292" spans="12:20" x14ac:dyDescent="0.2">
      <c r="L3292" s="43"/>
      <c r="M3292" s="43"/>
      <c r="N3292" s="43"/>
      <c r="O3292" s="43"/>
      <c r="Q3292" s="44"/>
      <c r="R3292" s="44"/>
      <c r="S3292" s="44"/>
      <c r="T3292" s="44"/>
    </row>
    <row r="3293" spans="12:20" x14ac:dyDescent="0.2">
      <c r="L3293" s="43"/>
      <c r="M3293" s="43"/>
      <c r="N3293" s="43"/>
      <c r="O3293" s="43"/>
      <c r="Q3293" s="44"/>
      <c r="R3293" s="44"/>
      <c r="S3293" s="44"/>
      <c r="T3293" s="44"/>
    </row>
    <row r="3294" spans="12:20" x14ac:dyDescent="0.2">
      <c r="L3294" s="43"/>
      <c r="M3294" s="43"/>
      <c r="N3294" s="43"/>
      <c r="O3294" s="43"/>
      <c r="Q3294" s="44"/>
      <c r="R3294" s="44"/>
      <c r="S3294" s="44"/>
      <c r="T3294" s="44"/>
    </row>
    <row r="3295" spans="12:20" x14ac:dyDescent="0.2">
      <c r="L3295" s="43"/>
      <c r="M3295" s="43"/>
      <c r="N3295" s="43"/>
      <c r="O3295" s="43"/>
      <c r="Q3295" s="44"/>
      <c r="R3295" s="44"/>
      <c r="S3295" s="44"/>
      <c r="T3295" s="44"/>
    </row>
    <row r="3296" spans="12:20" x14ac:dyDescent="0.2">
      <c r="L3296" s="43"/>
      <c r="M3296" s="43"/>
      <c r="N3296" s="43"/>
      <c r="O3296" s="43"/>
      <c r="Q3296" s="44"/>
      <c r="R3296" s="44"/>
      <c r="S3296" s="44"/>
      <c r="T3296" s="44"/>
    </row>
    <row r="3297" spans="12:20" x14ac:dyDescent="0.2">
      <c r="L3297" s="43"/>
      <c r="M3297" s="43"/>
      <c r="N3297" s="43"/>
      <c r="O3297" s="43"/>
      <c r="Q3297" s="44"/>
      <c r="R3297" s="44"/>
      <c r="S3297" s="44"/>
      <c r="T3297" s="44"/>
    </row>
    <row r="3298" spans="12:20" x14ac:dyDescent="0.2">
      <c r="L3298" s="43"/>
      <c r="M3298" s="43"/>
      <c r="N3298" s="43"/>
      <c r="O3298" s="43"/>
      <c r="Q3298" s="44"/>
      <c r="R3298" s="44"/>
      <c r="S3298" s="44"/>
      <c r="T3298" s="44"/>
    </row>
    <row r="3299" spans="12:20" x14ac:dyDescent="0.2">
      <c r="L3299" s="43"/>
      <c r="M3299" s="43"/>
      <c r="N3299" s="43"/>
      <c r="O3299" s="43"/>
      <c r="Q3299" s="44"/>
      <c r="R3299" s="44"/>
      <c r="S3299" s="44"/>
      <c r="T3299" s="44"/>
    </row>
    <row r="3300" spans="12:20" x14ac:dyDescent="0.2">
      <c r="L3300" s="43"/>
      <c r="M3300" s="43"/>
      <c r="N3300" s="43"/>
      <c r="O3300" s="43"/>
      <c r="Q3300" s="44"/>
      <c r="R3300" s="44"/>
      <c r="S3300" s="44"/>
      <c r="T3300" s="44"/>
    </row>
    <row r="3301" spans="12:20" x14ac:dyDescent="0.2">
      <c r="L3301" s="43"/>
      <c r="M3301" s="43"/>
      <c r="N3301" s="43"/>
      <c r="O3301" s="43"/>
      <c r="Q3301" s="44"/>
      <c r="R3301" s="44"/>
      <c r="S3301" s="44"/>
      <c r="T3301" s="44"/>
    </row>
    <row r="3302" spans="12:20" x14ac:dyDescent="0.2">
      <c r="L3302" s="43"/>
      <c r="M3302" s="43"/>
      <c r="N3302" s="43"/>
      <c r="O3302" s="43"/>
      <c r="Q3302" s="44"/>
      <c r="R3302" s="44"/>
      <c r="S3302" s="44"/>
      <c r="T3302" s="44"/>
    </row>
    <row r="3303" spans="12:20" x14ac:dyDescent="0.2">
      <c r="L3303" s="43"/>
      <c r="M3303" s="43"/>
      <c r="N3303" s="43"/>
      <c r="O3303" s="43"/>
      <c r="Q3303" s="44"/>
      <c r="R3303" s="44"/>
      <c r="S3303" s="44"/>
      <c r="T3303" s="44"/>
    </row>
    <row r="3304" spans="12:20" x14ac:dyDescent="0.2">
      <c r="L3304" s="43"/>
      <c r="M3304" s="43"/>
      <c r="N3304" s="43"/>
      <c r="O3304" s="43"/>
      <c r="Q3304" s="44"/>
      <c r="R3304" s="44"/>
      <c r="S3304" s="44"/>
      <c r="T3304" s="44"/>
    </row>
    <row r="3305" spans="12:20" x14ac:dyDescent="0.2">
      <c r="L3305" s="43"/>
      <c r="M3305" s="43"/>
      <c r="N3305" s="43"/>
      <c r="O3305" s="43"/>
      <c r="Q3305" s="44"/>
      <c r="R3305" s="44"/>
      <c r="S3305" s="44"/>
      <c r="T3305" s="44"/>
    </row>
    <row r="3306" spans="12:20" x14ac:dyDescent="0.2">
      <c r="L3306" s="43"/>
      <c r="M3306" s="43"/>
      <c r="N3306" s="43"/>
      <c r="O3306" s="43"/>
      <c r="Q3306" s="44"/>
      <c r="R3306" s="44"/>
      <c r="S3306" s="44"/>
      <c r="T3306" s="44"/>
    </row>
    <row r="3307" spans="12:20" x14ac:dyDescent="0.2">
      <c r="L3307" s="43"/>
      <c r="M3307" s="43"/>
      <c r="N3307" s="43"/>
      <c r="O3307" s="43"/>
      <c r="Q3307" s="44"/>
      <c r="R3307" s="44"/>
      <c r="S3307" s="44"/>
      <c r="T3307" s="44"/>
    </row>
    <row r="3308" spans="12:20" x14ac:dyDescent="0.2">
      <c r="L3308" s="43"/>
      <c r="M3308" s="43"/>
      <c r="N3308" s="43"/>
      <c r="O3308" s="43"/>
      <c r="Q3308" s="44"/>
      <c r="R3308" s="44"/>
      <c r="S3308" s="44"/>
      <c r="T3308" s="44"/>
    </row>
    <row r="3309" spans="12:20" x14ac:dyDescent="0.2">
      <c r="L3309" s="43"/>
      <c r="M3309" s="43"/>
      <c r="N3309" s="43"/>
      <c r="O3309" s="43"/>
      <c r="Q3309" s="44"/>
      <c r="R3309" s="44"/>
      <c r="S3309" s="44"/>
      <c r="T3309" s="44"/>
    </row>
    <row r="3310" spans="12:20" x14ac:dyDescent="0.2">
      <c r="L3310" s="43"/>
      <c r="M3310" s="43"/>
      <c r="N3310" s="43"/>
      <c r="O3310" s="43"/>
      <c r="Q3310" s="44"/>
      <c r="R3310" s="44"/>
      <c r="S3310" s="44"/>
      <c r="T3310" s="44"/>
    </row>
    <row r="3311" spans="12:20" x14ac:dyDescent="0.2">
      <c r="L3311" s="43"/>
      <c r="M3311" s="43"/>
      <c r="N3311" s="43"/>
      <c r="O3311" s="43"/>
      <c r="Q3311" s="44"/>
      <c r="R3311" s="44"/>
      <c r="S3311" s="44"/>
      <c r="T3311" s="44"/>
    </row>
    <row r="3312" spans="12:20" x14ac:dyDescent="0.2">
      <c r="L3312" s="43"/>
      <c r="M3312" s="43"/>
      <c r="N3312" s="43"/>
      <c r="O3312" s="43"/>
      <c r="Q3312" s="44"/>
      <c r="R3312" s="44"/>
      <c r="S3312" s="44"/>
      <c r="T3312" s="44"/>
    </row>
    <row r="3313" spans="12:20" x14ac:dyDescent="0.2">
      <c r="L3313" s="43"/>
      <c r="M3313" s="43"/>
      <c r="N3313" s="43"/>
      <c r="O3313" s="43"/>
      <c r="Q3313" s="44"/>
      <c r="R3313" s="44"/>
      <c r="S3313" s="44"/>
      <c r="T3313" s="44"/>
    </row>
    <row r="3314" spans="12:20" x14ac:dyDescent="0.2">
      <c r="L3314" s="43"/>
      <c r="M3314" s="43"/>
      <c r="N3314" s="43"/>
      <c r="O3314" s="43"/>
      <c r="Q3314" s="44"/>
      <c r="R3314" s="44"/>
      <c r="S3314" s="44"/>
      <c r="T3314" s="44"/>
    </row>
    <row r="3315" spans="12:20" x14ac:dyDescent="0.2">
      <c r="L3315" s="43"/>
      <c r="M3315" s="43"/>
      <c r="N3315" s="43"/>
      <c r="O3315" s="43"/>
      <c r="Q3315" s="44"/>
      <c r="R3315" s="44"/>
      <c r="S3315" s="44"/>
      <c r="T3315" s="44"/>
    </row>
    <row r="3316" spans="12:20" x14ac:dyDescent="0.2">
      <c r="L3316" s="43"/>
      <c r="M3316" s="43"/>
      <c r="N3316" s="43"/>
      <c r="O3316" s="43"/>
      <c r="Q3316" s="44"/>
      <c r="R3316" s="44"/>
      <c r="S3316" s="44"/>
      <c r="T3316" s="44"/>
    </row>
    <row r="3317" spans="12:20" x14ac:dyDescent="0.2">
      <c r="L3317" s="43"/>
      <c r="M3317" s="43"/>
      <c r="N3317" s="43"/>
      <c r="O3317" s="43"/>
      <c r="Q3317" s="44"/>
      <c r="R3317" s="44"/>
      <c r="S3317" s="44"/>
      <c r="T3317" s="44"/>
    </row>
    <row r="3318" spans="12:20" x14ac:dyDescent="0.2">
      <c r="L3318" s="43"/>
      <c r="M3318" s="43"/>
      <c r="N3318" s="43"/>
      <c r="O3318" s="43"/>
      <c r="Q3318" s="44"/>
      <c r="R3318" s="44"/>
      <c r="S3318" s="44"/>
      <c r="T3318" s="44"/>
    </row>
    <row r="3319" spans="12:20" x14ac:dyDescent="0.2">
      <c r="L3319" s="43"/>
      <c r="M3319" s="43"/>
      <c r="N3319" s="43"/>
      <c r="O3319" s="43"/>
      <c r="Q3319" s="44"/>
      <c r="R3319" s="44"/>
      <c r="S3319" s="44"/>
      <c r="T3319" s="44"/>
    </row>
    <row r="3320" spans="12:20" x14ac:dyDescent="0.2">
      <c r="L3320" s="43"/>
      <c r="M3320" s="43"/>
      <c r="N3320" s="43"/>
      <c r="O3320" s="43"/>
      <c r="Q3320" s="44"/>
      <c r="R3320" s="44"/>
      <c r="S3320" s="44"/>
      <c r="T3320" s="44"/>
    </row>
    <row r="3321" spans="12:20" x14ac:dyDescent="0.2">
      <c r="L3321" s="43"/>
      <c r="M3321" s="43"/>
      <c r="N3321" s="43"/>
      <c r="O3321" s="43"/>
      <c r="Q3321" s="44"/>
      <c r="R3321" s="44"/>
      <c r="S3321" s="44"/>
      <c r="T3321" s="44"/>
    </row>
    <row r="3322" spans="12:20" x14ac:dyDescent="0.2">
      <c r="L3322" s="43"/>
      <c r="M3322" s="43"/>
      <c r="N3322" s="43"/>
      <c r="O3322" s="43"/>
      <c r="Q3322" s="44"/>
      <c r="R3322" s="44"/>
      <c r="S3322" s="44"/>
      <c r="T3322" s="44"/>
    </row>
    <row r="3323" spans="12:20" x14ac:dyDescent="0.2">
      <c r="L3323" s="43"/>
      <c r="M3323" s="43"/>
      <c r="N3323" s="43"/>
      <c r="O3323" s="43"/>
      <c r="Q3323" s="44"/>
      <c r="R3323" s="44"/>
      <c r="S3323" s="44"/>
      <c r="T3323" s="44"/>
    </row>
    <row r="3324" spans="12:20" x14ac:dyDescent="0.2">
      <c r="L3324" s="43"/>
      <c r="M3324" s="43"/>
      <c r="N3324" s="43"/>
      <c r="O3324" s="43"/>
      <c r="Q3324" s="44"/>
      <c r="R3324" s="44"/>
      <c r="S3324" s="44"/>
      <c r="T3324" s="44"/>
    </row>
    <row r="3325" spans="12:20" x14ac:dyDescent="0.2">
      <c r="L3325" s="43"/>
      <c r="M3325" s="43"/>
      <c r="N3325" s="43"/>
      <c r="O3325" s="43"/>
      <c r="Q3325" s="44"/>
      <c r="R3325" s="44"/>
      <c r="S3325" s="44"/>
      <c r="T3325" s="44"/>
    </row>
    <row r="3326" spans="12:20" x14ac:dyDescent="0.2">
      <c r="L3326" s="43"/>
      <c r="M3326" s="43"/>
      <c r="N3326" s="43"/>
      <c r="O3326" s="43"/>
      <c r="Q3326" s="44"/>
      <c r="R3326" s="44"/>
      <c r="S3326" s="44"/>
      <c r="T3326" s="44"/>
    </row>
    <row r="3327" spans="12:20" x14ac:dyDescent="0.2">
      <c r="L3327" s="43"/>
      <c r="M3327" s="43"/>
      <c r="N3327" s="43"/>
      <c r="O3327" s="43"/>
      <c r="Q3327" s="44"/>
      <c r="R3327" s="44"/>
      <c r="S3327" s="44"/>
      <c r="T3327" s="44"/>
    </row>
    <row r="3328" spans="12:20" x14ac:dyDescent="0.2">
      <c r="L3328" s="43"/>
      <c r="M3328" s="43"/>
      <c r="N3328" s="43"/>
      <c r="O3328" s="43"/>
      <c r="Q3328" s="44"/>
      <c r="R3328" s="44"/>
      <c r="S3328" s="44"/>
      <c r="T3328" s="44"/>
    </row>
    <row r="3329" spans="12:20" x14ac:dyDescent="0.2">
      <c r="L3329" s="43"/>
      <c r="M3329" s="43"/>
      <c r="N3329" s="43"/>
      <c r="O3329" s="43"/>
      <c r="Q3329" s="44"/>
      <c r="R3329" s="44"/>
      <c r="S3329" s="44"/>
      <c r="T3329" s="44"/>
    </row>
    <row r="3330" spans="12:20" x14ac:dyDescent="0.2">
      <c r="L3330" s="43"/>
      <c r="M3330" s="43"/>
      <c r="N3330" s="43"/>
      <c r="O3330" s="43"/>
      <c r="Q3330" s="44"/>
      <c r="R3330" s="44"/>
      <c r="S3330" s="44"/>
      <c r="T3330" s="44"/>
    </row>
    <row r="3331" spans="12:20" x14ac:dyDescent="0.2">
      <c r="L3331" s="43"/>
      <c r="M3331" s="43"/>
      <c r="N3331" s="43"/>
      <c r="O3331" s="43"/>
      <c r="Q3331" s="44"/>
      <c r="R3331" s="44"/>
      <c r="S3331" s="44"/>
      <c r="T3331" s="44"/>
    </row>
    <row r="3332" spans="12:20" x14ac:dyDescent="0.2">
      <c r="L3332" s="43"/>
      <c r="M3332" s="43"/>
      <c r="N3332" s="43"/>
      <c r="O3332" s="43"/>
      <c r="Q3332" s="44"/>
      <c r="R3332" s="44"/>
      <c r="S3332" s="44"/>
      <c r="T3332" s="44"/>
    </row>
    <row r="3333" spans="12:20" x14ac:dyDescent="0.2">
      <c r="L3333" s="43"/>
      <c r="M3333" s="43"/>
      <c r="N3333" s="43"/>
      <c r="O3333" s="43"/>
      <c r="Q3333" s="44"/>
      <c r="R3333" s="44"/>
      <c r="S3333" s="44"/>
      <c r="T3333" s="44"/>
    </row>
    <row r="3334" spans="12:20" x14ac:dyDescent="0.2">
      <c r="L3334" s="43"/>
      <c r="M3334" s="43"/>
      <c r="N3334" s="43"/>
      <c r="O3334" s="43"/>
      <c r="Q3334" s="44"/>
      <c r="R3334" s="44"/>
      <c r="S3334" s="44"/>
      <c r="T3334" s="44"/>
    </row>
    <row r="3335" spans="12:20" x14ac:dyDescent="0.2">
      <c r="L3335" s="43"/>
      <c r="M3335" s="43"/>
      <c r="N3335" s="43"/>
      <c r="O3335" s="43"/>
      <c r="Q3335" s="44"/>
      <c r="R3335" s="44"/>
      <c r="S3335" s="44"/>
      <c r="T3335" s="44"/>
    </row>
    <row r="3336" spans="12:20" x14ac:dyDescent="0.2">
      <c r="L3336" s="43"/>
      <c r="M3336" s="43"/>
      <c r="N3336" s="43"/>
      <c r="O3336" s="43"/>
      <c r="Q3336" s="44"/>
      <c r="R3336" s="44"/>
      <c r="S3336" s="44"/>
      <c r="T3336" s="44"/>
    </row>
    <row r="3337" spans="12:20" x14ac:dyDescent="0.2">
      <c r="L3337" s="43"/>
      <c r="M3337" s="43"/>
      <c r="N3337" s="43"/>
      <c r="O3337" s="43"/>
      <c r="Q3337" s="44"/>
      <c r="R3337" s="44"/>
      <c r="S3337" s="44"/>
      <c r="T3337" s="44"/>
    </row>
    <row r="3338" spans="12:20" x14ac:dyDescent="0.2">
      <c r="L3338" s="43"/>
      <c r="M3338" s="43"/>
      <c r="N3338" s="43"/>
      <c r="O3338" s="43"/>
      <c r="Q3338" s="44"/>
      <c r="R3338" s="44"/>
      <c r="S3338" s="44"/>
      <c r="T3338" s="44"/>
    </row>
    <row r="3339" spans="12:20" x14ac:dyDescent="0.2">
      <c r="L3339" s="43"/>
      <c r="M3339" s="43"/>
      <c r="N3339" s="43"/>
      <c r="O3339" s="43"/>
      <c r="Q3339" s="44"/>
      <c r="R3339" s="44"/>
      <c r="S3339" s="44"/>
      <c r="T3339" s="44"/>
    </row>
    <row r="3340" spans="12:20" x14ac:dyDescent="0.2">
      <c r="L3340" s="43"/>
      <c r="M3340" s="43"/>
      <c r="N3340" s="43"/>
      <c r="O3340" s="43"/>
      <c r="Q3340" s="44"/>
      <c r="R3340" s="44"/>
      <c r="S3340" s="44"/>
      <c r="T3340" s="44"/>
    </row>
    <row r="3341" spans="12:20" x14ac:dyDescent="0.2">
      <c r="L3341" s="43"/>
      <c r="M3341" s="43"/>
      <c r="N3341" s="43"/>
      <c r="O3341" s="43"/>
      <c r="Q3341" s="44"/>
      <c r="R3341" s="44"/>
      <c r="S3341" s="44"/>
      <c r="T3341" s="44"/>
    </row>
    <row r="3342" spans="12:20" x14ac:dyDescent="0.2">
      <c r="L3342" s="43"/>
      <c r="M3342" s="43"/>
      <c r="N3342" s="43"/>
      <c r="O3342" s="43"/>
      <c r="Q3342" s="44"/>
      <c r="R3342" s="44"/>
      <c r="S3342" s="44"/>
      <c r="T3342" s="44"/>
    </row>
    <row r="3343" spans="12:20" x14ac:dyDescent="0.2">
      <c r="L3343" s="43"/>
      <c r="M3343" s="43"/>
      <c r="N3343" s="43"/>
      <c r="O3343" s="43"/>
      <c r="Q3343" s="44"/>
      <c r="R3343" s="44"/>
      <c r="S3343" s="44"/>
      <c r="T3343" s="44"/>
    </row>
    <row r="3344" spans="12:20" x14ac:dyDescent="0.2">
      <c r="L3344" s="43"/>
      <c r="M3344" s="43"/>
      <c r="N3344" s="43"/>
      <c r="O3344" s="43"/>
      <c r="Q3344" s="44"/>
      <c r="R3344" s="44"/>
      <c r="S3344" s="44"/>
      <c r="T3344" s="44"/>
    </row>
    <row r="3345" spans="12:20" x14ac:dyDescent="0.2">
      <c r="L3345" s="43"/>
      <c r="M3345" s="43"/>
      <c r="N3345" s="43"/>
      <c r="O3345" s="43"/>
      <c r="Q3345" s="44"/>
      <c r="R3345" s="44"/>
      <c r="S3345" s="44"/>
      <c r="T3345" s="44"/>
    </row>
    <row r="3346" spans="12:20" x14ac:dyDescent="0.2">
      <c r="L3346" s="43"/>
      <c r="M3346" s="43"/>
      <c r="N3346" s="43"/>
      <c r="O3346" s="43"/>
      <c r="Q3346" s="44"/>
      <c r="R3346" s="44"/>
      <c r="S3346" s="44"/>
      <c r="T3346" s="44"/>
    </row>
    <row r="3347" spans="12:20" x14ac:dyDescent="0.2">
      <c r="L3347" s="43"/>
      <c r="M3347" s="43"/>
      <c r="N3347" s="43"/>
      <c r="O3347" s="43"/>
      <c r="Q3347" s="44"/>
      <c r="R3347" s="44"/>
      <c r="S3347" s="44"/>
      <c r="T3347" s="44"/>
    </row>
    <row r="3348" spans="12:20" x14ac:dyDescent="0.2">
      <c r="L3348" s="43"/>
      <c r="M3348" s="43"/>
      <c r="N3348" s="43"/>
      <c r="O3348" s="43"/>
      <c r="Q3348" s="44"/>
      <c r="R3348" s="44"/>
      <c r="S3348" s="44"/>
      <c r="T3348" s="44"/>
    </row>
    <row r="3349" spans="12:20" x14ac:dyDescent="0.2">
      <c r="L3349" s="43"/>
      <c r="M3349" s="43"/>
      <c r="N3349" s="43"/>
      <c r="O3349" s="43"/>
      <c r="Q3349" s="44"/>
      <c r="R3349" s="44"/>
      <c r="S3349" s="44"/>
      <c r="T3349" s="44"/>
    </row>
    <row r="3350" spans="12:20" x14ac:dyDescent="0.2">
      <c r="L3350" s="43"/>
      <c r="M3350" s="43"/>
      <c r="N3350" s="43"/>
      <c r="O3350" s="43"/>
      <c r="Q3350" s="44"/>
      <c r="R3350" s="44"/>
      <c r="S3350" s="44"/>
      <c r="T3350" s="44"/>
    </row>
    <row r="3351" spans="12:20" x14ac:dyDescent="0.2">
      <c r="L3351" s="43"/>
      <c r="M3351" s="43"/>
      <c r="N3351" s="43"/>
      <c r="O3351" s="43"/>
      <c r="Q3351" s="44"/>
      <c r="R3351" s="44"/>
      <c r="S3351" s="44"/>
      <c r="T3351" s="44"/>
    </row>
    <row r="3352" spans="12:20" x14ac:dyDescent="0.2">
      <c r="L3352" s="43"/>
      <c r="M3352" s="43"/>
      <c r="N3352" s="43"/>
      <c r="O3352" s="43"/>
      <c r="Q3352" s="44"/>
      <c r="R3352" s="44"/>
      <c r="S3352" s="44"/>
      <c r="T3352" s="44"/>
    </row>
    <row r="3353" spans="12:20" x14ac:dyDescent="0.2">
      <c r="L3353" s="43"/>
      <c r="M3353" s="43"/>
      <c r="N3353" s="43"/>
      <c r="O3353" s="43"/>
      <c r="Q3353" s="44"/>
      <c r="R3353" s="44"/>
      <c r="S3353" s="44"/>
      <c r="T3353" s="44"/>
    </row>
    <row r="3354" spans="12:20" x14ac:dyDescent="0.2">
      <c r="L3354" s="43"/>
      <c r="M3354" s="43"/>
      <c r="N3354" s="43"/>
      <c r="O3354" s="43"/>
      <c r="Q3354" s="44"/>
      <c r="R3354" s="44"/>
      <c r="S3354" s="44"/>
      <c r="T3354" s="44"/>
    </row>
    <row r="3355" spans="12:20" x14ac:dyDescent="0.2">
      <c r="L3355" s="43"/>
      <c r="M3355" s="43"/>
      <c r="N3355" s="43"/>
      <c r="O3355" s="43"/>
      <c r="Q3355" s="44"/>
      <c r="R3355" s="44"/>
      <c r="S3355" s="44"/>
      <c r="T3355" s="44"/>
    </row>
    <row r="3356" spans="12:20" x14ac:dyDescent="0.2">
      <c r="L3356" s="43"/>
      <c r="M3356" s="43"/>
      <c r="N3356" s="43"/>
      <c r="O3356" s="43"/>
      <c r="Q3356" s="44"/>
      <c r="R3356" s="44"/>
      <c r="S3356" s="44"/>
      <c r="T3356" s="44"/>
    </row>
    <row r="3357" spans="12:20" x14ac:dyDescent="0.2">
      <c r="L3357" s="43"/>
      <c r="M3357" s="43"/>
      <c r="N3357" s="43"/>
      <c r="O3357" s="43"/>
      <c r="Q3357" s="44"/>
      <c r="R3357" s="44"/>
      <c r="S3357" s="44"/>
      <c r="T3357" s="44"/>
    </row>
    <row r="3358" spans="12:20" x14ac:dyDescent="0.2">
      <c r="L3358" s="43"/>
      <c r="M3358" s="43"/>
      <c r="N3358" s="43"/>
      <c r="O3358" s="43"/>
      <c r="Q3358" s="44"/>
      <c r="R3358" s="44"/>
      <c r="S3358" s="44"/>
      <c r="T3358" s="44"/>
    </row>
    <row r="3359" spans="12:20" x14ac:dyDescent="0.2">
      <c r="L3359" s="43"/>
      <c r="M3359" s="43"/>
      <c r="N3359" s="43"/>
      <c r="O3359" s="43"/>
      <c r="Q3359" s="44"/>
      <c r="R3359" s="44"/>
      <c r="S3359" s="44"/>
      <c r="T3359" s="44"/>
    </row>
    <row r="3360" spans="12:20" x14ac:dyDescent="0.2">
      <c r="L3360" s="43"/>
      <c r="M3360" s="43"/>
      <c r="N3360" s="43"/>
      <c r="O3360" s="43"/>
      <c r="Q3360" s="44"/>
      <c r="R3360" s="44"/>
      <c r="S3360" s="44"/>
      <c r="T3360" s="44"/>
    </row>
    <row r="3361" spans="12:20" x14ac:dyDescent="0.2">
      <c r="L3361" s="43"/>
      <c r="M3361" s="43"/>
      <c r="N3361" s="43"/>
      <c r="O3361" s="43"/>
      <c r="Q3361" s="44"/>
      <c r="R3361" s="44"/>
      <c r="S3361" s="44"/>
      <c r="T3361" s="44"/>
    </row>
    <row r="3362" spans="12:20" x14ac:dyDescent="0.2">
      <c r="L3362" s="43"/>
      <c r="M3362" s="43"/>
      <c r="N3362" s="43"/>
      <c r="O3362" s="43"/>
      <c r="Q3362" s="44"/>
      <c r="R3362" s="44"/>
      <c r="S3362" s="44"/>
      <c r="T3362" s="44"/>
    </row>
    <row r="3363" spans="12:20" x14ac:dyDescent="0.2">
      <c r="L3363" s="43"/>
      <c r="M3363" s="43"/>
      <c r="N3363" s="43"/>
      <c r="O3363" s="43"/>
      <c r="Q3363" s="44"/>
      <c r="R3363" s="44"/>
      <c r="S3363" s="44"/>
      <c r="T3363" s="44"/>
    </row>
    <row r="3364" spans="12:20" x14ac:dyDescent="0.2">
      <c r="L3364" s="43"/>
      <c r="M3364" s="43"/>
      <c r="N3364" s="43"/>
      <c r="O3364" s="43"/>
      <c r="Q3364" s="44"/>
      <c r="R3364" s="44"/>
      <c r="S3364" s="44"/>
      <c r="T3364" s="44"/>
    </row>
    <row r="3365" spans="12:20" x14ac:dyDescent="0.2">
      <c r="L3365" s="43"/>
      <c r="M3365" s="43"/>
      <c r="N3365" s="43"/>
      <c r="O3365" s="43"/>
      <c r="Q3365" s="44"/>
      <c r="R3365" s="44"/>
      <c r="S3365" s="44"/>
      <c r="T3365" s="44"/>
    </row>
    <row r="3366" spans="12:20" x14ac:dyDescent="0.2">
      <c r="L3366" s="43"/>
      <c r="M3366" s="43"/>
      <c r="N3366" s="43"/>
      <c r="O3366" s="43"/>
      <c r="Q3366" s="44"/>
      <c r="R3366" s="44"/>
      <c r="S3366" s="44"/>
      <c r="T3366" s="44"/>
    </row>
    <row r="3367" spans="12:20" x14ac:dyDescent="0.2">
      <c r="L3367" s="43"/>
      <c r="M3367" s="43"/>
      <c r="N3367" s="43"/>
      <c r="O3367" s="43"/>
      <c r="Q3367" s="44"/>
      <c r="R3367" s="44"/>
      <c r="S3367" s="44"/>
      <c r="T3367" s="44"/>
    </row>
    <row r="3368" spans="12:20" x14ac:dyDescent="0.2">
      <c r="L3368" s="43"/>
      <c r="M3368" s="43"/>
      <c r="N3368" s="43"/>
      <c r="O3368" s="43"/>
      <c r="Q3368" s="44"/>
      <c r="R3368" s="44"/>
      <c r="S3368" s="44"/>
      <c r="T3368" s="44"/>
    </row>
    <row r="3369" spans="12:20" x14ac:dyDescent="0.2">
      <c r="L3369" s="43"/>
      <c r="M3369" s="43"/>
      <c r="N3369" s="43"/>
      <c r="O3369" s="43"/>
      <c r="Q3369" s="44"/>
      <c r="R3369" s="44"/>
      <c r="S3369" s="44"/>
      <c r="T3369" s="44"/>
    </row>
    <row r="3370" spans="12:20" x14ac:dyDescent="0.2">
      <c r="L3370" s="43"/>
      <c r="M3370" s="43"/>
      <c r="N3370" s="43"/>
      <c r="O3370" s="43"/>
      <c r="Q3370" s="44"/>
      <c r="R3370" s="44"/>
      <c r="S3370" s="44"/>
      <c r="T3370" s="44"/>
    </row>
    <row r="3371" spans="12:20" x14ac:dyDescent="0.2">
      <c r="L3371" s="43"/>
      <c r="M3371" s="43"/>
      <c r="N3371" s="43"/>
      <c r="O3371" s="43"/>
      <c r="Q3371" s="44"/>
      <c r="R3371" s="44"/>
      <c r="S3371" s="44"/>
      <c r="T3371" s="44"/>
    </row>
    <row r="3372" spans="12:20" x14ac:dyDescent="0.2">
      <c r="L3372" s="43"/>
      <c r="M3372" s="43"/>
      <c r="N3372" s="43"/>
      <c r="O3372" s="43"/>
      <c r="Q3372" s="44"/>
      <c r="R3372" s="44"/>
      <c r="S3372" s="44"/>
      <c r="T3372" s="44"/>
    </row>
    <row r="3373" spans="12:20" x14ac:dyDescent="0.2">
      <c r="L3373" s="43"/>
      <c r="M3373" s="43"/>
      <c r="N3373" s="43"/>
      <c r="O3373" s="43"/>
      <c r="Q3373" s="44"/>
      <c r="R3373" s="44"/>
      <c r="S3373" s="44"/>
      <c r="T3373" s="44"/>
    </row>
    <row r="3374" spans="12:20" x14ac:dyDescent="0.2">
      <c r="L3374" s="43"/>
      <c r="M3374" s="43"/>
      <c r="N3374" s="43"/>
      <c r="O3374" s="43"/>
      <c r="Q3374" s="44"/>
      <c r="R3374" s="44"/>
      <c r="S3374" s="44"/>
      <c r="T3374" s="44"/>
    </row>
    <row r="3375" spans="12:20" x14ac:dyDescent="0.2">
      <c r="L3375" s="43"/>
      <c r="M3375" s="43"/>
      <c r="N3375" s="43"/>
      <c r="O3375" s="43"/>
      <c r="Q3375" s="44"/>
      <c r="R3375" s="44"/>
      <c r="S3375" s="44"/>
      <c r="T3375" s="44"/>
    </row>
    <row r="3376" spans="12:20" x14ac:dyDescent="0.2">
      <c r="L3376" s="43"/>
      <c r="M3376" s="43"/>
      <c r="N3376" s="43"/>
      <c r="O3376" s="43"/>
      <c r="Q3376" s="44"/>
      <c r="R3376" s="44"/>
      <c r="S3376" s="44"/>
      <c r="T3376" s="44"/>
    </row>
    <row r="3377" spans="12:20" x14ac:dyDescent="0.2">
      <c r="L3377" s="43"/>
      <c r="M3377" s="43"/>
      <c r="N3377" s="43"/>
      <c r="O3377" s="43"/>
      <c r="Q3377" s="44"/>
      <c r="R3377" s="44"/>
      <c r="S3377" s="44"/>
      <c r="T3377" s="44"/>
    </row>
    <row r="3378" spans="12:20" x14ac:dyDescent="0.2">
      <c r="L3378" s="43"/>
      <c r="M3378" s="43"/>
      <c r="N3378" s="43"/>
      <c r="O3378" s="43"/>
      <c r="Q3378" s="44"/>
      <c r="R3378" s="44"/>
      <c r="S3378" s="44"/>
      <c r="T3378" s="44"/>
    </row>
    <row r="3379" spans="12:20" x14ac:dyDescent="0.2">
      <c r="L3379" s="43"/>
      <c r="M3379" s="43"/>
      <c r="N3379" s="43"/>
      <c r="O3379" s="43"/>
      <c r="Q3379" s="44"/>
      <c r="R3379" s="44"/>
      <c r="S3379" s="44"/>
      <c r="T3379" s="44"/>
    </row>
    <row r="3380" spans="12:20" x14ac:dyDescent="0.2">
      <c r="L3380" s="43"/>
      <c r="M3380" s="43"/>
      <c r="N3380" s="43"/>
      <c r="O3380" s="43"/>
      <c r="Q3380" s="44"/>
      <c r="R3380" s="44"/>
      <c r="S3380" s="44"/>
      <c r="T3380" s="44"/>
    </row>
    <row r="3381" spans="12:20" x14ac:dyDescent="0.2">
      <c r="L3381" s="43"/>
      <c r="M3381" s="43"/>
      <c r="N3381" s="43"/>
      <c r="O3381" s="43"/>
      <c r="Q3381" s="44"/>
      <c r="R3381" s="44"/>
      <c r="S3381" s="44"/>
      <c r="T3381" s="44"/>
    </row>
    <row r="3382" spans="12:20" x14ac:dyDescent="0.2">
      <c r="L3382" s="43"/>
      <c r="M3382" s="43"/>
      <c r="N3382" s="43"/>
      <c r="O3382" s="43"/>
      <c r="Q3382" s="44"/>
      <c r="R3382" s="44"/>
      <c r="S3382" s="44"/>
      <c r="T3382" s="44"/>
    </row>
    <row r="3383" spans="12:20" x14ac:dyDescent="0.2">
      <c r="L3383" s="43"/>
      <c r="M3383" s="43"/>
      <c r="N3383" s="43"/>
      <c r="O3383" s="43"/>
      <c r="Q3383" s="44"/>
      <c r="R3383" s="44"/>
      <c r="S3383" s="44"/>
      <c r="T3383" s="44"/>
    </row>
    <row r="3384" spans="12:20" x14ac:dyDescent="0.2">
      <c r="L3384" s="43"/>
      <c r="M3384" s="43"/>
      <c r="N3384" s="43"/>
      <c r="O3384" s="43"/>
      <c r="Q3384" s="44"/>
      <c r="R3384" s="44"/>
      <c r="S3384" s="44"/>
      <c r="T3384" s="44"/>
    </row>
    <row r="3385" spans="12:20" x14ac:dyDescent="0.2">
      <c r="L3385" s="43"/>
      <c r="M3385" s="43"/>
      <c r="N3385" s="43"/>
      <c r="O3385" s="43"/>
      <c r="Q3385" s="44"/>
      <c r="R3385" s="44"/>
      <c r="S3385" s="44"/>
      <c r="T3385" s="44"/>
    </row>
    <row r="3386" spans="12:20" x14ac:dyDescent="0.2">
      <c r="L3386" s="43"/>
      <c r="M3386" s="43"/>
      <c r="N3386" s="43"/>
      <c r="O3386" s="43"/>
      <c r="Q3386" s="44"/>
      <c r="R3386" s="44"/>
      <c r="S3386" s="44"/>
      <c r="T3386" s="44"/>
    </row>
    <row r="3387" spans="12:20" x14ac:dyDescent="0.2">
      <c r="L3387" s="43"/>
      <c r="M3387" s="43"/>
      <c r="N3387" s="43"/>
      <c r="O3387" s="43"/>
      <c r="Q3387" s="44"/>
      <c r="R3387" s="44"/>
      <c r="S3387" s="44"/>
      <c r="T3387" s="44"/>
    </row>
    <row r="3388" spans="12:20" x14ac:dyDescent="0.2">
      <c r="L3388" s="43"/>
      <c r="M3388" s="43"/>
      <c r="N3388" s="43"/>
      <c r="O3388" s="43"/>
      <c r="Q3388" s="44"/>
      <c r="R3388" s="44"/>
      <c r="S3388" s="44"/>
      <c r="T3388" s="44"/>
    </row>
    <row r="3389" spans="12:20" x14ac:dyDescent="0.2">
      <c r="L3389" s="43"/>
      <c r="M3389" s="43"/>
      <c r="N3389" s="43"/>
      <c r="O3389" s="43"/>
      <c r="Q3389" s="44"/>
      <c r="R3389" s="44"/>
      <c r="S3389" s="44"/>
      <c r="T3389" s="44"/>
    </row>
    <row r="3390" spans="12:20" x14ac:dyDescent="0.2">
      <c r="L3390" s="43"/>
      <c r="M3390" s="43"/>
      <c r="N3390" s="43"/>
      <c r="O3390" s="43"/>
      <c r="Q3390" s="44"/>
      <c r="R3390" s="44"/>
      <c r="S3390" s="44"/>
      <c r="T3390" s="44"/>
    </row>
    <row r="3391" spans="12:20" x14ac:dyDescent="0.2">
      <c r="L3391" s="43"/>
      <c r="M3391" s="43"/>
      <c r="N3391" s="43"/>
      <c r="O3391" s="43"/>
      <c r="Q3391" s="44"/>
      <c r="R3391" s="44"/>
      <c r="S3391" s="44"/>
      <c r="T3391" s="44"/>
    </row>
    <row r="3392" spans="12:20" x14ac:dyDescent="0.2">
      <c r="L3392" s="43"/>
      <c r="M3392" s="43"/>
      <c r="N3392" s="43"/>
      <c r="O3392" s="43"/>
      <c r="Q3392" s="44"/>
      <c r="R3392" s="44"/>
      <c r="S3392" s="44"/>
      <c r="T3392" s="44"/>
    </row>
    <row r="3393" spans="12:20" x14ac:dyDescent="0.2">
      <c r="L3393" s="43"/>
      <c r="M3393" s="43"/>
      <c r="N3393" s="43"/>
      <c r="O3393" s="43"/>
      <c r="Q3393" s="44"/>
      <c r="R3393" s="44"/>
      <c r="S3393" s="44"/>
      <c r="T3393" s="44"/>
    </row>
    <row r="3394" spans="12:20" x14ac:dyDescent="0.2">
      <c r="L3394" s="43"/>
      <c r="M3394" s="43"/>
      <c r="N3394" s="43"/>
      <c r="O3394" s="43"/>
      <c r="Q3394" s="44"/>
      <c r="R3394" s="44"/>
      <c r="S3394" s="44"/>
      <c r="T3394" s="44"/>
    </row>
    <row r="3395" spans="12:20" x14ac:dyDescent="0.2">
      <c r="L3395" s="43"/>
      <c r="M3395" s="43"/>
      <c r="N3395" s="43"/>
      <c r="O3395" s="43"/>
      <c r="Q3395" s="44"/>
      <c r="R3395" s="44"/>
      <c r="S3395" s="44"/>
      <c r="T3395" s="44"/>
    </row>
    <row r="3396" spans="12:20" x14ac:dyDescent="0.2">
      <c r="L3396" s="43"/>
      <c r="M3396" s="43"/>
      <c r="N3396" s="43"/>
      <c r="O3396" s="43"/>
      <c r="Q3396" s="44"/>
      <c r="R3396" s="44"/>
      <c r="S3396" s="44"/>
      <c r="T3396" s="44"/>
    </row>
    <row r="3397" spans="12:20" x14ac:dyDescent="0.2">
      <c r="L3397" s="43"/>
      <c r="M3397" s="43"/>
      <c r="N3397" s="43"/>
      <c r="O3397" s="43"/>
      <c r="Q3397" s="44"/>
      <c r="R3397" s="44"/>
      <c r="S3397" s="44"/>
      <c r="T3397" s="44"/>
    </row>
    <row r="3398" spans="12:20" x14ac:dyDescent="0.2">
      <c r="L3398" s="43"/>
      <c r="M3398" s="43"/>
      <c r="N3398" s="43"/>
      <c r="O3398" s="43"/>
      <c r="Q3398" s="44"/>
      <c r="R3398" s="44"/>
      <c r="S3398" s="44"/>
      <c r="T3398" s="44"/>
    </row>
    <row r="3399" spans="12:20" x14ac:dyDescent="0.2">
      <c r="L3399" s="43"/>
      <c r="M3399" s="43"/>
      <c r="N3399" s="43"/>
      <c r="O3399" s="43"/>
      <c r="Q3399" s="44"/>
      <c r="R3399" s="44"/>
      <c r="S3399" s="44"/>
      <c r="T3399" s="44"/>
    </row>
    <row r="3400" spans="12:20" x14ac:dyDescent="0.2">
      <c r="L3400" s="43"/>
      <c r="M3400" s="43"/>
      <c r="N3400" s="43"/>
      <c r="O3400" s="43"/>
      <c r="Q3400" s="44"/>
      <c r="R3400" s="44"/>
      <c r="S3400" s="44"/>
      <c r="T3400" s="44"/>
    </row>
    <row r="3401" spans="12:20" x14ac:dyDescent="0.2">
      <c r="L3401" s="43"/>
      <c r="M3401" s="43"/>
      <c r="N3401" s="43"/>
      <c r="O3401" s="43"/>
      <c r="Q3401" s="44"/>
      <c r="R3401" s="44"/>
      <c r="S3401" s="44"/>
      <c r="T3401" s="44"/>
    </row>
    <row r="3402" spans="12:20" x14ac:dyDescent="0.2">
      <c r="L3402" s="43"/>
      <c r="M3402" s="43"/>
      <c r="N3402" s="43"/>
      <c r="O3402" s="43"/>
      <c r="Q3402" s="44"/>
      <c r="R3402" s="44"/>
      <c r="S3402" s="44"/>
      <c r="T3402" s="44"/>
    </row>
    <row r="3403" spans="12:20" x14ac:dyDescent="0.2">
      <c r="L3403" s="43"/>
      <c r="M3403" s="43"/>
      <c r="N3403" s="43"/>
      <c r="O3403" s="43"/>
      <c r="Q3403" s="44"/>
      <c r="R3403" s="44"/>
      <c r="S3403" s="44"/>
      <c r="T3403" s="44"/>
    </row>
    <row r="3404" spans="12:20" x14ac:dyDescent="0.2">
      <c r="L3404" s="43"/>
      <c r="M3404" s="43"/>
      <c r="N3404" s="43"/>
      <c r="O3404" s="43"/>
      <c r="Q3404" s="44"/>
      <c r="R3404" s="44"/>
      <c r="S3404" s="44"/>
      <c r="T3404" s="44"/>
    </row>
    <row r="3405" spans="12:20" x14ac:dyDescent="0.2">
      <c r="L3405" s="43"/>
      <c r="M3405" s="43"/>
      <c r="N3405" s="43"/>
      <c r="O3405" s="43"/>
      <c r="Q3405" s="44"/>
      <c r="R3405" s="44"/>
      <c r="S3405" s="44"/>
      <c r="T3405" s="44"/>
    </row>
    <row r="3406" spans="12:20" x14ac:dyDescent="0.2">
      <c r="L3406" s="43"/>
      <c r="M3406" s="43"/>
      <c r="N3406" s="43"/>
      <c r="O3406" s="43"/>
      <c r="Q3406" s="44"/>
      <c r="R3406" s="44"/>
      <c r="S3406" s="44"/>
      <c r="T3406" s="44"/>
    </row>
    <row r="3407" spans="12:20" x14ac:dyDescent="0.2">
      <c r="L3407" s="43"/>
      <c r="M3407" s="43"/>
      <c r="N3407" s="43"/>
      <c r="O3407" s="43"/>
      <c r="Q3407" s="44"/>
      <c r="R3407" s="44"/>
      <c r="S3407" s="44"/>
      <c r="T3407" s="44"/>
    </row>
    <row r="3408" spans="12:20" x14ac:dyDescent="0.2">
      <c r="L3408" s="43"/>
      <c r="M3408" s="43"/>
      <c r="N3408" s="43"/>
      <c r="O3408" s="43"/>
      <c r="Q3408" s="44"/>
      <c r="R3408" s="44"/>
      <c r="S3408" s="44"/>
      <c r="T3408" s="44"/>
    </row>
    <row r="3409" spans="12:20" x14ac:dyDescent="0.2">
      <c r="L3409" s="43"/>
      <c r="M3409" s="43"/>
      <c r="N3409" s="43"/>
      <c r="O3409" s="43"/>
      <c r="Q3409" s="44"/>
      <c r="R3409" s="44"/>
      <c r="S3409" s="44"/>
      <c r="T3409" s="44"/>
    </row>
    <row r="3410" spans="12:20" x14ac:dyDescent="0.2">
      <c r="L3410" s="43"/>
      <c r="M3410" s="43"/>
      <c r="N3410" s="43"/>
      <c r="O3410" s="43"/>
      <c r="Q3410" s="44"/>
      <c r="R3410" s="44"/>
      <c r="S3410" s="44"/>
      <c r="T3410" s="44"/>
    </row>
    <row r="3411" spans="12:20" x14ac:dyDescent="0.2">
      <c r="L3411" s="43"/>
      <c r="M3411" s="43"/>
      <c r="N3411" s="43"/>
      <c r="O3411" s="43"/>
      <c r="Q3411" s="44"/>
      <c r="R3411" s="44"/>
      <c r="S3411" s="44"/>
      <c r="T3411" s="44"/>
    </row>
    <row r="3412" spans="12:20" x14ac:dyDescent="0.2">
      <c r="L3412" s="43"/>
      <c r="M3412" s="43"/>
      <c r="N3412" s="43"/>
      <c r="O3412" s="43"/>
      <c r="Q3412" s="44"/>
      <c r="R3412" s="44"/>
      <c r="S3412" s="44"/>
      <c r="T3412" s="44"/>
    </row>
    <row r="3413" spans="12:20" x14ac:dyDescent="0.2">
      <c r="L3413" s="43"/>
      <c r="M3413" s="43"/>
      <c r="N3413" s="43"/>
      <c r="O3413" s="43"/>
      <c r="Q3413" s="44"/>
      <c r="R3413" s="44"/>
      <c r="S3413" s="44"/>
      <c r="T3413" s="44"/>
    </row>
    <row r="3414" spans="12:20" x14ac:dyDescent="0.2">
      <c r="L3414" s="43"/>
      <c r="M3414" s="43"/>
      <c r="N3414" s="43"/>
      <c r="O3414" s="43"/>
      <c r="Q3414" s="44"/>
      <c r="R3414" s="44"/>
      <c r="S3414" s="44"/>
      <c r="T3414" s="44"/>
    </row>
    <row r="3415" spans="12:20" x14ac:dyDescent="0.2">
      <c r="L3415" s="43"/>
      <c r="M3415" s="43"/>
      <c r="N3415" s="43"/>
      <c r="O3415" s="43"/>
      <c r="Q3415" s="44"/>
      <c r="R3415" s="44"/>
      <c r="S3415" s="44"/>
      <c r="T3415" s="44"/>
    </row>
    <row r="3416" spans="12:20" x14ac:dyDescent="0.2">
      <c r="L3416" s="43"/>
      <c r="M3416" s="43"/>
      <c r="N3416" s="43"/>
      <c r="O3416" s="43"/>
      <c r="Q3416" s="44"/>
      <c r="R3416" s="44"/>
      <c r="S3416" s="44"/>
      <c r="T3416" s="44"/>
    </row>
    <row r="3417" spans="12:20" x14ac:dyDescent="0.2">
      <c r="L3417" s="43"/>
      <c r="M3417" s="43"/>
      <c r="N3417" s="43"/>
      <c r="O3417" s="43"/>
      <c r="Q3417" s="44"/>
      <c r="R3417" s="44"/>
      <c r="S3417" s="44"/>
      <c r="T3417" s="44"/>
    </row>
    <row r="3418" spans="12:20" x14ac:dyDescent="0.2">
      <c r="L3418" s="43"/>
      <c r="M3418" s="43"/>
      <c r="N3418" s="43"/>
      <c r="O3418" s="43"/>
      <c r="Q3418" s="44"/>
      <c r="R3418" s="44"/>
      <c r="S3418" s="44"/>
      <c r="T3418" s="44"/>
    </row>
    <row r="3419" spans="12:20" x14ac:dyDescent="0.2">
      <c r="L3419" s="43"/>
      <c r="M3419" s="43"/>
      <c r="N3419" s="43"/>
      <c r="O3419" s="43"/>
      <c r="Q3419" s="44"/>
      <c r="R3419" s="44"/>
      <c r="S3419" s="44"/>
      <c r="T3419" s="44"/>
    </row>
    <row r="3420" spans="12:20" x14ac:dyDescent="0.2">
      <c r="L3420" s="43"/>
      <c r="M3420" s="43"/>
      <c r="N3420" s="43"/>
      <c r="O3420" s="43"/>
      <c r="Q3420" s="44"/>
      <c r="R3420" s="44"/>
      <c r="S3420" s="44"/>
      <c r="T3420" s="44"/>
    </row>
    <row r="3421" spans="12:20" x14ac:dyDescent="0.2">
      <c r="L3421" s="43"/>
      <c r="M3421" s="43"/>
      <c r="N3421" s="43"/>
      <c r="O3421" s="43"/>
      <c r="Q3421" s="44"/>
      <c r="R3421" s="44"/>
      <c r="S3421" s="44"/>
      <c r="T3421" s="44"/>
    </row>
    <row r="3422" spans="12:20" x14ac:dyDescent="0.2">
      <c r="L3422" s="43"/>
      <c r="M3422" s="43"/>
      <c r="N3422" s="43"/>
      <c r="O3422" s="43"/>
      <c r="Q3422" s="44"/>
      <c r="R3422" s="44"/>
      <c r="S3422" s="44"/>
      <c r="T3422" s="44"/>
    </row>
    <row r="3423" spans="12:20" x14ac:dyDescent="0.2">
      <c r="L3423" s="43"/>
      <c r="M3423" s="43"/>
      <c r="N3423" s="43"/>
      <c r="O3423" s="43"/>
      <c r="Q3423" s="44"/>
      <c r="R3423" s="44"/>
      <c r="S3423" s="44"/>
      <c r="T3423" s="44"/>
    </row>
    <row r="3424" spans="12:20" x14ac:dyDescent="0.2">
      <c r="L3424" s="43"/>
      <c r="M3424" s="43"/>
      <c r="N3424" s="43"/>
      <c r="O3424" s="43"/>
      <c r="Q3424" s="44"/>
      <c r="R3424" s="44"/>
      <c r="S3424" s="44"/>
      <c r="T3424" s="44"/>
    </row>
    <row r="3425" spans="12:20" x14ac:dyDescent="0.2">
      <c r="L3425" s="43"/>
      <c r="M3425" s="43"/>
      <c r="N3425" s="43"/>
      <c r="O3425" s="43"/>
      <c r="Q3425" s="44"/>
      <c r="R3425" s="44"/>
      <c r="S3425" s="44"/>
      <c r="T3425" s="44"/>
    </row>
    <row r="3426" spans="12:20" x14ac:dyDescent="0.2">
      <c r="L3426" s="43"/>
      <c r="M3426" s="43"/>
      <c r="N3426" s="43"/>
      <c r="O3426" s="43"/>
      <c r="Q3426" s="44"/>
      <c r="R3426" s="44"/>
      <c r="S3426" s="44"/>
      <c r="T3426" s="44"/>
    </row>
    <row r="3427" spans="12:20" x14ac:dyDescent="0.2">
      <c r="L3427" s="43"/>
      <c r="M3427" s="43"/>
      <c r="N3427" s="43"/>
      <c r="O3427" s="43"/>
      <c r="Q3427" s="44"/>
      <c r="R3427" s="44"/>
      <c r="S3427" s="44"/>
      <c r="T3427" s="44"/>
    </row>
    <row r="3428" spans="12:20" x14ac:dyDescent="0.2">
      <c r="L3428" s="43"/>
      <c r="M3428" s="43"/>
      <c r="N3428" s="43"/>
      <c r="O3428" s="43"/>
      <c r="Q3428" s="44"/>
      <c r="R3428" s="44"/>
      <c r="S3428" s="44"/>
      <c r="T3428" s="44"/>
    </row>
    <row r="3429" spans="12:20" x14ac:dyDescent="0.2">
      <c r="L3429" s="43"/>
      <c r="M3429" s="43"/>
      <c r="N3429" s="43"/>
      <c r="O3429" s="43"/>
      <c r="Q3429" s="44"/>
      <c r="R3429" s="44"/>
      <c r="S3429" s="44"/>
      <c r="T3429" s="44"/>
    </row>
    <row r="3430" spans="12:20" x14ac:dyDescent="0.2">
      <c r="L3430" s="43"/>
      <c r="M3430" s="43"/>
      <c r="N3430" s="43"/>
      <c r="O3430" s="43"/>
      <c r="Q3430" s="44"/>
      <c r="R3430" s="44"/>
      <c r="S3430" s="44"/>
      <c r="T3430" s="44"/>
    </row>
    <row r="3431" spans="12:20" x14ac:dyDescent="0.2">
      <c r="L3431" s="43"/>
      <c r="M3431" s="43"/>
      <c r="N3431" s="43"/>
      <c r="O3431" s="43"/>
      <c r="Q3431" s="44"/>
      <c r="R3431" s="44"/>
      <c r="S3431" s="44"/>
      <c r="T3431" s="44"/>
    </row>
    <row r="3432" spans="12:20" x14ac:dyDescent="0.2">
      <c r="L3432" s="43"/>
      <c r="M3432" s="43"/>
      <c r="N3432" s="43"/>
      <c r="O3432" s="43"/>
      <c r="Q3432" s="44"/>
      <c r="R3432" s="44"/>
      <c r="S3432" s="44"/>
      <c r="T3432" s="44"/>
    </row>
    <row r="3433" spans="12:20" x14ac:dyDescent="0.2">
      <c r="L3433" s="43"/>
      <c r="M3433" s="43"/>
      <c r="N3433" s="43"/>
      <c r="O3433" s="43"/>
      <c r="Q3433" s="44"/>
      <c r="R3433" s="44"/>
      <c r="S3433" s="44"/>
      <c r="T3433" s="44"/>
    </row>
    <row r="3434" spans="12:20" x14ac:dyDescent="0.2">
      <c r="L3434" s="43"/>
      <c r="M3434" s="43"/>
      <c r="N3434" s="43"/>
      <c r="O3434" s="43"/>
      <c r="Q3434" s="44"/>
      <c r="R3434" s="44"/>
      <c r="S3434" s="44"/>
      <c r="T3434" s="44"/>
    </row>
    <row r="3435" spans="12:20" x14ac:dyDescent="0.2">
      <c r="L3435" s="43"/>
      <c r="M3435" s="43"/>
      <c r="N3435" s="43"/>
      <c r="O3435" s="43"/>
      <c r="Q3435" s="44"/>
      <c r="R3435" s="44"/>
      <c r="S3435" s="44"/>
      <c r="T3435" s="44"/>
    </row>
    <row r="3436" spans="12:20" x14ac:dyDescent="0.2">
      <c r="L3436" s="43"/>
      <c r="M3436" s="43"/>
      <c r="N3436" s="43"/>
      <c r="O3436" s="43"/>
      <c r="Q3436" s="44"/>
      <c r="R3436" s="44"/>
      <c r="S3436" s="44"/>
      <c r="T3436" s="44"/>
    </row>
    <row r="3437" spans="12:20" x14ac:dyDescent="0.2">
      <c r="L3437" s="43"/>
      <c r="M3437" s="43"/>
      <c r="N3437" s="43"/>
      <c r="O3437" s="43"/>
      <c r="Q3437" s="44"/>
      <c r="R3437" s="44"/>
      <c r="S3437" s="44"/>
      <c r="T3437" s="44"/>
    </row>
    <row r="3438" spans="12:20" x14ac:dyDescent="0.2">
      <c r="L3438" s="43"/>
      <c r="M3438" s="43"/>
      <c r="N3438" s="43"/>
      <c r="O3438" s="43"/>
      <c r="Q3438" s="44"/>
      <c r="R3438" s="44"/>
      <c r="S3438" s="44"/>
      <c r="T3438" s="44"/>
    </row>
    <row r="3439" spans="12:20" x14ac:dyDescent="0.2">
      <c r="L3439" s="43"/>
      <c r="M3439" s="43"/>
      <c r="N3439" s="43"/>
      <c r="O3439" s="43"/>
      <c r="Q3439" s="44"/>
      <c r="R3439" s="44"/>
      <c r="S3439" s="44"/>
      <c r="T3439" s="44"/>
    </row>
    <row r="3440" spans="12:20" x14ac:dyDescent="0.2">
      <c r="L3440" s="43"/>
      <c r="M3440" s="43"/>
      <c r="N3440" s="43"/>
      <c r="O3440" s="43"/>
      <c r="Q3440" s="44"/>
      <c r="R3440" s="44"/>
      <c r="S3440" s="44"/>
      <c r="T3440" s="44"/>
    </row>
    <row r="3441" spans="12:20" x14ac:dyDescent="0.2">
      <c r="L3441" s="43"/>
      <c r="M3441" s="43"/>
      <c r="N3441" s="43"/>
      <c r="O3441" s="43"/>
      <c r="Q3441" s="44"/>
      <c r="R3441" s="44"/>
      <c r="S3441" s="44"/>
      <c r="T3441" s="44"/>
    </row>
    <row r="3442" spans="12:20" x14ac:dyDescent="0.2">
      <c r="L3442" s="43"/>
      <c r="M3442" s="43"/>
      <c r="N3442" s="43"/>
      <c r="O3442" s="43"/>
      <c r="Q3442" s="44"/>
      <c r="R3442" s="44"/>
      <c r="S3442" s="44"/>
      <c r="T3442" s="44"/>
    </row>
    <row r="3443" spans="12:20" x14ac:dyDescent="0.2">
      <c r="L3443" s="43"/>
      <c r="M3443" s="43"/>
      <c r="N3443" s="43"/>
      <c r="O3443" s="43"/>
      <c r="Q3443" s="44"/>
      <c r="R3443" s="44"/>
      <c r="S3443" s="44"/>
      <c r="T3443" s="44"/>
    </row>
    <row r="3444" spans="12:20" x14ac:dyDescent="0.2">
      <c r="L3444" s="43"/>
      <c r="M3444" s="43"/>
      <c r="N3444" s="43"/>
      <c r="O3444" s="43"/>
      <c r="Q3444" s="44"/>
      <c r="R3444" s="44"/>
      <c r="S3444" s="44"/>
      <c r="T3444" s="44"/>
    </row>
    <row r="3445" spans="12:20" x14ac:dyDescent="0.2">
      <c r="L3445" s="43"/>
      <c r="M3445" s="43"/>
      <c r="N3445" s="43"/>
      <c r="O3445" s="43"/>
      <c r="Q3445" s="44"/>
      <c r="R3445" s="44"/>
      <c r="S3445" s="44"/>
      <c r="T3445" s="44"/>
    </row>
    <row r="3446" spans="12:20" x14ac:dyDescent="0.2">
      <c r="L3446" s="43"/>
      <c r="M3446" s="43"/>
      <c r="N3446" s="43"/>
      <c r="O3446" s="43"/>
      <c r="Q3446" s="44"/>
      <c r="R3446" s="44"/>
      <c r="S3446" s="44"/>
      <c r="T3446" s="44"/>
    </row>
    <row r="3447" spans="12:20" x14ac:dyDescent="0.2">
      <c r="L3447" s="43"/>
      <c r="M3447" s="43"/>
      <c r="N3447" s="43"/>
      <c r="O3447" s="43"/>
      <c r="Q3447" s="44"/>
      <c r="R3447" s="44"/>
      <c r="S3447" s="44"/>
      <c r="T3447" s="44"/>
    </row>
    <row r="3448" spans="12:20" x14ac:dyDescent="0.2">
      <c r="L3448" s="43"/>
      <c r="M3448" s="43"/>
      <c r="N3448" s="43"/>
      <c r="O3448" s="43"/>
      <c r="Q3448" s="44"/>
      <c r="R3448" s="44"/>
      <c r="S3448" s="44"/>
      <c r="T3448" s="44"/>
    </row>
    <row r="3449" spans="12:20" x14ac:dyDescent="0.2">
      <c r="L3449" s="43"/>
      <c r="M3449" s="43"/>
      <c r="N3449" s="43"/>
      <c r="O3449" s="43"/>
      <c r="Q3449" s="44"/>
      <c r="R3449" s="44"/>
      <c r="S3449" s="44"/>
      <c r="T3449" s="44"/>
    </row>
    <row r="3450" spans="12:20" x14ac:dyDescent="0.2">
      <c r="L3450" s="43"/>
      <c r="M3450" s="43"/>
      <c r="N3450" s="43"/>
      <c r="O3450" s="43"/>
      <c r="Q3450" s="44"/>
      <c r="R3450" s="44"/>
      <c r="S3450" s="44"/>
      <c r="T3450" s="44"/>
    </row>
    <row r="3451" spans="12:20" x14ac:dyDescent="0.2">
      <c r="L3451" s="43"/>
      <c r="M3451" s="43"/>
      <c r="N3451" s="43"/>
      <c r="O3451" s="43"/>
      <c r="Q3451" s="44"/>
      <c r="R3451" s="44"/>
      <c r="S3451" s="44"/>
      <c r="T3451" s="44"/>
    </row>
    <row r="3452" spans="12:20" x14ac:dyDescent="0.2">
      <c r="L3452" s="43"/>
      <c r="M3452" s="43"/>
      <c r="N3452" s="43"/>
      <c r="O3452" s="43"/>
      <c r="Q3452" s="44"/>
      <c r="R3452" s="44"/>
      <c r="S3452" s="44"/>
      <c r="T3452" s="44"/>
    </row>
    <row r="3453" spans="12:20" x14ac:dyDescent="0.2">
      <c r="L3453" s="43"/>
      <c r="M3453" s="43"/>
      <c r="N3453" s="43"/>
      <c r="O3453" s="43"/>
      <c r="Q3453" s="44"/>
      <c r="R3453" s="44"/>
      <c r="S3453" s="44"/>
      <c r="T3453" s="44"/>
    </row>
    <row r="3454" spans="12:20" x14ac:dyDescent="0.2">
      <c r="L3454" s="43"/>
      <c r="M3454" s="43"/>
      <c r="N3454" s="43"/>
      <c r="O3454" s="43"/>
      <c r="Q3454" s="44"/>
      <c r="R3454" s="44"/>
      <c r="S3454" s="44"/>
      <c r="T3454" s="44"/>
    </row>
    <row r="3455" spans="12:20" x14ac:dyDescent="0.2">
      <c r="L3455" s="43"/>
      <c r="M3455" s="43"/>
      <c r="N3455" s="43"/>
      <c r="O3455" s="43"/>
      <c r="Q3455" s="44"/>
      <c r="R3455" s="44"/>
      <c r="S3455" s="44"/>
      <c r="T3455" s="44"/>
    </row>
    <row r="3456" spans="12:20" x14ac:dyDescent="0.2">
      <c r="L3456" s="43"/>
      <c r="M3456" s="43"/>
      <c r="N3456" s="43"/>
      <c r="O3456" s="43"/>
      <c r="Q3456" s="44"/>
      <c r="R3456" s="44"/>
      <c r="S3456" s="44"/>
      <c r="T3456" s="44"/>
    </row>
    <row r="3457" spans="12:20" x14ac:dyDescent="0.2">
      <c r="L3457" s="43"/>
      <c r="M3457" s="43"/>
      <c r="N3457" s="43"/>
      <c r="O3457" s="43"/>
      <c r="Q3457" s="44"/>
      <c r="R3457" s="44"/>
      <c r="S3457" s="44"/>
      <c r="T3457" s="44"/>
    </row>
    <row r="3458" spans="12:20" x14ac:dyDescent="0.2">
      <c r="L3458" s="43"/>
      <c r="M3458" s="43"/>
      <c r="N3458" s="43"/>
      <c r="O3458" s="43"/>
      <c r="Q3458" s="44"/>
      <c r="R3458" s="44"/>
      <c r="S3458" s="44"/>
      <c r="T3458" s="44"/>
    </row>
    <row r="3459" spans="12:20" x14ac:dyDescent="0.2">
      <c r="L3459" s="43"/>
      <c r="M3459" s="43"/>
      <c r="N3459" s="43"/>
      <c r="O3459" s="43"/>
      <c r="Q3459" s="44"/>
      <c r="R3459" s="44"/>
      <c r="S3459" s="44"/>
      <c r="T3459" s="44"/>
    </row>
    <row r="3460" spans="12:20" x14ac:dyDescent="0.2">
      <c r="L3460" s="43"/>
      <c r="M3460" s="43"/>
      <c r="N3460" s="43"/>
      <c r="O3460" s="43"/>
      <c r="Q3460" s="44"/>
      <c r="R3460" s="44"/>
      <c r="S3460" s="44"/>
      <c r="T3460" s="44"/>
    </row>
    <row r="3461" spans="12:20" x14ac:dyDescent="0.2">
      <c r="L3461" s="43"/>
      <c r="M3461" s="43"/>
      <c r="N3461" s="43"/>
      <c r="O3461" s="43"/>
      <c r="Q3461" s="44"/>
      <c r="R3461" s="44"/>
      <c r="S3461" s="44"/>
      <c r="T3461" s="44"/>
    </row>
    <row r="3462" spans="12:20" x14ac:dyDescent="0.2">
      <c r="L3462" s="43"/>
      <c r="M3462" s="43"/>
      <c r="N3462" s="43"/>
      <c r="O3462" s="43"/>
      <c r="Q3462" s="44"/>
      <c r="R3462" s="44"/>
      <c r="S3462" s="44"/>
      <c r="T3462" s="44"/>
    </row>
    <row r="3463" spans="12:20" x14ac:dyDescent="0.2">
      <c r="L3463" s="43"/>
      <c r="M3463" s="43"/>
      <c r="N3463" s="43"/>
      <c r="O3463" s="43"/>
      <c r="Q3463" s="44"/>
      <c r="R3463" s="44"/>
      <c r="S3463" s="44"/>
      <c r="T3463" s="44"/>
    </row>
    <row r="3464" spans="12:20" x14ac:dyDescent="0.2">
      <c r="L3464" s="43"/>
      <c r="M3464" s="43"/>
      <c r="N3464" s="43"/>
      <c r="O3464" s="43"/>
      <c r="Q3464" s="44"/>
      <c r="R3464" s="44"/>
      <c r="S3464" s="44"/>
      <c r="T3464" s="44"/>
    </row>
    <row r="3465" spans="12:20" x14ac:dyDescent="0.2">
      <c r="L3465" s="43"/>
      <c r="M3465" s="43"/>
      <c r="N3465" s="43"/>
      <c r="O3465" s="43"/>
      <c r="Q3465" s="44"/>
      <c r="R3465" s="44"/>
      <c r="S3465" s="44"/>
      <c r="T3465" s="44"/>
    </row>
    <row r="3466" spans="12:20" x14ac:dyDescent="0.2">
      <c r="L3466" s="43"/>
      <c r="M3466" s="43"/>
      <c r="N3466" s="43"/>
      <c r="O3466" s="43"/>
      <c r="Q3466" s="44"/>
      <c r="R3466" s="44"/>
      <c r="S3466" s="44"/>
      <c r="T3466" s="44"/>
    </row>
    <row r="3467" spans="12:20" x14ac:dyDescent="0.2">
      <c r="L3467" s="43"/>
      <c r="M3467" s="43"/>
      <c r="N3467" s="43"/>
      <c r="O3467" s="43"/>
      <c r="Q3467" s="44"/>
      <c r="R3467" s="44"/>
      <c r="S3467" s="44"/>
      <c r="T3467" s="44"/>
    </row>
    <row r="3468" spans="12:20" x14ac:dyDescent="0.2">
      <c r="L3468" s="43"/>
      <c r="M3468" s="43"/>
      <c r="N3468" s="43"/>
      <c r="O3468" s="43"/>
      <c r="Q3468" s="44"/>
      <c r="R3468" s="44"/>
      <c r="S3468" s="44"/>
      <c r="T3468" s="44"/>
    </row>
    <row r="3469" spans="12:20" x14ac:dyDescent="0.2">
      <c r="L3469" s="43"/>
      <c r="M3469" s="43"/>
      <c r="N3469" s="43"/>
      <c r="O3469" s="43"/>
      <c r="Q3469" s="44"/>
      <c r="R3469" s="44"/>
      <c r="S3469" s="44"/>
      <c r="T3469" s="44"/>
    </row>
    <row r="3470" spans="12:20" x14ac:dyDescent="0.2">
      <c r="L3470" s="43"/>
      <c r="M3470" s="43"/>
      <c r="N3470" s="43"/>
      <c r="O3470" s="43"/>
      <c r="Q3470" s="44"/>
      <c r="R3470" s="44"/>
      <c r="S3470" s="44"/>
      <c r="T3470" s="44"/>
    </row>
    <row r="3471" spans="12:20" x14ac:dyDescent="0.2">
      <c r="L3471" s="43"/>
      <c r="M3471" s="43"/>
      <c r="N3471" s="43"/>
      <c r="O3471" s="43"/>
      <c r="Q3471" s="44"/>
      <c r="R3471" s="44"/>
      <c r="S3471" s="44"/>
      <c r="T3471" s="44"/>
    </row>
    <row r="3472" spans="12:20" x14ac:dyDescent="0.2">
      <c r="L3472" s="43"/>
      <c r="M3472" s="43"/>
      <c r="N3472" s="43"/>
      <c r="O3472" s="43"/>
      <c r="Q3472" s="44"/>
      <c r="R3472" s="44"/>
      <c r="S3472" s="44"/>
      <c r="T3472" s="44"/>
    </row>
    <row r="3473" spans="12:20" x14ac:dyDescent="0.2">
      <c r="L3473" s="43"/>
      <c r="M3473" s="43"/>
      <c r="N3473" s="43"/>
      <c r="O3473" s="43"/>
      <c r="Q3473" s="44"/>
      <c r="R3473" s="44"/>
      <c r="S3473" s="44"/>
      <c r="T3473" s="44"/>
    </row>
    <row r="3474" spans="12:20" x14ac:dyDescent="0.2">
      <c r="L3474" s="43"/>
      <c r="M3474" s="43"/>
      <c r="N3474" s="43"/>
      <c r="O3474" s="43"/>
      <c r="Q3474" s="44"/>
      <c r="R3474" s="44"/>
      <c r="S3474" s="44"/>
      <c r="T3474" s="44"/>
    </row>
    <row r="3475" spans="12:20" x14ac:dyDescent="0.2">
      <c r="L3475" s="43"/>
      <c r="M3475" s="43"/>
      <c r="N3475" s="43"/>
      <c r="O3475" s="43"/>
      <c r="Q3475" s="44"/>
      <c r="R3475" s="44"/>
      <c r="S3475" s="44"/>
      <c r="T3475" s="44"/>
    </row>
    <row r="3476" spans="12:20" x14ac:dyDescent="0.2">
      <c r="L3476" s="43"/>
      <c r="M3476" s="43"/>
      <c r="N3476" s="43"/>
      <c r="O3476" s="43"/>
      <c r="Q3476" s="44"/>
      <c r="R3476" s="44"/>
      <c r="S3476" s="44"/>
      <c r="T3476" s="44"/>
    </row>
    <row r="3477" spans="12:20" x14ac:dyDescent="0.2">
      <c r="L3477" s="43"/>
      <c r="M3477" s="43"/>
      <c r="N3477" s="43"/>
      <c r="O3477" s="43"/>
      <c r="Q3477" s="44"/>
      <c r="R3477" s="44"/>
      <c r="S3477" s="44"/>
      <c r="T3477" s="44"/>
    </row>
    <row r="3478" spans="12:20" x14ac:dyDescent="0.2">
      <c r="L3478" s="43"/>
      <c r="M3478" s="43"/>
      <c r="N3478" s="43"/>
      <c r="O3478" s="43"/>
      <c r="Q3478" s="44"/>
      <c r="R3478" s="44"/>
      <c r="S3478" s="44"/>
      <c r="T3478" s="44"/>
    </row>
    <row r="3479" spans="12:20" x14ac:dyDescent="0.2">
      <c r="L3479" s="43"/>
      <c r="M3479" s="43"/>
      <c r="N3479" s="43"/>
      <c r="O3479" s="43"/>
      <c r="Q3479" s="44"/>
      <c r="R3479" s="44"/>
      <c r="S3479" s="44"/>
      <c r="T3479" s="44"/>
    </row>
    <row r="3480" spans="12:20" x14ac:dyDescent="0.2">
      <c r="L3480" s="43"/>
      <c r="M3480" s="43"/>
      <c r="N3480" s="43"/>
      <c r="O3480" s="43"/>
      <c r="Q3480" s="44"/>
      <c r="R3480" s="44"/>
      <c r="S3480" s="44"/>
      <c r="T3480" s="44"/>
    </row>
    <row r="3481" spans="12:20" x14ac:dyDescent="0.2">
      <c r="L3481" s="43"/>
      <c r="M3481" s="43"/>
      <c r="N3481" s="43"/>
      <c r="O3481" s="43"/>
      <c r="Q3481" s="44"/>
      <c r="R3481" s="44"/>
      <c r="S3481" s="44"/>
      <c r="T3481" s="44"/>
    </row>
    <row r="3482" spans="12:20" x14ac:dyDescent="0.2">
      <c r="L3482" s="43"/>
      <c r="M3482" s="43"/>
      <c r="N3482" s="43"/>
      <c r="O3482" s="43"/>
      <c r="Q3482" s="44"/>
      <c r="R3482" s="44"/>
      <c r="S3482" s="44"/>
      <c r="T3482" s="44"/>
    </row>
    <row r="3483" spans="12:20" x14ac:dyDescent="0.2">
      <c r="L3483" s="43"/>
      <c r="M3483" s="43"/>
      <c r="N3483" s="43"/>
      <c r="O3483" s="43"/>
      <c r="Q3483" s="44"/>
      <c r="R3483" s="44"/>
      <c r="S3483" s="44"/>
      <c r="T3483" s="44"/>
    </row>
    <row r="3484" spans="12:20" x14ac:dyDescent="0.2">
      <c r="L3484" s="43"/>
      <c r="M3484" s="43"/>
      <c r="N3484" s="43"/>
      <c r="O3484" s="43"/>
      <c r="Q3484" s="44"/>
      <c r="R3484" s="44"/>
      <c r="S3484" s="44"/>
      <c r="T3484" s="44"/>
    </row>
    <row r="3485" spans="12:20" x14ac:dyDescent="0.2">
      <c r="L3485" s="43"/>
      <c r="M3485" s="43"/>
      <c r="N3485" s="43"/>
      <c r="O3485" s="43"/>
      <c r="Q3485" s="44"/>
      <c r="R3485" s="44"/>
      <c r="S3485" s="44"/>
      <c r="T3485" s="44"/>
    </row>
    <row r="3486" spans="12:20" x14ac:dyDescent="0.2">
      <c r="L3486" s="43"/>
      <c r="M3486" s="43"/>
      <c r="N3486" s="43"/>
      <c r="O3486" s="43"/>
      <c r="Q3486" s="44"/>
      <c r="R3486" s="44"/>
      <c r="S3486" s="44"/>
      <c r="T3486" s="44"/>
    </row>
    <row r="3487" spans="12:20" x14ac:dyDescent="0.2">
      <c r="L3487" s="43"/>
      <c r="M3487" s="43"/>
      <c r="N3487" s="43"/>
      <c r="O3487" s="43"/>
      <c r="Q3487" s="44"/>
      <c r="R3487" s="44"/>
      <c r="S3487" s="44"/>
      <c r="T3487" s="44"/>
    </row>
    <row r="3488" spans="12:20" x14ac:dyDescent="0.2">
      <c r="L3488" s="43"/>
      <c r="M3488" s="43"/>
      <c r="N3488" s="43"/>
      <c r="O3488" s="43"/>
      <c r="Q3488" s="44"/>
      <c r="R3488" s="44"/>
      <c r="S3488" s="44"/>
      <c r="T3488" s="44"/>
    </row>
    <row r="3489" spans="12:20" x14ac:dyDescent="0.2">
      <c r="L3489" s="43"/>
      <c r="M3489" s="43"/>
      <c r="N3489" s="43"/>
      <c r="O3489" s="43"/>
      <c r="Q3489" s="44"/>
      <c r="R3489" s="44"/>
      <c r="S3489" s="44"/>
      <c r="T3489" s="44"/>
    </row>
    <row r="3490" spans="12:20" x14ac:dyDescent="0.2">
      <c r="L3490" s="43"/>
      <c r="M3490" s="43"/>
      <c r="N3490" s="43"/>
      <c r="O3490" s="43"/>
      <c r="Q3490" s="44"/>
      <c r="R3490" s="44"/>
      <c r="S3490" s="44"/>
      <c r="T3490" s="44"/>
    </row>
    <row r="3491" spans="12:20" x14ac:dyDescent="0.2">
      <c r="L3491" s="43"/>
      <c r="M3491" s="43"/>
      <c r="N3491" s="43"/>
      <c r="O3491" s="43"/>
      <c r="Q3491" s="44"/>
      <c r="R3491" s="44"/>
      <c r="S3491" s="44"/>
      <c r="T3491" s="44"/>
    </row>
    <row r="3492" spans="12:20" x14ac:dyDescent="0.2">
      <c r="L3492" s="43"/>
      <c r="M3492" s="43"/>
      <c r="N3492" s="43"/>
      <c r="O3492" s="43"/>
      <c r="Q3492" s="44"/>
      <c r="R3492" s="44"/>
      <c r="S3492" s="44"/>
      <c r="T3492" s="44"/>
    </row>
    <row r="3493" spans="12:20" x14ac:dyDescent="0.2">
      <c r="L3493" s="43"/>
      <c r="M3493" s="43"/>
      <c r="N3493" s="43"/>
      <c r="O3493" s="43"/>
      <c r="Q3493" s="44"/>
      <c r="R3493" s="44"/>
      <c r="S3493" s="44"/>
      <c r="T3493" s="44"/>
    </row>
    <row r="3494" spans="12:20" x14ac:dyDescent="0.2">
      <c r="L3494" s="43"/>
      <c r="M3494" s="43"/>
      <c r="N3494" s="43"/>
      <c r="O3494" s="43"/>
      <c r="Q3494" s="44"/>
      <c r="R3494" s="44"/>
      <c r="S3494" s="44"/>
      <c r="T3494" s="44"/>
    </row>
    <row r="3495" spans="12:20" x14ac:dyDescent="0.2">
      <c r="L3495" s="43"/>
      <c r="M3495" s="43"/>
      <c r="N3495" s="43"/>
      <c r="O3495" s="43"/>
      <c r="Q3495" s="44"/>
      <c r="R3495" s="44"/>
      <c r="S3495" s="44"/>
      <c r="T3495" s="44"/>
    </row>
    <row r="3496" spans="12:20" x14ac:dyDescent="0.2">
      <c r="L3496" s="43"/>
      <c r="M3496" s="43"/>
      <c r="N3496" s="43"/>
      <c r="O3496" s="43"/>
      <c r="Q3496" s="44"/>
      <c r="R3496" s="44"/>
      <c r="S3496" s="44"/>
      <c r="T3496" s="44"/>
    </row>
    <row r="3497" spans="12:20" x14ac:dyDescent="0.2">
      <c r="L3497" s="43"/>
      <c r="M3497" s="43"/>
      <c r="N3497" s="43"/>
      <c r="O3497" s="43"/>
      <c r="Q3497" s="44"/>
      <c r="R3497" s="44"/>
      <c r="S3497" s="44"/>
      <c r="T3497" s="44"/>
    </row>
    <row r="3498" spans="12:20" x14ac:dyDescent="0.2">
      <c r="L3498" s="43"/>
      <c r="M3498" s="43"/>
      <c r="N3498" s="43"/>
      <c r="O3498" s="43"/>
      <c r="Q3498" s="44"/>
      <c r="R3498" s="44"/>
      <c r="S3498" s="44"/>
      <c r="T3498" s="44"/>
    </row>
    <row r="3499" spans="12:20" x14ac:dyDescent="0.2">
      <c r="L3499" s="43"/>
      <c r="M3499" s="43"/>
      <c r="N3499" s="43"/>
      <c r="O3499" s="43"/>
      <c r="Q3499" s="44"/>
      <c r="R3499" s="44"/>
      <c r="S3499" s="44"/>
      <c r="T3499" s="44"/>
    </row>
    <row r="3500" spans="12:20" x14ac:dyDescent="0.2">
      <c r="L3500" s="43"/>
      <c r="M3500" s="43"/>
      <c r="N3500" s="43"/>
      <c r="O3500" s="43"/>
      <c r="Q3500" s="44"/>
      <c r="R3500" s="44"/>
      <c r="S3500" s="44"/>
      <c r="T3500" s="44"/>
    </row>
    <row r="3501" spans="12:20" x14ac:dyDescent="0.2">
      <c r="L3501" s="43"/>
      <c r="M3501" s="43"/>
      <c r="N3501" s="43"/>
      <c r="O3501" s="43"/>
      <c r="Q3501" s="44"/>
      <c r="R3501" s="44"/>
      <c r="S3501" s="44"/>
      <c r="T3501" s="44"/>
    </row>
    <row r="3502" spans="12:20" x14ac:dyDescent="0.2">
      <c r="L3502" s="43"/>
      <c r="M3502" s="43"/>
      <c r="N3502" s="43"/>
      <c r="O3502" s="43"/>
      <c r="Q3502" s="44"/>
      <c r="R3502" s="44"/>
      <c r="S3502" s="44"/>
      <c r="T3502" s="44"/>
    </row>
    <row r="3503" spans="12:20" x14ac:dyDescent="0.2">
      <c r="L3503" s="43"/>
      <c r="M3503" s="43"/>
      <c r="N3503" s="43"/>
      <c r="O3503" s="43"/>
      <c r="Q3503" s="44"/>
      <c r="R3503" s="44"/>
      <c r="S3503" s="44"/>
      <c r="T3503" s="44"/>
    </row>
    <row r="3504" spans="12:20" x14ac:dyDescent="0.2">
      <c r="L3504" s="43"/>
      <c r="M3504" s="43"/>
      <c r="N3504" s="43"/>
      <c r="O3504" s="43"/>
      <c r="Q3504" s="44"/>
      <c r="R3504" s="44"/>
      <c r="S3504" s="44"/>
      <c r="T3504" s="44"/>
    </row>
    <row r="3505" spans="12:20" x14ac:dyDescent="0.2">
      <c r="L3505" s="43"/>
      <c r="M3505" s="43"/>
      <c r="N3505" s="43"/>
      <c r="O3505" s="43"/>
      <c r="Q3505" s="44"/>
      <c r="R3505" s="44"/>
      <c r="S3505" s="44"/>
      <c r="T3505" s="44"/>
    </row>
    <row r="3506" spans="12:20" x14ac:dyDescent="0.2">
      <c r="L3506" s="43"/>
      <c r="M3506" s="43"/>
      <c r="N3506" s="43"/>
      <c r="O3506" s="43"/>
      <c r="Q3506" s="44"/>
      <c r="R3506" s="44"/>
      <c r="S3506" s="44"/>
      <c r="T3506" s="44"/>
    </row>
    <row r="3507" spans="12:20" x14ac:dyDescent="0.2">
      <c r="L3507" s="43"/>
      <c r="M3507" s="43"/>
      <c r="N3507" s="43"/>
      <c r="O3507" s="43"/>
      <c r="Q3507" s="44"/>
      <c r="R3507" s="44"/>
      <c r="S3507" s="44"/>
      <c r="T3507" s="44"/>
    </row>
    <row r="3508" spans="12:20" x14ac:dyDescent="0.2">
      <c r="L3508" s="43"/>
      <c r="M3508" s="43"/>
      <c r="N3508" s="43"/>
      <c r="O3508" s="43"/>
      <c r="Q3508" s="44"/>
      <c r="R3508" s="44"/>
      <c r="S3508" s="44"/>
      <c r="T3508" s="44"/>
    </row>
    <row r="3509" spans="12:20" x14ac:dyDescent="0.2">
      <c r="L3509" s="43"/>
      <c r="M3509" s="43"/>
      <c r="N3509" s="43"/>
      <c r="O3509" s="43"/>
      <c r="Q3509" s="44"/>
      <c r="R3509" s="44"/>
      <c r="S3509" s="44"/>
      <c r="T3509" s="44"/>
    </row>
    <row r="3510" spans="12:20" x14ac:dyDescent="0.2">
      <c r="L3510" s="43"/>
      <c r="M3510" s="43"/>
      <c r="N3510" s="43"/>
      <c r="O3510" s="43"/>
      <c r="Q3510" s="44"/>
      <c r="R3510" s="44"/>
      <c r="S3510" s="44"/>
      <c r="T3510" s="44"/>
    </row>
    <row r="3511" spans="12:20" x14ac:dyDescent="0.2">
      <c r="L3511" s="43"/>
      <c r="M3511" s="43"/>
      <c r="N3511" s="43"/>
      <c r="O3511" s="43"/>
      <c r="Q3511" s="44"/>
      <c r="R3511" s="44"/>
      <c r="S3511" s="44"/>
      <c r="T3511" s="44"/>
    </row>
    <row r="3512" spans="12:20" x14ac:dyDescent="0.2">
      <c r="L3512" s="43"/>
      <c r="M3512" s="43"/>
      <c r="N3512" s="43"/>
      <c r="O3512" s="43"/>
      <c r="Q3512" s="44"/>
      <c r="R3512" s="44"/>
      <c r="S3512" s="44"/>
      <c r="T3512" s="44"/>
    </row>
    <row r="3513" spans="12:20" x14ac:dyDescent="0.2">
      <c r="L3513" s="43"/>
      <c r="M3513" s="43"/>
      <c r="N3513" s="43"/>
      <c r="O3513" s="43"/>
      <c r="Q3513" s="44"/>
      <c r="R3513" s="44"/>
      <c r="S3513" s="44"/>
      <c r="T3513" s="44"/>
    </row>
    <row r="3514" spans="12:20" x14ac:dyDescent="0.2">
      <c r="L3514" s="43"/>
      <c r="M3514" s="43"/>
      <c r="N3514" s="43"/>
      <c r="O3514" s="43"/>
      <c r="Q3514" s="44"/>
      <c r="R3514" s="44"/>
      <c r="S3514" s="44"/>
      <c r="T3514" s="44"/>
    </row>
    <row r="3515" spans="12:20" x14ac:dyDescent="0.2">
      <c r="L3515" s="43"/>
      <c r="M3515" s="43"/>
      <c r="N3515" s="43"/>
      <c r="O3515" s="43"/>
      <c r="Q3515" s="44"/>
      <c r="R3515" s="44"/>
      <c r="S3515" s="44"/>
      <c r="T3515" s="44"/>
    </row>
    <row r="3516" spans="12:20" x14ac:dyDescent="0.2">
      <c r="L3516" s="43"/>
      <c r="M3516" s="43"/>
      <c r="N3516" s="43"/>
      <c r="O3516" s="43"/>
      <c r="Q3516" s="44"/>
      <c r="R3516" s="44"/>
      <c r="S3516" s="44"/>
      <c r="T3516" s="44"/>
    </row>
    <row r="3517" spans="12:20" x14ac:dyDescent="0.2">
      <c r="L3517" s="43"/>
      <c r="M3517" s="43"/>
      <c r="N3517" s="43"/>
      <c r="O3517" s="43"/>
      <c r="Q3517" s="44"/>
      <c r="R3517" s="44"/>
      <c r="S3517" s="44"/>
      <c r="T3517" s="44"/>
    </row>
    <row r="3518" spans="12:20" x14ac:dyDescent="0.2">
      <c r="L3518" s="43"/>
      <c r="M3518" s="43"/>
      <c r="N3518" s="43"/>
      <c r="O3518" s="43"/>
      <c r="Q3518" s="44"/>
      <c r="R3518" s="44"/>
      <c r="S3518" s="44"/>
      <c r="T3518" s="44"/>
    </row>
    <row r="3519" spans="12:20" x14ac:dyDescent="0.2">
      <c r="L3519" s="43"/>
      <c r="M3519" s="43"/>
      <c r="N3519" s="43"/>
      <c r="O3519" s="43"/>
      <c r="Q3519" s="44"/>
      <c r="R3519" s="44"/>
      <c r="S3519" s="44"/>
      <c r="T3519" s="44"/>
    </row>
    <row r="3520" spans="12:20" x14ac:dyDescent="0.2">
      <c r="L3520" s="43"/>
      <c r="M3520" s="43"/>
      <c r="N3520" s="43"/>
      <c r="O3520" s="43"/>
      <c r="Q3520" s="44"/>
      <c r="R3520" s="44"/>
      <c r="S3520" s="44"/>
      <c r="T3520" s="44"/>
    </row>
    <row r="3521" spans="12:20" x14ac:dyDescent="0.2">
      <c r="L3521" s="43"/>
      <c r="M3521" s="43"/>
      <c r="N3521" s="43"/>
      <c r="O3521" s="43"/>
      <c r="Q3521" s="44"/>
      <c r="R3521" s="44"/>
      <c r="S3521" s="44"/>
      <c r="T3521" s="44"/>
    </row>
    <row r="3522" spans="12:20" x14ac:dyDescent="0.2">
      <c r="L3522" s="43"/>
      <c r="M3522" s="43"/>
      <c r="N3522" s="43"/>
      <c r="O3522" s="43"/>
      <c r="Q3522" s="44"/>
      <c r="R3522" s="44"/>
      <c r="S3522" s="44"/>
      <c r="T3522" s="44"/>
    </row>
    <row r="3523" spans="12:20" x14ac:dyDescent="0.2">
      <c r="L3523" s="43"/>
      <c r="M3523" s="43"/>
      <c r="N3523" s="43"/>
      <c r="O3523" s="43"/>
      <c r="Q3523" s="44"/>
      <c r="R3523" s="44"/>
      <c r="S3523" s="44"/>
      <c r="T3523" s="44"/>
    </row>
    <row r="3524" spans="12:20" x14ac:dyDescent="0.2">
      <c r="L3524" s="43"/>
      <c r="M3524" s="43"/>
      <c r="N3524" s="43"/>
      <c r="O3524" s="43"/>
      <c r="Q3524" s="44"/>
      <c r="R3524" s="44"/>
      <c r="S3524" s="44"/>
      <c r="T3524" s="44"/>
    </row>
    <row r="3525" spans="12:20" x14ac:dyDescent="0.2">
      <c r="L3525" s="43"/>
      <c r="M3525" s="43"/>
      <c r="N3525" s="43"/>
      <c r="O3525" s="43"/>
      <c r="Q3525" s="44"/>
      <c r="R3525" s="44"/>
      <c r="S3525" s="44"/>
      <c r="T3525" s="44"/>
    </row>
    <row r="3526" spans="12:20" x14ac:dyDescent="0.2">
      <c r="L3526" s="43"/>
      <c r="M3526" s="43"/>
      <c r="N3526" s="43"/>
      <c r="O3526" s="43"/>
      <c r="Q3526" s="44"/>
      <c r="R3526" s="44"/>
      <c r="S3526" s="44"/>
      <c r="T3526" s="44"/>
    </row>
    <row r="3527" spans="12:20" x14ac:dyDescent="0.2">
      <c r="L3527" s="43"/>
      <c r="M3527" s="43"/>
      <c r="N3527" s="43"/>
      <c r="O3527" s="43"/>
      <c r="Q3527" s="44"/>
      <c r="R3527" s="44"/>
      <c r="S3527" s="44"/>
      <c r="T3527" s="44"/>
    </row>
    <row r="3528" spans="12:20" x14ac:dyDescent="0.2">
      <c r="L3528" s="43"/>
      <c r="M3528" s="43"/>
      <c r="N3528" s="43"/>
      <c r="O3528" s="43"/>
      <c r="Q3528" s="44"/>
      <c r="R3528" s="44"/>
      <c r="S3528" s="44"/>
      <c r="T3528" s="44"/>
    </row>
    <row r="3529" spans="12:20" x14ac:dyDescent="0.2">
      <c r="L3529" s="43"/>
      <c r="M3529" s="43"/>
      <c r="N3529" s="43"/>
      <c r="O3529" s="43"/>
      <c r="Q3529" s="44"/>
      <c r="R3529" s="44"/>
      <c r="S3529" s="44"/>
      <c r="T3529" s="44"/>
    </row>
    <row r="3530" spans="12:20" x14ac:dyDescent="0.2">
      <c r="L3530" s="43"/>
      <c r="M3530" s="43"/>
      <c r="N3530" s="43"/>
      <c r="O3530" s="43"/>
      <c r="Q3530" s="44"/>
      <c r="R3530" s="44"/>
      <c r="S3530" s="44"/>
      <c r="T3530" s="44"/>
    </row>
    <row r="3531" spans="12:20" x14ac:dyDescent="0.2">
      <c r="L3531" s="43"/>
      <c r="M3531" s="43"/>
      <c r="N3531" s="43"/>
      <c r="O3531" s="43"/>
      <c r="Q3531" s="44"/>
      <c r="R3531" s="44"/>
      <c r="S3531" s="44"/>
      <c r="T3531" s="44"/>
    </row>
    <row r="3532" spans="12:20" x14ac:dyDescent="0.2">
      <c r="L3532" s="43"/>
      <c r="M3532" s="43"/>
      <c r="N3532" s="43"/>
      <c r="O3532" s="43"/>
      <c r="Q3532" s="44"/>
      <c r="R3532" s="44"/>
      <c r="S3532" s="44"/>
      <c r="T3532" s="44"/>
    </row>
    <row r="3533" spans="12:20" x14ac:dyDescent="0.2">
      <c r="L3533" s="43"/>
      <c r="M3533" s="43"/>
      <c r="N3533" s="43"/>
      <c r="O3533" s="43"/>
      <c r="Q3533" s="44"/>
      <c r="R3533" s="44"/>
      <c r="S3533" s="44"/>
      <c r="T3533" s="44"/>
    </row>
    <row r="3534" spans="12:20" x14ac:dyDescent="0.2">
      <c r="L3534" s="43"/>
      <c r="M3534" s="43"/>
      <c r="N3534" s="43"/>
      <c r="O3534" s="43"/>
      <c r="Q3534" s="44"/>
      <c r="R3534" s="44"/>
      <c r="S3534" s="44"/>
      <c r="T3534" s="44"/>
    </row>
    <row r="3535" spans="12:20" x14ac:dyDescent="0.2">
      <c r="L3535" s="43"/>
      <c r="M3535" s="43"/>
      <c r="N3535" s="43"/>
      <c r="O3535" s="43"/>
      <c r="Q3535" s="44"/>
      <c r="R3535" s="44"/>
      <c r="S3535" s="44"/>
      <c r="T3535" s="44"/>
    </row>
    <row r="3536" spans="12:20" x14ac:dyDescent="0.2">
      <c r="L3536" s="43"/>
      <c r="M3536" s="43"/>
      <c r="N3536" s="43"/>
      <c r="O3536" s="43"/>
      <c r="Q3536" s="44"/>
      <c r="R3536" s="44"/>
      <c r="S3536" s="44"/>
      <c r="T3536" s="44"/>
    </row>
    <row r="3537" spans="12:20" x14ac:dyDescent="0.2">
      <c r="L3537" s="43"/>
      <c r="M3537" s="43"/>
      <c r="N3537" s="43"/>
      <c r="O3537" s="43"/>
      <c r="Q3537" s="44"/>
      <c r="R3537" s="44"/>
      <c r="S3537" s="44"/>
      <c r="T3537" s="44"/>
    </row>
    <row r="3538" spans="12:20" x14ac:dyDescent="0.2">
      <c r="L3538" s="43"/>
      <c r="M3538" s="43"/>
      <c r="N3538" s="43"/>
      <c r="O3538" s="43"/>
      <c r="Q3538" s="44"/>
      <c r="R3538" s="44"/>
      <c r="S3538" s="44"/>
      <c r="T3538" s="44"/>
    </row>
    <row r="3539" spans="12:20" x14ac:dyDescent="0.2">
      <c r="L3539" s="43"/>
      <c r="M3539" s="43"/>
      <c r="N3539" s="43"/>
      <c r="O3539" s="43"/>
      <c r="Q3539" s="44"/>
      <c r="R3539" s="44"/>
      <c r="S3539" s="44"/>
      <c r="T3539" s="44"/>
    </row>
    <row r="3540" spans="12:20" x14ac:dyDescent="0.2">
      <c r="L3540" s="43"/>
      <c r="M3540" s="43"/>
      <c r="N3540" s="43"/>
      <c r="O3540" s="43"/>
      <c r="Q3540" s="44"/>
      <c r="R3540" s="44"/>
      <c r="S3540" s="44"/>
      <c r="T3540" s="44"/>
    </row>
    <row r="3541" spans="12:20" x14ac:dyDescent="0.2">
      <c r="L3541" s="43"/>
      <c r="M3541" s="43"/>
      <c r="N3541" s="43"/>
      <c r="O3541" s="43"/>
      <c r="Q3541" s="44"/>
      <c r="R3541" s="44"/>
      <c r="S3541" s="44"/>
      <c r="T3541" s="44"/>
    </row>
    <row r="3542" spans="12:20" x14ac:dyDescent="0.2">
      <c r="L3542" s="43"/>
      <c r="M3542" s="43"/>
      <c r="N3542" s="43"/>
      <c r="O3542" s="43"/>
      <c r="Q3542" s="44"/>
      <c r="R3542" s="44"/>
      <c r="S3542" s="44"/>
      <c r="T3542" s="44"/>
    </row>
    <row r="3543" spans="12:20" x14ac:dyDescent="0.2">
      <c r="L3543" s="43"/>
      <c r="M3543" s="43"/>
      <c r="N3543" s="43"/>
      <c r="O3543" s="43"/>
      <c r="Q3543" s="44"/>
      <c r="R3543" s="44"/>
      <c r="S3543" s="44"/>
      <c r="T3543" s="44"/>
    </row>
    <row r="3544" spans="12:20" x14ac:dyDescent="0.2">
      <c r="L3544" s="43"/>
      <c r="M3544" s="43"/>
      <c r="N3544" s="43"/>
      <c r="O3544" s="43"/>
      <c r="Q3544" s="44"/>
      <c r="R3544" s="44"/>
      <c r="S3544" s="44"/>
      <c r="T3544" s="44"/>
    </row>
    <row r="3545" spans="12:20" x14ac:dyDescent="0.2">
      <c r="L3545" s="43"/>
      <c r="M3545" s="43"/>
      <c r="N3545" s="43"/>
      <c r="O3545" s="43"/>
      <c r="Q3545" s="44"/>
      <c r="R3545" s="44"/>
      <c r="S3545" s="44"/>
      <c r="T3545" s="44"/>
    </row>
    <row r="3546" spans="12:20" x14ac:dyDescent="0.2">
      <c r="L3546" s="43"/>
      <c r="M3546" s="43"/>
      <c r="N3546" s="43"/>
      <c r="O3546" s="43"/>
      <c r="Q3546" s="44"/>
      <c r="R3546" s="44"/>
      <c r="S3546" s="44"/>
      <c r="T3546" s="44"/>
    </row>
    <row r="3547" spans="12:20" x14ac:dyDescent="0.2">
      <c r="L3547" s="43"/>
      <c r="M3547" s="43"/>
      <c r="N3547" s="43"/>
      <c r="O3547" s="43"/>
      <c r="Q3547" s="44"/>
      <c r="R3547" s="44"/>
      <c r="S3547" s="44"/>
      <c r="T3547" s="44"/>
    </row>
    <row r="3548" spans="12:20" x14ac:dyDescent="0.2">
      <c r="L3548" s="43"/>
      <c r="M3548" s="43"/>
      <c r="N3548" s="43"/>
      <c r="O3548" s="43"/>
      <c r="Q3548" s="44"/>
      <c r="R3548" s="44"/>
      <c r="S3548" s="44"/>
      <c r="T3548" s="44"/>
    </row>
    <row r="3549" spans="12:20" x14ac:dyDescent="0.2">
      <c r="L3549" s="43"/>
      <c r="M3549" s="43"/>
      <c r="N3549" s="43"/>
      <c r="O3549" s="43"/>
      <c r="Q3549" s="44"/>
      <c r="R3549" s="44"/>
      <c r="S3549" s="44"/>
      <c r="T3549" s="44"/>
    </row>
    <row r="3550" spans="12:20" x14ac:dyDescent="0.2">
      <c r="L3550" s="43"/>
      <c r="M3550" s="43"/>
      <c r="N3550" s="43"/>
      <c r="O3550" s="43"/>
      <c r="Q3550" s="44"/>
      <c r="R3550" s="44"/>
      <c r="S3550" s="44"/>
      <c r="T3550" s="44"/>
    </row>
    <row r="3551" spans="12:20" x14ac:dyDescent="0.2">
      <c r="L3551" s="43"/>
      <c r="M3551" s="43"/>
      <c r="N3551" s="43"/>
      <c r="O3551" s="43"/>
      <c r="Q3551" s="44"/>
      <c r="R3551" s="44"/>
      <c r="S3551" s="44"/>
      <c r="T3551" s="44"/>
    </row>
    <row r="3552" spans="12:20" x14ac:dyDescent="0.2">
      <c r="L3552" s="43"/>
      <c r="M3552" s="43"/>
      <c r="N3552" s="43"/>
      <c r="O3552" s="43"/>
      <c r="Q3552" s="44"/>
      <c r="R3552" s="44"/>
      <c r="S3552" s="44"/>
      <c r="T3552" s="44"/>
    </row>
    <row r="3553" spans="12:20" x14ac:dyDescent="0.2">
      <c r="L3553" s="43"/>
      <c r="M3553" s="43"/>
      <c r="N3553" s="43"/>
      <c r="O3553" s="43"/>
      <c r="Q3553" s="44"/>
      <c r="R3553" s="44"/>
      <c r="S3553" s="44"/>
      <c r="T3553" s="44"/>
    </row>
    <row r="3554" spans="12:20" x14ac:dyDescent="0.2">
      <c r="L3554" s="43"/>
      <c r="M3554" s="43"/>
      <c r="N3554" s="43"/>
      <c r="O3554" s="43"/>
      <c r="Q3554" s="44"/>
      <c r="R3554" s="44"/>
      <c r="S3554" s="44"/>
      <c r="T3554" s="44"/>
    </row>
    <row r="3555" spans="12:20" x14ac:dyDescent="0.2">
      <c r="L3555" s="43"/>
      <c r="M3555" s="43"/>
      <c r="N3555" s="43"/>
      <c r="O3555" s="43"/>
      <c r="Q3555" s="44"/>
      <c r="R3555" s="44"/>
      <c r="S3555" s="44"/>
      <c r="T3555" s="44"/>
    </row>
    <row r="3556" spans="12:20" x14ac:dyDescent="0.2">
      <c r="L3556" s="43"/>
      <c r="M3556" s="43"/>
      <c r="N3556" s="43"/>
      <c r="O3556" s="43"/>
      <c r="Q3556" s="44"/>
      <c r="R3556" s="44"/>
      <c r="S3556" s="44"/>
      <c r="T3556" s="44"/>
    </row>
    <row r="3557" spans="12:20" x14ac:dyDescent="0.2">
      <c r="L3557" s="43"/>
      <c r="M3557" s="43"/>
      <c r="N3557" s="43"/>
      <c r="O3557" s="43"/>
      <c r="Q3557" s="44"/>
      <c r="R3557" s="44"/>
      <c r="S3557" s="44"/>
      <c r="T3557" s="44"/>
    </row>
    <row r="3558" spans="12:20" x14ac:dyDescent="0.2">
      <c r="L3558" s="43"/>
      <c r="M3558" s="43"/>
      <c r="N3558" s="43"/>
      <c r="O3558" s="43"/>
      <c r="Q3558" s="44"/>
      <c r="R3558" s="44"/>
      <c r="S3558" s="44"/>
      <c r="T3558" s="44"/>
    </row>
    <row r="3559" spans="12:20" x14ac:dyDescent="0.2">
      <c r="L3559" s="43"/>
      <c r="M3559" s="43"/>
      <c r="N3559" s="43"/>
      <c r="O3559" s="43"/>
      <c r="Q3559" s="44"/>
      <c r="R3559" s="44"/>
      <c r="S3559" s="44"/>
      <c r="T3559" s="44"/>
    </row>
    <row r="3560" spans="12:20" x14ac:dyDescent="0.2">
      <c r="L3560" s="43"/>
      <c r="M3560" s="43"/>
      <c r="N3560" s="43"/>
      <c r="O3560" s="43"/>
      <c r="Q3560" s="44"/>
      <c r="R3560" s="44"/>
      <c r="S3560" s="44"/>
      <c r="T3560" s="44"/>
    </row>
    <row r="3561" spans="12:20" x14ac:dyDescent="0.2">
      <c r="L3561" s="43"/>
      <c r="M3561" s="43"/>
      <c r="N3561" s="43"/>
      <c r="O3561" s="43"/>
      <c r="Q3561" s="44"/>
      <c r="R3561" s="44"/>
      <c r="S3561" s="44"/>
      <c r="T3561" s="44"/>
    </row>
    <row r="3562" spans="12:20" x14ac:dyDescent="0.2">
      <c r="L3562" s="43"/>
      <c r="M3562" s="43"/>
      <c r="N3562" s="43"/>
      <c r="O3562" s="43"/>
      <c r="Q3562" s="44"/>
      <c r="R3562" s="44"/>
      <c r="S3562" s="44"/>
      <c r="T3562" s="44"/>
    </row>
    <row r="3563" spans="12:20" x14ac:dyDescent="0.2">
      <c r="L3563" s="43"/>
      <c r="M3563" s="43"/>
      <c r="N3563" s="43"/>
      <c r="O3563" s="43"/>
      <c r="Q3563" s="44"/>
      <c r="R3563" s="44"/>
      <c r="S3563" s="44"/>
      <c r="T3563" s="44"/>
    </row>
    <row r="3564" spans="12:20" x14ac:dyDescent="0.2">
      <c r="L3564" s="43"/>
      <c r="M3564" s="43"/>
      <c r="N3564" s="43"/>
      <c r="O3564" s="43"/>
      <c r="Q3564" s="44"/>
      <c r="R3564" s="44"/>
      <c r="S3564" s="44"/>
      <c r="T3564" s="44"/>
    </row>
    <row r="3565" spans="12:20" x14ac:dyDescent="0.2">
      <c r="L3565" s="43"/>
      <c r="M3565" s="43"/>
      <c r="N3565" s="43"/>
      <c r="O3565" s="43"/>
      <c r="Q3565" s="44"/>
      <c r="R3565" s="44"/>
      <c r="S3565" s="44"/>
      <c r="T3565" s="44"/>
    </row>
    <row r="3566" spans="12:20" x14ac:dyDescent="0.2">
      <c r="L3566" s="43"/>
      <c r="M3566" s="43"/>
      <c r="N3566" s="43"/>
      <c r="O3566" s="43"/>
      <c r="Q3566" s="44"/>
      <c r="R3566" s="44"/>
      <c r="S3566" s="44"/>
      <c r="T3566" s="44"/>
    </row>
    <row r="3567" spans="12:20" x14ac:dyDescent="0.2">
      <c r="L3567" s="43"/>
      <c r="M3567" s="43"/>
      <c r="N3567" s="43"/>
      <c r="O3567" s="43"/>
      <c r="Q3567" s="44"/>
      <c r="R3567" s="44"/>
      <c r="S3567" s="44"/>
      <c r="T3567" s="44"/>
    </row>
    <row r="3568" spans="12:20" x14ac:dyDescent="0.2">
      <c r="L3568" s="43"/>
      <c r="M3568" s="43"/>
      <c r="N3568" s="43"/>
      <c r="O3568" s="43"/>
      <c r="Q3568" s="44"/>
      <c r="R3568" s="44"/>
      <c r="S3568" s="44"/>
      <c r="T3568" s="44"/>
    </row>
    <row r="3569" spans="12:20" x14ac:dyDescent="0.2">
      <c r="L3569" s="43"/>
      <c r="M3569" s="43"/>
      <c r="N3569" s="43"/>
      <c r="O3569" s="43"/>
      <c r="Q3569" s="44"/>
      <c r="R3569" s="44"/>
      <c r="S3569" s="44"/>
      <c r="T3569" s="44"/>
    </row>
    <row r="3570" spans="12:20" x14ac:dyDescent="0.2">
      <c r="L3570" s="43"/>
      <c r="M3570" s="43"/>
      <c r="N3570" s="43"/>
      <c r="O3570" s="43"/>
      <c r="Q3570" s="44"/>
      <c r="R3570" s="44"/>
      <c r="S3570" s="44"/>
      <c r="T3570" s="44"/>
    </row>
    <row r="3571" spans="12:20" x14ac:dyDescent="0.2">
      <c r="L3571" s="43"/>
      <c r="M3571" s="43"/>
      <c r="N3571" s="43"/>
      <c r="O3571" s="43"/>
      <c r="Q3571" s="44"/>
      <c r="R3571" s="44"/>
      <c r="S3571" s="44"/>
      <c r="T3571" s="44"/>
    </row>
    <row r="3572" spans="12:20" x14ac:dyDescent="0.2">
      <c r="L3572" s="43"/>
      <c r="M3572" s="43"/>
      <c r="N3572" s="43"/>
      <c r="O3572" s="43"/>
      <c r="Q3572" s="44"/>
      <c r="R3572" s="44"/>
      <c r="S3572" s="44"/>
      <c r="T3572" s="44"/>
    </row>
    <row r="3573" spans="12:20" x14ac:dyDescent="0.2">
      <c r="L3573" s="43"/>
      <c r="M3573" s="43"/>
      <c r="N3573" s="43"/>
      <c r="O3573" s="43"/>
      <c r="Q3573" s="44"/>
      <c r="R3573" s="44"/>
      <c r="S3573" s="44"/>
      <c r="T3573" s="44"/>
    </row>
    <row r="3574" spans="12:20" x14ac:dyDescent="0.2">
      <c r="L3574" s="43"/>
      <c r="M3574" s="43"/>
      <c r="N3574" s="43"/>
      <c r="O3574" s="43"/>
      <c r="Q3574" s="44"/>
      <c r="R3574" s="44"/>
      <c r="S3574" s="44"/>
      <c r="T3574" s="44"/>
    </row>
    <row r="3575" spans="12:20" x14ac:dyDescent="0.2">
      <c r="L3575" s="43"/>
      <c r="M3575" s="43"/>
      <c r="N3575" s="43"/>
      <c r="O3575" s="43"/>
      <c r="Q3575" s="44"/>
      <c r="R3575" s="44"/>
      <c r="S3575" s="44"/>
      <c r="T3575" s="44"/>
    </row>
    <row r="3576" spans="12:20" x14ac:dyDescent="0.2">
      <c r="L3576" s="43"/>
      <c r="M3576" s="43"/>
      <c r="N3576" s="43"/>
      <c r="O3576" s="43"/>
      <c r="Q3576" s="44"/>
      <c r="R3576" s="44"/>
      <c r="S3576" s="44"/>
      <c r="T3576" s="44"/>
    </row>
    <row r="3577" spans="12:20" x14ac:dyDescent="0.2">
      <c r="L3577" s="43"/>
      <c r="M3577" s="43"/>
      <c r="N3577" s="43"/>
      <c r="O3577" s="43"/>
      <c r="Q3577" s="44"/>
      <c r="R3577" s="44"/>
      <c r="S3577" s="44"/>
      <c r="T3577" s="44"/>
    </row>
    <row r="3578" spans="12:20" x14ac:dyDescent="0.2">
      <c r="L3578" s="43"/>
      <c r="M3578" s="43"/>
      <c r="N3578" s="43"/>
      <c r="O3578" s="43"/>
      <c r="Q3578" s="44"/>
      <c r="R3578" s="44"/>
      <c r="S3578" s="44"/>
      <c r="T3578" s="44"/>
    </row>
    <row r="3579" spans="12:20" x14ac:dyDescent="0.2">
      <c r="L3579" s="43"/>
      <c r="M3579" s="43"/>
      <c r="N3579" s="43"/>
      <c r="O3579" s="43"/>
      <c r="Q3579" s="44"/>
      <c r="R3579" s="44"/>
      <c r="S3579" s="44"/>
      <c r="T3579" s="44"/>
    </row>
    <row r="3580" spans="12:20" x14ac:dyDescent="0.2">
      <c r="L3580" s="43"/>
      <c r="M3580" s="43"/>
      <c r="N3580" s="43"/>
      <c r="O3580" s="43"/>
      <c r="Q3580" s="44"/>
      <c r="R3580" s="44"/>
      <c r="S3580" s="44"/>
      <c r="T3580" s="44"/>
    </row>
    <row r="3581" spans="12:20" x14ac:dyDescent="0.2">
      <c r="L3581" s="43"/>
      <c r="M3581" s="43"/>
      <c r="N3581" s="43"/>
      <c r="O3581" s="43"/>
      <c r="Q3581" s="44"/>
      <c r="R3581" s="44"/>
      <c r="S3581" s="44"/>
      <c r="T3581" s="44"/>
    </row>
    <row r="3582" spans="12:20" x14ac:dyDescent="0.2">
      <c r="L3582" s="43"/>
      <c r="M3582" s="43"/>
      <c r="N3582" s="43"/>
      <c r="O3582" s="43"/>
      <c r="Q3582" s="44"/>
      <c r="R3582" s="44"/>
      <c r="S3582" s="44"/>
      <c r="T3582" s="44"/>
    </row>
    <row r="3583" spans="12:20" x14ac:dyDescent="0.2">
      <c r="L3583" s="43"/>
      <c r="M3583" s="43"/>
      <c r="N3583" s="43"/>
      <c r="O3583" s="43"/>
      <c r="Q3583" s="44"/>
      <c r="R3583" s="44"/>
      <c r="S3583" s="44"/>
      <c r="T3583" s="44"/>
    </row>
    <row r="3584" spans="12:20" x14ac:dyDescent="0.2">
      <c r="L3584" s="43"/>
      <c r="M3584" s="43"/>
      <c r="N3584" s="43"/>
      <c r="O3584" s="43"/>
      <c r="Q3584" s="44"/>
      <c r="R3584" s="44"/>
      <c r="S3584" s="44"/>
      <c r="T3584" s="44"/>
    </row>
    <row r="3585" spans="12:20" x14ac:dyDescent="0.2">
      <c r="L3585" s="43"/>
      <c r="M3585" s="43"/>
      <c r="N3585" s="43"/>
      <c r="O3585" s="43"/>
      <c r="Q3585" s="44"/>
      <c r="R3585" s="44"/>
      <c r="S3585" s="44"/>
      <c r="T3585" s="44"/>
    </row>
    <row r="3586" spans="12:20" x14ac:dyDescent="0.2">
      <c r="L3586" s="43"/>
      <c r="M3586" s="43"/>
      <c r="N3586" s="43"/>
      <c r="O3586" s="43"/>
      <c r="Q3586" s="44"/>
      <c r="R3586" s="44"/>
      <c r="S3586" s="44"/>
      <c r="T3586" s="44"/>
    </row>
    <row r="3587" spans="12:20" x14ac:dyDescent="0.2">
      <c r="L3587" s="43"/>
      <c r="M3587" s="43"/>
      <c r="N3587" s="43"/>
      <c r="O3587" s="43"/>
      <c r="Q3587" s="44"/>
      <c r="R3587" s="44"/>
      <c r="S3587" s="44"/>
      <c r="T3587" s="44"/>
    </row>
    <row r="3588" spans="12:20" x14ac:dyDescent="0.2">
      <c r="L3588" s="43"/>
      <c r="M3588" s="43"/>
      <c r="N3588" s="43"/>
      <c r="O3588" s="43"/>
      <c r="Q3588" s="44"/>
      <c r="R3588" s="44"/>
      <c r="S3588" s="44"/>
      <c r="T3588" s="44"/>
    </row>
    <row r="3589" spans="12:20" x14ac:dyDescent="0.2">
      <c r="L3589" s="43"/>
      <c r="M3589" s="43"/>
      <c r="N3589" s="43"/>
      <c r="O3589" s="43"/>
      <c r="Q3589" s="44"/>
      <c r="R3589" s="44"/>
      <c r="S3589" s="44"/>
      <c r="T3589" s="44"/>
    </row>
    <row r="3590" spans="12:20" x14ac:dyDescent="0.2">
      <c r="L3590" s="43"/>
      <c r="M3590" s="43"/>
      <c r="N3590" s="43"/>
      <c r="O3590" s="43"/>
      <c r="Q3590" s="44"/>
      <c r="R3590" s="44"/>
      <c r="S3590" s="44"/>
      <c r="T3590" s="44"/>
    </row>
    <row r="3591" spans="12:20" x14ac:dyDescent="0.2">
      <c r="L3591" s="43"/>
      <c r="M3591" s="43"/>
      <c r="N3591" s="43"/>
      <c r="O3591" s="43"/>
      <c r="Q3591" s="44"/>
      <c r="R3591" s="44"/>
      <c r="S3591" s="44"/>
      <c r="T3591" s="44"/>
    </row>
    <row r="3592" spans="12:20" x14ac:dyDescent="0.2">
      <c r="L3592" s="43"/>
      <c r="M3592" s="43"/>
      <c r="N3592" s="43"/>
      <c r="O3592" s="43"/>
      <c r="Q3592" s="44"/>
      <c r="R3592" s="44"/>
      <c r="S3592" s="44"/>
      <c r="T3592" s="44"/>
    </row>
    <row r="3593" spans="12:20" x14ac:dyDescent="0.2">
      <c r="L3593" s="43"/>
      <c r="M3593" s="43"/>
      <c r="N3593" s="43"/>
      <c r="O3593" s="43"/>
      <c r="Q3593" s="44"/>
      <c r="R3593" s="44"/>
      <c r="S3593" s="44"/>
      <c r="T3593" s="44"/>
    </row>
    <row r="3594" spans="12:20" x14ac:dyDescent="0.2">
      <c r="L3594" s="43"/>
      <c r="M3594" s="43"/>
      <c r="N3594" s="43"/>
      <c r="O3594" s="43"/>
      <c r="Q3594" s="44"/>
      <c r="R3594" s="44"/>
      <c r="S3594" s="44"/>
      <c r="T3594" s="44"/>
    </row>
    <row r="3595" spans="12:20" x14ac:dyDescent="0.2">
      <c r="L3595" s="43"/>
      <c r="M3595" s="43"/>
      <c r="N3595" s="43"/>
      <c r="O3595" s="43"/>
      <c r="Q3595" s="44"/>
      <c r="R3595" s="44"/>
      <c r="S3595" s="44"/>
      <c r="T3595" s="44"/>
    </row>
    <row r="3596" spans="12:20" x14ac:dyDescent="0.2">
      <c r="L3596" s="43"/>
      <c r="M3596" s="43"/>
      <c r="N3596" s="43"/>
      <c r="O3596" s="43"/>
      <c r="Q3596" s="44"/>
      <c r="R3596" s="44"/>
      <c r="S3596" s="44"/>
      <c r="T3596" s="44"/>
    </row>
    <row r="3597" spans="12:20" x14ac:dyDescent="0.2">
      <c r="L3597" s="43"/>
      <c r="M3597" s="43"/>
      <c r="N3597" s="43"/>
      <c r="O3597" s="43"/>
      <c r="Q3597" s="44"/>
      <c r="R3597" s="44"/>
      <c r="S3597" s="44"/>
      <c r="T3597" s="44"/>
    </row>
    <row r="3598" spans="12:20" x14ac:dyDescent="0.2">
      <c r="L3598" s="43"/>
      <c r="M3598" s="43"/>
      <c r="N3598" s="43"/>
      <c r="O3598" s="43"/>
      <c r="Q3598" s="44"/>
      <c r="R3598" s="44"/>
      <c r="S3598" s="44"/>
      <c r="T3598" s="44"/>
    </row>
    <row r="3599" spans="12:20" x14ac:dyDescent="0.2">
      <c r="L3599" s="43"/>
      <c r="M3599" s="43"/>
      <c r="N3599" s="43"/>
      <c r="O3599" s="43"/>
      <c r="Q3599" s="44"/>
      <c r="R3599" s="44"/>
      <c r="S3599" s="44"/>
      <c r="T3599" s="44"/>
    </row>
    <row r="3600" spans="12:20" x14ac:dyDescent="0.2">
      <c r="L3600" s="43"/>
      <c r="M3600" s="43"/>
      <c r="N3600" s="43"/>
      <c r="O3600" s="43"/>
      <c r="Q3600" s="44"/>
      <c r="R3600" s="44"/>
      <c r="S3600" s="44"/>
      <c r="T3600" s="44"/>
    </row>
    <row r="3601" spans="12:20" x14ac:dyDescent="0.2">
      <c r="L3601" s="43"/>
      <c r="M3601" s="43"/>
      <c r="N3601" s="43"/>
      <c r="O3601" s="43"/>
      <c r="Q3601" s="44"/>
      <c r="R3601" s="44"/>
      <c r="S3601" s="44"/>
      <c r="T3601" s="44"/>
    </row>
    <row r="3602" spans="12:20" x14ac:dyDescent="0.2">
      <c r="L3602" s="43"/>
      <c r="M3602" s="43"/>
      <c r="N3602" s="43"/>
      <c r="O3602" s="43"/>
      <c r="Q3602" s="44"/>
      <c r="R3602" s="44"/>
      <c r="S3602" s="44"/>
      <c r="T3602" s="44"/>
    </row>
    <row r="3603" spans="12:20" x14ac:dyDescent="0.2">
      <c r="L3603" s="43"/>
      <c r="M3603" s="43"/>
      <c r="N3603" s="43"/>
      <c r="O3603" s="43"/>
      <c r="Q3603" s="44"/>
      <c r="R3603" s="44"/>
      <c r="S3603" s="44"/>
      <c r="T3603" s="44"/>
    </row>
    <row r="3604" spans="12:20" x14ac:dyDescent="0.2">
      <c r="L3604" s="43"/>
      <c r="M3604" s="43"/>
      <c r="N3604" s="43"/>
      <c r="O3604" s="43"/>
      <c r="Q3604" s="44"/>
      <c r="R3604" s="44"/>
      <c r="S3604" s="44"/>
      <c r="T3604" s="44"/>
    </row>
    <row r="3605" spans="12:20" x14ac:dyDescent="0.2">
      <c r="L3605" s="43"/>
      <c r="M3605" s="43"/>
      <c r="N3605" s="43"/>
      <c r="O3605" s="43"/>
      <c r="Q3605" s="44"/>
      <c r="R3605" s="44"/>
      <c r="S3605" s="44"/>
      <c r="T3605" s="44"/>
    </row>
    <row r="3606" spans="12:20" x14ac:dyDescent="0.2">
      <c r="L3606" s="43"/>
      <c r="M3606" s="43"/>
      <c r="N3606" s="43"/>
      <c r="O3606" s="43"/>
      <c r="Q3606" s="44"/>
      <c r="R3606" s="44"/>
      <c r="S3606" s="44"/>
      <c r="T3606" s="44"/>
    </row>
    <row r="3607" spans="12:20" x14ac:dyDescent="0.2">
      <c r="L3607" s="43"/>
      <c r="M3607" s="43"/>
      <c r="N3607" s="43"/>
      <c r="O3607" s="43"/>
      <c r="Q3607" s="44"/>
      <c r="R3607" s="44"/>
      <c r="S3607" s="44"/>
      <c r="T3607" s="44"/>
    </row>
    <row r="3608" spans="12:20" x14ac:dyDescent="0.2">
      <c r="L3608" s="43"/>
      <c r="M3608" s="43"/>
      <c r="N3608" s="43"/>
      <c r="O3608" s="43"/>
      <c r="Q3608" s="44"/>
      <c r="R3608" s="44"/>
      <c r="S3608" s="44"/>
      <c r="T3608" s="44"/>
    </row>
    <row r="3609" spans="12:20" x14ac:dyDescent="0.2">
      <c r="L3609" s="43"/>
      <c r="M3609" s="43"/>
      <c r="N3609" s="43"/>
      <c r="O3609" s="43"/>
      <c r="Q3609" s="44"/>
      <c r="R3609" s="44"/>
      <c r="S3609" s="44"/>
      <c r="T3609" s="44"/>
    </row>
    <row r="3610" spans="12:20" x14ac:dyDescent="0.2">
      <c r="L3610" s="43"/>
      <c r="M3610" s="43"/>
      <c r="N3610" s="43"/>
      <c r="O3610" s="43"/>
      <c r="Q3610" s="44"/>
      <c r="R3610" s="44"/>
      <c r="S3610" s="44"/>
      <c r="T3610" s="44"/>
    </row>
    <row r="3611" spans="12:20" x14ac:dyDescent="0.2">
      <c r="L3611" s="43"/>
      <c r="M3611" s="43"/>
      <c r="N3611" s="43"/>
      <c r="O3611" s="43"/>
      <c r="Q3611" s="44"/>
      <c r="R3611" s="44"/>
      <c r="S3611" s="44"/>
      <c r="T3611" s="44"/>
    </row>
    <row r="3612" spans="12:20" x14ac:dyDescent="0.2">
      <c r="L3612" s="43"/>
      <c r="M3612" s="43"/>
      <c r="N3612" s="43"/>
      <c r="O3612" s="43"/>
      <c r="Q3612" s="44"/>
      <c r="R3612" s="44"/>
      <c r="S3612" s="44"/>
      <c r="T3612" s="44"/>
    </row>
    <row r="3613" spans="12:20" x14ac:dyDescent="0.2">
      <c r="L3613" s="43"/>
      <c r="M3613" s="43"/>
      <c r="N3613" s="43"/>
      <c r="O3613" s="43"/>
      <c r="Q3613" s="44"/>
      <c r="R3613" s="44"/>
      <c r="S3613" s="44"/>
      <c r="T3613" s="44"/>
    </row>
    <row r="3614" spans="12:20" x14ac:dyDescent="0.2">
      <c r="L3614" s="43"/>
      <c r="M3614" s="43"/>
      <c r="N3614" s="43"/>
      <c r="O3614" s="43"/>
      <c r="Q3614" s="44"/>
      <c r="R3614" s="44"/>
      <c r="S3614" s="44"/>
      <c r="T3614" s="44"/>
    </row>
    <row r="3615" spans="12:20" x14ac:dyDescent="0.2">
      <c r="L3615" s="43"/>
      <c r="M3615" s="43"/>
      <c r="N3615" s="43"/>
      <c r="O3615" s="43"/>
      <c r="Q3615" s="44"/>
      <c r="R3615" s="44"/>
      <c r="S3615" s="44"/>
      <c r="T3615" s="44"/>
    </row>
    <row r="3616" spans="12:20" x14ac:dyDescent="0.2">
      <c r="L3616" s="43"/>
      <c r="M3616" s="43"/>
      <c r="N3616" s="43"/>
      <c r="O3616" s="43"/>
      <c r="Q3616" s="44"/>
      <c r="R3616" s="44"/>
      <c r="S3616" s="44"/>
      <c r="T3616" s="44"/>
    </row>
    <row r="3617" spans="12:20" x14ac:dyDescent="0.2">
      <c r="L3617" s="43"/>
      <c r="M3617" s="43"/>
      <c r="N3617" s="43"/>
      <c r="O3617" s="43"/>
      <c r="Q3617" s="44"/>
      <c r="R3617" s="44"/>
      <c r="S3617" s="44"/>
      <c r="T3617" s="44"/>
    </row>
    <row r="3618" spans="12:20" x14ac:dyDescent="0.2">
      <c r="L3618" s="43"/>
      <c r="M3618" s="43"/>
      <c r="N3618" s="43"/>
      <c r="O3618" s="43"/>
      <c r="Q3618" s="44"/>
      <c r="R3618" s="44"/>
      <c r="S3618" s="44"/>
      <c r="T3618" s="44"/>
    </row>
    <row r="3619" spans="12:20" x14ac:dyDescent="0.2">
      <c r="L3619" s="43"/>
      <c r="M3619" s="43"/>
      <c r="N3619" s="43"/>
      <c r="O3619" s="43"/>
      <c r="Q3619" s="44"/>
      <c r="R3619" s="44"/>
      <c r="S3619" s="44"/>
      <c r="T3619" s="44"/>
    </row>
    <row r="3620" spans="12:20" x14ac:dyDescent="0.2">
      <c r="L3620" s="43"/>
      <c r="M3620" s="43"/>
      <c r="N3620" s="43"/>
      <c r="O3620" s="43"/>
      <c r="Q3620" s="44"/>
      <c r="R3620" s="44"/>
      <c r="S3620" s="44"/>
      <c r="T3620" s="44"/>
    </row>
    <row r="3621" spans="12:20" x14ac:dyDescent="0.2">
      <c r="L3621" s="43"/>
      <c r="M3621" s="43"/>
      <c r="N3621" s="43"/>
      <c r="O3621" s="43"/>
      <c r="Q3621" s="44"/>
      <c r="R3621" s="44"/>
      <c r="S3621" s="44"/>
      <c r="T3621" s="44"/>
    </row>
    <row r="3622" spans="12:20" x14ac:dyDescent="0.2">
      <c r="L3622" s="43"/>
      <c r="M3622" s="43"/>
      <c r="N3622" s="43"/>
      <c r="O3622" s="43"/>
      <c r="Q3622" s="44"/>
      <c r="R3622" s="44"/>
      <c r="S3622" s="44"/>
      <c r="T3622" s="44"/>
    </row>
    <row r="3623" spans="12:20" x14ac:dyDescent="0.2">
      <c r="L3623" s="43"/>
      <c r="M3623" s="43"/>
      <c r="N3623" s="43"/>
      <c r="O3623" s="43"/>
      <c r="Q3623" s="44"/>
      <c r="R3623" s="44"/>
      <c r="S3623" s="44"/>
      <c r="T3623" s="44"/>
    </row>
    <row r="3624" spans="12:20" x14ac:dyDescent="0.2">
      <c r="L3624" s="43"/>
      <c r="M3624" s="43"/>
      <c r="N3624" s="43"/>
      <c r="O3624" s="43"/>
      <c r="Q3624" s="44"/>
      <c r="R3624" s="44"/>
      <c r="S3624" s="44"/>
      <c r="T3624" s="44"/>
    </row>
    <row r="3625" spans="12:20" x14ac:dyDescent="0.2">
      <c r="L3625" s="43"/>
      <c r="M3625" s="43"/>
      <c r="N3625" s="43"/>
      <c r="O3625" s="43"/>
      <c r="Q3625" s="44"/>
      <c r="R3625" s="44"/>
      <c r="S3625" s="44"/>
      <c r="T3625" s="44"/>
    </row>
    <row r="3626" spans="12:20" x14ac:dyDescent="0.2">
      <c r="L3626" s="43"/>
      <c r="M3626" s="43"/>
      <c r="N3626" s="43"/>
      <c r="O3626" s="43"/>
      <c r="Q3626" s="44"/>
      <c r="R3626" s="44"/>
      <c r="S3626" s="44"/>
      <c r="T3626" s="44"/>
    </row>
    <row r="3627" spans="12:20" x14ac:dyDescent="0.2">
      <c r="L3627" s="43"/>
      <c r="M3627" s="43"/>
      <c r="N3627" s="43"/>
      <c r="O3627" s="43"/>
      <c r="Q3627" s="44"/>
      <c r="R3627" s="44"/>
      <c r="S3627" s="44"/>
      <c r="T3627" s="44"/>
    </row>
    <row r="3628" spans="12:20" x14ac:dyDescent="0.2">
      <c r="L3628" s="43"/>
      <c r="M3628" s="43"/>
      <c r="N3628" s="43"/>
      <c r="O3628" s="43"/>
      <c r="Q3628" s="44"/>
      <c r="R3628" s="44"/>
      <c r="S3628" s="44"/>
      <c r="T3628" s="44"/>
    </row>
    <row r="3629" spans="12:20" x14ac:dyDescent="0.2">
      <c r="L3629" s="43"/>
      <c r="M3629" s="43"/>
      <c r="N3629" s="43"/>
      <c r="O3629" s="43"/>
      <c r="Q3629" s="44"/>
      <c r="R3629" s="44"/>
      <c r="S3629" s="44"/>
      <c r="T3629" s="44"/>
    </row>
    <row r="3630" spans="12:20" x14ac:dyDescent="0.2">
      <c r="L3630" s="43"/>
      <c r="M3630" s="43"/>
      <c r="N3630" s="43"/>
      <c r="O3630" s="43"/>
      <c r="Q3630" s="44"/>
      <c r="R3630" s="44"/>
      <c r="S3630" s="44"/>
      <c r="T3630" s="44"/>
    </row>
    <row r="3631" spans="12:20" x14ac:dyDescent="0.2">
      <c r="L3631" s="43"/>
      <c r="M3631" s="43"/>
      <c r="N3631" s="43"/>
      <c r="O3631" s="43"/>
      <c r="Q3631" s="44"/>
      <c r="R3631" s="44"/>
      <c r="S3631" s="44"/>
      <c r="T3631" s="44"/>
    </row>
    <row r="3632" spans="12:20" x14ac:dyDescent="0.2">
      <c r="L3632" s="43"/>
      <c r="M3632" s="43"/>
      <c r="N3632" s="43"/>
      <c r="O3632" s="43"/>
      <c r="Q3632" s="44"/>
      <c r="R3632" s="44"/>
      <c r="S3632" s="44"/>
      <c r="T3632" s="44"/>
    </row>
    <row r="3633" spans="12:20" x14ac:dyDescent="0.2">
      <c r="L3633" s="43"/>
      <c r="M3633" s="43"/>
      <c r="N3633" s="43"/>
      <c r="O3633" s="43"/>
      <c r="Q3633" s="44"/>
      <c r="R3633" s="44"/>
      <c r="S3633" s="44"/>
      <c r="T3633" s="44"/>
    </row>
    <row r="3634" spans="12:20" x14ac:dyDescent="0.2">
      <c r="L3634" s="43"/>
      <c r="M3634" s="43"/>
      <c r="N3634" s="43"/>
      <c r="O3634" s="43"/>
      <c r="Q3634" s="44"/>
      <c r="R3634" s="44"/>
      <c r="S3634" s="44"/>
      <c r="T3634" s="44"/>
    </row>
    <row r="3635" spans="12:20" x14ac:dyDescent="0.2">
      <c r="L3635" s="43"/>
      <c r="M3635" s="43"/>
      <c r="N3635" s="43"/>
      <c r="O3635" s="43"/>
      <c r="Q3635" s="44"/>
      <c r="R3635" s="44"/>
      <c r="S3635" s="44"/>
      <c r="T3635" s="44"/>
    </row>
    <row r="3636" spans="12:20" x14ac:dyDescent="0.2">
      <c r="L3636" s="43"/>
      <c r="M3636" s="43"/>
      <c r="N3636" s="43"/>
      <c r="O3636" s="43"/>
      <c r="Q3636" s="44"/>
      <c r="R3636" s="44"/>
      <c r="S3636" s="44"/>
      <c r="T3636" s="44"/>
    </row>
    <row r="3637" spans="12:20" x14ac:dyDescent="0.2">
      <c r="L3637" s="43"/>
      <c r="M3637" s="43"/>
      <c r="N3637" s="43"/>
      <c r="O3637" s="43"/>
      <c r="Q3637" s="44"/>
      <c r="R3637" s="44"/>
      <c r="S3637" s="44"/>
      <c r="T3637" s="44"/>
    </row>
    <row r="3638" spans="12:20" x14ac:dyDescent="0.2">
      <c r="L3638" s="43"/>
      <c r="M3638" s="43"/>
      <c r="N3638" s="43"/>
      <c r="O3638" s="43"/>
      <c r="Q3638" s="44"/>
      <c r="R3638" s="44"/>
      <c r="S3638" s="44"/>
      <c r="T3638" s="44"/>
    </row>
    <row r="3639" spans="12:20" x14ac:dyDescent="0.2">
      <c r="L3639" s="43"/>
      <c r="M3639" s="43"/>
      <c r="N3639" s="43"/>
      <c r="O3639" s="43"/>
      <c r="Q3639" s="44"/>
      <c r="R3639" s="44"/>
      <c r="S3639" s="44"/>
      <c r="T3639" s="44"/>
    </row>
    <row r="3640" spans="12:20" x14ac:dyDescent="0.2">
      <c r="L3640" s="43"/>
      <c r="M3640" s="43"/>
      <c r="N3640" s="43"/>
      <c r="O3640" s="43"/>
      <c r="Q3640" s="44"/>
      <c r="R3640" s="44"/>
      <c r="S3640" s="44"/>
      <c r="T3640" s="44"/>
    </row>
    <row r="3641" spans="12:20" x14ac:dyDescent="0.2">
      <c r="L3641" s="43"/>
      <c r="M3641" s="43"/>
      <c r="N3641" s="43"/>
      <c r="O3641" s="43"/>
      <c r="Q3641" s="44"/>
      <c r="R3641" s="44"/>
      <c r="S3641" s="44"/>
      <c r="T3641" s="44"/>
    </row>
    <row r="3642" spans="12:20" x14ac:dyDescent="0.2">
      <c r="L3642" s="43"/>
      <c r="M3642" s="43"/>
      <c r="N3642" s="43"/>
      <c r="O3642" s="43"/>
      <c r="Q3642" s="44"/>
      <c r="R3642" s="44"/>
      <c r="S3642" s="44"/>
      <c r="T3642" s="44"/>
    </row>
    <row r="3643" spans="12:20" x14ac:dyDescent="0.2">
      <c r="L3643" s="43"/>
      <c r="M3643" s="43"/>
      <c r="N3643" s="43"/>
      <c r="O3643" s="43"/>
      <c r="Q3643" s="44"/>
      <c r="R3643" s="44"/>
      <c r="S3643" s="44"/>
      <c r="T3643" s="44"/>
    </row>
    <row r="3644" spans="12:20" x14ac:dyDescent="0.2">
      <c r="L3644" s="43"/>
      <c r="M3644" s="43"/>
      <c r="N3644" s="43"/>
      <c r="O3644" s="43"/>
      <c r="Q3644" s="44"/>
      <c r="R3644" s="44"/>
      <c r="S3644" s="44"/>
      <c r="T3644" s="44"/>
    </row>
    <row r="3645" spans="12:20" x14ac:dyDescent="0.2">
      <c r="L3645" s="43"/>
      <c r="M3645" s="43"/>
      <c r="N3645" s="43"/>
      <c r="O3645" s="43"/>
      <c r="Q3645" s="44"/>
      <c r="R3645" s="44"/>
      <c r="S3645" s="44"/>
      <c r="T3645" s="44"/>
    </row>
    <row r="3646" spans="12:20" x14ac:dyDescent="0.2">
      <c r="L3646" s="43"/>
      <c r="M3646" s="43"/>
      <c r="N3646" s="43"/>
      <c r="O3646" s="43"/>
      <c r="Q3646" s="44"/>
      <c r="R3646" s="44"/>
      <c r="S3646" s="44"/>
      <c r="T3646" s="44"/>
    </row>
    <row r="3647" spans="12:20" x14ac:dyDescent="0.2">
      <c r="L3647" s="43"/>
      <c r="M3647" s="43"/>
      <c r="N3647" s="43"/>
      <c r="O3647" s="43"/>
      <c r="Q3647" s="44"/>
      <c r="R3647" s="44"/>
      <c r="S3647" s="44"/>
      <c r="T3647" s="44"/>
    </row>
    <row r="3648" spans="12:20" x14ac:dyDescent="0.2">
      <c r="L3648" s="43"/>
      <c r="M3648" s="43"/>
      <c r="N3648" s="43"/>
      <c r="O3648" s="43"/>
      <c r="Q3648" s="44"/>
      <c r="R3648" s="44"/>
      <c r="S3648" s="44"/>
      <c r="T3648" s="44"/>
    </row>
    <row r="3649" spans="12:20" x14ac:dyDescent="0.2">
      <c r="L3649" s="43"/>
      <c r="M3649" s="43"/>
      <c r="N3649" s="43"/>
      <c r="O3649" s="43"/>
      <c r="Q3649" s="44"/>
      <c r="R3649" s="44"/>
      <c r="S3649" s="44"/>
      <c r="T3649" s="44"/>
    </row>
    <row r="3650" spans="12:20" x14ac:dyDescent="0.2">
      <c r="L3650" s="43"/>
      <c r="M3650" s="43"/>
      <c r="N3650" s="43"/>
      <c r="O3650" s="43"/>
      <c r="Q3650" s="44"/>
      <c r="R3650" s="44"/>
      <c r="S3650" s="44"/>
      <c r="T3650" s="44"/>
    </row>
    <row r="3651" spans="12:20" x14ac:dyDescent="0.2">
      <c r="L3651" s="43"/>
      <c r="M3651" s="43"/>
      <c r="N3651" s="43"/>
      <c r="O3651" s="43"/>
      <c r="Q3651" s="44"/>
      <c r="R3651" s="44"/>
      <c r="S3651" s="44"/>
      <c r="T3651" s="44"/>
    </row>
    <row r="3652" spans="12:20" x14ac:dyDescent="0.2">
      <c r="L3652" s="43"/>
      <c r="M3652" s="43"/>
      <c r="N3652" s="43"/>
      <c r="O3652" s="43"/>
      <c r="Q3652" s="44"/>
      <c r="R3652" s="44"/>
      <c r="S3652" s="44"/>
      <c r="T3652" s="44"/>
    </row>
    <row r="3653" spans="12:20" x14ac:dyDescent="0.2">
      <c r="L3653" s="43"/>
      <c r="M3653" s="43"/>
      <c r="N3653" s="43"/>
      <c r="O3653" s="43"/>
      <c r="Q3653" s="44"/>
      <c r="R3653" s="44"/>
      <c r="S3653" s="44"/>
      <c r="T3653" s="44"/>
    </row>
    <row r="3654" spans="12:20" x14ac:dyDescent="0.2">
      <c r="L3654" s="43"/>
      <c r="M3654" s="43"/>
      <c r="N3654" s="43"/>
      <c r="O3654" s="43"/>
      <c r="Q3654" s="44"/>
      <c r="R3654" s="44"/>
      <c r="S3654" s="44"/>
      <c r="T3654" s="44"/>
    </row>
    <row r="3655" spans="12:20" x14ac:dyDescent="0.2">
      <c r="L3655" s="43"/>
      <c r="M3655" s="43"/>
      <c r="N3655" s="43"/>
      <c r="O3655" s="43"/>
      <c r="Q3655" s="44"/>
      <c r="R3655" s="44"/>
      <c r="S3655" s="44"/>
      <c r="T3655" s="44"/>
    </row>
    <row r="3656" spans="12:20" x14ac:dyDescent="0.2">
      <c r="L3656" s="43"/>
      <c r="M3656" s="43"/>
      <c r="N3656" s="43"/>
      <c r="O3656" s="43"/>
      <c r="Q3656" s="44"/>
      <c r="R3656" s="44"/>
      <c r="S3656" s="44"/>
      <c r="T3656" s="44"/>
    </row>
    <row r="3657" spans="12:20" x14ac:dyDescent="0.2">
      <c r="L3657" s="43"/>
      <c r="M3657" s="43"/>
      <c r="N3657" s="43"/>
      <c r="O3657" s="43"/>
      <c r="Q3657" s="44"/>
      <c r="R3657" s="44"/>
      <c r="S3657" s="44"/>
      <c r="T3657" s="44"/>
    </row>
    <row r="3658" spans="12:20" x14ac:dyDescent="0.2">
      <c r="L3658" s="43"/>
      <c r="M3658" s="43"/>
      <c r="N3658" s="43"/>
      <c r="O3658" s="43"/>
      <c r="Q3658" s="44"/>
      <c r="R3658" s="44"/>
      <c r="S3658" s="44"/>
      <c r="T3658" s="44"/>
    </row>
    <row r="3659" spans="12:20" x14ac:dyDescent="0.2">
      <c r="L3659" s="43"/>
      <c r="M3659" s="43"/>
      <c r="N3659" s="43"/>
      <c r="O3659" s="43"/>
      <c r="Q3659" s="44"/>
      <c r="R3659" s="44"/>
      <c r="S3659" s="44"/>
      <c r="T3659" s="44"/>
    </row>
    <row r="3660" spans="12:20" x14ac:dyDescent="0.2">
      <c r="L3660" s="43"/>
      <c r="M3660" s="43"/>
      <c r="N3660" s="43"/>
      <c r="O3660" s="43"/>
      <c r="Q3660" s="44"/>
      <c r="R3660" s="44"/>
      <c r="S3660" s="44"/>
      <c r="T3660" s="44"/>
    </row>
    <row r="3661" spans="12:20" x14ac:dyDescent="0.2">
      <c r="L3661" s="43"/>
      <c r="M3661" s="43"/>
      <c r="N3661" s="43"/>
      <c r="O3661" s="43"/>
      <c r="Q3661" s="44"/>
      <c r="R3661" s="44"/>
      <c r="S3661" s="44"/>
      <c r="T3661" s="44"/>
    </row>
    <row r="3662" spans="12:20" x14ac:dyDescent="0.2">
      <c r="L3662" s="43"/>
      <c r="M3662" s="43"/>
      <c r="N3662" s="43"/>
      <c r="O3662" s="43"/>
      <c r="Q3662" s="44"/>
      <c r="R3662" s="44"/>
      <c r="S3662" s="44"/>
      <c r="T3662" s="44"/>
    </row>
    <row r="3663" spans="12:20" x14ac:dyDescent="0.2">
      <c r="L3663" s="43"/>
      <c r="M3663" s="43"/>
      <c r="N3663" s="43"/>
      <c r="O3663" s="43"/>
      <c r="Q3663" s="44"/>
      <c r="R3663" s="44"/>
      <c r="S3663" s="44"/>
      <c r="T3663" s="44"/>
    </row>
    <row r="3664" spans="12:20" x14ac:dyDescent="0.2">
      <c r="L3664" s="43"/>
      <c r="M3664" s="43"/>
      <c r="N3664" s="43"/>
      <c r="O3664" s="43"/>
      <c r="Q3664" s="44"/>
      <c r="R3664" s="44"/>
      <c r="S3664" s="44"/>
      <c r="T3664" s="44"/>
    </row>
    <row r="3665" spans="12:20" x14ac:dyDescent="0.2">
      <c r="L3665" s="43"/>
      <c r="M3665" s="43"/>
      <c r="N3665" s="43"/>
      <c r="O3665" s="43"/>
      <c r="Q3665" s="44"/>
      <c r="R3665" s="44"/>
      <c r="S3665" s="44"/>
      <c r="T3665" s="44"/>
    </row>
    <row r="3666" spans="12:20" x14ac:dyDescent="0.2">
      <c r="L3666" s="43"/>
      <c r="M3666" s="43"/>
      <c r="N3666" s="43"/>
      <c r="O3666" s="43"/>
      <c r="Q3666" s="44"/>
      <c r="R3666" s="44"/>
      <c r="S3666" s="44"/>
      <c r="T3666" s="44"/>
    </row>
    <row r="3667" spans="12:20" x14ac:dyDescent="0.2">
      <c r="L3667" s="43"/>
      <c r="M3667" s="43"/>
      <c r="N3667" s="43"/>
      <c r="O3667" s="43"/>
      <c r="Q3667" s="44"/>
      <c r="R3667" s="44"/>
      <c r="S3667" s="44"/>
      <c r="T3667" s="44"/>
    </row>
    <row r="3668" spans="12:20" x14ac:dyDescent="0.2">
      <c r="L3668" s="43"/>
      <c r="M3668" s="43"/>
      <c r="N3668" s="43"/>
      <c r="O3668" s="43"/>
      <c r="Q3668" s="44"/>
      <c r="R3668" s="44"/>
      <c r="S3668" s="44"/>
      <c r="T3668" s="44"/>
    </row>
    <row r="3669" spans="12:20" x14ac:dyDescent="0.2">
      <c r="L3669" s="43"/>
      <c r="M3669" s="43"/>
      <c r="N3669" s="43"/>
      <c r="O3669" s="43"/>
      <c r="Q3669" s="44"/>
      <c r="R3669" s="44"/>
      <c r="S3669" s="44"/>
      <c r="T3669" s="44"/>
    </row>
    <row r="3670" spans="12:20" x14ac:dyDescent="0.2">
      <c r="L3670" s="43"/>
      <c r="M3670" s="43"/>
      <c r="N3670" s="43"/>
      <c r="O3670" s="43"/>
      <c r="Q3670" s="44"/>
      <c r="R3670" s="44"/>
      <c r="S3670" s="44"/>
      <c r="T3670" s="44"/>
    </row>
    <row r="3671" spans="12:20" x14ac:dyDescent="0.2">
      <c r="L3671" s="43"/>
      <c r="M3671" s="43"/>
      <c r="N3671" s="43"/>
      <c r="O3671" s="43"/>
      <c r="Q3671" s="44"/>
      <c r="R3671" s="44"/>
      <c r="S3671" s="44"/>
      <c r="T3671" s="44"/>
    </row>
    <row r="3672" spans="12:20" x14ac:dyDescent="0.2">
      <c r="L3672" s="43"/>
      <c r="M3672" s="43"/>
      <c r="N3672" s="43"/>
      <c r="O3672" s="43"/>
      <c r="Q3672" s="44"/>
      <c r="R3672" s="44"/>
      <c r="S3672" s="44"/>
      <c r="T3672" s="44"/>
    </row>
    <row r="3673" spans="12:20" x14ac:dyDescent="0.2">
      <c r="L3673" s="43"/>
      <c r="M3673" s="43"/>
      <c r="N3673" s="43"/>
      <c r="O3673" s="43"/>
      <c r="Q3673" s="44"/>
      <c r="R3673" s="44"/>
      <c r="S3673" s="44"/>
      <c r="T3673" s="44"/>
    </row>
    <row r="3674" spans="12:20" x14ac:dyDescent="0.2">
      <c r="L3674" s="43"/>
      <c r="M3674" s="43"/>
      <c r="N3674" s="43"/>
      <c r="O3674" s="43"/>
      <c r="Q3674" s="44"/>
      <c r="R3674" s="44"/>
      <c r="S3674" s="44"/>
      <c r="T3674" s="44"/>
    </row>
    <row r="3675" spans="12:20" x14ac:dyDescent="0.2">
      <c r="L3675" s="43"/>
      <c r="M3675" s="43"/>
      <c r="N3675" s="43"/>
      <c r="O3675" s="43"/>
      <c r="Q3675" s="44"/>
      <c r="R3675" s="44"/>
      <c r="S3675" s="44"/>
      <c r="T3675" s="44"/>
    </row>
    <row r="3676" spans="12:20" x14ac:dyDescent="0.2">
      <c r="L3676" s="43"/>
      <c r="M3676" s="43"/>
      <c r="N3676" s="43"/>
      <c r="O3676" s="43"/>
      <c r="Q3676" s="44"/>
      <c r="R3676" s="44"/>
      <c r="S3676" s="44"/>
      <c r="T3676" s="44"/>
    </row>
    <row r="3677" spans="12:20" x14ac:dyDescent="0.2">
      <c r="L3677" s="43"/>
      <c r="M3677" s="43"/>
      <c r="N3677" s="43"/>
      <c r="O3677" s="43"/>
      <c r="Q3677" s="44"/>
      <c r="R3677" s="44"/>
      <c r="S3677" s="44"/>
      <c r="T3677" s="44"/>
    </row>
    <row r="3678" spans="12:20" x14ac:dyDescent="0.2">
      <c r="L3678" s="43"/>
      <c r="M3678" s="43"/>
      <c r="N3678" s="43"/>
      <c r="O3678" s="43"/>
      <c r="Q3678" s="44"/>
      <c r="R3678" s="44"/>
      <c r="S3678" s="44"/>
      <c r="T3678" s="44"/>
    </row>
    <row r="3679" spans="12:20" x14ac:dyDescent="0.2">
      <c r="L3679" s="43"/>
      <c r="M3679" s="43"/>
      <c r="N3679" s="43"/>
      <c r="O3679" s="43"/>
      <c r="Q3679" s="44"/>
      <c r="R3679" s="44"/>
      <c r="S3679" s="44"/>
      <c r="T3679" s="44"/>
    </row>
    <row r="3680" spans="12:20" x14ac:dyDescent="0.2">
      <c r="L3680" s="43"/>
      <c r="M3680" s="43"/>
      <c r="N3680" s="43"/>
      <c r="O3680" s="43"/>
      <c r="Q3680" s="44"/>
      <c r="R3680" s="44"/>
      <c r="S3680" s="44"/>
      <c r="T3680" s="44"/>
    </row>
    <row r="3681" spans="12:20" x14ac:dyDescent="0.2">
      <c r="L3681" s="43"/>
      <c r="M3681" s="43"/>
      <c r="N3681" s="43"/>
      <c r="O3681" s="43"/>
      <c r="Q3681" s="44"/>
      <c r="R3681" s="44"/>
      <c r="S3681" s="44"/>
      <c r="T3681" s="44"/>
    </row>
    <row r="3682" spans="12:20" x14ac:dyDescent="0.2">
      <c r="L3682" s="43"/>
      <c r="M3682" s="43"/>
      <c r="N3682" s="43"/>
      <c r="O3682" s="43"/>
      <c r="Q3682" s="44"/>
      <c r="R3682" s="44"/>
      <c r="S3682" s="44"/>
      <c r="T3682" s="44"/>
    </row>
    <row r="3683" spans="12:20" x14ac:dyDescent="0.2">
      <c r="L3683" s="43"/>
      <c r="M3683" s="43"/>
      <c r="N3683" s="43"/>
      <c r="O3683" s="43"/>
      <c r="Q3683" s="44"/>
      <c r="R3683" s="44"/>
      <c r="S3683" s="44"/>
      <c r="T3683" s="44"/>
    </row>
    <row r="3684" spans="12:20" x14ac:dyDescent="0.2">
      <c r="L3684" s="43"/>
      <c r="M3684" s="43"/>
      <c r="N3684" s="43"/>
      <c r="O3684" s="43"/>
      <c r="Q3684" s="44"/>
      <c r="R3684" s="44"/>
      <c r="S3684" s="44"/>
      <c r="T3684" s="44"/>
    </row>
    <row r="3685" spans="12:20" x14ac:dyDescent="0.2">
      <c r="L3685" s="43"/>
      <c r="M3685" s="43"/>
      <c r="N3685" s="43"/>
      <c r="O3685" s="43"/>
      <c r="Q3685" s="44"/>
      <c r="R3685" s="44"/>
      <c r="S3685" s="44"/>
      <c r="T3685" s="44"/>
    </row>
    <row r="3686" spans="12:20" x14ac:dyDescent="0.2">
      <c r="L3686" s="43"/>
      <c r="M3686" s="43"/>
      <c r="N3686" s="43"/>
      <c r="O3686" s="43"/>
      <c r="Q3686" s="44"/>
      <c r="R3686" s="44"/>
      <c r="S3686" s="44"/>
      <c r="T3686" s="44"/>
    </row>
    <row r="3687" spans="12:20" x14ac:dyDescent="0.2">
      <c r="L3687" s="43"/>
      <c r="M3687" s="43"/>
      <c r="N3687" s="43"/>
      <c r="O3687" s="43"/>
      <c r="Q3687" s="44"/>
      <c r="R3687" s="44"/>
      <c r="S3687" s="44"/>
      <c r="T3687" s="44"/>
    </row>
    <row r="3688" spans="12:20" x14ac:dyDescent="0.2">
      <c r="L3688" s="43"/>
      <c r="M3688" s="43"/>
      <c r="N3688" s="43"/>
      <c r="O3688" s="43"/>
      <c r="Q3688" s="44"/>
      <c r="R3688" s="44"/>
      <c r="S3688" s="44"/>
      <c r="T3688" s="44"/>
    </row>
    <row r="3689" spans="12:20" x14ac:dyDescent="0.2">
      <c r="L3689" s="43"/>
      <c r="M3689" s="43"/>
      <c r="N3689" s="43"/>
      <c r="O3689" s="43"/>
      <c r="Q3689" s="44"/>
      <c r="R3689" s="44"/>
      <c r="S3689" s="44"/>
      <c r="T3689" s="44"/>
    </row>
    <row r="3690" spans="12:20" x14ac:dyDescent="0.2">
      <c r="L3690" s="43"/>
      <c r="M3690" s="43"/>
      <c r="N3690" s="43"/>
      <c r="O3690" s="43"/>
      <c r="Q3690" s="44"/>
      <c r="R3690" s="44"/>
      <c r="S3690" s="44"/>
      <c r="T3690" s="44"/>
    </row>
    <row r="3691" spans="12:20" x14ac:dyDescent="0.2">
      <c r="L3691" s="43"/>
      <c r="M3691" s="43"/>
      <c r="N3691" s="43"/>
      <c r="O3691" s="43"/>
      <c r="Q3691" s="44"/>
      <c r="R3691" s="44"/>
      <c r="S3691" s="44"/>
      <c r="T3691" s="44"/>
    </row>
    <row r="3692" spans="12:20" x14ac:dyDescent="0.2">
      <c r="L3692" s="43"/>
      <c r="M3692" s="43"/>
      <c r="N3692" s="43"/>
      <c r="O3692" s="43"/>
      <c r="Q3692" s="44"/>
      <c r="R3692" s="44"/>
      <c r="S3692" s="44"/>
      <c r="T3692" s="44"/>
    </row>
    <row r="3693" spans="12:20" x14ac:dyDescent="0.2">
      <c r="L3693" s="43"/>
      <c r="M3693" s="43"/>
      <c r="N3693" s="43"/>
      <c r="O3693" s="43"/>
      <c r="Q3693" s="44"/>
      <c r="R3693" s="44"/>
      <c r="S3693" s="44"/>
      <c r="T3693" s="44"/>
    </row>
    <row r="3694" spans="12:20" x14ac:dyDescent="0.2">
      <c r="L3694" s="43"/>
      <c r="M3694" s="43"/>
      <c r="N3694" s="43"/>
      <c r="O3694" s="43"/>
      <c r="Q3694" s="44"/>
      <c r="R3694" s="44"/>
      <c r="S3694" s="44"/>
      <c r="T3694" s="44"/>
    </row>
    <row r="3695" spans="12:20" x14ac:dyDescent="0.2">
      <c r="L3695" s="43"/>
      <c r="M3695" s="43"/>
      <c r="N3695" s="43"/>
      <c r="O3695" s="43"/>
      <c r="Q3695" s="44"/>
      <c r="R3695" s="44"/>
      <c r="S3695" s="44"/>
      <c r="T3695" s="44"/>
    </row>
    <row r="3696" spans="12:20" x14ac:dyDescent="0.2">
      <c r="L3696" s="43"/>
      <c r="M3696" s="43"/>
      <c r="N3696" s="43"/>
      <c r="O3696" s="43"/>
      <c r="Q3696" s="44"/>
      <c r="R3696" s="44"/>
      <c r="S3696" s="44"/>
      <c r="T3696" s="44"/>
    </row>
    <row r="3697" spans="12:20" x14ac:dyDescent="0.2">
      <c r="L3697" s="43"/>
      <c r="M3697" s="43"/>
      <c r="N3697" s="43"/>
      <c r="O3697" s="43"/>
      <c r="Q3697" s="44"/>
      <c r="R3697" s="44"/>
      <c r="S3697" s="44"/>
      <c r="T3697" s="44"/>
    </row>
    <row r="3698" spans="12:20" x14ac:dyDescent="0.2">
      <c r="L3698" s="43"/>
      <c r="M3698" s="43"/>
      <c r="N3698" s="43"/>
      <c r="O3698" s="43"/>
      <c r="Q3698" s="44"/>
      <c r="R3698" s="44"/>
      <c r="S3698" s="44"/>
      <c r="T3698" s="44"/>
    </row>
    <row r="3699" spans="12:20" x14ac:dyDescent="0.2">
      <c r="L3699" s="43"/>
      <c r="M3699" s="43"/>
      <c r="N3699" s="43"/>
      <c r="O3699" s="43"/>
      <c r="Q3699" s="44"/>
      <c r="R3699" s="44"/>
      <c r="S3699" s="44"/>
      <c r="T3699" s="44"/>
    </row>
    <row r="3700" spans="12:20" x14ac:dyDescent="0.2">
      <c r="L3700" s="43"/>
      <c r="M3700" s="43"/>
      <c r="N3700" s="43"/>
      <c r="O3700" s="43"/>
      <c r="Q3700" s="44"/>
      <c r="R3700" s="44"/>
      <c r="S3700" s="44"/>
      <c r="T3700" s="44"/>
    </row>
    <row r="3701" spans="12:20" x14ac:dyDescent="0.2">
      <c r="L3701" s="43"/>
      <c r="M3701" s="43"/>
      <c r="N3701" s="43"/>
      <c r="O3701" s="43"/>
      <c r="Q3701" s="44"/>
      <c r="R3701" s="44"/>
      <c r="S3701" s="44"/>
      <c r="T3701" s="44"/>
    </row>
    <row r="3702" spans="12:20" x14ac:dyDescent="0.2">
      <c r="L3702" s="43"/>
      <c r="M3702" s="43"/>
      <c r="N3702" s="43"/>
      <c r="O3702" s="43"/>
      <c r="Q3702" s="44"/>
      <c r="R3702" s="44"/>
      <c r="S3702" s="44"/>
      <c r="T3702" s="44"/>
    </row>
    <row r="3703" spans="12:20" x14ac:dyDescent="0.2">
      <c r="L3703" s="43"/>
      <c r="M3703" s="43"/>
      <c r="N3703" s="43"/>
      <c r="O3703" s="43"/>
      <c r="Q3703" s="44"/>
      <c r="R3703" s="44"/>
      <c r="S3703" s="44"/>
      <c r="T3703" s="44"/>
    </row>
    <row r="3704" spans="12:20" x14ac:dyDescent="0.2">
      <c r="L3704" s="43"/>
      <c r="M3704" s="43"/>
      <c r="N3704" s="43"/>
      <c r="O3704" s="43"/>
      <c r="Q3704" s="44"/>
      <c r="R3704" s="44"/>
      <c r="S3704" s="44"/>
      <c r="T3704" s="44"/>
    </row>
    <row r="3705" spans="12:20" x14ac:dyDescent="0.2">
      <c r="L3705" s="43"/>
      <c r="M3705" s="43"/>
      <c r="N3705" s="43"/>
      <c r="O3705" s="43"/>
      <c r="Q3705" s="44"/>
      <c r="R3705" s="44"/>
      <c r="S3705" s="44"/>
      <c r="T3705" s="44"/>
    </row>
    <row r="3706" spans="12:20" x14ac:dyDescent="0.2">
      <c r="L3706" s="43"/>
      <c r="M3706" s="43"/>
      <c r="N3706" s="43"/>
      <c r="O3706" s="43"/>
      <c r="Q3706" s="44"/>
      <c r="R3706" s="44"/>
      <c r="S3706" s="44"/>
      <c r="T3706" s="44"/>
    </row>
    <row r="3707" spans="12:20" x14ac:dyDescent="0.2">
      <c r="L3707" s="43"/>
      <c r="M3707" s="43"/>
      <c r="N3707" s="43"/>
      <c r="O3707" s="43"/>
      <c r="Q3707" s="44"/>
      <c r="R3707" s="44"/>
      <c r="S3707" s="44"/>
      <c r="T3707" s="44"/>
    </row>
    <row r="3708" spans="12:20" x14ac:dyDescent="0.2">
      <c r="L3708" s="43"/>
      <c r="M3708" s="43"/>
      <c r="N3708" s="43"/>
      <c r="O3708" s="43"/>
      <c r="Q3708" s="44"/>
      <c r="R3708" s="44"/>
      <c r="S3708" s="44"/>
      <c r="T3708" s="44"/>
    </row>
    <row r="3709" spans="12:20" x14ac:dyDescent="0.2">
      <c r="L3709" s="43"/>
      <c r="M3709" s="43"/>
      <c r="N3709" s="43"/>
      <c r="O3709" s="43"/>
      <c r="Q3709" s="44"/>
      <c r="R3709" s="44"/>
      <c r="S3709" s="44"/>
      <c r="T3709" s="44"/>
    </row>
    <row r="3710" spans="12:20" x14ac:dyDescent="0.2">
      <c r="L3710" s="43"/>
      <c r="M3710" s="43"/>
      <c r="N3710" s="43"/>
      <c r="O3710" s="43"/>
      <c r="Q3710" s="44"/>
      <c r="R3710" s="44"/>
      <c r="S3710" s="44"/>
      <c r="T3710" s="44"/>
    </row>
    <row r="3711" spans="12:20" x14ac:dyDescent="0.2">
      <c r="L3711" s="43"/>
      <c r="M3711" s="43"/>
      <c r="N3711" s="43"/>
      <c r="O3711" s="43"/>
      <c r="Q3711" s="44"/>
      <c r="R3711" s="44"/>
      <c r="S3711" s="44"/>
      <c r="T3711" s="44"/>
    </row>
    <row r="3712" spans="12:20" x14ac:dyDescent="0.2">
      <c r="L3712" s="43"/>
      <c r="M3712" s="43"/>
      <c r="N3712" s="43"/>
      <c r="O3712" s="43"/>
      <c r="Q3712" s="44"/>
      <c r="R3712" s="44"/>
      <c r="S3712" s="44"/>
      <c r="T3712" s="44"/>
    </row>
    <row r="3713" spans="12:20" x14ac:dyDescent="0.2">
      <c r="L3713" s="43"/>
      <c r="M3713" s="43"/>
      <c r="N3713" s="43"/>
      <c r="O3713" s="43"/>
      <c r="Q3713" s="44"/>
      <c r="R3713" s="44"/>
      <c r="S3713" s="44"/>
      <c r="T3713" s="44"/>
    </row>
    <row r="3714" spans="12:20" x14ac:dyDescent="0.2">
      <c r="L3714" s="43"/>
      <c r="M3714" s="43"/>
      <c r="N3714" s="43"/>
      <c r="O3714" s="43"/>
      <c r="Q3714" s="44"/>
      <c r="R3714" s="44"/>
      <c r="S3714" s="44"/>
      <c r="T3714" s="44"/>
    </row>
    <row r="3715" spans="12:20" x14ac:dyDescent="0.2">
      <c r="L3715" s="43"/>
      <c r="M3715" s="43"/>
      <c r="N3715" s="43"/>
      <c r="O3715" s="43"/>
      <c r="Q3715" s="44"/>
      <c r="R3715" s="44"/>
      <c r="S3715" s="44"/>
      <c r="T3715" s="44"/>
    </row>
    <row r="3716" spans="12:20" x14ac:dyDescent="0.2">
      <c r="L3716" s="43"/>
      <c r="M3716" s="43"/>
      <c r="N3716" s="43"/>
      <c r="O3716" s="43"/>
      <c r="Q3716" s="44"/>
      <c r="R3716" s="44"/>
      <c r="S3716" s="44"/>
      <c r="T3716" s="44"/>
    </row>
    <row r="3717" spans="12:20" x14ac:dyDescent="0.2">
      <c r="L3717" s="43"/>
      <c r="M3717" s="43"/>
      <c r="N3717" s="43"/>
      <c r="O3717" s="43"/>
      <c r="Q3717" s="44"/>
      <c r="R3717" s="44"/>
      <c r="S3717" s="44"/>
      <c r="T3717" s="44"/>
    </row>
    <row r="3718" spans="12:20" x14ac:dyDescent="0.2">
      <c r="L3718" s="43"/>
      <c r="M3718" s="43"/>
      <c r="N3718" s="43"/>
      <c r="O3718" s="43"/>
      <c r="Q3718" s="44"/>
      <c r="R3718" s="44"/>
      <c r="S3718" s="44"/>
      <c r="T3718" s="44"/>
    </row>
    <row r="3719" spans="12:20" x14ac:dyDescent="0.2">
      <c r="L3719" s="43"/>
      <c r="M3719" s="43"/>
      <c r="N3719" s="43"/>
      <c r="O3719" s="43"/>
      <c r="Q3719" s="44"/>
      <c r="R3719" s="44"/>
      <c r="S3719" s="44"/>
      <c r="T3719" s="44"/>
    </row>
    <row r="3720" spans="12:20" x14ac:dyDescent="0.2">
      <c r="L3720" s="43"/>
      <c r="M3720" s="43"/>
      <c r="N3720" s="43"/>
      <c r="O3720" s="43"/>
      <c r="Q3720" s="44"/>
      <c r="R3720" s="44"/>
      <c r="S3720" s="44"/>
      <c r="T3720" s="44"/>
    </row>
    <row r="3721" spans="12:20" x14ac:dyDescent="0.2">
      <c r="L3721" s="43"/>
      <c r="M3721" s="43"/>
      <c r="N3721" s="43"/>
      <c r="O3721" s="43"/>
      <c r="Q3721" s="44"/>
      <c r="R3721" s="44"/>
      <c r="S3721" s="44"/>
      <c r="T3721" s="44"/>
    </row>
    <row r="3722" spans="12:20" x14ac:dyDescent="0.2">
      <c r="L3722" s="43"/>
      <c r="M3722" s="43"/>
      <c r="N3722" s="43"/>
      <c r="O3722" s="43"/>
      <c r="Q3722" s="44"/>
      <c r="R3722" s="44"/>
      <c r="S3722" s="44"/>
      <c r="T3722" s="44"/>
    </row>
    <row r="3723" spans="12:20" x14ac:dyDescent="0.2">
      <c r="L3723" s="43"/>
      <c r="M3723" s="43"/>
      <c r="N3723" s="43"/>
      <c r="O3723" s="43"/>
      <c r="Q3723" s="44"/>
      <c r="R3723" s="44"/>
      <c r="S3723" s="44"/>
      <c r="T3723" s="44"/>
    </row>
    <row r="3724" spans="12:20" x14ac:dyDescent="0.2">
      <c r="L3724" s="43"/>
      <c r="M3724" s="43"/>
      <c r="N3724" s="43"/>
      <c r="O3724" s="43"/>
      <c r="Q3724" s="44"/>
      <c r="R3724" s="44"/>
      <c r="S3724" s="44"/>
      <c r="T3724" s="44"/>
    </row>
    <row r="3725" spans="12:20" x14ac:dyDescent="0.2">
      <c r="L3725" s="43"/>
      <c r="M3725" s="43"/>
      <c r="N3725" s="43"/>
      <c r="O3725" s="43"/>
      <c r="Q3725" s="44"/>
      <c r="R3725" s="44"/>
      <c r="S3725" s="44"/>
      <c r="T3725" s="44"/>
    </row>
    <row r="3726" spans="12:20" x14ac:dyDescent="0.2">
      <c r="L3726" s="43"/>
      <c r="M3726" s="43"/>
      <c r="N3726" s="43"/>
      <c r="O3726" s="43"/>
      <c r="Q3726" s="44"/>
      <c r="R3726" s="44"/>
      <c r="S3726" s="44"/>
      <c r="T3726" s="44"/>
    </row>
    <row r="3727" spans="12:20" x14ac:dyDescent="0.2">
      <c r="L3727" s="43"/>
      <c r="M3727" s="43"/>
      <c r="N3727" s="43"/>
      <c r="O3727" s="43"/>
      <c r="Q3727" s="44"/>
      <c r="R3727" s="44"/>
      <c r="S3727" s="44"/>
      <c r="T3727" s="44"/>
    </row>
    <row r="3728" spans="12:20" x14ac:dyDescent="0.2">
      <c r="L3728" s="43"/>
      <c r="M3728" s="43"/>
      <c r="N3728" s="43"/>
      <c r="O3728" s="43"/>
      <c r="Q3728" s="44"/>
      <c r="R3728" s="44"/>
      <c r="S3728" s="44"/>
      <c r="T3728" s="44"/>
    </row>
    <row r="3729" spans="12:20" x14ac:dyDescent="0.2">
      <c r="L3729" s="43"/>
      <c r="M3729" s="43"/>
      <c r="N3729" s="43"/>
      <c r="O3729" s="43"/>
      <c r="Q3729" s="44"/>
      <c r="R3729" s="44"/>
      <c r="S3729" s="44"/>
      <c r="T3729" s="44"/>
    </row>
    <row r="3730" spans="12:20" x14ac:dyDescent="0.2">
      <c r="L3730" s="43"/>
      <c r="M3730" s="43"/>
      <c r="N3730" s="43"/>
      <c r="O3730" s="43"/>
      <c r="Q3730" s="44"/>
      <c r="R3730" s="44"/>
      <c r="S3730" s="44"/>
      <c r="T3730" s="44"/>
    </row>
    <row r="3731" spans="12:20" x14ac:dyDescent="0.2">
      <c r="L3731" s="43"/>
      <c r="M3731" s="43"/>
      <c r="N3731" s="43"/>
      <c r="O3731" s="43"/>
      <c r="Q3731" s="44"/>
      <c r="R3731" s="44"/>
      <c r="S3731" s="44"/>
      <c r="T3731" s="44"/>
    </row>
    <row r="3732" spans="12:20" x14ac:dyDescent="0.2">
      <c r="L3732" s="43"/>
      <c r="M3732" s="43"/>
      <c r="N3732" s="43"/>
      <c r="O3732" s="43"/>
      <c r="Q3732" s="44"/>
      <c r="R3732" s="44"/>
      <c r="S3732" s="44"/>
      <c r="T3732" s="44"/>
    </row>
    <row r="3733" spans="12:20" x14ac:dyDescent="0.2">
      <c r="L3733" s="43"/>
      <c r="M3733" s="43"/>
      <c r="N3733" s="43"/>
      <c r="O3733" s="43"/>
      <c r="Q3733" s="44"/>
      <c r="R3733" s="44"/>
      <c r="S3733" s="44"/>
      <c r="T3733" s="44"/>
    </row>
    <row r="3734" spans="12:20" x14ac:dyDescent="0.2">
      <c r="L3734" s="43"/>
      <c r="M3734" s="43"/>
      <c r="N3734" s="43"/>
      <c r="O3734" s="43"/>
      <c r="Q3734" s="44"/>
      <c r="R3734" s="44"/>
      <c r="S3734" s="44"/>
      <c r="T3734" s="44"/>
    </row>
    <row r="3735" spans="12:20" x14ac:dyDescent="0.2">
      <c r="L3735" s="43"/>
      <c r="M3735" s="43"/>
      <c r="N3735" s="43"/>
      <c r="O3735" s="43"/>
      <c r="Q3735" s="44"/>
      <c r="R3735" s="44"/>
      <c r="S3735" s="44"/>
      <c r="T3735" s="44"/>
    </row>
    <row r="3736" spans="12:20" x14ac:dyDescent="0.2">
      <c r="L3736" s="43"/>
      <c r="M3736" s="43"/>
      <c r="N3736" s="43"/>
      <c r="O3736" s="43"/>
      <c r="Q3736" s="44"/>
      <c r="R3736" s="44"/>
      <c r="S3736" s="44"/>
      <c r="T3736" s="44"/>
    </row>
    <row r="3737" spans="12:20" x14ac:dyDescent="0.2">
      <c r="L3737" s="43"/>
      <c r="M3737" s="43"/>
      <c r="N3737" s="43"/>
      <c r="O3737" s="43"/>
      <c r="Q3737" s="44"/>
      <c r="R3737" s="44"/>
      <c r="S3737" s="44"/>
      <c r="T3737" s="44"/>
    </row>
    <row r="3738" spans="12:20" x14ac:dyDescent="0.2">
      <c r="L3738" s="43"/>
      <c r="M3738" s="43"/>
      <c r="N3738" s="43"/>
      <c r="O3738" s="43"/>
      <c r="Q3738" s="44"/>
      <c r="R3738" s="44"/>
      <c r="S3738" s="44"/>
      <c r="T3738" s="44"/>
    </row>
    <row r="3739" spans="12:20" x14ac:dyDescent="0.2">
      <c r="L3739" s="43"/>
      <c r="M3739" s="43"/>
      <c r="N3739" s="43"/>
      <c r="O3739" s="43"/>
      <c r="Q3739" s="44"/>
      <c r="R3739" s="44"/>
      <c r="S3739" s="44"/>
      <c r="T3739" s="44"/>
    </row>
    <row r="3740" spans="12:20" x14ac:dyDescent="0.2">
      <c r="L3740" s="43"/>
      <c r="M3740" s="43"/>
      <c r="N3740" s="43"/>
      <c r="O3740" s="43"/>
      <c r="Q3740" s="44"/>
      <c r="R3740" s="44"/>
      <c r="S3740" s="44"/>
      <c r="T3740" s="44"/>
    </row>
    <row r="3741" spans="12:20" x14ac:dyDescent="0.2">
      <c r="L3741" s="43"/>
      <c r="M3741" s="43"/>
      <c r="N3741" s="43"/>
      <c r="O3741" s="43"/>
      <c r="Q3741" s="44"/>
      <c r="R3741" s="44"/>
      <c r="S3741" s="44"/>
      <c r="T3741" s="44"/>
    </row>
    <row r="3742" spans="12:20" x14ac:dyDescent="0.2">
      <c r="L3742" s="43"/>
      <c r="M3742" s="43"/>
      <c r="N3742" s="43"/>
      <c r="O3742" s="43"/>
      <c r="Q3742" s="44"/>
      <c r="R3742" s="44"/>
      <c r="S3742" s="44"/>
      <c r="T3742" s="44"/>
    </row>
    <row r="3743" spans="12:20" x14ac:dyDescent="0.2">
      <c r="L3743" s="43"/>
      <c r="M3743" s="43"/>
      <c r="N3743" s="43"/>
      <c r="O3743" s="43"/>
      <c r="Q3743" s="44"/>
      <c r="R3743" s="44"/>
      <c r="S3743" s="44"/>
      <c r="T3743" s="44"/>
    </row>
    <row r="3744" spans="12:20" x14ac:dyDescent="0.2">
      <c r="L3744" s="43"/>
      <c r="M3744" s="43"/>
      <c r="N3744" s="43"/>
      <c r="O3744" s="43"/>
      <c r="Q3744" s="44"/>
      <c r="R3744" s="44"/>
      <c r="S3744" s="44"/>
      <c r="T3744" s="44"/>
    </row>
    <row r="3745" spans="12:20" x14ac:dyDescent="0.2">
      <c r="L3745" s="43"/>
      <c r="M3745" s="43"/>
      <c r="N3745" s="43"/>
      <c r="O3745" s="43"/>
      <c r="Q3745" s="44"/>
      <c r="R3745" s="44"/>
      <c r="S3745" s="44"/>
      <c r="T3745" s="44"/>
    </row>
    <row r="3746" spans="12:20" x14ac:dyDescent="0.2">
      <c r="L3746" s="43"/>
      <c r="M3746" s="43"/>
      <c r="N3746" s="43"/>
      <c r="O3746" s="43"/>
      <c r="Q3746" s="44"/>
      <c r="R3746" s="44"/>
      <c r="S3746" s="44"/>
      <c r="T3746" s="44"/>
    </row>
    <row r="3747" spans="12:20" x14ac:dyDescent="0.2">
      <c r="L3747" s="43"/>
      <c r="M3747" s="43"/>
      <c r="N3747" s="43"/>
      <c r="O3747" s="43"/>
      <c r="Q3747" s="44"/>
      <c r="R3747" s="44"/>
      <c r="S3747" s="44"/>
      <c r="T3747" s="44"/>
    </row>
    <row r="3748" spans="12:20" x14ac:dyDescent="0.2">
      <c r="L3748" s="43"/>
      <c r="M3748" s="43"/>
      <c r="N3748" s="43"/>
      <c r="O3748" s="43"/>
      <c r="Q3748" s="44"/>
      <c r="R3748" s="44"/>
      <c r="S3748" s="44"/>
      <c r="T3748" s="44"/>
    </row>
    <row r="3749" spans="12:20" x14ac:dyDescent="0.2">
      <c r="L3749" s="43"/>
      <c r="M3749" s="43"/>
      <c r="N3749" s="43"/>
      <c r="O3749" s="43"/>
      <c r="Q3749" s="44"/>
      <c r="R3749" s="44"/>
      <c r="S3749" s="44"/>
      <c r="T3749" s="44"/>
    </row>
    <row r="3750" spans="12:20" x14ac:dyDescent="0.2">
      <c r="L3750" s="43"/>
      <c r="M3750" s="43"/>
      <c r="N3750" s="43"/>
      <c r="O3750" s="43"/>
      <c r="Q3750" s="44"/>
      <c r="R3750" s="44"/>
      <c r="S3750" s="44"/>
      <c r="T3750" s="44"/>
    </row>
    <row r="3751" spans="12:20" x14ac:dyDescent="0.2">
      <c r="L3751" s="43"/>
      <c r="M3751" s="43"/>
      <c r="N3751" s="43"/>
      <c r="O3751" s="43"/>
      <c r="Q3751" s="44"/>
      <c r="R3751" s="44"/>
      <c r="S3751" s="44"/>
      <c r="T3751" s="44"/>
    </row>
    <row r="3752" spans="12:20" x14ac:dyDescent="0.2">
      <c r="L3752" s="43"/>
      <c r="M3752" s="43"/>
      <c r="N3752" s="43"/>
      <c r="O3752" s="43"/>
      <c r="Q3752" s="44"/>
      <c r="R3752" s="44"/>
      <c r="S3752" s="44"/>
      <c r="T3752" s="44"/>
    </row>
    <row r="3753" spans="12:20" x14ac:dyDescent="0.2">
      <c r="L3753" s="43"/>
      <c r="M3753" s="43"/>
      <c r="N3753" s="43"/>
      <c r="O3753" s="43"/>
      <c r="Q3753" s="44"/>
      <c r="R3753" s="44"/>
      <c r="S3753" s="44"/>
      <c r="T3753" s="44"/>
    </row>
    <row r="3754" spans="12:20" x14ac:dyDescent="0.2">
      <c r="L3754" s="43"/>
      <c r="M3754" s="43"/>
      <c r="N3754" s="43"/>
      <c r="O3754" s="43"/>
      <c r="Q3754" s="44"/>
      <c r="R3754" s="44"/>
      <c r="S3754" s="44"/>
      <c r="T3754" s="44"/>
    </row>
    <row r="3755" spans="12:20" x14ac:dyDescent="0.2">
      <c r="L3755" s="43"/>
      <c r="M3755" s="43"/>
      <c r="N3755" s="43"/>
      <c r="O3755" s="43"/>
      <c r="Q3755" s="44"/>
      <c r="R3755" s="44"/>
      <c r="S3755" s="44"/>
      <c r="T3755" s="44"/>
    </row>
    <row r="3756" spans="12:20" x14ac:dyDescent="0.2">
      <c r="L3756" s="43"/>
      <c r="M3756" s="43"/>
      <c r="N3756" s="43"/>
      <c r="O3756" s="43"/>
      <c r="Q3756" s="44"/>
      <c r="R3756" s="44"/>
      <c r="S3756" s="44"/>
      <c r="T3756" s="44"/>
    </row>
    <row r="3757" spans="12:20" x14ac:dyDescent="0.2">
      <c r="L3757" s="43"/>
      <c r="M3757" s="43"/>
      <c r="N3757" s="43"/>
      <c r="O3757" s="43"/>
      <c r="Q3757" s="44"/>
      <c r="R3757" s="44"/>
      <c r="S3757" s="44"/>
      <c r="T3757" s="44"/>
    </row>
    <row r="3758" spans="12:20" x14ac:dyDescent="0.2">
      <c r="L3758" s="43"/>
      <c r="M3758" s="43"/>
      <c r="N3758" s="43"/>
      <c r="O3758" s="43"/>
      <c r="Q3758" s="44"/>
      <c r="R3758" s="44"/>
      <c r="S3758" s="44"/>
      <c r="T3758" s="44"/>
    </row>
    <row r="3759" spans="12:20" x14ac:dyDescent="0.2">
      <c r="L3759" s="43"/>
      <c r="M3759" s="43"/>
      <c r="N3759" s="43"/>
      <c r="O3759" s="43"/>
      <c r="Q3759" s="44"/>
      <c r="R3759" s="44"/>
      <c r="S3759" s="44"/>
      <c r="T3759" s="44"/>
    </row>
    <row r="3760" spans="12:20" x14ac:dyDescent="0.2">
      <c r="L3760" s="43"/>
      <c r="M3760" s="43"/>
      <c r="N3760" s="43"/>
      <c r="O3760" s="43"/>
      <c r="Q3760" s="44"/>
      <c r="R3760" s="44"/>
      <c r="S3760" s="44"/>
      <c r="T3760" s="44"/>
    </row>
    <row r="3761" spans="12:20" x14ac:dyDescent="0.2">
      <c r="L3761" s="43"/>
      <c r="M3761" s="43"/>
      <c r="N3761" s="43"/>
      <c r="O3761" s="43"/>
      <c r="Q3761" s="44"/>
      <c r="R3761" s="44"/>
      <c r="S3761" s="44"/>
      <c r="T3761" s="44"/>
    </row>
    <row r="3762" spans="12:20" x14ac:dyDescent="0.2">
      <c r="L3762" s="43"/>
      <c r="M3762" s="43"/>
      <c r="N3762" s="43"/>
      <c r="O3762" s="43"/>
      <c r="Q3762" s="44"/>
      <c r="R3762" s="44"/>
      <c r="S3762" s="44"/>
      <c r="T3762" s="44"/>
    </row>
    <row r="3763" spans="12:20" x14ac:dyDescent="0.2">
      <c r="L3763" s="43"/>
      <c r="M3763" s="43"/>
      <c r="N3763" s="43"/>
      <c r="O3763" s="43"/>
      <c r="Q3763" s="44"/>
      <c r="R3763" s="44"/>
      <c r="S3763" s="44"/>
      <c r="T3763" s="44"/>
    </row>
    <row r="3764" spans="12:20" x14ac:dyDescent="0.2">
      <c r="L3764" s="43"/>
      <c r="M3764" s="43"/>
      <c r="N3764" s="43"/>
      <c r="O3764" s="43"/>
      <c r="Q3764" s="44"/>
      <c r="R3764" s="44"/>
      <c r="S3764" s="44"/>
      <c r="T3764" s="44"/>
    </row>
    <row r="3765" spans="12:20" x14ac:dyDescent="0.2">
      <c r="L3765" s="43"/>
      <c r="M3765" s="43"/>
      <c r="N3765" s="43"/>
      <c r="O3765" s="43"/>
      <c r="Q3765" s="44"/>
      <c r="R3765" s="44"/>
      <c r="S3765" s="44"/>
      <c r="T3765" s="44"/>
    </row>
    <row r="3766" spans="12:20" x14ac:dyDescent="0.2">
      <c r="L3766" s="43"/>
      <c r="M3766" s="43"/>
      <c r="N3766" s="43"/>
      <c r="O3766" s="43"/>
      <c r="Q3766" s="44"/>
      <c r="R3766" s="44"/>
      <c r="S3766" s="44"/>
      <c r="T3766" s="44"/>
    </row>
    <row r="3767" spans="12:20" x14ac:dyDescent="0.2">
      <c r="L3767" s="43"/>
      <c r="M3767" s="43"/>
      <c r="N3767" s="43"/>
      <c r="O3767" s="43"/>
      <c r="Q3767" s="44"/>
      <c r="R3767" s="44"/>
      <c r="S3767" s="44"/>
      <c r="T3767" s="44"/>
    </row>
    <row r="3768" spans="12:20" x14ac:dyDescent="0.2">
      <c r="L3768" s="43"/>
      <c r="M3768" s="43"/>
      <c r="N3768" s="43"/>
      <c r="O3768" s="43"/>
      <c r="Q3768" s="44"/>
      <c r="R3768" s="44"/>
      <c r="S3768" s="44"/>
      <c r="T3768" s="44"/>
    </row>
    <row r="3769" spans="12:20" x14ac:dyDescent="0.2">
      <c r="L3769" s="43"/>
      <c r="M3769" s="43"/>
      <c r="N3769" s="43"/>
      <c r="O3769" s="43"/>
      <c r="Q3769" s="44"/>
      <c r="R3769" s="44"/>
      <c r="S3769" s="44"/>
      <c r="T3769" s="44"/>
    </row>
    <row r="3770" spans="12:20" x14ac:dyDescent="0.2">
      <c r="L3770" s="43"/>
      <c r="M3770" s="43"/>
      <c r="N3770" s="43"/>
      <c r="O3770" s="43"/>
      <c r="Q3770" s="44"/>
      <c r="R3770" s="44"/>
      <c r="S3770" s="44"/>
      <c r="T3770" s="44"/>
    </row>
    <row r="3771" spans="12:20" x14ac:dyDescent="0.2">
      <c r="L3771" s="43"/>
      <c r="M3771" s="43"/>
      <c r="N3771" s="43"/>
      <c r="O3771" s="43"/>
      <c r="Q3771" s="44"/>
      <c r="R3771" s="44"/>
      <c r="S3771" s="44"/>
      <c r="T3771" s="44"/>
    </row>
    <row r="3772" spans="12:20" x14ac:dyDescent="0.2">
      <c r="L3772" s="43"/>
      <c r="M3772" s="43"/>
      <c r="N3772" s="43"/>
      <c r="O3772" s="43"/>
      <c r="Q3772" s="44"/>
      <c r="R3772" s="44"/>
      <c r="S3772" s="44"/>
      <c r="T3772" s="44"/>
    </row>
    <row r="3773" spans="12:20" x14ac:dyDescent="0.2">
      <c r="L3773" s="43"/>
      <c r="M3773" s="43"/>
      <c r="N3773" s="43"/>
      <c r="O3773" s="43"/>
      <c r="Q3773" s="44"/>
      <c r="R3773" s="44"/>
      <c r="S3773" s="44"/>
      <c r="T3773" s="44"/>
    </row>
    <row r="3774" spans="12:20" x14ac:dyDescent="0.2">
      <c r="L3774" s="43"/>
      <c r="M3774" s="43"/>
      <c r="N3774" s="43"/>
      <c r="O3774" s="43"/>
      <c r="Q3774" s="44"/>
      <c r="R3774" s="44"/>
      <c r="S3774" s="44"/>
      <c r="T3774" s="44"/>
    </row>
    <row r="3775" spans="12:20" x14ac:dyDescent="0.2">
      <c r="L3775" s="43"/>
      <c r="M3775" s="43"/>
      <c r="N3775" s="43"/>
      <c r="O3775" s="43"/>
      <c r="Q3775" s="44"/>
      <c r="R3775" s="44"/>
      <c r="S3775" s="44"/>
      <c r="T3775" s="44"/>
    </row>
    <row r="3776" spans="12:20" x14ac:dyDescent="0.2">
      <c r="L3776" s="43"/>
      <c r="M3776" s="43"/>
      <c r="N3776" s="43"/>
      <c r="O3776" s="43"/>
      <c r="Q3776" s="44"/>
      <c r="R3776" s="44"/>
      <c r="S3776" s="44"/>
      <c r="T3776" s="44"/>
    </row>
    <row r="3777" spans="12:20" x14ac:dyDescent="0.2">
      <c r="L3777" s="43"/>
      <c r="M3777" s="43"/>
      <c r="N3777" s="43"/>
      <c r="O3777" s="43"/>
      <c r="Q3777" s="44"/>
      <c r="R3777" s="44"/>
      <c r="S3777" s="44"/>
      <c r="T3777" s="44"/>
    </row>
    <row r="3778" spans="12:20" x14ac:dyDescent="0.2">
      <c r="L3778" s="43"/>
      <c r="M3778" s="43"/>
      <c r="N3778" s="43"/>
      <c r="O3778" s="43"/>
      <c r="Q3778" s="44"/>
      <c r="R3778" s="44"/>
      <c r="S3778" s="44"/>
      <c r="T3778" s="44"/>
    </row>
    <row r="3779" spans="12:20" x14ac:dyDescent="0.2">
      <c r="L3779" s="43"/>
      <c r="M3779" s="43"/>
      <c r="N3779" s="43"/>
      <c r="O3779" s="43"/>
      <c r="Q3779" s="44"/>
      <c r="R3779" s="44"/>
      <c r="S3779" s="44"/>
      <c r="T3779" s="44"/>
    </row>
    <row r="3780" spans="12:20" x14ac:dyDescent="0.2">
      <c r="L3780" s="43"/>
      <c r="M3780" s="43"/>
      <c r="N3780" s="43"/>
      <c r="O3780" s="43"/>
      <c r="Q3780" s="44"/>
      <c r="R3780" s="44"/>
      <c r="S3780" s="44"/>
      <c r="T3780" s="44"/>
    </row>
    <row r="3781" spans="12:20" x14ac:dyDescent="0.2">
      <c r="L3781" s="43"/>
      <c r="M3781" s="43"/>
      <c r="N3781" s="43"/>
      <c r="O3781" s="43"/>
      <c r="Q3781" s="44"/>
      <c r="R3781" s="44"/>
      <c r="S3781" s="44"/>
      <c r="T3781" s="44"/>
    </row>
    <row r="3782" spans="12:20" x14ac:dyDescent="0.2">
      <c r="L3782" s="43"/>
      <c r="M3782" s="43"/>
      <c r="N3782" s="43"/>
      <c r="O3782" s="43"/>
      <c r="Q3782" s="44"/>
      <c r="R3782" s="44"/>
      <c r="S3782" s="44"/>
      <c r="T3782" s="44"/>
    </row>
    <row r="3783" spans="12:20" x14ac:dyDescent="0.2">
      <c r="L3783" s="43"/>
      <c r="M3783" s="43"/>
      <c r="N3783" s="43"/>
      <c r="O3783" s="43"/>
      <c r="Q3783" s="44"/>
      <c r="R3783" s="44"/>
      <c r="S3783" s="44"/>
      <c r="T3783" s="44"/>
    </row>
    <row r="3784" spans="12:20" x14ac:dyDescent="0.2">
      <c r="L3784" s="43"/>
      <c r="M3784" s="43"/>
      <c r="N3784" s="43"/>
      <c r="O3784" s="43"/>
      <c r="Q3784" s="44"/>
      <c r="R3784" s="44"/>
      <c r="S3784" s="44"/>
      <c r="T3784" s="44"/>
    </row>
    <row r="3785" spans="12:20" x14ac:dyDescent="0.2">
      <c r="L3785" s="43"/>
      <c r="M3785" s="43"/>
      <c r="N3785" s="43"/>
      <c r="O3785" s="43"/>
      <c r="Q3785" s="44"/>
      <c r="R3785" s="44"/>
      <c r="S3785" s="44"/>
      <c r="T3785" s="44"/>
    </row>
    <row r="3786" spans="12:20" x14ac:dyDescent="0.2">
      <c r="L3786" s="43"/>
      <c r="M3786" s="43"/>
      <c r="N3786" s="43"/>
      <c r="O3786" s="43"/>
      <c r="Q3786" s="44"/>
      <c r="R3786" s="44"/>
      <c r="S3786" s="44"/>
      <c r="T3786" s="44"/>
    </row>
    <row r="3787" spans="12:20" x14ac:dyDescent="0.2">
      <c r="L3787" s="43"/>
      <c r="M3787" s="43"/>
      <c r="N3787" s="43"/>
      <c r="O3787" s="43"/>
      <c r="Q3787" s="44"/>
      <c r="R3787" s="44"/>
      <c r="S3787" s="44"/>
      <c r="T3787" s="44"/>
    </row>
    <row r="3788" spans="12:20" x14ac:dyDescent="0.2">
      <c r="L3788" s="43"/>
      <c r="M3788" s="43"/>
      <c r="N3788" s="43"/>
      <c r="O3788" s="43"/>
      <c r="Q3788" s="44"/>
      <c r="R3788" s="44"/>
      <c r="S3788" s="44"/>
      <c r="T3788" s="44"/>
    </row>
    <row r="3789" spans="12:20" x14ac:dyDescent="0.2">
      <c r="L3789" s="43"/>
      <c r="M3789" s="43"/>
      <c r="N3789" s="43"/>
      <c r="O3789" s="43"/>
      <c r="Q3789" s="44"/>
      <c r="R3789" s="44"/>
      <c r="S3789" s="44"/>
      <c r="T3789" s="44"/>
    </row>
    <row r="3790" spans="12:20" x14ac:dyDescent="0.2">
      <c r="L3790" s="43"/>
      <c r="M3790" s="43"/>
      <c r="N3790" s="43"/>
      <c r="O3790" s="43"/>
      <c r="Q3790" s="44"/>
      <c r="R3790" s="44"/>
      <c r="S3790" s="44"/>
      <c r="T3790" s="44"/>
    </row>
    <row r="3791" spans="12:20" x14ac:dyDescent="0.2">
      <c r="L3791" s="43"/>
      <c r="M3791" s="43"/>
      <c r="N3791" s="43"/>
      <c r="O3791" s="43"/>
      <c r="Q3791" s="44"/>
      <c r="R3791" s="44"/>
      <c r="S3791" s="44"/>
      <c r="T3791" s="44"/>
    </row>
    <row r="3792" spans="12:20" x14ac:dyDescent="0.2">
      <c r="L3792" s="43"/>
      <c r="M3792" s="43"/>
      <c r="N3792" s="43"/>
      <c r="O3792" s="43"/>
      <c r="Q3792" s="44"/>
      <c r="R3792" s="44"/>
      <c r="S3792" s="44"/>
      <c r="T3792" s="44"/>
    </row>
    <row r="3793" spans="12:20" x14ac:dyDescent="0.2">
      <c r="L3793" s="43"/>
      <c r="M3793" s="43"/>
      <c r="N3793" s="43"/>
      <c r="O3793" s="43"/>
      <c r="Q3793" s="44"/>
      <c r="R3793" s="44"/>
      <c r="S3793" s="44"/>
      <c r="T3793" s="44"/>
    </row>
    <row r="3794" spans="12:20" x14ac:dyDescent="0.2">
      <c r="L3794" s="43"/>
      <c r="M3794" s="43"/>
      <c r="N3794" s="43"/>
      <c r="O3794" s="43"/>
      <c r="Q3794" s="44"/>
      <c r="R3794" s="44"/>
      <c r="S3794" s="44"/>
      <c r="T3794" s="44"/>
    </row>
    <row r="3795" spans="12:20" x14ac:dyDescent="0.2">
      <c r="L3795" s="43"/>
      <c r="M3795" s="43"/>
      <c r="N3795" s="43"/>
      <c r="O3795" s="43"/>
      <c r="Q3795" s="44"/>
      <c r="R3795" s="44"/>
      <c r="S3795" s="44"/>
      <c r="T3795" s="44"/>
    </row>
    <row r="3796" spans="12:20" x14ac:dyDescent="0.2">
      <c r="L3796" s="43"/>
      <c r="M3796" s="43"/>
      <c r="N3796" s="43"/>
      <c r="O3796" s="43"/>
      <c r="Q3796" s="44"/>
      <c r="R3796" s="44"/>
      <c r="S3796" s="44"/>
      <c r="T3796" s="44"/>
    </row>
    <row r="3797" spans="12:20" x14ac:dyDescent="0.2">
      <c r="L3797" s="43"/>
      <c r="M3797" s="43"/>
      <c r="N3797" s="43"/>
      <c r="O3797" s="43"/>
      <c r="Q3797" s="44"/>
      <c r="R3797" s="44"/>
      <c r="S3797" s="44"/>
      <c r="T3797" s="44"/>
    </row>
    <row r="3798" spans="12:20" x14ac:dyDescent="0.2">
      <c r="L3798" s="43"/>
      <c r="M3798" s="43"/>
      <c r="N3798" s="43"/>
      <c r="O3798" s="43"/>
      <c r="Q3798" s="44"/>
      <c r="R3798" s="44"/>
      <c r="S3798" s="44"/>
      <c r="T3798" s="44"/>
    </row>
    <row r="3799" spans="12:20" x14ac:dyDescent="0.2">
      <c r="L3799" s="43"/>
      <c r="M3799" s="43"/>
      <c r="N3799" s="43"/>
      <c r="O3799" s="43"/>
      <c r="Q3799" s="44"/>
      <c r="R3799" s="44"/>
      <c r="S3799" s="44"/>
      <c r="T3799" s="44"/>
    </row>
    <row r="3800" spans="12:20" x14ac:dyDescent="0.2">
      <c r="L3800" s="43"/>
      <c r="M3800" s="43"/>
      <c r="N3800" s="43"/>
      <c r="O3800" s="43"/>
      <c r="Q3800" s="44"/>
      <c r="R3800" s="44"/>
      <c r="S3800" s="44"/>
      <c r="T3800" s="44"/>
    </row>
    <row r="3801" spans="12:20" x14ac:dyDescent="0.2">
      <c r="L3801" s="43"/>
      <c r="M3801" s="43"/>
      <c r="N3801" s="43"/>
      <c r="O3801" s="43"/>
      <c r="Q3801" s="44"/>
      <c r="R3801" s="44"/>
      <c r="S3801" s="44"/>
      <c r="T3801" s="44"/>
    </row>
    <row r="3802" spans="12:20" x14ac:dyDescent="0.2">
      <c r="L3802" s="43"/>
      <c r="M3802" s="43"/>
      <c r="N3802" s="43"/>
      <c r="O3802" s="43"/>
      <c r="Q3802" s="44"/>
      <c r="R3802" s="44"/>
      <c r="S3802" s="44"/>
      <c r="T3802" s="44"/>
    </row>
    <row r="3803" spans="12:20" x14ac:dyDescent="0.2">
      <c r="L3803" s="43"/>
      <c r="M3803" s="43"/>
      <c r="N3803" s="43"/>
      <c r="O3803" s="43"/>
      <c r="Q3803" s="44"/>
      <c r="R3803" s="44"/>
      <c r="S3803" s="44"/>
      <c r="T3803" s="44"/>
    </row>
    <row r="3804" spans="12:20" x14ac:dyDescent="0.2">
      <c r="L3804" s="43"/>
      <c r="M3804" s="43"/>
      <c r="N3804" s="43"/>
      <c r="O3804" s="43"/>
      <c r="Q3804" s="44"/>
      <c r="R3804" s="44"/>
      <c r="S3804" s="44"/>
      <c r="T3804" s="44"/>
    </row>
    <row r="3805" spans="12:20" x14ac:dyDescent="0.2">
      <c r="L3805" s="43"/>
      <c r="M3805" s="43"/>
      <c r="N3805" s="43"/>
      <c r="O3805" s="43"/>
      <c r="Q3805" s="44"/>
      <c r="R3805" s="44"/>
      <c r="S3805" s="44"/>
      <c r="T3805" s="44"/>
    </row>
    <row r="3806" spans="12:20" x14ac:dyDescent="0.2">
      <c r="L3806" s="43"/>
      <c r="M3806" s="43"/>
      <c r="N3806" s="43"/>
      <c r="O3806" s="43"/>
      <c r="Q3806" s="44"/>
      <c r="R3806" s="44"/>
      <c r="S3806" s="44"/>
      <c r="T3806" s="44"/>
    </row>
    <row r="3807" spans="12:20" x14ac:dyDescent="0.2">
      <c r="L3807" s="43"/>
      <c r="M3807" s="43"/>
      <c r="N3807" s="43"/>
      <c r="O3807" s="43"/>
      <c r="Q3807" s="44"/>
      <c r="R3807" s="44"/>
      <c r="S3807" s="44"/>
      <c r="T3807" s="44"/>
    </row>
    <row r="3808" spans="12:20" x14ac:dyDescent="0.2">
      <c r="L3808" s="43"/>
      <c r="M3808" s="43"/>
      <c r="N3808" s="43"/>
      <c r="O3808" s="43"/>
      <c r="Q3808" s="44"/>
      <c r="R3808" s="44"/>
      <c r="S3808" s="44"/>
      <c r="T3808" s="44"/>
    </row>
    <row r="3809" spans="12:20" x14ac:dyDescent="0.2">
      <c r="L3809" s="43"/>
      <c r="M3809" s="43"/>
      <c r="N3809" s="43"/>
      <c r="O3809" s="43"/>
      <c r="Q3809" s="44"/>
      <c r="R3809" s="44"/>
      <c r="S3809" s="44"/>
      <c r="T3809" s="44"/>
    </row>
    <row r="3810" spans="12:20" x14ac:dyDescent="0.2">
      <c r="L3810" s="43"/>
      <c r="M3810" s="43"/>
      <c r="N3810" s="43"/>
      <c r="O3810" s="43"/>
      <c r="Q3810" s="44"/>
      <c r="R3810" s="44"/>
      <c r="S3810" s="44"/>
      <c r="T3810" s="44"/>
    </row>
    <row r="3811" spans="12:20" x14ac:dyDescent="0.2">
      <c r="L3811" s="43"/>
      <c r="M3811" s="43"/>
      <c r="N3811" s="43"/>
      <c r="O3811" s="43"/>
      <c r="Q3811" s="44"/>
      <c r="R3811" s="44"/>
      <c r="S3811" s="44"/>
      <c r="T3811" s="44"/>
    </row>
    <row r="3812" spans="12:20" x14ac:dyDescent="0.2">
      <c r="L3812" s="43"/>
      <c r="M3812" s="43"/>
      <c r="N3812" s="43"/>
      <c r="O3812" s="43"/>
      <c r="Q3812" s="44"/>
      <c r="R3812" s="44"/>
      <c r="S3812" s="44"/>
      <c r="T3812" s="44"/>
    </row>
    <row r="3813" spans="12:20" x14ac:dyDescent="0.2">
      <c r="L3813" s="43"/>
      <c r="M3813" s="43"/>
      <c r="N3813" s="43"/>
      <c r="O3813" s="43"/>
      <c r="Q3813" s="44"/>
      <c r="R3813" s="44"/>
      <c r="S3813" s="44"/>
      <c r="T3813" s="44"/>
    </row>
    <row r="3814" spans="12:20" x14ac:dyDescent="0.2">
      <c r="L3814" s="43"/>
      <c r="M3814" s="43"/>
      <c r="N3814" s="43"/>
      <c r="O3814" s="43"/>
      <c r="Q3814" s="44"/>
      <c r="R3814" s="44"/>
      <c r="S3814" s="44"/>
      <c r="T3814" s="44"/>
    </row>
    <row r="3815" spans="12:20" x14ac:dyDescent="0.2">
      <c r="L3815" s="43"/>
      <c r="M3815" s="43"/>
      <c r="N3815" s="43"/>
      <c r="O3815" s="43"/>
      <c r="Q3815" s="44"/>
      <c r="R3815" s="44"/>
      <c r="S3815" s="44"/>
      <c r="T3815" s="44"/>
    </row>
    <row r="3816" spans="12:20" x14ac:dyDescent="0.2">
      <c r="L3816" s="43"/>
      <c r="M3816" s="43"/>
      <c r="N3816" s="43"/>
      <c r="O3816" s="43"/>
      <c r="Q3816" s="44"/>
      <c r="R3816" s="44"/>
      <c r="S3816" s="44"/>
      <c r="T3816" s="44"/>
    </row>
    <row r="3817" spans="12:20" x14ac:dyDescent="0.2">
      <c r="L3817" s="43"/>
      <c r="M3817" s="43"/>
      <c r="N3817" s="43"/>
      <c r="O3817" s="43"/>
      <c r="Q3817" s="44"/>
      <c r="R3817" s="44"/>
      <c r="S3817" s="44"/>
      <c r="T3817" s="44"/>
    </row>
    <row r="3818" spans="12:20" x14ac:dyDescent="0.2">
      <c r="L3818" s="43"/>
      <c r="M3818" s="43"/>
      <c r="N3818" s="43"/>
      <c r="O3818" s="43"/>
      <c r="Q3818" s="44"/>
      <c r="R3818" s="44"/>
      <c r="S3818" s="44"/>
      <c r="T3818" s="44"/>
    </row>
    <row r="3819" spans="12:20" x14ac:dyDescent="0.2">
      <c r="L3819" s="43"/>
      <c r="M3819" s="43"/>
      <c r="N3819" s="43"/>
      <c r="O3819" s="43"/>
      <c r="Q3819" s="44"/>
      <c r="R3819" s="44"/>
      <c r="S3819" s="44"/>
      <c r="T3819" s="44"/>
    </row>
    <row r="3820" spans="12:20" x14ac:dyDescent="0.2">
      <c r="L3820" s="43"/>
      <c r="M3820" s="43"/>
      <c r="N3820" s="43"/>
      <c r="O3820" s="43"/>
      <c r="Q3820" s="44"/>
      <c r="R3820" s="44"/>
      <c r="S3820" s="44"/>
      <c r="T3820" s="44"/>
    </row>
    <row r="3821" spans="12:20" x14ac:dyDescent="0.2">
      <c r="L3821" s="43"/>
      <c r="M3821" s="43"/>
      <c r="N3821" s="43"/>
      <c r="O3821" s="43"/>
      <c r="Q3821" s="44"/>
      <c r="R3821" s="44"/>
      <c r="S3821" s="44"/>
      <c r="T3821" s="44"/>
    </row>
    <row r="3822" spans="12:20" x14ac:dyDescent="0.2">
      <c r="L3822" s="43"/>
      <c r="M3822" s="43"/>
      <c r="N3822" s="43"/>
      <c r="O3822" s="43"/>
      <c r="Q3822" s="44"/>
      <c r="R3822" s="44"/>
      <c r="S3822" s="44"/>
      <c r="T3822" s="44"/>
    </row>
    <row r="3823" spans="12:20" x14ac:dyDescent="0.2">
      <c r="L3823" s="43"/>
      <c r="M3823" s="43"/>
      <c r="N3823" s="43"/>
      <c r="O3823" s="43"/>
      <c r="Q3823" s="44"/>
      <c r="R3823" s="44"/>
      <c r="S3823" s="44"/>
      <c r="T3823" s="44"/>
    </row>
    <row r="3824" spans="12:20" x14ac:dyDescent="0.2">
      <c r="L3824" s="43"/>
      <c r="M3824" s="43"/>
      <c r="N3824" s="43"/>
      <c r="O3824" s="43"/>
      <c r="Q3824" s="44"/>
      <c r="R3824" s="44"/>
      <c r="S3824" s="44"/>
      <c r="T3824" s="44"/>
    </row>
    <row r="3825" spans="12:20" x14ac:dyDescent="0.2">
      <c r="L3825" s="43"/>
      <c r="M3825" s="43"/>
      <c r="N3825" s="43"/>
      <c r="O3825" s="43"/>
      <c r="Q3825" s="44"/>
      <c r="R3825" s="44"/>
      <c r="S3825" s="44"/>
      <c r="T3825" s="44"/>
    </row>
    <row r="3826" spans="12:20" x14ac:dyDescent="0.2">
      <c r="L3826" s="43"/>
      <c r="M3826" s="43"/>
      <c r="N3826" s="43"/>
      <c r="O3826" s="43"/>
      <c r="Q3826" s="44"/>
      <c r="R3826" s="44"/>
      <c r="S3826" s="44"/>
      <c r="T3826" s="44"/>
    </row>
    <row r="3827" spans="12:20" x14ac:dyDescent="0.2">
      <c r="L3827" s="43"/>
      <c r="M3827" s="43"/>
      <c r="N3827" s="43"/>
      <c r="O3827" s="43"/>
      <c r="Q3827" s="44"/>
      <c r="R3827" s="44"/>
      <c r="S3827" s="44"/>
      <c r="T3827" s="44"/>
    </row>
    <row r="3828" spans="12:20" x14ac:dyDescent="0.2">
      <c r="L3828" s="43"/>
      <c r="M3828" s="43"/>
      <c r="N3828" s="43"/>
      <c r="O3828" s="43"/>
      <c r="Q3828" s="44"/>
      <c r="R3828" s="44"/>
      <c r="S3828" s="44"/>
      <c r="T3828" s="44"/>
    </row>
    <row r="3829" spans="12:20" x14ac:dyDescent="0.2">
      <c r="L3829" s="43"/>
      <c r="M3829" s="43"/>
      <c r="N3829" s="43"/>
      <c r="O3829" s="43"/>
      <c r="Q3829" s="44"/>
      <c r="R3829" s="44"/>
      <c r="S3829" s="44"/>
      <c r="T3829" s="44"/>
    </row>
    <row r="3830" spans="12:20" x14ac:dyDescent="0.2">
      <c r="L3830" s="43"/>
      <c r="M3830" s="43"/>
      <c r="N3830" s="43"/>
      <c r="O3830" s="43"/>
      <c r="Q3830" s="44"/>
      <c r="R3830" s="44"/>
      <c r="S3830" s="44"/>
      <c r="T3830" s="44"/>
    </row>
    <row r="3831" spans="12:20" x14ac:dyDescent="0.2">
      <c r="L3831" s="43"/>
      <c r="M3831" s="43"/>
      <c r="N3831" s="43"/>
      <c r="O3831" s="43"/>
      <c r="Q3831" s="44"/>
      <c r="R3831" s="44"/>
      <c r="S3831" s="44"/>
      <c r="T3831" s="44"/>
    </row>
    <row r="3832" spans="12:20" x14ac:dyDescent="0.2">
      <c r="L3832" s="43"/>
      <c r="M3832" s="43"/>
      <c r="N3832" s="43"/>
      <c r="O3832" s="43"/>
      <c r="Q3832" s="44"/>
      <c r="R3832" s="44"/>
      <c r="S3832" s="44"/>
      <c r="T3832" s="44"/>
    </row>
    <row r="3833" spans="12:20" x14ac:dyDescent="0.2">
      <c r="L3833" s="43"/>
      <c r="M3833" s="43"/>
      <c r="N3833" s="43"/>
      <c r="O3833" s="43"/>
      <c r="Q3833" s="44"/>
      <c r="R3833" s="44"/>
      <c r="S3833" s="44"/>
      <c r="T3833" s="44"/>
    </row>
    <row r="3834" spans="12:20" x14ac:dyDescent="0.2">
      <c r="L3834" s="43"/>
      <c r="M3834" s="43"/>
      <c r="N3834" s="43"/>
      <c r="O3834" s="43"/>
      <c r="Q3834" s="44"/>
      <c r="R3834" s="44"/>
      <c r="S3834" s="44"/>
      <c r="T3834" s="44"/>
    </row>
    <row r="3835" spans="12:20" x14ac:dyDescent="0.2">
      <c r="L3835" s="43"/>
      <c r="M3835" s="43"/>
      <c r="N3835" s="43"/>
      <c r="O3835" s="43"/>
      <c r="Q3835" s="44"/>
      <c r="R3835" s="44"/>
      <c r="S3835" s="44"/>
      <c r="T3835" s="44"/>
    </row>
    <row r="3836" spans="12:20" x14ac:dyDescent="0.2">
      <c r="L3836" s="43"/>
      <c r="M3836" s="43"/>
      <c r="N3836" s="43"/>
      <c r="O3836" s="43"/>
      <c r="Q3836" s="44"/>
      <c r="R3836" s="44"/>
      <c r="S3836" s="44"/>
      <c r="T3836" s="44"/>
    </row>
    <row r="3837" spans="12:20" x14ac:dyDescent="0.2">
      <c r="L3837" s="43"/>
      <c r="M3837" s="43"/>
      <c r="N3837" s="43"/>
      <c r="O3837" s="43"/>
      <c r="Q3837" s="44"/>
      <c r="R3837" s="44"/>
      <c r="S3837" s="44"/>
      <c r="T3837" s="44"/>
    </row>
    <row r="3838" spans="12:20" x14ac:dyDescent="0.2">
      <c r="L3838" s="43"/>
      <c r="M3838" s="43"/>
      <c r="N3838" s="43"/>
      <c r="O3838" s="43"/>
      <c r="Q3838" s="44"/>
      <c r="R3838" s="44"/>
      <c r="S3838" s="44"/>
      <c r="T3838" s="44"/>
    </row>
    <row r="3839" spans="12:20" x14ac:dyDescent="0.2">
      <c r="L3839" s="43"/>
      <c r="M3839" s="43"/>
      <c r="N3839" s="43"/>
      <c r="O3839" s="43"/>
      <c r="Q3839" s="44"/>
      <c r="R3839" s="44"/>
      <c r="S3839" s="44"/>
      <c r="T3839" s="44"/>
    </row>
    <row r="3840" spans="12:20" x14ac:dyDescent="0.2">
      <c r="L3840" s="43"/>
      <c r="M3840" s="43"/>
      <c r="N3840" s="43"/>
      <c r="O3840" s="43"/>
      <c r="Q3840" s="44"/>
      <c r="R3840" s="44"/>
      <c r="S3840" s="44"/>
      <c r="T3840" s="44"/>
    </row>
    <row r="3841" spans="12:20" x14ac:dyDescent="0.2">
      <c r="L3841" s="43"/>
      <c r="M3841" s="43"/>
      <c r="N3841" s="43"/>
      <c r="O3841" s="43"/>
      <c r="Q3841" s="44"/>
      <c r="R3841" s="44"/>
      <c r="S3841" s="44"/>
      <c r="T3841" s="44"/>
    </row>
    <row r="3842" spans="12:20" x14ac:dyDescent="0.2">
      <c r="L3842" s="43"/>
      <c r="M3842" s="43"/>
      <c r="N3842" s="43"/>
      <c r="O3842" s="43"/>
      <c r="Q3842" s="44"/>
      <c r="R3842" s="44"/>
      <c r="S3842" s="44"/>
      <c r="T3842" s="44"/>
    </row>
    <row r="3843" spans="12:20" x14ac:dyDescent="0.2">
      <c r="L3843" s="43"/>
      <c r="M3843" s="43"/>
      <c r="N3843" s="43"/>
      <c r="O3843" s="43"/>
      <c r="Q3843" s="44"/>
      <c r="R3843" s="44"/>
      <c r="S3843" s="44"/>
      <c r="T3843" s="44"/>
    </row>
    <row r="3844" spans="12:20" x14ac:dyDescent="0.2">
      <c r="L3844" s="43"/>
      <c r="M3844" s="43"/>
      <c r="N3844" s="43"/>
      <c r="O3844" s="43"/>
      <c r="Q3844" s="44"/>
      <c r="R3844" s="44"/>
      <c r="S3844" s="44"/>
      <c r="T3844" s="44"/>
    </row>
    <row r="3845" spans="12:20" x14ac:dyDescent="0.2">
      <c r="L3845" s="43"/>
      <c r="M3845" s="43"/>
      <c r="N3845" s="43"/>
      <c r="O3845" s="43"/>
      <c r="Q3845" s="44"/>
      <c r="R3845" s="44"/>
      <c r="S3845" s="44"/>
      <c r="T3845" s="44"/>
    </row>
    <row r="3846" spans="12:20" x14ac:dyDescent="0.2">
      <c r="L3846" s="43"/>
      <c r="M3846" s="43"/>
      <c r="N3846" s="43"/>
      <c r="O3846" s="43"/>
      <c r="Q3846" s="44"/>
      <c r="R3846" s="44"/>
      <c r="S3846" s="44"/>
      <c r="T3846" s="44"/>
    </row>
    <row r="3847" spans="12:20" x14ac:dyDescent="0.2">
      <c r="L3847" s="43"/>
      <c r="M3847" s="43"/>
      <c r="N3847" s="43"/>
      <c r="O3847" s="43"/>
      <c r="Q3847" s="44"/>
      <c r="R3847" s="44"/>
      <c r="S3847" s="44"/>
      <c r="T3847" s="44"/>
    </row>
    <row r="3848" spans="12:20" x14ac:dyDescent="0.2">
      <c r="L3848" s="43"/>
      <c r="M3848" s="43"/>
      <c r="N3848" s="43"/>
      <c r="O3848" s="43"/>
      <c r="Q3848" s="44"/>
      <c r="R3848" s="44"/>
      <c r="S3848" s="44"/>
      <c r="T3848" s="44"/>
    </row>
    <row r="3849" spans="12:20" x14ac:dyDescent="0.2">
      <c r="L3849" s="43"/>
      <c r="M3849" s="43"/>
      <c r="N3849" s="43"/>
      <c r="O3849" s="43"/>
      <c r="Q3849" s="44"/>
      <c r="R3849" s="44"/>
      <c r="S3849" s="44"/>
      <c r="T3849" s="44"/>
    </row>
    <row r="3850" spans="12:20" x14ac:dyDescent="0.2">
      <c r="L3850" s="43"/>
      <c r="M3850" s="43"/>
      <c r="N3850" s="43"/>
      <c r="O3850" s="43"/>
      <c r="Q3850" s="44"/>
      <c r="R3850" s="44"/>
      <c r="S3850" s="44"/>
      <c r="T3850" s="44"/>
    </row>
    <row r="3851" spans="12:20" x14ac:dyDescent="0.2">
      <c r="L3851" s="43"/>
      <c r="M3851" s="43"/>
      <c r="N3851" s="43"/>
      <c r="O3851" s="43"/>
      <c r="Q3851" s="44"/>
      <c r="R3851" s="44"/>
      <c r="S3851" s="44"/>
      <c r="T3851" s="44"/>
    </row>
    <row r="3852" spans="12:20" x14ac:dyDescent="0.2">
      <c r="L3852" s="43"/>
      <c r="M3852" s="43"/>
      <c r="N3852" s="43"/>
      <c r="O3852" s="43"/>
      <c r="Q3852" s="44"/>
      <c r="R3852" s="44"/>
      <c r="S3852" s="44"/>
      <c r="T3852" s="44"/>
    </row>
    <row r="3853" spans="12:20" x14ac:dyDescent="0.2">
      <c r="L3853" s="43"/>
      <c r="M3853" s="43"/>
      <c r="N3853" s="43"/>
      <c r="O3853" s="43"/>
      <c r="Q3853" s="44"/>
      <c r="R3853" s="44"/>
      <c r="S3853" s="44"/>
      <c r="T3853" s="44"/>
    </row>
    <row r="3854" spans="12:20" x14ac:dyDescent="0.2">
      <c r="L3854" s="43"/>
      <c r="M3854" s="43"/>
      <c r="N3854" s="43"/>
      <c r="O3854" s="43"/>
      <c r="Q3854" s="44"/>
      <c r="R3854" s="44"/>
      <c r="S3854" s="44"/>
      <c r="T3854" s="44"/>
    </row>
    <row r="3855" spans="12:20" x14ac:dyDescent="0.2">
      <c r="L3855" s="43"/>
      <c r="M3855" s="43"/>
      <c r="N3855" s="43"/>
      <c r="O3855" s="43"/>
      <c r="Q3855" s="44"/>
      <c r="R3855" s="44"/>
      <c r="S3855" s="44"/>
      <c r="T3855" s="44"/>
    </row>
    <row r="3856" spans="12:20" x14ac:dyDescent="0.2">
      <c r="L3856" s="43"/>
      <c r="M3856" s="43"/>
      <c r="N3856" s="43"/>
      <c r="O3856" s="43"/>
      <c r="Q3856" s="44"/>
      <c r="R3856" s="44"/>
      <c r="S3856" s="44"/>
      <c r="T3856" s="44"/>
    </row>
    <row r="3857" spans="12:20" x14ac:dyDescent="0.2">
      <c r="L3857" s="43"/>
      <c r="M3857" s="43"/>
      <c r="N3857" s="43"/>
      <c r="O3857" s="43"/>
      <c r="Q3857" s="44"/>
      <c r="R3857" s="44"/>
      <c r="S3857" s="44"/>
      <c r="T3857" s="44"/>
    </row>
    <row r="3858" spans="12:20" x14ac:dyDescent="0.2">
      <c r="L3858" s="43"/>
      <c r="M3858" s="43"/>
      <c r="N3858" s="43"/>
      <c r="O3858" s="43"/>
      <c r="Q3858" s="44"/>
      <c r="R3858" s="44"/>
      <c r="S3858" s="44"/>
      <c r="T3858" s="44"/>
    </row>
    <row r="3859" spans="12:20" x14ac:dyDescent="0.2">
      <c r="L3859" s="43"/>
      <c r="M3859" s="43"/>
      <c r="N3859" s="43"/>
      <c r="O3859" s="43"/>
      <c r="Q3859" s="44"/>
      <c r="R3859" s="44"/>
      <c r="S3859" s="44"/>
      <c r="T3859" s="44"/>
    </row>
    <row r="3860" spans="12:20" x14ac:dyDescent="0.2">
      <c r="L3860" s="43"/>
      <c r="M3860" s="43"/>
      <c r="N3860" s="43"/>
      <c r="O3860" s="43"/>
      <c r="Q3860" s="44"/>
      <c r="R3860" s="44"/>
      <c r="S3860" s="44"/>
      <c r="T3860" s="44"/>
    </row>
    <row r="3861" spans="12:20" x14ac:dyDescent="0.2">
      <c r="L3861" s="43"/>
      <c r="M3861" s="43"/>
      <c r="N3861" s="43"/>
      <c r="O3861" s="43"/>
      <c r="Q3861" s="44"/>
      <c r="R3861" s="44"/>
      <c r="S3861" s="44"/>
      <c r="T3861" s="44"/>
    </row>
    <row r="3862" spans="12:20" x14ac:dyDescent="0.2">
      <c r="L3862" s="43"/>
      <c r="M3862" s="43"/>
      <c r="N3862" s="43"/>
      <c r="O3862" s="43"/>
      <c r="Q3862" s="44"/>
      <c r="R3862" s="44"/>
      <c r="S3862" s="44"/>
      <c r="T3862" s="44"/>
    </row>
    <row r="3863" spans="12:20" x14ac:dyDescent="0.2">
      <c r="L3863" s="43"/>
      <c r="M3863" s="43"/>
      <c r="N3863" s="43"/>
      <c r="O3863" s="43"/>
      <c r="Q3863" s="44"/>
      <c r="R3863" s="44"/>
      <c r="S3863" s="44"/>
      <c r="T3863" s="44"/>
    </row>
    <row r="3864" spans="12:20" x14ac:dyDescent="0.2">
      <c r="L3864" s="43"/>
      <c r="M3864" s="43"/>
      <c r="N3864" s="43"/>
      <c r="O3864" s="43"/>
      <c r="Q3864" s="44"/>
      <c r="R3864" s="44"/>
      <c r="S3864" s="44"/>
      <c r="T3864" s="44"/>
    </row>
    <row r="3865" spans="12:20" x14ac:dyDescent="0.2">
      <c r="L3865" s="43"/>
      <c r="M3865" s="43"/>
      <c r="N3865" s="43"/>
      <c r="O3865" s="43"/>
      <c r="Q3865" s="44"/>
      <c r="R3865" s="44"/>
      <c r="S3865" s="44"/>
      <c r="T3865" s="44"/>
    </row>
    <row r="3866" spans="12:20" x14ac:dyDescent="0.2">
      <c r="L3866" s="43"/>
      <c r="M3866" s="43"/>
      <c r="N3866" s="43"/>
      <c r="O3866" s="43"/>
      <c r="Q3866" s="44"/>
      <c r="R3866" s="44"/>
      <c r="S3866" s="44"/>
      <c r="T3866" s="44"/>
    </row>
    <row r="3867" spans="12:20" x14ac:dyDescent="0.2">
      <c r="L3867" s="43"/>
      <c r="M3867" s="43"/>
      <c r="N3867" s="43"/>
      <c r="O3867" s="43"/>
      <c r="Q3867" s="44"/>
      <c r="R3867" s="44"/>
      <c r="S3867" s="44"/>
      <c r="T3867" s="44"/>
    </row>
    <row r="3868" spans="12:20" x14ac:dyDescent="0.2">
      <c r="L3868" s="43"/>
      <c r="M3868" s="43"/>
      <c r="N3868" s="43"/>
      <c r="O3868" s="43"/>
      <c r="Q3868" s="44"/>
      <c r="R3868" s="44"/>
      <c r="S3868" s="44"/>
      <c r="T3868" s="44"/>
    </row>
    <row r="3869" spans="12:20" x14ac:dyDescent="0.2">
      <c r="L3869" s="43"/>
      <c r="M3869" s="43"/>
      <c r="N3869" s="43"/>
      <c r="O3869" s="43"/>
      <c r="Q3869" s="44"/>
      <c r="R3869" s="44"/>
      <c r="S3869" s="44"/>
      <c r="T3869" s="44"/>
    </row>
    <row r="3870" spans="12:20" x14ac:dyDescent="0.2">
      <c r="L3870" s="43"/>
      <c r="M3870" s="43"/>
      <c r="N3870" s="43"/>
      <c r="O3870" s="43"/>
      <c r="Q3870" s="44"/>
      <c r="R3870" s="44"/>
      <c r="S3870" s="44"/>
      <c r="T3870" s="44"/>
    </row>
    <row r="3871" spans="12:20" x14ac:dyDescent="0.2">
      <c r="L3871" s="43"/>
      <c r="M3871" s="43"/>
      <c r="N3871" s="43"/>
      <c r="O3871" s="43"/>
      <c r="Q3871" s="44"/>
      <c r="R3871" s="44"/>
      <c r="S3871" s="44"/>
      <c r="T3871" s="44"/>
    </row>
    <row r="3872" spans="12:20" x14ac:dyDescent="0.2">
      <c r="L3872" s="43"/>
      <c r="M3872" s="43"/>
      <c r="N3872" s="43"/>
      <c r="O3872" s="43"/>
      <c r="Q3872" s="44"/>
      <c r="R3872" s="44"/>
      <c r="S3872" s="44"/>
      <c r="T3872" s="44"/>
    </row>
    <row r="3873" spans="12:20" x14ac:dyDescent="0.2">
      <c r="L3873" s="43"/>
      <c r="M3873" s="43"/>
      <c r="N3873" s="43"/>
      <c r="O3873" s="43"/>
      <c r="Q3873" s="44"/>
      <c r="R3873" s="44"/>
      <c r="S3873" s="44"/>
      <c r="T3873" s="44"/>
    </row>
    <row r="3874" spans="12:20" x14ac:dyDescent="0.2">
      <c r="L3874" s="43"/>
      <c r="M3874" s="43"/>
      <c r="N3874" s="43"/>
      <c r="O3874" s="43"/>
      <c r="Q3874" s="44"/>
      <c r="R3874" s="44"/>
      <c r="S3874" s="44"/>
      <c r="T3874" s="44"/>
    </row>
    <row r="3875" spans="12:20" x14ac:dyDescent="0.2">
      <c r="L3875" s="43"/>
      <c r="M3875" s="43"/>
      <c r="N3875" s="43"/>
      <c r="O3875" s="43"/>
      <c r="Q3875" s="44"/>
      <c r="R3875" s="44"/>
      <c r="S3875" s="44"/>
      <c r="T3875" s="44"/>
    </row>
    <row r="3876" spans="12:20" x14ac:dyDescent="0.2">
      <c r="L3876" s="43"/>
      <c r="M3876" s="43"/>
      <c r="N3876" s="43"/>
      <c r="O3876" s="43"/>
      <c r="Q3876" s="44"/>
      <c r="R3876" s="44"/>
      <c r="S3876" s="44"/>
      <c r="T3876" s="44"/>
    </row>
    <row r="3877" spans="12:20" x14ac:dyDescent="0.2">
      <c r="L3877" s="43"/>
      <c r="M3877" s="43"/>
      <c r="N3877" s="43"/>
      <c r="O3877" s="43"/>
      <c r="Q3877" s="44"/>
      <c r="R3877" s="44"/>
      <c r="S3877" s="44"/>
      <c r="T3877" s="44"/>
    </row>
    <row r="3878" spans="12:20" x14ac:dyDescent="0.2">
      <c r="L3878" s="43"/>
      <c r="M3878" s="43"/>
      <c r="N3878" s="43"/>
      <c r="O3878" s="43"/>
      <c r="Q3878" s="44"/>
      <c r="R3878" s="44"/>
      <c r="S3878" s="44"/>
      <c r="T3878" s="44"/>
    </row>
    <row r="3879" spans="12:20" x14ac:dyDescent="0.2">
      <c r="L3879" s="43"/>
      <c r="M3879" s="43"/>
      <c r="N3879" s="43"/>
      <c r="O3879" s="43"/>
      <c r="Q3879" s="44"/>
      <c r="R3879" s="44"/>
      <c r="S3879" s="44"/>
      <c r="T3879" s="44"/>
    </row>
    <row r="3880" spans="12:20" x14ac:dyDescent="0.2">
      <c r="L3880" s="43"/>
      <c r="M3880" s="43"/>
      <c r="N3880" s="43"/>
      <c r="O3880" s="43"/>
      <c r="Q3880" s="44"/>
      <c r="R3880" s="44"/>
      <c r="S3880" s="44"/>
      <c r="T3880" s="44"/>
    </row>
    <row r="3881" spans="12:20" x14ac:dyDescent="0.2">
      <c r="L3881" s="43"/>
      <c r="M3881" s="43"/>
      <c r="N3881" s="43"/>
      <c r="O3881" s="43"/>
      <c r="Q3881" s="44"/>
      <c r="R3881" s="44"/>
      <c r="S3881" s="44"/>
      <c r="T3881" s="44"/>
    </row>
    <row r="3882" spans="12:20" x14ac:dyDescent="0.2">
      <c r="L3882" s="43"/>
      <c r="M3882" s="43"/>
      <c r="N3882" s="43"/>
      <c r="O3882" s="43"/>
      <c r="Q3882" s="44"/>
      <c r="R3882" s="44"/>
      <c r="S3882" s="44"/>
      <c r="T3882" s="44"/>
    </row>
    <row r="3883" spans="12:20" x14ac:dyDescent="0.2">
      <c r="L3883" s="43"/>
      <c r="M3883" s="43"/>
      <c r="N3883" s="43"/>
      <c r="O3883" s="43"/>
      <c r="Q3883" s="44"/>
      <c r="R3883" s="44"/>
      <c r="S3883" s="44"/>
      <c r="T3883" s="44"/>
    </row>
    <row r="3884" spans="12:20" x14ac:dyDescent="0.2">
      <c r="L3884" s="43"/>
      <c r="M3884" s="43"/>
      <c r="N3884" s="43"/>
      <c r="O3884" s="43"/>
      <c r="Q3884" s="44"/>
      <c r="R3884" s="44"/>
      <c r="S3884" s="44"/>
      <c r="T3884" s="44"/>
    </row>
    <row r="3885" spans="12:20" x14ac:dyDescent="0.2">
      <c r="L3885" s="43"/>
      <c r="M3885" s="43"/>
      <c r="N3885" s="43"/>
      <c r="O3885" s="43"/>
      <c r="Q3885" s="44"/>
      <c r="R3885" s="44"/>
      <c r="S3885" s="44"/>
      <c r="T3885" s="44"/>
    </row>
    <row r="3886" spans="12:20" x14ac:dyDescent="0.2">
      <c r="L3886" s="43"/>
      <c r="M3886" s="43"/>
      <c r="N3886" s="43"/>
      <c r="O3886" s="43"/>
      <c r="Q3886" s="44"/>
      <c r="R3886" s="44"/>
      <c r="S3886" s="44"/>
      <c r="T3886" s="44"/>
    </row>
    <row r="3887" spans="12:20" x14ac:dyDescent="0.2">
      <c r="L3887" s="43"/>
      <c r="M3887" s="43"/>
      <c r="N3887" s="43"/>
      <c r="O3887" s="43"/>
      <c r="Q3887" s="44"/>
      <c r="R3887" s="44"/>
      <c r="S3887" s="44"/>
      <c r="T3887" s="44"/>
    </row>
    <row r="3888" spans="12:20" x14ac:dyDescent="0.2">
      <c r="L3888" s="43"/>
      <c r="M3888" s="43"/>
      <c r="N3888" s="43"/>
      <c r="O3888" s="43"/>
      <c r="Q3888" s="44"/>
      <c r="R3888" s="44"/>
      <c r="S3888" s="44"/>
      <c r="T3888" s="44"/>
    </row>
    <row r="3889" spans="12:20" x14ac:dyDescent="0.2">
      <c r="L3889" s="43"/>
      <c r="M3889" s="43"/>
      <c r="N3889" s="43"/>
      <c r="O3889" s="43"/>
      <c r="Q3889" s="44"/>
      <c r="R3889" s="44"/>
      <c r="S3889" s="44"/>
      <c r="T3889" s="44"/>
    </row>
    <row r="3890" spans="12:20" x14ac:dyDescent="0.2">
      <c r="L3890" s="43"/>
      <c r="M3890" s="43"/>
      <c r="N3890" s="43"/>
      <c r="O3890" s="43"/>
      <c r="Q3890" s="44"/>
      <c r="R3890" s="44"/>
      <c r="S3890" s="44"/>
      <c r="T3890" s="44"/>
    </row>
    <row r="3891" spans="12:20" x14ac:dyDescent="0.2">
      <c r="L3891" s="43"/>
      <c r="M3891" s="43"/>
      <c r="N3891" s="43"/>
      <c r="O3891" s="43"/>
      <c r="Q3891" s="44"/>
      <c r="R3891" s="44"/>
      <c r="S3891" s="44"/>
      <c r="T3891" s="44"/>
    </row>
    <row r="3892" spans="12:20" x14ac:dyDescent="0.2">
      <c r="L3892" s="43"/>
      <c r="M3892" s="43"/>
      <c r="N3892" s="43"/>
      <c r="O3892" s="43"/>
      <c r="Q3892" s="44"/>
      <c r="R3892" s="44"/>
      <c r="S3892" s="44"/>
      <c r="T3892" s="44"/>
    </row>
    <row r="3893" spans="12:20" x14ac:dyDescent="0.2">
      <c r="L3893" s="43"/>
      <c r="M3893" s="43"/>
      <c r="N3893" s="43"/>
      <c r="O3893" s="43"/>
      <c r="Q3893" s="44"/>
      <c r="R3893" s="44"/>
      <c r="S3893" s="44"/>
      <c r="T3893" s="44"/>
    </row>
    <row r="3894" spans="12:20" x14ac:dyDescent="0.2">
      <c r="L3894" s="43"/>
      <c r="M3894" s="43"/>
      <c r="N3894" s="43"/>
      <c r="O3894" s="43"/>
      <c r="Q3894" s="44"/>
      <c r="R3894" s="44"/>
      <c r="S3894" s="44"/>
      <c r="T3894" s="44"/>
    </row>
    <row r="3895" spans="12:20" x14ac:dyDescent="0.2">
      <c r="L3895" s="43"/>
      <c r="M3895" s="43"/>
      <c r="N3895" s="43"/>
      <c r="O3895" s="43"/>
      <c r="Q3895" s="44"/>
      <c r="R3895" s="44"/>
      <c r="S3895" s="44"/>
      <c r="T3895" s="44"/>
    </row>
    <row r="3896" spans="12:20" x14ac:dyDescent="0.2">
      <c r="L3896" s="43"/>
      <c r="M3896" s="43"/>
      <c r="N3896" s="43"/>
      <c r="O3896" s="43"/>
      <c r="Q3896" s="44"/>
      <c r="R3896" s="44"/>
      <c r="S3896" s="44"/>
      <c r="T3896" s="44"/>
    </row>
    <row r="3897" spans="12:20" x14ac:dyDescent="0.2">
      <c r="L3897" s="43"/>
      <c r="M3897" s="43"/>
      <c r="N3897" s="43"/>
      <c r="O3897" s="43"/>
      <c r="Q3897" s="44"/>
      <c r="R3897" s="44"/>
      <c r="S3897" s="44"/>
      <c r="T3897" s="44"/>
    </row>
    <row r="3898" spans="12:20" x14ac:dyDescent="0.2">
      <c r="L3898" s="43"/>
      <c r="M3898" s="43"/>
      <c r="N3898" s="43"/>
      <c r="O3898" s="43"/>
      <c r="Q3898" s="44"/>
      <c r="R3898" s="44"/>
      <c r="S3898" s="44"/>
      <c r="T3898" s="44"/>
    </row>
    <row r="3899" spans="12:20" x14ac:dyDescent="0.2">
      <c r="L3899" s="43"/>
      <c r="M3899" s="43"/>
      <c r="N3899" s="43"/>
      <c r="O3899" s="43"/>
      <c r="Q3899" s="44"/>
      <c r="R3899" s="44"/>
      <c r="S3899" s="44"/>
      <c r="T3899" s="44"/>
    </row>
    <row r="3900" spans="12:20" x14ac:dyDescent="0.2">
      <c r="L3900" s="43"/>
      <c r="M3900" s="43"/>
      <c r="N3900" s="43"/>
      <c r="O3900" s="43"/>
      <c r="Q3900" s="44"/>
      <c r="R3900" s="44"/>
      <c r="S3900" s="44"/>
      <c r="T3900" s="44"/>
    </row>
    <row r="3901" spans="12:20" x14ac:dyDescent="0.2">
      <c r="L3901" s="43"/>
      <c r="M3901" s="43"/>
      <c r="N3901" s="43"/>
      <c r="O3901" s="43"/>
      <c r="Q3901" s="44"/>
      <c r="R3901" s="44"/>
      <c r="S3901" s="44"/>
      <c r="T3901" s="44"/>
    </row>
    <row r="3902" spans="12:20" x14ac:dyDescent="0.2">
      <c r="L3902" s="43"/>
      <c r="M3902" s="43"/>
      <c r="N3902" s="43"/>
      <c r="O3902" s="43"/>
      <c r="Q3902" s="44"/>
      <c r="R3902" s="44"/>
      <c r="S3902" s="44"/>
      <c r="T3902" s="44"/>
    </row>
    <row r="3903" spans="12:20" x14ac:dyDescent="0.2">
      <c r="L3903" s="43"/>
      <c r="M3903" s="43"/>
      <c r="N3903" s="43"/>
      <c r="O3903" s="43"/>
      <c r="Q3903" s="44"/>
      <c r="R3903" s="44"/>
      <c r="S3903" s="44"/>
      <c r="T3903" s="44"/>
    </row>
    <row r="3904" spans="12:20" x14ac:dyDescent="0.2">
      <c r="L3904" s="43"/>
      <c r="M3904" s="43"/>
      <c r="N3904" s="43"/>
      <c r="O3904" s="43"/>
      <c r="Q3904" s="44"/>
      <c r="R3904" s="44"/>
      <c r="S3904" s="44"/>
      <c r="T3904" s="44"/>
    </row>
    <row r="3905" spans="12:20" x14ac:dyDescent="0.2">
      <c r="L3905" s="43"/>
      <c r="M3905" s="43"/>
      <c r="N3905" s="43"/>
      <c r="O3905" s="43"/>
      <c r="Q3905" s="44"/>
      <c r="R3905" s="44"/>
      <c r="S3905" s="44"/>
      <c r="T3905" s="44"/>
    </row>
    <row r="3906" spans="12:20" x14ac:dyDescent="0.2">
      <c r="L3906" s="43"/>
      <c r="M3906" s="43"/>
      <c r="N3906" s="43"/>
      <c r="O3906" s="43"/>
      <c r="Q3906" s="44"/>
      <c r="R3906" s="44"/>
      <c r="S3906" s="44"/>
      <c r="T3906" s="44"/>
    </row>
    <row r="3907" spans="12:20" x14ac:dyDescent="0.2">
      <c r="L3907" s="43"/>
      <c r="M3907" s="43"/>
      <c r="N3907" s="43"/>
      <c r="O3907" s="43"/>
      <c r="Q3907" s="44"/>
      <c r="R3907" s="44"/>
      <c r="S3907" s="44"/>
      <c r="T3907" s="44"/>
    </row>
    <row r="3908" spans="12:20" x14ac:dyDescent="0.2">
      <c r="L3908" s="43"/>
      <c r="M3908" s="43"/>
      <c r="N3908" s="43"/>
      <c r="O3908" s="43"/>
      <c r="Q3908" s="44"/>
      <c r="R3908" s="44"/>
      <c r="S3908" s="44"/>
      <c r="T3908" s="44"/>
    </row>
    <row r="3909" spans="12:20" x14ac:dyDescent="0.2">
      <c r="L3909" s="43"/>
      <c r="M3909" s="43"/>
      <c r="N3909" s="43"/>
      <c r="O3909" s="43"/>
      <c r="Q3909" s="44"/>
      <c r="R3909" s="44"/>
      <c r="S3909" s="44"/>
      <c r="T3909" s="44"/>
    </row>
    <row r="3910" spans="12:20" x14ac:dyDescent="0.2">
      <c r="L3910" s="43"/>
      <c r="M3910" s="43"/>
      <c r="N3910" s="43"/>
      <c r="O3910" s="43"/>
      <c r="Q3910" s="44"/>
      <c r="R3910" s="44"/>
      <c r="S3910" s="44"/>
      <c r="T3910" s="44"/>
    </row>
    <row r="3911" spans="12:20" x14ac:dyDescent="0.2">
      <c r="L3911" s="43"/>
      <c r="M3911" s="43"/>
      <c r="N3911" s="43"/>
      <c r="O3911" s="43"/>
      <c r="Q3911" s="44"/>
      <c r="R3911" s="44"/>
      <c r="S3911" s="44"/>
      <c r="T3911" s="44"/>
    </row>
    <row r="3912" spans="12:20" x14ac:dyDescent="0.2">
      <c r="L3912" s="43"/>
      <c r="M3912" s="43"/>
      <c r="N3912" s="43"/>
      <c r="O3912" s="43"/>
      <c r="Q3912" s="44"/>
      <c r="R3912" s="44"/>
      <c r="S3912" s="44"/>
      <c r="T3912" s="44"/>
    </row>
    <row r="3913" spans="12:20" x14ac:dyDescent="0.2">
      <c r="L3913" s="43"/>
      <c r="M3913" s="43"/>
      <c r="N3913" s="43"/>
      <c r="O3913" s="43"/>
      <c r="Q3913" s="44"/>
      <c r="R3913" s="44"/>
      <c r="S3913" s="44"/>
      <c r="T3913" s="44"/>
    </row>
    <row r="3914" spans="12:20" x14ac:dyDescent="0.2">
      <c r="L3914" s="43"/>
      <c r="M3914" s="43"/>
      <c r="N3914" s="43"/>
      <c r="O3914" s="43"/>
      <c r="Q3914" s="44"/>
      <c r="R3914" s="44"/>
      <c r="S3914" s="44"/>
      <c r="T3914" s="44"/>
    </row>
    <row r="3915" spans="12:20" x14ac:dyDescent="0.2">
      <c r="L3915" s="43"/>
      <c r="M3915" s="43"/>
      <c r="N3915" s="43"/>
      <c r="O3915" s="43"/>
      <c r="Q3915" s="44"/>
      <c r="R3915" s="44"/>
      <c r="S3915" s="44"/>
      <c r="T3915" s="44"/>
    </row>
    <row r="3916" spans="12:20" x14ac:dyDescent="0.2">
      <c r="L3916" s="43"/>
      <c r="M3916" s="43"/>
      <c r="N3916" s="43"/>
      <c r="O3916" s="43"/>
      <c r="Q3916" s="44"/>
      <c r="R3916" s="44"/>
      <c r="S3916" s="44"/>
      <c r="T3916" s="44"/>
    </row>
    <row r="3917" spans="12:20" x14ac:dyDescent="0.2">
      <c r="L3917" s="43"/>
      <c r="M3917" s="43"/>
      <c r="N3917" s="43"/>
      <c r="O3917" s="43"/>
      <c r="Q3917" s="44"/>
      <c r="R3917" s="44"/>
      <c r="S3917" s="44"/>
      <c r="T3917" s="44"/>
    </row>
    <row r="3918" spans="12:20" x14ac:dyDescent="0.2">
      <c r="L3918" s="43"/>
      <c r="M3918" s="43"/>
      <c r="N3918" s="43"/>
      <c r="O3918" s="43"/>
      <c r="Q3918" s="44"/>
      <c r="R3918" s="44"/>
      <c r="S3918" s="44"/>
      <c r="T3918" s="44"/>
    </row>
    <row r="3919" spans="12:20" x14ac:dyDescent="0.2">
      <c r="L3919" s="43"/>
      <c r="M3919" s="43"/>
      <c r="N3919" s="43"/>
      <c r="O3919" s="43"/>
      <c r="Q3919" s="44"/>
      <c r="R3919" s="44"/>
      <c r="S3919" s="44"/>
      <c r="T3919" s="44"/>
    </row>
    <row r="3920" spans="12:20" x14ac:dyDescent="0.2">
      <c r="L3920" s="43"/>
      <c r="M3920" s="43"/>
      <c r="N3920" s="43"/>
      <c r="O3920" s="43"/>
      <c r="Q3920" s="44"/>
      <c r="R3920" s="44"/>
      <c r="S3920" s="44"/>
      <c r="T3920" s="44"/>
    </row>
    <row r="3921" spans="12:20" x14ac:dyDescent="0.2">
      <c r="L3921" s="43"/>
      <c r="M3921" s="43"/>
      <c r="N3921" s="43"/>
      <c r="O3921" s="43"/>
      <c r="Q3921" s="44"/>
      <c r="R3921" s="44"/>
      <c r="S3921" s="44"/>
      <c r="T3921" s="44"/>
    </row>
    <row r="3922" spans="12:20" x14ac:dyDescent="0.2">
      <c r="L3922" s="43"/>
      <c r="M3922" s="43"/>
      <c r="N3922" s="43"/>
      <c r="O3922" s="43"/>
      <c r="Q3922" s="44"/>
      <c r="R3922" s="44"/>
      <c r="S3922" s="44"/>
      <c r="T3922" s="44"/>
    </row>
    <row r="3923" spans="12:20" x14ac:dyDescent="0.2">
      <c r="L3923" s="43"/>
      <c r="M3923" s="43"/>
      <c r="N3923" s="43"/>
      <c r="O3923" s="43"/>
      <c r="Q3923" s="44"/>
      <c r="R3923" s="44"/>
      <c r="S3923" s="44"/>
      <c r="T3923" s="44"/>
    </row>
    <row r="3924" spans="12:20" x14ac:dyDescent="0.2">
      <c r="L3924" s="43"/>
      <c r="M3924" s="43"/>
      <c r="N3924" s="43"/>
      <c r="O3924" s="43"/>
      <c r="Q3924" s="44"/>
      <c r="R3924" s="44"/>
      <c r="S3924" s="44"/>
      <c r="T3924" s="44"/>
    </row>
    <row r="3925" spans="12:20" x14ac:dyDescent="0.2">
      <c r="L3925" s="43"/>
      <c r="M3925" s="43"/>
      <c r="N3925" s="43"/>
      <c r="O3925" s="43"/>
      <c r="Q3925" s="44"/>
      <c r="R3925" s="44"/>
      <c r="S3925" s="44"/>
      <c r="T3925" s="44"/>
    </row>
    <row r="3926" spans="12:20" x14ac:dyDescent="0.2">
      <c r="L3926" s="43"/>
      <c r="M3926" s="43"/>
      <c r="N3926" s="43"/>
      <c r="O3926" s="43"/>
      <c r="Q3926" s="44"/>
      <c r="R3926" s="44"/>
      <c r="S3926" s="44"/>
      <c r="T3926" s="44"/>
    </row>
    <row r="3927" spans="12:20" x14ac:dyDescent="0.2">
      <c r="L3927" s="43"/>
      <c r="M3927" s="43"/>
      <c r="N3927" s="43"/>
      <c r="O3927" s="43"/>
      <c r="Q3927" s="44"/>
      <c r="R3927" s="44"/>
      <c r="S3927" s="44"/>
      <c r="T3927" s="44"/>
    </row>
    <row r="3928" spans="12:20" x14ac:dyDescent="0.2">
      <c r="L3928" s="43"/>
      <c r="M3928" s="43"/>
      <c r="N3928" s="43"/>
      <c r="O3928" s="43"/>
      <c r="Q3928" s="44"/>
      <c r="R3928" s="44"/>
      <c r="S3928" s="44"/>
      <c r="T3928" s="44"/>
    </row>
    <row r="3929" spans="12:20" x14ac:dyDescent="0.2">
      <c r="L3929" s="43"/>
      <c r="M3929" s="43"/>
      <c r="N3929" s="43"/>
      <c r="O3929" s="43"/>
      <c r="Q3929" s="44"/>
      <c r="R3929" s="44"/>
      <c r="S3929" s="44"/>
      <c r="T3929" s="44"/>
    </row>
    <row r="3930" spans="12:20" x14ac:dyDescent="0.2">
      <c r="L3930" s="43"/>
      <c r="M3930" s="43"/>
      <c r="N3930" s="43"/>
      <c r="O3930" s="43"/>
      <c r="Q3930" s="44"/>
      <c r="R3930" s="44"/>
      <c r="S3930" s="44"/>
      <c r="T3930" s="44"/>
    </row>
    <row r="3931" spans="12:20" x14ac:dyDescent="0.2">
      <c r="L3931" s="43"/>
      <c r="M3931" s="43"/>
      <c r="N3931" s="43"/>
      <c r="O3931" s="43"/>
      <c r="Q3931" s="44"/>
      <c r="R3931" s="44"/>
      <c r="S3931" s="44"/>
      <c r="T3931" s="44"/>
    </row>
    <row r="3932" spans="12:20" x14ac:dyDescent="0.2">
      <c r="L3932" s="43"/>
      <c r="M3932" s="43"/>
      <c r="N3932" s="43"/>
      <c r="O3932" s="43"/>
      <c r="Q3932" s="44"/>
      <c r="R3932" s="44"/>
      <c r="S3932" s="44"/>
      <c r="T3932" s="44"/>
    </row>
    <row r="3933" spans="12:20" x14ac:dyDescent="0.2">
      <c r="L3933" s="43"/>
      <c r="M3933" s="43"/>
      <c r="N3933" s="43"/>
      <c r="O3933" s="43"/>
      <c r="Q3933" s="44"/>
      <c r="R3933" s="44"/>
      <c r="S3933" s="44"/>
      <c r="T3933" s="44"/>
    </row>
    <row r="3934" spans="12:20" x14ac:dyDescent="0.2">
      <c r="L3934" s="43"/>
      <c r="M3934" s="43"/>
      <c r="N3934" s="43"/>
      <c r="O3934" s="43"/>
      <c r="Q3934" s="44"/>
      <c r="R3934" s="44"/>
      <c r="S3934" s="44"/>
      <c r="T3934" s="44"/>
    </row>
    <row r="3935" spans="12:20" x14ac:dyDescent="0.2">
      <c r="L3935" s="43"/>
      <c r="M3935" s="43"/>
      <c r="N3935" s="43"/>
      <c r="O3935" s="43"/>
      <c r="Q3935" s="44"/>
      <c r="R3935" s="44"/>
      <c r="S3935" s="44"/>
      <c r="T3935" s="44"/>
    </row>
    <row r="3936" spans="12:20" x14ac:dyDescent="0.2">
      <c r="L3936" s="43"/>
      <c r="M3936" s="43"/>
      <c r="N3936" s="43"/>
      <c r="O3936" s="43"/>
      <c r="Q3936" s="44"/>
      <c r="R3936" s="44"/>
      <c r="S3936" s="44"/>
      <c r="T3936" s="44"/>
    </row>
    <row r="3937" spans="12:20" x14ac:dyDescent="0.2">
      <c r="L3937" s="43"/>
      <c r="M3937" s="43"/>
      <c r="N3937" s="43"/>
      <c r="O3937" s="43"/>
      <c r="Q3937" s="44"/>
      <c r="R3937" s="44"/>
      <c r="S3937" s="44"/>
      <c r="T3937" s="44"/>
    </row>
    <row r="3938" spans="12:20" x14ac:dyDescent="0.2">
      <c r="L3938" s="43"/>
      <c r="M3938" s="43"/>
      <c r="N3938" s="43"/>
      <c r="O3938" s="43"/>
      <c r="Q3938" s="44"/>
      <c r="R3938" s="44"/>
      <c r="S3938" s="44"/>
      <c r="T3938" s="44"/>
    </row>
    <row r="3939" spans="12:20" x14ac:dyDescent="0.2">
      <c r="L3939" s="43"/>
      <c r="M3939" s="43"/>
      <c r="N3939" s="43"/>
      <c r="O3939" s="43"/>
      <c r="Q3939" s="44"/>
      <c r="R3939" s="44"/>
      <c r="S3939" s="44"/>
      <c r="T3939" s="44"/>
    </row>
    <row r="3940" spans="12:20" x14ac:dyDescent="0.2">
      <c r="L3940" s="43"/>
      <c r="M3940" s="43"/>
      <c r="N3940" s="43"/>
      <c r="O3940" s="43"/>
      <c r="Q3940" s="44"/>
      <c r="R3940" s="44"/>
      <c r="S3940" s="44"/>
      <c r="T3940" s="44"/>
    </row>
    <row r="3941" spans="12:20" x14ac:dyDescent="0.2">
      <c r="L3941" s="43"/>
      <c r="M3941" s="43"/>
      <c r="N3941" s="43"/>
      <c r="O3941" s="43"/>
      <c r="Q3941" s="44"/>
      <c r="R3941" s="44"/>
      <c r="S3941" s="44"/>
      <c r="T3941" s="44"/>
    </row>
    <row r="3942" spans="12:20" x14ac:dyDescent="0.2">
      <c r="L3942" s="43"/>
      <c r="M3942" s="43"/>
      <c r="N3942" s="43"/>
      <c r="O3942" s="43"/>
      <c r="Q3942" s="44"/>
      <c r="R3942" s="44"/>
      <c r="S3942" s="44"/>
      <c r="T3942" s="44"/>
    </row>
    <row r="3943" spans="12:20" x14ac:dyDescent="0.2">
      <c r="L3943" s="43"/>
      <c r="M3943" s="43"/>
      <c r="N3943" s="43"/>
      <c r="O3943" s="43"/>
      <c r="Q3943" s="44"/>
      <c r="R3943" s="44"/>
      <c r="S3943" s="44"/>
      <c r="T3943" s="44"/>
    </row>
    <row r="3944" spans="12:20" x14ac:dyDescent="0.2">
      <c r="L3944" s="43"/>
      <c r="M3944" s="43"/>
      <c r="N3944" s="43"/>
      <c r="O3944" s="43"/>
      <c r="Q3944" s="44"/>
      <c r="R3944" s="44"/>
      <c r="S3944" s="44"/>
      <c r="T3944" s="44"/>
    </row>
    <row r="3945" spans="12:20" x14ac:dyDescent="0.2">
      <c r="L3945" s="43"/>
      <c r="M3945" s="43"/>
      <c r="N3945" s="43"/>
      <c r="O3945" s="43"/>
      <c r="Q3945" s="44"/>
      <c r="R3945" s="44"/>
      <c r="S3945" s="44"/>
      <c r="T3945" s="44"/>
    </row>
    <row r="3946" spans="12:20" x14ac:dyDescent="0.2">
      <c r="L3946" s="43"/>
      <c r="M3946" s="43"/>
      <c r="N3946" s="43"/>
      <c r="O3946" s="43"/>
      <c r="Q3946" s="44"/>
      <c r="R3946" s="44"/>
      <c r="S3946" s="44"/>
      <c r="T3946" s="44"/>
    </row>
    <row r="3947" spans="12:20" x14ac:dyDescent="0.2">
      <c r="L3947" s="43"/>
      <c r="M3947" s="43"/>
      <c r="N3947" s="43"/>
      <c r="O3947" s="43"/>
      <c r="Q3947" s="44"/>
      <c r="R3947" s="44"/>
      <c r="S3947" s="44"/>
      <c r="T3947" s="44"/>
    </row>
    <row r="3948" spans="12:20" x14ac:dyDescent="0.2">
      <c r="L3948" s="43"/>
      <c r="M3948" s="43"/>
      <c r="N3948" s="43"/>
      <c r="O3948" s="43"/>
      <c r="Q3948" s="44"/>
      <c r="R3948" s="44"/>
      <c r="S3948" s="44"/>
      <c r="T3948" s="44"/>
    </row>
    <row r="3949" spans="12:20" x14ac:dyDescent="0.2">
      <c r="L3949" s="43"/>
      <c r="M3949" s="43"/>
      <c r="N3949" s="43"/>
      <c r="O3949" s="43"/>
      <c r="Q3949" s="44"/>
      <c r="R3949" s="44"/>
      <c r="S3949" s="44"/>
      <c r="T3949" s="44"/>
    </row>
    <row r="3950" spans="12:20" x14ac:dyDescent="0.2">
      <c r="L3950" s="43"/>
      <c r="M3950" s="43"/>
      <c r="N3950" s="43"/>
      <c r="O3950" s="43"/>
      <c r="Q3950" s="44"/>
      <c r="R3950" s="44"/>
      <c r="S3950" s="44"/>
      <c r="T3950" s="44"/>
    </row>
    <row r="3951" spans="12:20" x14ac:dyDescent="0.2">
      <c r="L3951" s="43"/>
      <c r="M3951" s="43"/>
      <c r="N3951" s="43"/>
      <c r="O3951" s="43"/>
      <c r="Q3951" s="44"/>
      <c r="R3951" s="44"/>
      <c r="S3951" s="44"/>
      <c r="T3951" s="44"/>
    </row>
    <row r="3952" spans="12:20" x14ac:dyDescent="0.2">
      <c r="L3952" s="43"/>
      <c r="M3952" s="43"/>
      <c r="N3952" s="43"/>
      <c r="O3952" s="43"/>
      <c r="Q3952" s="44"/>
      <c r="R3952" s="44"/>
      <c r="S3952" s="44"/>
      <c r="T3952" s="44"/>
    </row>
    <row r="3953" spans="12:20" x14ac:dyDescent="0.2">
      <c r="L3953" s="43"/>
      <c r="M3953" s="43"/>
      <c r="N3953" s="43"/>
      <c r="O3953" s="43"/>
      <c r="Q3953" s="44"/>
      <c r="R3953" s="44"/>
      <c r="S3953" s="44"/>
      <c r="T3953" s="44"/>
    </row>
    <row r="3954" spans="12:20" x14ac:dyDescent="0.2">
      <c r="L3954" s="43"/>
      <c r="M3954" s="43"/>
      <c r="N3954" s="43"/>
      <c r="O3954" s="43"/>
      <c r="Q3954" s="44"/>
      <c r="R3954" s="44"/>
      <c r="S3954" s="44"/>
      <c r="T3954" s="44"/>
    </row>
    <row r="3955" spans="12:20" x14ac:dyDescent="0.2">
      <c r="L3955" s="43"/>
      <c r="M3955" s="43"/>
      <c r="N3955" s="43"/>
      <c r="O3955" s="43"/>
      <c r="Q3955" s="44"/>
      <c r="R3955" s="44"/>
      <c r="S3955" s="44"/>
      <c r="T3955" s="44"/>
    </row>
    <row r="3956" spans="12:20" x14ac:dyDescent="0.2">
      <c r="L3956" s="43"/>
      <c r="M3956" s="43"/>
      <c r="N3956" s="43"/>
      <c r="O3956" s="43"/>
      <c r="Q3956" s="44"/>
      <c r="R3956" s="44"/>
      <c r="S3956" s="44"/>
      <c r="T3956" s="44"/>
    </row>
    <row r="3957" spans="12:20" x14ac:dyDescent="0.2">
      <c r="L3957" s="43"/>
      <c r="M3957" s="43"/>
      <c r="N3957" s="43"/>
      <c r="O3957" s="43"/>
      <c r="Q3957" s="44"/>
      <c r="R3957" s="44"/>
      <c r="S3957" s="44"/>
      <c r="T3957" s="44"/>
    </row>
    <row r="3958" spans="12:20" x14ac:dyDescent="0.2">
      <c r="L3958" s="43"/>
      <c r="M3958" s="43"/>
      <c r="N3958" s="43"/>
      <c r="O3958" s="43"/>
      <c r="Q3958" s="44"/>
      <c r="R3958" s="44"/>
      <c r="S3958" s="44"/>
      <c r="T3958" s="44"/>
    </row>
    <row r="3959" spans="12:20" x14ac:dyDescent="0.2">
      <c r="L3959" s="43"/>
      <c r="M3959" s="43"/>
      <c r="N3959" s="43"/>
      <c r="O3959" s="43"/>
      <c r="Q3959" s="44"/>
      <c r="R3959" s="44"/>
      <c r="S3959" s="44"/>
      <c r="T3959" s="44"/>
    </row>
    <row r="3960" spans="12:20" x14ac:dyDescent="0.2">
      <c r="L3960" s="43"/>
      <c r="M3960" s="43"/>
      <c r="N3960" s="43"/>
      <c r="O3960" s="43"/>
      <c r="Q3960" s="44"/>
      <c r="R3960" s="44"/>
      <c r="S3960" s="44"/>
      <c r="T3960" s="44"/>
    </row>
    <row r="3961" spans="12:20" x14ac:dyDescent="0.2">
      <c r="L3961" s="43"/>
      <c r="M3961" s="43"/>
      <c r="N3961" s="43"/>
      <c r="O3961" s="43"/>
      <c r="Q3961" s="44"/>
      <c r="R3961" s="44"/>
      <c r="S3961" s="44"/>
      <c r="T3961" s="44"/>
    </row>
    <row r="3962" spans="12:20" x14ac:dyDescent="0.2">
      <c r="L3962" s="43"/>
      <c r="M3962" s="43"/>
      <c r="N3962" s="43"/>
      <c r="O3962" s="43"/>
      <c r="Q3962" s="44"/>
      <c r="R3962" s="44"/>
      <c r="S3962" s="44"/>
      <c r="T3962" s="44"/>
    </row>
    <row r="3963" spans="12:20" x14ac:dyDescent="0.2">
      <c r="L3963" s="43"/>
      <c r="M3963" s="43"/>
      <c r="N3963" s="43"/>
      <c r="O3963" s="43"/>
      <c r="Q3963" s="44"/>
      <c r="R3963" s="44"/>
      <c r="S3963" s="44"/>
      <c r="T3963" s="44"/>
    </row>
    <row r="3964" spans="12:20" x14ac:dyDescent="0.2">
      <c r="L3964" s="43"/>
      <c r="M3964" s="43"/>
      <c r="N3964" s="43"/>
      <c r="O3964" s="43"/>
      <c r="Q3964" s="44"/>
      <c r="R3964" s="44"/>
      <c r="S3964" s="44"/>
      <c r="T3964" s="44"/>
    </row>
    <row r="3965" spans="12:20" x14ac:dyDescent="0.2">
      <c r="L3965" s="43"/>
      <c r="M3965" s="43"/>
      <c r="N3965" s="43"/>
      <c r="O3965" s="43"/>
      <c r="Q3965" s="44"/>
      <c r="R3965" s="44"/>
      <c r="S3965" s="44"/>
      <c r="T3965" s="44"/>
    </row>
    <row r="3966" spans="12:20" x14ac:dyDescent="0.2">
      <c r="L3966" s="43"/>
      <c r="M3966" s="43"/>
      <c r="N3966" s="43"/>
      <c r="O3966" s="43"/>
      <c r="Q3966" s="44"/>
      <c r="R3966" s="44"/>
      <c r="S3966" s="44"/>
      <c r="T3966" s="44"/>
    </row>
    <row r="3967" spans="12:20" x14ac:dyDescent="0.2">
      <c r="L3967" s="43"/>
      <c r="M3967" s="43"/>
      <c r="N3967" s="43"/>
      <c r="O3967" s="43"/>
      <c r="Q3967" s="44"/>
      <c r="R3967" s="44"/>
      <c r="S3967" s="44"/>
      <c r="T3967" s="44"/>
    </row>
    <row r="3968" spans="12:20" x14ac:dyDescent="0.2">
      <c r="L3968" s="43"/>
      <c r="M3968" s="43"/>
      <c r="N3968" s="43"/>
      <c r="O3968" s="43"/>
      <c r="Q3968" s="44"/>
      <c r="R3968" s="44"/>
      <c r="S3968" s="44"/>
      <c r="T3968" s="44"/>
    </row>
    <row r="3969" spans="12:20" x14ac:dyDescent="0.2">
      <c r="L3969" s="43"/>
      <c r="M3969" s="43"/>
      <c r="N3969" s="43"/>
      <c r="O3969" s="43"/>
      <c r="Q3969" s="44"/>
      <c r="R3969" s="44"/>
      <c r="S3969" s="44"/>
      <c r="T3969" s="44"/>
    </row>
    <row r="3970" spans="12:20" x14ac:dyDescent="0.2">
      <c r="L3970" s="43"/>
      <c r="M3970" s="43"/>
      <c r="N3970" s="43"/>
      <c r="O3970" s="43"/>
      <c r="Q3970" s="44"/>
      <c r="R3970" s="44"/>
      <c r="S3970" s="44"/>
      <c r="T3970" s="44"/>
    </row>
    <row r="3971" spans="12:20" x14ac:dyDescent="0.2">
      <c r="L3971" s="43"/>
      <c r="M3971" s="43"/>
      <c r="N3971" s="43"/>
      <c r="O3971" s="43"/>
      <c r="Q3971" s="44"/>
      <c r="R3971" s="44"/>
      <c r="S3971" s="44"/>
      <c r="T3971" s="44"/>
    </row>
    <row r="3972" spans="12:20" x14ac:dyDescent="0.2">
      <c r="L3972" s="43"/>
      <c r="M3972" s="43"/>
      <c r="N3972" s="43"/>
      <c r="O3972" s="43"/>
      <c r="Q3972" s="44"/>
      <c r="R3972" s="44"/>
      <c r="S3972" s="44"/>
      <c r="T3972" s="44"/>
    </row>
    <row r="3973" spans="12:20" x14ac:dyDescent="0.2">
      <c r="L3973" s="43"/>
      <c r="M3973" s="43"/>
      <c r="N3973" s="43"/>
      <c r="O3973" s="43"/>
      <c r="Q3973" s="44"/>
      <c r="R3973" s="44"/>
      <c r="S3973" s="44"/>
      <c r="T3973" s="44"/>
    </row>
    <row r="3974" spans="12:20" x14ac:dyDescent="0.2">
      <c r="L3974" s="43"/>
      <c r="M3974" s="43"/>
      <c r="N3974" s="43"/>
      <c r="O3974" s="43"/>
      <c r="Q3974" s="44"/>
      <c r="R3974" s="44"/>
      <c r="S3974" s="44"/>
      <c r="T3974" s="44"/>
    </row>
    <row r="3975" spans="12:20" x14ac:dyDescent="0.2">
      <c r="L3975" s="43"/>
      <c r="M3975" s="43"/>
      <c r="N3975" s="43"/>
      <c r="O3975" s="43"/>
      <c r="Q3975" s="44"/>
      <c r="R3975" s="44"/>
      <c r="S3975" s="44"/>
      <c r="T3975" s="44"/>
    </row>
    <row r="3976" spans="12:20" x14ac:dyDescent="0.2">
      <c r="L3976" s="43"/>
      <c r="M3976" s="43"/>
      <c r="N3976" s="43"/>
      <c r="O3976" s="43"/>
      <c r="Q3976" s="44"/>
      <c r="R3976" s="44"/>
      <c r="S3976" s="44"/>
      <c r="T3976" s="44"/>
    </row>
    <row r="3977" spans="12:20" x14ac:dyDescent="0.2">
      <c r="L3977" s="43"/>
      <c r="M3977" s="43"/>
      <c r="N3977" s="43"/>
      <c r="O3977" s="43"/>
      <c r="Q3977" s="44"/>
      <c r="R3977" s="44"/>
      <c r="S3977" s="44"/>
      <c r="T3977" s="44"/>
    </row>
    <row r="3978" spans="12:20" x14ac:dyDescent="0.2">
      <c r="L3978" s="43"/>
      <c r="M3978" s="43"/>
      <c r="N3978" s="43"/>
      <c r="O3978" s="43"/>
      <c r="Q3978" s="44"/>
      <c r="R3978" s="44"/>
      <c r="S3978" s="44"/>
      <c r="T3978" s="44"/>
    </row>
    <row r="3979" spans="12:20" x14ac:dyDescent="0.2">
      <c r="L3979" s="43"/>
      <c r="M3979" s="43"/>
      <c r="N3979" s="43"/>
      <c r="O3979" s="43"/>
      <c r="Q3979" s="44"/>
      <c r="R3979" s="44"/>
      <c r="S3979" s="44"/>
      <c r="T3979" s="44"/>
    </row>
    <row r="3980" spans="12:20" x14ac:dyDescent="0.2">
      <c r="L3980" s="43"/>
      <c r="M3980" s="43"/>
      <c r="N3980" s="43"/>
      <c r="O3980" s="43"/>
      <c r="Q3980" s="44"/>
      <c r="R3980" s="44"/>
      <c r="S3980" s="44"/>
      <c r="T3980" s="44"/>
    </row>
    <row r="3981" spans="12:20" x14ac:dyDescent="0.2">
      <c r="L3981" s="43"/>
      <c r="M3981" s="43"/>
      <c r="N3981" s="43"/>
      <c r="O3981" s="43"/>
      <c r="Q3981" s="44"/>
      <c r="R3981" s="44"/>
      <c r="S3981" s="44"/>
      <c r="T3981" s="44"/>
    </row>
    <row r="3982" spans="12:20" x14ac:dyDescent="0.2">
      <c r="L3982" s="43"/>
      <c r="M3982" s="43"/>
      <c r="N3982" s="43"/>
      <c r="O3982" s="43"/>
      <c r="Q3982" s="44"/>
      <c r="R3982" s="44"/>
      <c r="S3982" s="44"/>
      <c r="T3982" s="44"/>
    </row>
    <row r="3983" spans="12:20" x14ac:dyDescent="0.2">
      <c r="L3983" s="43"/>
      <c r="M3983" s="43"/>
      <c r="N3983" s="43"/>
      <c r="O3983" s="43"/>
      <c r="Q3983" s="44"/>
      <c r="R3983" s="44"/>
      <c r="S3983" s="44"/>
      <c r="T3983" s="44"/>
    </row>
    <row r="3984" spans="12:20" x14ac:dyDescent="0.2">
      <c r="L3984" s="43"/>
      <c r="M3984" s="43"/>
      <c r="N3984" s="43"/>
      <c r="O3984" s="43"/>
      <c r="Q3984" s="44"/>
      <c r="R3984" s="44"/>
      <c r="S3984" s="44"/>
      <c r="T3984" s="44"/>
    </row>
    <row r="3985" spans="12:20" x14ac:dyDescent="0.2">
      <c r="L3985" s="43"/>
      <c r="M3985" s="43"/>
      <c r="N3985" s="43"/>
      <c r="O3985" s="43"/>
      <c r="Q3985" s="44"/>
      <c r="R3985" s="44"/>
      <c r="S3985" s="44"/>
      <c r="T3985" s="44"/>
    </row>
    <row r="3986" spans="12:20" x14ac:dyDescent="0.2">
      <c r="L3986" s="43"/>
      <c r="M3986" s="43"/>
      <c r="N3986" s="43"/>
      <c r="O3986" s="43"/>
      <c r="Q3986" s="44"/>
      <c r="R3986" s="44"/>
      <c r="S3986" s="44"/>
      <c r="T3986" s="44"/>
    </row>
    <row r="3987" spans="12:20" x14ac:dyDescent="0.2">
      <c r="L3987" s="43"/>
      <c r="M3987" s="43"/>
      <c r="N3987" s="43"/>
      <c r="O3987" s="43"/>
      <c r="Q3987" s="44"/>
      <c r="R3987" s="44"/>
      <c r="S3987" s="44"/>
      <c r="T3987" s="44"/>
    </row>
    <row r="3988" spans="12:20" x14ac:dyDescent="0.2">
      <c r="L3988" s="43"/>
      <c r="M3988" s="43"/>
      <c r="N3988" s="43"/>
      <c r="O3988" s="43"/>
      <c r="Q3988" s="44"/>
      <c r="R3988" s="44"/>
      <c r="S3988" s="44"/>
      <c r="T3988" s="44"/>
    </row>
    <row r="3989" spans="12:20" x14ac:dyDescent="0.2">
      <c r="L3989" s="43"/>
      <c r="M3989" s="43"/>
      <c r="N3989" s="43"/>
      <c r="O3989" s="43"/>
      <c r="Q3989" s="44"/>
      <c r="R3989" s="44"/>
      <c r="S3989" s="44"/>
      <c r="T3989" s="44"/>
    </row>
    <row r="3990" spans="12:20" x14ac:dyDescent="0.2">
      <c r="L3990" s="43"/>
      <c r="M3990" s="43"/>
      <c r="N3990" s="43"/>
      <c r="O3990" s="43"/>
      <c r="Q3990" s="44"/>
      <c r="R3990" s="44"/>
      <c r="S3990" s="44"/>
      <c r="T3990" s="44"/>
    </row>
    <row r="3991" spans="12:20" x14ac:dyDescent="0.2">
      <c r="L3991" s="43"/>
      <c r="M3991" s="43"/>
      <c r="N3991" s="43"/>
      <c r="O3991" s="43"/>
      <c r="Q3991" s="44"/>
      <c r="R3991" s="44"/>
      <c r="S3991" s="44"/>
      <c r="T3991" s="44"/>
    </row>
    <row r="3992" spans="12:20" x14ac:dyDescent="0.2">
      <c r="L3992" s="43"/>
      <c r="M3992" s="43"/>
      <c r="N3992" s="43"/>
      <c r="O3992" s="43"/>
      <c r="Q3992" s="44"/>
      <c r="R3992" s="44"/>
      <c r="S3992" s="44"/>
      <c r="T3992" s="44"/>
    </row>
    <row r="3993" spans="12:20" x14ac:dyDescent="0.2">
      <c r="L3993" s="43"/>
      <c r="M3993" s="43"/>
      <c r="N3993" s="43"/>
      <c r="O3993" s="43"/>
      <c r="Q3993" s="44"/>
      <c r="R3993" s="44"/>
      <c r="S3993" s="44"/>
      <c r="T3993" s="44"/>
    </row>
    <row r="3994" spans="12:20" x14ac:dyDescent="0.2">
      <c r="L3994" s="43"/>
      <c r="M3994" s="43"/>
      <c r="N3994" s="43"/>
      <c r="O3994" s="43"/>
      <c r="Q3994" s="44"/>
      <c r="R3994" s="44"/>
      <c r="S3994" s="44"/>
      <c r="T3994" s="44"/>
    </row>
    <row r="3995" spans="12:20" x14ac:dyDescent="0.2">
      <c r="L3995" s="43"/>
      <c r="M3995" s="43"/>
      <c r="N3995" s="43"/>
      <c r="O3995" s="43"/>
      <c r="Q3995" s="44"/>
      <c r="R3995" s="44"/>
      <c r="S3995" s="44"/>
      <c r="T3995" s="44"/>
    </row>
    <row r="3996" spans="12:20" x14ac:dyDescent="0.2">
      <c r="L3996" s="43"/>
      <c r="M3996" s="43"/>
      <c r="N3996" s="43"/>
      <c r="O3996" s="43"/>
      <c r="Q3996" s="44"/>
      <c r="R3996" s="44"/>
      <c r="S3996" s="44"/>
      <c r="T3996" s="44"/>
    </row>
    <row r="3997" spans="12:20" x14ac:dyDescent="0.2">
      <c r="L3997" s="43"/>
      <c r="M3997" s="43"/>
      <c r="N3997" s="43"/>
      <c r="O3997" s="43"/>
      <c r="Q3997" s="44"/>
      <c r="R3997" s="44"/>
      <c r="S3997" s="44"/>
      <c r="T3997" s="44"/>
    </row>
    <row r="3998" spans="12:20" x14ac:dyDescent="0.2">
      <c r="L3998" s="43"/>
      <c r="M3998" s="43"/>
      <c r="N3998" s="43"/>
      <c r="O3998" s="43"/>
      <c r="Q3998" s="44"/>
      <c r="R3998" s="44"/>
      <c r="S3998" s="44"/>
      <c r="T3998" s="44"/>
    </row>
    <row r="3999" spans="12:20" x14ac:dyDescent="0.2">
      <c r="L3999" s="43"/>
      <c r="M3999" s="43"/>
      <c r="N3999" s="43"/>
      <c r="O3999" s="43"/>
      <c r="Q3999" s="44"/>
      <c r="R3999" s="44"/>
      <c r="S3999" s="44"/>
      <c r="T3999" s="44"/>
    </row>
    <row r="4000" spans="12:20" x14ac:dyDescent="0.2">
      <c r="L4000" s="43"/>
      <c r="M4000" s="43"/>
      <c r="N4000" s="43"/>
      <c r="O4000" s="43"/>
      <c r="Q4000" s="44"/>
      <c r="R4000" s="44"/>
      <c r="S4000" s="44"/>
      <c r="T4000" s="44"/>
    </row>
    <row r="4001" spans="12:20" x14ac:dyDescent="0.2">
      <c r="L4001" s="43"/>
      <c r="M4001" s="43"/>
      <c r="N4001" s="43"/>
      <c r="O4001" s="43"/>
      <c r="Q4001" s="44"/>
      <c r="R4001" s="44"/>
      <c r="S4001" s="44"/>
      <c r="T4001" s="44"/>
    </row>
    <row r="4002" spans="12:20" x14ac:dyDescent="0.2">
      <c r="L4002" s="43"/>
      <c r="M4002" s="43"/>
      <c r="N4002" s="43"/>
      <c r="O4002" s="43"/>
      <c r="Q4002" s="44"/>
      <c r="R4002" s="44"/>
      <c r="S4002" s="44"/>
      <c r="T4002" s="44"/>
    </row>
    <row r="4003" spans="12:20" x14ac:dyDescent="0.2">
      <c r="L4003" s="43"/>
      <c r="M4003" s="43"/>
      <c r="N4003" s="43"/>
      <c r="O4003" s="43"/>
      <c r="Q4003" s="44"/>
      <c r="R4003" s="44"/>
      <c r="S4003" s="44"/>
      <c r="T4003" s="44"/>
    </row>
    <row r="4004" spans="12:20" x14ac:dyDescent="0.2">
      <c r="L4004" s="43"/>
      <c r="M4004" s="43"/>
      <c r="N4004" s="43"/>
      <c r="O4004" s="43"/>
      <c r="Q4004" s="44"/>
      <c r="R4004" s="44"/>
      <c r="S4004" s="44"/>
      <c r="T4004" s="44"/>
    </row>
    <row r="4005" spans="12:20" x14ac:dyDescent="0.2">
      <c r="L4005" s="43"/>
      <c r="M4005" s="43"/>
      <c r="N4005" s="43"/>
      <c r="O4005" s="43"/>
      <c r="Q4005" s="44"/>
      <c r="R4005" s="44"/>
      <c r="S4005" s="44"/>
      <c r="T4005" s="44"/>
    </row>
    <row r="4006" spans="12:20" x14ac:dyDescent="0.2">
      <c r="L4006" s="43"/>
      <c r="M4006" s="43"/>
      <c r="N4006" s="43"/>
      <c r="O4006" s="43"/>
      <c r="Q4006" s="44"/>
      <c r="R4006" s="44"/>
      <c r="S4006" s="44"/>
      <c r="T4006" s="44"/>
    </row>
    <row r="4007" spans="12:20" x14ac:dyDescent="0.2">
      <c r="L4007" s="43"/>
      <c r="M4007" s="43"/>
      <c r="N4007" s="43"/>
      <c r="O4007" s="43"/>
      <c r="Q4007" s="44"/>
      <c r="R4007" s="44"/>
      <c r="S4007" s="44"/>
      <c r="T4007" s="44"/>
    </row>
    <row r="4008" spans="12:20" x14ac:dyDescent="0.2">
      <c r="L4008" s="43"/>
      <c r="M4008" s="43"/>
      <c r="N4008" s="43"/>
      <c r="O4008" s="43"/>
      <c r="Q4008" s="44"/>
      <c r="R4008" s="44"/>
      <c r="S4008" s="44"/>
      <c r="T4008" s="44"/>
    </row>
    <row r="4009" spans="12:20" x14ac:dyDescent="0.2">
      <c r="L4009" s="43"/>
      <c r="M4009" s="43"/>
      <c r="N4009" s="43"/>
      <c r="O4009" s="43"/>
      <c r="Q4009" s="44"/>
      <c r="R4009" s="44"/>
      <c r="S4009" s="44"/>
      <c r="T4009" s="44"/>
    </row>
    <row r="4010" spans="12:20" x14ac:dyDescent="0.2">
      <c r="L4010" s="43"/>
      <c r="M4010" s="43"/>
      <c r="N4010" s="43"/>
      <c r="O4010" s="43"/>
      <c r="Q4010" s="44"/>
      <c r="R4010" s="44"/>
      <c r="S4010" s="44"/>
      <c r="T4010" s="44"/>
    </row>
    <row r="4011" spans="12:20" x14ac:dyDescent="0.2">
      <c r="L4011" s="43"/>
      <c r="M4011" s="43"/>
      <c r="N4011" s="43"/>
      <c r="O4011" s="43"/>
      <c r="Q4011" s="44"/>
      <c r="R4011" s="44"/>
      <c r="S4011" s="44"/>
      <c r="T4011" s="44"/>
    </row>
    <row r="4012" spans="12:20" x14ac:dyDescent="0.2">
      <c r="L4012" s="43"/>
      <c r="M4012" s="43"/>
      <c r="N4012" s="43"/>
      <c r="O4012" s="43"/>
      <c r="Q4012" s="44"/>
      <c r="R4012" s="44"/>
      <c r="S4012" s="44"/>
      <c r="T4012" s="44"/>
    </row>
    <row r="4013" spans="12:20" x14ac:dyDescent="0.2">
      <c r="L4013" s="43"/>
      <c r="M4013" s="43"/>
      <c r="N4013" s="43"/>
      <c r="O4013" s="43"/>
      <c r="Q4013" s="44"/>
      <c r="R4013" s="44"/>
      <c r="S4013" s="44"/>
      <c r="T4013" s="44"/>
    </row>
    <row r="4014" spans="12:20" x14ac:dyDescent="0.2">
      <c r="L4014" s="43"/>
      <c r="M4014" s="43"/>
      <c r="N4014" s="43"/>
      <c r="O4014" s="43"/>
      <c r="Q4014" s="44"/>
      <c r="R4014" s="44"/>
      <c r="S4014" s="44"/>
      <c r="T4014" s="44"/>
    </row>
    <row r="4015" spans="12:20" x14ac:dyDescent="0.2">
      <c r="L4015" s="43"/>
      <c r="M4015" s="43"/>
      <c r="N4015" s="43"/>
      <c r="O4015" s="43"/>
      <c r="Q4015" s="44"/>
      <c r="R4015" s="44"/>
      <c r="S4015" s="44"/>
      <c r="T4015" s="44"/>
    </row>
    <row r="4016" spans="12:20" x14ac:dyDescent="0.2">
      <c r="L4016" s="43"/>
      <c r="M4016" s="43"/>
      <c r="N4016" s="43"/>
      <c r="O4016" s="43"/>
      <c r="Q4016" s="44"/>
      <c r="R4016" s="44"/>
      <c r="S4016" s="44"/>
      <c r="T4016" s="44"/>
    </row>
    <row r="4017" spans="12:20" x14ac:dyDescent="0.2">
      <c r="L4017" s="43"/>
      <c r="M4017" s="43"/>
      <c r="N4017" s="43"/>
      <c r="O4017" s="43"/>
      <c r="Q4017" s="44"/>
      <c r="R4017" s="44"/>
      <c r="S4017" s="44"/>
      <c r="T4017" s="44"/>
    </row>
    <row r="4018" spans="12:20" x14ac:dyDescent="0.2">
      <c r="L4018" s="43"/>
      <c r="M4018" s="43"/>
      <c r="N4018" s="43"/>
      <c r="O4018" s="43"/>
      <c r="Q4018" s="44"/>
      <c r="R4018" s="44"/>
      <c r="S4018" s="44"/>
      <c r="T4018" s="44"/>
    </row>
    <row r="4019" spans="12:20" x14ac:dyDescent="0.2">
      <c r="L4019" s="43"/>
      <c r="M4019" s="43"/>
      <c r="N4019" s="43"/>
      <c r="O4019" s="43"/>
      <c r="Q4019" s="44"/>
      <c r="R4019" s="44"/>
      <c r="S4019" s="44"/>
      <c r="T4019" s="44"/>
    </row>
    <row r="4020" spans="12:20" x14ac:dyDescent="0.2">
      <c r="L4020" s="43"/>
      <c r="M4020" s="43"/>
      <c r="N4020" s="43"/>
      <c r="O4020" s="43"/>
      <c r="Q4020" s="44"/>
      <c r="R4020" s="44"/>
      <c r="S4020" s="44"/>
      <c r="T4020" s="44"/>
    </row>
    <row r="4021" spans="12:20" x14ac:dyDescent="0.2">
      <c r="L4021" s="43"/>
      <c r="M4021" s="43"/>
      <c r="N4021" s="43"/>
      <c r="O4021" s="43"/>
      <c r="Q4021" s="44"/>
      <c r="R4021" s="44"/>
      <c r="S4021" s="44"/>
      <c r="T4021" s="44"/>
    </row>
    <row r="4022" spans="12:20" x14ac:dyDescent="0.2">
      <c r="L4022" s="43"/>
      <c r="M4022" s="43"/>
      <c r="N4022" s="43"/>
      <c r="O4022" s="43"/>
      <c r="Q4022" s="44"/>
      <c r="R4022" s="44"/>
      <c r="S4022" s="44"/>
      <c r="T4022" s="44"/>
    </row>
    <row r="4023" spans="12:20" x14ac:dyDescent="0.2">
      <c r="L4023" s="43"/>
      <c r="M4023" s="43"/>
      <c r="N4023" s="43"/>
      <c r="O4023" s="43"/>
      <c r="Q4023" s="44"/>
      <c r="R4023" s="44"/>
      <c r="S4023" s="44"/>
      <c r="T4023" s="44"/>
    </row>
    <row r="4024" spans="12:20" x14ac:dyDescent="0.2">
      <c r="L4024" s="43"/>
      <c r="M4024" s="43"/>
      <c r="N4024" s="43"/>
      <c r="O4024" s="43"/>
      <c r="Q4024" s="44"/>
      <c r="R4024" s="44"/>
      <c r="S4024" s="44"/>
      <c r="T4024" s="44"/>
    </row>
    <row r="4025" spans="12:20" x14ac:dyDescent="0.2">
      <c r="L4025" s="43"/>
      <c r="M4025" s="43"/>
      <c r="N4025" s="43"/>
      <c r="O4025" s="43"/>
      <c r="Q4025" s="44"/>
      <c r="R4025" s="44"/>
      <c r="S4025" s="44"/>
      <c r="T4025" s="44"/>
    </row>
    <row r="4026" spans="12:20" x14ac:dyDescent="0.2">
      <c r="L4026" s="43"/>
      <c r="M4026" s="43"/>
      <c r="N4026" s="43"/>
      <c r="O4026" s="43"/>
      <c r="Q4026" s="44"/>
      <c r="R4026" s="44"/>
      <c r="S4026" s="44"/>
      <c r="T4026" s="44"/>
    </row>
    <row r="4027" spans="12:20" x14ac:dyDescent="0.2">
      <c r="L4027" s="43"/>
      <c r="M4027" s="43"/>
      <c r="N4027" s="43"/>
      <c r="O4027" s="43"/>
      <c r="Q4027" s="44"/>
      <c r="R4027" s="44"/>
      <c r="S4027" s="44"/>
      <c r="T4027" s="44"/>
    </row>
    <row r="4028" spans="12:20" x14ac:dyDescent="0.2">
      <c r="L4028" s="43"/>
      <c r="M4028" s="43"/>
      <c r="N4028" s="43"/>
      <c r="O4028" s="43"/>
      <c r="Q4028" s="44"/>
      <c r="R4028" s="44"/>
      <c r="S4028" s="44"/>
      <c r="T4028" s="44"/>
    </row>
    <row r="4029" spans="12:20" x14ac:dyDescent="0.2">
      <c r="L4029" s="43"/>
      <c r="M4029" s="43"/>
      <c r="N4029" s="43"/>
      <c r="O4029" s="43"/>
      <c r="Q4029" s="44"/>
      <c r="R4029" s="44"/>
      <c r="S4029" s="44"/>
      <c r="T4029" s="44"/>
    </row>
    <row r="4030" spans="12:20" x14ac:dyDescent="0.2">
      <c r="L4030" s="43"/>
      <c r="M4030" s="43"/>
      <c r="N4030" s="43"/>
      <c r="O4030" s="43"/>
      <c r="Q4030" s="44"/>
      <c r="R4030" s="44"/>
      <c r="S4030" s="44"/>
      <c r="T4030" s="44"/>
    </row>
    <row r="4031" spans="12:20" x14ac:dyDescent="0.2">
      <c r="L4031" s="43"/>
      <c r="M4031" s="43"/>
      <c r="N4031" s="43"/>
      <c r="O4031" s="43"/>
      <c r="Q4031" s="44"/>
      <c r="R4031" s="44"/>
      <c r="S4031" s="44"/>
      <c r="T4031" s="44"/>
    </row>
    <row r="4032" spans="12:20" x14ac:dyDescent="0.2">
      <c r="L4032" s="43"/>
      <c r="M4032" s="43"/>
      <c r="N4032" s="43"/>
      <c r="O4032" s="43"/>
      <c r="Q4032" s="44"/>
      <c r="R4032" s="44"/>
      <c r="S4032" s="44"/>
      <c r="T4032" s="44"/>
    </row>
    <row r="4033" spans="12:20" x14ac:dyDescent="0.2">
      <c r="L4033" s="43"/>
      <c r="M4033" s="43"/>
      <c r="N4033" s="43"/>
      <c r="O4033" s="43"/>
      <c r="Q4033" s="44"/>
      <c r="R4033" s="44"/>
      <c r="S4033" s="44"/>
      <c r="T4033" s="44"/>
    </row>
    <row r="4034" spans="12:20" x14ac:dyDescent="0.2">
      <c r="L4034" s="43"/>
      <c r="M4034" s="43"/>
      <c r="N4034" s="43"/>
      <c r="O4034" s="43"/>
      <c r="Q4034" s="44"/>
      <c r="R4034" s="44"/>
      <c r="S4034" s="44"/>
      <c r="T4034" s="44"/>
    </row>
    <row r="4035" spans="12:20" x14ac:dyDescent="0.2">
      <c r="L4035" s="43"/>
      <c r="M4035" s="43"/>
      <c r="N4035" s="43"/>
      <c r="O4035" s="43"/>
      <c r="Q4035" s="44"/>
      <c r="R4035" s="44"/>
      <c r="S4035" s="44"/>
      <c r="T4035" s="44"/>
    </row>
    <row r="4036" spans="12:20" x14ac:dyDescent="0.2">
      <c r="L4036" s="43"/>
      <c r="M4036" s="43"/>
      <c r="N4036" s="43"/>
      <c r="O4036" s="43"/>
      <c r="Q4036" s="44"/>
      <c r="R4036" s="44"/>
      <c r="S4036" s="44"/>
      <c r="T4036" s="44"/>
    </row>
    <row r="4037" spans="12:20" x14ac:dyDescent="0.2">
      <c r="L4037" s="43"/>
      <c r="M4037" s="43"/>
      <c r="N4037" s="43"/>
      <c r="O4037" s="43"/>
      <c r="Q4037" s="44"/>
      <c r="R4037" s="44"/>
      <c r="S4037" s="44"/>
      <c r="T4037" s="44"/>
    </row>
    <row r="4038" spans="12:20" x14ac:dyDescent="0.2">
      <c r="L4038" s="43"/>
      <c r="M4038" s="43"/>
      <c r="N4038" s="43"/>
      <c r="O4038" s="43"/>
      <c r="Q4038" s="44"/>
      <c r="R4038" s="44"/>
      <c r="S4038" s="44"/>
      <c r="T4038" s="44"/>
    </row>
    <row r="4039" spans="12:20" x14ac:dyDescent="0.2">
      <c r="L4039" s="43"/>
      <c r="M4039" s="43"/>
      <c r="N4039" s="43"/>
      <c r="O4039" s="43"/>
      <c r="Q4039" s="44"/>
      <c r="R4039" s="44"/>
      <c r="S4039" s="44"/>
      <c r="T4039" s="44"/>
    </row>
    <row r="4040" spans="12:20" x14ac:dyDescent="0.2">
      <c r="L4040" s="43"/>
      <c r="M4040" s="43"/>
      <c r="N4040" s="43"/>
      <c r="O4040" s="43"/>
      <c r="Q4040" s="44"/>
      <c r="R4040" s="44"/>
      <c r="S4040" s="44"/>
      <c r="T4040" s="44"/>
    </row>
    <row r="4041" spans="12:20" x14ac:dyDescent="0.2">
      <c r="L4041" s="43"/>
      <c r="M4041" s="43"/>
      <c r="N4041" s="43"/>
      <c r="O4041" s="43"/>
      <c r="Q4041" s="44"/>
      <c r="R4041" s="44"/>
      <c r="S4041" s="44"/>
      <c r="T4041" s="44"/>
    </row>
    <row r="4042" spans="12:20" x14ac:dyDescent="0.2">
      <c r="L4042" s="43"/>
      <c r="M4042" s="43"/>
      <c r="N4042" s="43"/>
      <c r="O4042" s="43"/>
      <c r="Q4042" s="44"/>
      <c r="R4042" s="44"/>
      <c r="S4042" s="44"/>
      <c r="T4042" s="44"/>
    </row>
    <row r="4043" spans="12:20" x14ac:dyDescent="0.2">
      <c r="L4043" s="43"/>
      <c r="M4043" s="43"/>
      <c r="N4043" s="43"/>
      <c r="O4043" s="43"/>
      <c r="Q4043" s="44"/>
      <c r="R4043" s="44"/>
      <c r="S4043" s="44"/>
      <c r="T4043" s="44"/>
    </row>
    <row r="4044" spans="12:20" x14ac:dyDescent="0.2">
      <c r="L4044" s="43"/>
      <c r="M4044" s="43"/>
      <c r="N4044" s="43"/>
      <c r="O4044" s="43"/>
      <c r="Q4044" s="44"/>
      <c r="R4044" s="44"/>
      <c r="S4044" s="44"/>
      <c r="T4044" s="44"/>
    </row>
    <row r="4045" spans="12:20" x14ac:dyDescent="0.2">
      <c r="L4045" s="43"/>
      <c r="M4045" s="43"/>
      <c r="N4045" s="43"/>
      <c r="O4045" s="43"/>
      <c r="Q4045" s="44"/>
      <c r="R4045" s="44"/>
      <c r="S4045" s="44"/>
      <c r="T4045" s="44"/>
    </row>
    <row r="4046" spans="12:20" x14ac:dyDescent="0.2">
      <c r="L4046" s="43"/>
      <c r="M4046" s="43"/>
      <c r="N4046" s="43"/>
      <c r="O4046" s="43"/>
      <c r="Q4046" s="44"/>
      <c r="R4046" s="44"/>
      <c r="S4046" s="44"/>
      <c r="T4046" s="44"/>
    </row>
    <row r="4047" spans="12:20" x14ac:dyDescent="0.2">
      <c r="L4047" s="43"/>
      <c r="M4047" s="43"/>
      <c r="N4047" s="43"/>
      <c r="O4047" s="43"/>
      <c r="Q4047" s="44"/>
      <c r="R4047" s="44"/>
      <c r="S4047" s="44"/>
      <c r="T4047" s="44"/>
    </row>
    <row r="4048" spans="12:20" x14ac:dyDescent="0.2">
      <c r="L4048" s="43"/>
      <c r="M4048" s="43"/>
      <c r="N4048" s="43"/>
      <c r="O4048" s="43"/>
      <c r="Q4048" s="44"/>
      <c r="R4048" s="44"/>
      <c r="S4048" s="44"/>
      <c r="T4048" s="44"/>
    </row>
    <row r="4049" spans="12:20" x14ac:dyDescent="0.2">
      <c r="L4049" s="43"/>
      <c r="M4049" s="43"/>
      <c r="N4049" s="43"/>
      <c r="O4049" s="43"/>
      <c r="Q4049" s="44"/>
      <c r="R4049" s="44"/>
      <c r="S4049" s="44"/>
      <c r="T4049" s="44"/>
    </row>
    <row r="4050" spans="12:20" x14ac:dyDescent="0.2">
      <c r="L4050" s="43"/>
      <c r="M4050" s="43"/>
      <c r="N4050" s="43"/>
      <c r="O4050" s="43"/>
      <c r="Q4050" s="44"/>
      <c r="R4050" s="44"/>
      <c r="S4050" s="44"/>
      <c r="T4050" s="44"/>
    </row>
    <row r="4051" spans="12:20" x14ac:dyDescent="0.2">
      <c r="L4051" s="43"/>
      <c r="M4051" s="43"/>
      <c r="N4051" s="43"/>
      <c r="O4051" s="43"/>
      <c r="Q4051" s="44"/>
      <c r="R4051" s="44"/>
      <c r="S4051" s="44"/>
      <c r="T4051" s="44"/>
    </row>
    <row r="4052" spans="12:20" x14ac:dyDescent="0.2">
      <c r="L4052" s="43"/>
      <c r="M4052" s="43"/>
      <c r="N4052" s="43"/>
      <c r="O4052" s="43"/>
      <c r="Q4052" s="44"/>
      <c r="R4052" s="44"/>
      <c r="S4052" s="44"/>
      <c r="T4052" s="44"/>
    </row>
    <row r="4053" spans="12:20" x14ac:dyDescent="0.2">
      <c r="L4053" s="43"/>
      <c r="M4053" s="43"/>
      <c r="N4053" s="43"/>
      <c r="O4053" s="43"/>
      <c r="Q4053" s="44"/>
      <c r="R4053" s="44"/>
      <c r="S4053" s="44"/>
      <c r="T4053" s="44"/>
    </row>
    <row r="4054" spans="12:20" x14ac:dyDescent="0.2">
      <c r="L4054" s="43"/>
      <c r="M4054" s="43"/>
      <c r="N4054" s="43"/>
      <c r="O4054" s="43"/>
      <c r="Q4054" s="44"/>
      <c r="R4054" s="44"/>
      <c r="S4054" s="44"/>
      <c r="T4054" s="44"/>
    </row>
    <row r="4055" spans="12:20" x14ac:dyDescent="0.2">
      <c r="L4055" s="43"/>
      <c r="M4055" s="43"/>
      <c r="N4055" s="43"/>
      <c r="O4055" s="43"/>
      <c r="Q4055" s="44"/>
      <c r="R4055" s="44"/>
      <c r="S4055" s="44"/>
      <c r="T4055" s="44"/>
    </row>
    <row r="4056" spans="12:20" x14ac:dyDescent="0.2">
      <c r="L4056" s="43"/>
      <c r="M4056" s="43"/>
      <c r="N4056" s="43"/>
      <c r="O4056" s="43"/>
      <c r="Q4056" s="44"/>
      <c r="R4056" s="44"/>
      <c r="S4056" s="44"/>
      <c r="T4056" s="44"/>
    </row>
    <row r="4057" spans="12:20" x14ac:dyDescent="0.2">
      <c r="L4057" s="43"/>
      <c r="M4057" s="43"/>
      <c r="N4057" s="43"/>
      <c r="O4057" s="43"/>
      <c r="Q4057" s="44"/>
      <c r="R4057" s="44"/>
      <c r="S4057" s="44"/>
      <c r="T4057" s="44"/>
    </row>
    <row r="4058" spans="12:20" x14ac:dyDescent="0.2">
      <c r="L4058" s="43"/>
      <c r="M4058" s="43"/>
      <c r="N4058" s="43"/>
      <c r="O4058" s="43"/>
      <c r="Q4058" s="44"/>
      <c r="R4058" s="44"/>
      <c r="S4058" s="44"/>
      <c r="T4058" s="44"/>
    </row>
    <row r="4059" spans="12:20" x14ac:dyDescent="0.2">
      <c r="L4059" s="43"/>
      <c r="M4059" s="43"/>
      <c r="N4059" s="43"/>
      <c r="O4059" s="43"/>
      <c r="Q4059" s="44"/>
      <c r="R4059" s="44"/>
      <c r="S4059" s="44"/>
      <c r="T4059" s="44"/>
    </row>
    <row r="4060" spans="12:20" x14ac:dyDescent="0.2">
      <c r="L4060" s="43"/>
      <c r="M4060" s="43"/>
      <c r="N4060" s="43"/>
      <c r="O4060" s="43"/>
      <c r="Q4060" s="44"/>
      <c r="R4060" s="44"/>
      <c r="S4060" s="44"/>
      <c r="T4060" s="44"/>
    </row>
    <row r="4061" spans="12:20" x14ac:dyDescent="0.2">
      <c r="L4061" s="43"/>
      <c r="M4061" s="43"/>
      <c r="N4061" s="43"/>
      <c r="O4061" s="43"/>
      <c r="Q4061" s="44"/>
      <c r="R4061" s="44"/>
      <c r="S4061" s="44"/>
      <c r="T4061" s="44"/>
    </row>
    <row r="4062" spans="12:20" x14ac:dyDescent="0.2">
      <c r="L4062" s="43"/>
      <c r="M4062" s="43"/>
      <c r="N4062" s="43"/>
      <c r="O4062" s="43"/>
      <c r="Q4062" s="44"/>
      <c r="R4062" s="44"/>
      <c r="S4062" s="44"/>
      <c r="T4062" s="44"/>
    </row>
    <row r="4063" spans="12:20" x14ac:dyDescent="0.2">
      <c r="L4063" s="43"/>
      <c r="M4063" s="43"/>
      <c r="N4063" s="43"/>
      <c r="O4063" s="43"/>
      <c r="Q4063" s="44"/>
      <c r="R4063" s="44"/>
      <c r="S4063" s="44"/>
      <c r="T4063" s="44"/>
    </row>
    <row r="4064" spans="12:20" x14ac:dyDescent="0.2">
      <c r="L4064" s="43"/>
      <c r="M4064" s="43"/>
      <c r="N4064" s="43"/>
      <c r="O4064" s="43"/>
      <c r="Q4064" s="44"/>
      <c r="R4064" s="44"/>
      <c r="S4064" s="44"/>
      <c r="T4064" s="44"/>
    </row>
    <row r="4065" spans="12:20" x14ac:dyDescent="0.2">
      <c r="L4065" s="43"/>
      <c r="M4065" s="43"/>
      <c r="N4065" s="43"/>
      <c r="O4065" s="43"/>
      <c r="Q4065" s="44"/>
      <c r="R4065" s="44"/>
      <c r="S4065" s="44"/>
      <c r="T4065" s="44"/>
    </row>
    <row r="4066" spans="12:20" x14ac:dyDescent="0.2">
      <c r="L4066" s="43"/>
      <c r="M4066" s="43"/>
      <c r="N4066" s="43"/>
      <c r="O4066" s="43"/>
      <c r="Q4066" s="44"/>
      <c r="R4066" s="44"/>
      <c r="S4066" s="44"/>
      <c r="T4066" s="44"/>
    </row>
    <row r="4067" spans="12:20" x14ac:dyDescent="0.2">
      <c r="L4067" s="43"/>
      <c r="M4067" s="43"/>
      <c r="N4067" s="43"/>
      <c r="O4067" s="43"/>
      <c r="Q4067" s="44"/>
      <c r="R4067" s="44"/>
      <c r="S4067" s="44"/>
      <c r="T4067" s="44"/>
    </row>
    <row r="4068" spans="12:20" x14ac:dyDescent="0.2">
      <c r="L4068" s="43"/>
      <c r="M4068" s="43"/>
      <c r="N4068" s="43"/>
      <c r="O4068" s="43"/>
      <c r="Q4068" s="44"/>
      <c r="R4068" s="44"/>
      <c r="S4068" s="44"/>
      <c r="T4068" s="44"/>
    </row>
    <row r="4069" spans="12:20" x14ac:dyDescent="0.2">
      <c r="L4069" s="43"/>
      <c r="M4069" s="43"/>
      <c r="N4069" s="43"/>
      <c r="O4069" s="43"/>
      <c r="Q4069" s="44"/>
      <c r="R4069" s="44"/>
      <c r="S4069" s="44"/>
      <c r="T4069" s="44"/>
    </row>
    <row r="4070" spans="12:20" x14ac:dyDescent="0.2">
      <c r="L4070" s="43"/>
      <c r="M4070" s="43"/>
      <c r="N4070" s="43"/>
      <c r="O4070" s="43"/>
      <c r="Q4070" s="44"/>
      <c r="R4070" s="44"/>
      <c r="S4070" s="44"/>
      <c r="T4070" s="44"/>
    </row>
    <row r="4071" spans="12:20" x14ac:dyDescent="0.2">
      <c r="L4071" s="43"/>
      <c r="M4071" s="43"/>
      <c r="N4071" s="43"/>
      <c r="O4071" s="43"/>
      <c r="Q4071" s="44"/>
      <c r="R4071" s="44"/>
      <c r="S4071" s="44"/>
      <c r="T4071" s="44"/>
    </row>
    <row r="4072" spans="12:20" x14ac:dyDescent="0.2">
      <c r="L4072" s="43"/>
      <c r="M4072" s="43"/>
      <c r="N4072" s="43"/>
      <c r="O4072" s="43"/>
      <c r="Q4072" s="44"/>
      <c r="R4072" s="44"/>
      <c r="S4072" s="44"/>
      <c r="T4072" s="44"/>
    </row>
    <row r="4073" spans="12:20" x14ac:dyDescent="0.2">
      <c r="L4073" s="43"/>
      <c r="M4073" s="43"/>
      <c r="N4073" s="43"/>
      <c r="O4073" s="43"/>
      <c r="Q4073" s="44"/>
      <c r="R4073" s="44"/>
      <c r="S4073" s="44"/>
      <c r="T4073" s="44"/>
    </row>
    <row r="4074" spans="12:20" x14ac:dyDescent="0.2">
      <c r="L4074" s="43"/>
      <c r="M4074" s="43"/>
      <c r="N4074" s="43"/>
      <c r="O4074" s="43"/>
      <c r="Q4074" s="44"/>
      <c r="R4074" s="44"/>
      <c r="S4074" s="44"/>
      <c r="T4074" s="44"/>
    </row>
    <row r="4075" spans="12:20" x14ac:dyDescent="0.2">
      <c r="L4075" s="43"/>
      <c r="M4075" s="43"/>
      <c r="N4075" s="43"/>
      <c r="O4075" s="43"/>
      <c r="Q4075" s="44"/>
      <c r="R4075" s="44"/>
      <c r="S4075" s="44"/>
      <c r="T4075" s="44"/>
    </row>
    <row r="4076" spans="12:20" x14ac:dyDescent="0.2">
      <c r="L4076" s="43"/>
      <c r="M4076" s="43"/>
      <c r="N4076" s="43"/>
      <c r="O4076" s="43"/>
      <c r="Q4076" s="44"/>
      <c r="R4076" s="44"/>
      <c r="S4076" s="44"/>
      <c r="T4076" s="44"/>
    </row>
    <row r="4077" spans="12:20" x14ac:dyDescent="0.2">
      <c r="L4077" s="43"/>
      <c r="M4077" s="43"/>
      <c r="N4077" s="43"/>
      <c r="O4077" s="43"/>
      <c r="Q4077" s="44"/>
      <c r="R4077" s="44"/>
      <c r="S4077" s="44"/>
      <c r="T4077" s="44"/>
    </row>
    <row r="4078" spans="12:20" x14ac:dyDescent="0.2">
      <c r="L4078" s="43"/>
      <c r="M4078" s="43"/>
      <c r="N4078" s="43"/>
      <c r="O4078" s="43"/>
      <c r="Q4078" s="44"/>
      <c r="R4078" s="44"/>
      <c r="S4078" s="44"/>
      <c r="T4078" s="44"/>
    </row>
    <row r="4079" spans="12:20" x14ac:dyDescent="0.2">
      <c r="L4079" s="43"/>
      <c r="M4079" s="43"/>
      <c r="N4079" s="43"/>
      <c r="O4079" s="43"/>
      <c r="Q4079" s="44"/>
      <c r="R4079" s="44"/>
      <c r="S4079" s="44"/>
      <c r="T4079" s="44"/>
    </row>
    <row r="4080" spans="12:20" x14ac:dyDescent="0.2">
      <c r="L4080" s="43"/>
      <c r="M4080" s="43"/>
      <c r="N4080" s="43"/>
      <c r="O4080" s="43"/>
      <c r="Q4080" s="44"/>
      <c r="R4080" s="44"/>
      <c r="S4080" s="44"/>
      <c r="T4080" s="44"/>
    </row>
    <row r="4081" spans="12:20" x14ac:dyDescent="0.2">
      <c r="L4081" s="43"/>
      <c r="M4081" s="43"/>
      <c r="N4081" s="43"/>
      <c r="O4081" s="43"/>
      <c r="Q4081" s="44"/>
      <c r="R4081" s="44"/>
      <c r="S4081" s="44"/>
      <c r="T4081" s="44"/>
    </row>
    <row r="4082" spans="12:20" x14ac:dyDescent="0.2">
      <c r="L4082" s="43"/>
      <c r="M4082" s="43"/>
      <c r="N4082" s="43"/>
      <c r="O4082" s="43"/>
      <c r="Q4082" s="44"/>
      <c r="R4082" s="44"/>
      <c r="S4082" s="44"/>
      <c r="T4082" s="44"/>
    </row>
    <row r="4083" spans="12:20" x14ac:dyDescent="0.2">
      <c r="L4083" s="43"/>
      <c r="M4083" s="43"/>
      <c r="N4083" s="43"/>
      <c r="O4083" s="43"/>
      <c r="Q4083" s="44"/>
      <c r="R4083" s="44"/>
      <c r="S4083" s="44"/>
      <c r="T4083" s="44"/>
    </row>
    <row r="4084" spans="12:20" x14ac:dyDescent="0.2">
      <c r="L4084" s="43"/>
      <c r="M4084" s="43"/>
      <c r="N4084" s="43"/>
      <c r="O4084" s="43"/>
      <c r="Q4084" s="44"/>
      <c r="R4084" s="44"/>
      <c r="S4084" s="44"/>
      <c r="T4084" s="44"/>
    </row>
    <row r="4085" spans="12:20" x14ac:dyDescent="0.2">
      <c r="L4085" s="43"/>
      <c r="M4085" s="43"/>
      <c r="N4085" s="43"/>
      <c r="O4085" s="43"/>
      <c r="Q4085" s="44"/>
      <c r="R4085" s="44"/>
      <c r="S4085" s="44"/>
      <c r="T4085" s="44"/>
    </row>
    <row r="4086" spans="12:20" x14ac:dyDescent="0.2">
      <c r="L4086" s="43"/>
      <c r="M4086" s="43"/>
      <c r="N4086" s="43"/>
      <c r="O4086" s="43"/>
      <c r="Q4086" s="44"/>
      <c r="R4086" s="44"/>
      <c r="S4086" s="44"/>
      <c r="T4086" s="44"/>
    </row>
    <row r="4087" spans="12:20" x14ac:dyDescent="0.2">
      <c r="L4087" s="43"/>
      <c r="M4087" s="43"/>
      <c r="N4087" s="43"/>
      <c r="O4087" s="43"/>
      <c r="Q4087" s="44"/>
      <c r="R4087" s="44"/>
      <c r="S4087" s="44"/>
      <c r="T4087" s="44"/>
    </row>
    <row r="4088" spans="12:20" x14ac:dyDescent="0.2">
      <c r="L4088" s="43"/>
      <c r="M4088" s="43"/>
      <c r="N4088" s="43"/>
      <c r="O4088" s="43"/>
      <c r="Q4088" s="44"/>
      <c r="R4088" s="44"/>
      <c r="S4088" s="44"/>
      <c r="T4088" s="44"/>
    </row>
    <row r="4089" spans="12:20" x14ac:dyDescent="0.2">
      <c r="L4089" s="43"/>
      <c r="M4089" s="43"/>
      <c r="N4089" s="43"/>
      <c r="O4089" s="43"/>
      <c r="Q4089" s="44"/>
      <c r="R4089" s="44"/>
      <c r="S4089" s="44"/>
      <c r="T4089" s="44"/>
    </row>
    <row r="4090" spans="12:20" x14ac:dyDescent="0.2">
      <c r="L4090" s="43"/>
      <c r="M4090" s="43"/>
      <c r="N4090" s="43"/>
      <c r="O4090" s="43"/>
      <c r="Q4090" s="44"/>
      <c r="R4090" s="44"/>
      <c r="S4090" s="44"/>
      <c r="T4090" s="44"/>
    </row>
    <row r="4091" spans="12:20" x14ac:dyDescent="0.2">
      <c r="L4091" s="43"/>
      <c r="M4091" s="43"/>
      <c r="N4091" s="43"/>
      <c r="O4091" s="43"/>
      <c r="Q4091" s="44"/>
      <c r="R4091" s="44"/>
      <c r="S4091" s="44"/>
      <c r="T4091" s="44"/>
    </row>
    <row r="4092" spans="12:20" x14ac:dyDescent="0.2">
      <c r="L4092" s="43"/>
      <c r="M4092" s="43"/>
      <c r="N4092" s="43"/>
      <c r="O4092" s="43"/>
      <c r="Q4092" s="44"/>
      <c r="R4092" s="44"/>
      <c r="S4092" s="44"/>
      <c r="T4092" s="44"/>
    </row>
    <row r="4093" spans="12:20" x14ac:dyDescent="0.2">
      <c r="L4093" s="43"/>
      <c r="M4093" s="43"/>
      <c r="N4093" s="43"/>
      <c r="O4093" s="43"/>
      <c r="Q4093" s="44"/>
      <c r="R4093" s="44"/>
      <c r="S4093" s="44"/>
      <c r="T4093" s="44"/>
    </row>
    <row r="4094" spans="12:20" x14ac:dyDescent="0.2">
      <c r="L4094" s="43"/>
      <c r="M4094" s="43"/>
      <c r="N4094" s="43"/>
      <c r="O4094" s="43"/>
      <c r="Q4094" s="44"/>
      <c r="R4094" s="44"/>
      <c r="S4094" s="44"/>
      <c r="T4094" s="44"/>
    </row>
    <row r="4095" spans="12:20" x14ac:dyDescent="0.2">
      <c r="L4095" s="43"/>
      <c r="M4095" s="43"/>
      <c r="N4095" s="43"/>
      <c r="O4095" s="43"/>
      <c r="Q4095" s="44"/>
      <c r="R4095" s="44"/>
      <c r="S4095" s="44"/>
      <c r="T4095" s="44"/>
    </row>
    <row r="4096" spans="12:20" x14ac:dyDescent="0.2">
      <c r="L4096" s="43"/>
      <c r="M4096" s="43"/>
      <c r="N4096" s="43"/>
      <c r="O4096" s="43"/>
      <c r="Q4096" s="44"/>
      <c r="R4096" s="44"/>
      <c r="S4096" s="44"/>
      <c r="T4096" s="44"/>
    </row>
    <row r="4097" spans="12:20" x14ac:dyDescent="0.2">
      <c r="L4097" s="43"/>
      <c r="M4097" s="43"/>
      <c r="N4097" s="43"/>
      <c r="O4097" s="43"/>
      <c r="Q4097" s="44"/>
      <c r="R4097" s="44"/>
      <c r="S4097" s="44"/>
      <c r="T4097" s="44"/>
    </row>
    <row r="4098" spans="12:20" x14ac:dyDescent="0.2">
      <c r="L4098" s="43"/>
      <c r="M4098" s="43"/>
      <c r="N4098" s="43"/>
      <c r="O4098" s="43"/>
      <c r="Q4098" s="44"/>
      <c r="R4098" s="44"/>
      <c r="S4098" s="44"/>
      <c r="T4098" s="44"/>
    </row>
    <row r="4099" spans="12:20" x14ac:dyDescent="0.2">
      <c r="L4099" s="43"/>
      <c r="M4099" s="43"/>
      <c r="N4099" s="43"/>
      <c r="O4099" s="43"/>
      <c r="Q4099" s="44"/>
      <c r="R4099" s="44"/>
      <c r="S4099" s="44"/>
      <c r="T4099" s="44"/>
    </row>
    <row r="4100" spans="12:20" x14ac:dyDescent="0.2">
      <c r="L4100" s="43"/>
      <c r="M4100" s="43"/>
      <c r="N4100" s="43"/>
      <c r="O4100" s="43"/>
      <c r="Q4100" s="44"/>
      <c r="R4100" s="44"/>
      <c r="S4100" s="44"/>
      <c r="T4100" s="44"/>
    </row>
    <row r="4101" spans="12:20" x14ac:dyDescent="0.2">
      <c r="L4101" s="43"/>
      <c r="M4101" s="43"/>
      <c r="N4101" s="43"/>
      <c r="O4101" s="43"/>
      <c r="Q4101" s="44"/>
      <c r="R4101" s="44"/>
      <c r="S4101" s="44"/>
      <c r="T4101" s="44"/>
    </row>
    <row r="4102" spans="12:20" x14ac:dyDescent="0.2">
      <c r="L4102" s="43"/>
      <c r="M4102" s="43"/>
      <c r="N4102" s="43"/>
      <c r="O4102" s="43"/>
      <c r="Q4102" s="44"/>
      <c r="R4102" s="44"/>
      <c r="S4102" s="44"/>
      <c r="T4102" s="44"/>
    </row>
    <row r="4103" spans="12:20" x14ac:dyDescent="0.2">
      <c r="L4103" s="43"/>
      <c r="M4103" s="43"/>
      <c r="N4103" s="43"/>
      <c r="O4103" s="43"/>
      <c r="Q4103" s="44"/>
      <c r="R4103" s="44"/>
      <c r="S4103" s="44"/>
      <c r="T4103" s="44"/>
    </row>
    <row r="4104" spans="12:20" x14ac:dyDescent="0.2">
      <c r="L4104" s="43"/>
      <c r="M4104" s="43"/>
      <c r="N4104" s="43"/>
      <c r="O4104" s="43"/>
      <c r="Q4104" s="44"/>
      <c r="R4104" s="44"/>
      <c r="S4104" s="44"/>
      <c r="T4104" s="44"/>
    </row>
    <row r="4105" spans="12:20" x14ac:dyDescent="0.2">
      <c r="L4105" s="43"/>
      <c r="M4105" s="43"/>
      <c r="N4105" s="43"/>
      <c r="O4105" s="43"/>
      <c r="Q4105" s="44"/>
      <c r="R4105" s="44"/>
      <c r="S4105" s="44"/>
      <c r="T4105" s="44"/>
    </row>
    <row r="4106" spans="12:20" x14ac:dyDescent="0.2">
      <c r="L4106" s="43"/>
      <c r="M4106" s="43"/>
      <c r="N4106" s="43"/>
      <c r="O4106" s="43"/>
      <c r="Q4106" s="44"/>
      <c r="R4106" s="44"/>
      <c r="S4106" s="44"/>
      <c r="T4106" s="44"/>
    </row>
    <row r="4107" spans="12:20" x14ac:dyDescent="0.2">
      <c r="L4107" s="43"/>
      <c r="M4107" s="43"/>
      <c r="N4107" s="43"/>
      <c r="O4107" s="43"/>
      <c r="Q4107" s="44"/>
      <c r="R4107" s="44"/>
      <c r="S4107" s="44"/>
      <c r="T4107" s="44"/>
    </row>
    <row r="4108" spans="12:20" x14ac:dyDescent="0.2">
      <c r="L4108" s="43"/>
      <c r="M4108" s="43"/>
      <c r="N4108" s="43"/>
      <c r="O4108" s="43"/>
      <c r="Q4108" s="44"/>
      <c r="R4108" s="44"/>
      <c r="S4108" s="44"/>
      <c r="T4108" s="44"/>
    </row>
    <row r="4109" spans="12:20" x14ac:dyDescent="0.2">
      <c r="L4109" s="43"/>
      <c r="M4109" s="43"/>
      <c r="N4109" s="43"/>
      <c r="O4109" s="43"/>
      <c r="Q4109" s="44"/>
      <c r="R4109" s="44"/>
      <c r="S4109" s="44"/>
      <c r="T4109" s="44"/>
    </row>
    <row r="4110" spans="12:20" x14ac:dyDescent="0.2">
      <c r="L4110" s="43"/>
      <c r="M4110" s="43"/>
      <c r="N4110" s="43"/>
      <c r="O4110" s="43"/>
      <c r="Q4110" s="44"/>
      <c r="R4110" s="44"/>
      <c r="S4110" s="44"/>
      <c r="T4110" s="44"/>
    </row>
    <row r="4111" spans="12:20" x14ac:dyDescent="0.2">
      <c r="L4111" s="43"/>
      <c r="M4111" s="43"/>
      <c r="N4111" s="43"/>
      <c r="O4111" s="43"/>
      <c r="Q4111" s="44"/>
      <c r="R4111" s="44"/>
      <c r="S4111" s="44"/>
      <c r="T4111" s="44"/>
    </row>
    <row r="4112" spans="12:20" x14ac:dyDescent="0.2">
      <c r="L4112" s="43"/>
      <c r="M4112" s="43"/>
      <c r="N4112" s="43"/>
      <c r="O4112" s="43"/>
      <c r="Q4112" s="44"/>
      <c r="R4112" s="44"/>
      <c r="S4112" s="44"/>
      <c r="T4112" s="44"/>
    </row>
    <row r="4113" spans="12:20" x14ac:dyDescent="0.2">
      <c r="L4113" s="43"/>
      <c r="M4113" s="43"/>
      <c r="N4113" s="43"/>
      <c r="O4113" s="43"/>
      <c r="Q4113" s="44"/>
      <c r="R4113" s="44"/>
      <c r="S4113" s="44"/>
      <c r="T4113" s="44"/>
    </row>
    <row r="4114" spans="12:20" x14ac:dyDescent="0.2">
      <c r="L4114" s="43"/>
      <c r="M4114" s="43"/>
      <c r="N4114" s="43"/>
      <c r="O4114" s="43"/>
      <c r="Q4114" s="44"/>
      <c r="R4114" s="44"/>
      <c r="S4114" s="44"/>
      <c r="T4114" s="44"/>
    </row>
    <row r="4115" spans="12:20" x14ac:dyDescent="0.2">
      <c r="L4115" s="43"/>
      <c r="M4115" s="43"/>
      <c r="N4115" s="43"/>
      <c r="O4115" s="43"/>
      <c r="Q4115" s="44"/>
      <c r="R4115" s="44"/>
      <c r="S4115" s="44"/>
      <c r="T4115" s="44"/>
    </row>
    <row r="4116" spans="12:20" x14ac:dyDescent="0.2">
      <c r="L4116" s="43"/>
      <c r="M4116" s="43"/>
      <c r="N4116" s="43"/>
      <c r="O4116" s="43"/>
      <c r="Q4116" s="44"/>
      <c r="R4116" s="44"/>
      <c r="S4116" s="44"/>
      <c r="T4116" s="44"/>
    </row>
    <row r="4117" spans="12:20" x14ac:dyDescent="0.2">
      <c r="L4117" s="43"/>
      <c r="M4117" s="43"/>
      <c r="N4117" s="43"/>
      <c r="O4117" s="43"/>
      <c r="Q4117" s="44"/>
      <c r="R4117" s="44"/>
      <c r="S4117" s="44"/>
      <c r="T4117" s="44"/>
    </row>
    <row r="4118" spans="12:20" x14ac:dyDescent="0.2">
      <c r="L4118" s="43"/>
      <c r="M4118" s="43"/>
      <c r="N4118" s="43"/>
      <c r="O4118" s="43"/>
      <c r="Q4118" s="44"/>
      <c r="R4118" s="44"/>
      <c r="S4118" s="44"/>
      <c r="T4118" s="44"/>
    </row>
    <row r="4119" spans="12:20" x14ac:dyDescent="0.2">
      <c r="L4119" s="43"/>
      <c r="M4119" s="43"/>
      <c r="N4119" s="43"/>
      <c r="O4119" s="43"/>
      <c r="Q4119" s="44"/>
      <c r="R4119" s="44"/>
      <c r="S4119" s="44"/>
      <c r="T4119" s="44"/>
    </row>
    <row r="4120" spans="12:20" x14ac:dyDescent="0.2">
      <c r="L4120" s="43"/>
      <c r="M4120" s="43"/>
      <c r="N4120" s="43"/>
      <c r="O4120" s="43"/>
      <c r="Q4120" s="44"/>
      <c r="R4120" s="44"/>
      <c r="S4120" s="44"/>
      <c r="T4120" s="44"/>
    </row>
    <row r="4121" spans="12:20" x14ac:dyDescent="0.2">
      <c r="L4121" s="43"/>
      <c r="M4121" s="43"/>
      <c r="N4121" s="43"/>
      <c r="O4121" s="43"/>
      <c r="Q4121" s="44"/>
      <c r="R4121" s="44"/>
      <c r="S4121" s="44"/>
      <c r="T4121" s="44"/>
    </row>
    <row r="4122" spans="12:20" x14ac:dyDescent="0.2">
      <c r="L4122" s="43"/>
      <c r="M4122" s="43"/>
      <c r="N4122" s="43"/>
      <c r="O4122" s="43"/>
      <c r="Q4122" s="44"/>
      <c r="R4122" s="44"/>
      <c r="S4122" s="44"/>
      <c r="T4122" s="44"/>
    </row>
    <row r="4123" spans="12:20" x14ac:dyDescent="0.2">
      <c r="L4123" s="43"/>
      <c r="M4123" s="43"/>
      <c r="N4123" s="43"/>
      <c r="O4123" s="43"/>
      <c r="Q4123" s="44"/>
      <c r="R4123" s="44"/>
      <c r="S4123" s="44"/>
      <c r="T4123" s="44"/>
    </row>
    <row r="4124" spans="12:20" x14ac:dyDescent="0.2">
      <c r="L4124" s="43"/>
      <c r="M4124" s="43"/>
      <c r="N4124" s="43"/>
      <c r="O4124" s="43"/>
      <c r="Q4124" s="44"/>
      <c r="R4124" s="44"/>
      <c r="S4124" s="44"/>
      <c r="T4124" s="44"/>
    </row>
    <row r="4125" spans="12:20" x14ac:dyDescent="0.2">
      <c r="L4125" s="43"/>
      <c r="M4125" s="43"/>
      <c r="N4125" s="43"/>
      <c r="O4125" s="43"/>
      <c r="Q4125" s="44"/>
      <c r="R4125" s="44"/>
      <c r="S4125" s="44"/>
      <c r="T4125" s="44"/>
    </row>
    <row r="4126" spans="12:20" x14ac:dyDescent="0.2">
      <c r="L4126" s="43"/>
      <c r="M4126" s="43"/>
      <c r="N4126" s="43"/>
      <c r="O4126" s="43"/>
      <c r="Q4126" s="44"/>
      <c r="R4126" s="44"/>
      <c r="S4126" s="44"/>
      <c r="T4126" s="44"/>
    </row>
    <row r="4127" spans="12:20" x14ac:dyDescent="0.2">
      <c r="L4127" s="43"/>
      <c r="M4127" s="43"/>
      <c r="N4127" s="43"/>
      <c r="O4127" s="43"/>
      <c r="Q4127" s="44"/>
      <c r="R4127" s="44"/>
      <c r="S4127" s="44"/>
      <c r="T4127" s="44"/>
    </row>
    <row r="4128" spans="12:20" x14ac:dyDescent="0.2">
      <c r="L4128" s="43"/>
      <c r="M4128" s="43"/>
      <c r="N4128" s="43"/>
      <c r="O4128" s="43"/>
      <c r="Q4128" s="44"/>
      <c r="R4128" s="44"/>
      <c r="S4128" s="44"/>
      <c r="T4128" s="44"/>
    </row>
    <row r="4129" spans="12:20" x14ac:dyDescent="0.2">
      <c r="L4129" s="43"/>
      <c r="M4129" s="43"/>
      <c r="N4129" s="43"/>
      <c r="O4129" s="43"/>
      <c r="Q4129" s="44"/>
      <c r="R4129" s="44"/>
      <c r="S4129" s="44"/>
      <c r="T4129" s="44"/>
    </row>
    <row r="4130" spans="12:20" x14ac:dyDescent="0.2">
      <c r="L4130" s="43"/>
      <c r="M4130" s="43"/>
      <c r="N4130" s="43"/>
      <c r="O4130" s="43"/>
      <c r="Q4130" s="44"/>
      <c r="R4130" s="44"/>
      <c r="S4130" s="44"/>
      <c r="T4130" s="44"/>
    </row>
    <row r="4131" spans="12:20" x14ac:dyDescent="0.2">
      <c r="L4131" s="43"/>
      <c r="M4131" s="43"/>
      <c r="N4131" s="43"/>
      <c r="O4131" s="43"/>
      <c r="Q4131" s="44"/>
      <c r="R4131" s="44"/>
      <c r="S4131" s="44"/>
      <c r="T4131" s="44"/>
    </row>
    <row r="4132" spans="12:20" x14ac:dyDescent="0.2">
      <c r="L4132" s="43"/>
      <c r="M4132" s="43"/>
      <c r="N4132" s="43"/>
      <c r="O4132" s="43"/>
      <c r="Q4132" s="44"/>
      <c r="R4132" s="44"/>
      <c r="S4132" s="44"/>
      <c r="T4132" s="44"/>
    </row>
    <row r="4133" spans="12:20" x14ac:dyDescent="0.2">
      <c r="L4133" s="43"/>
      <c r="M4133" s="43"/>
      <c r="N4133" s="43"/>
      <c r="O4133" s="43"/>
      <c r="Q4133" s="44"/>
      <c r="R4133" s="44"/>
      <c r="S4133" s="44"/>
      <c r="T4133" s="44"/>
    </row>
    <row r="4134" spans="12:20" x14ac:dyDescent="0.2">
      <c r="L4134" s="43"/>
      <c r="M4134" s="43"/>
      <c r="N4134" s="43"/>
      <c r="O4134" s="43"/>
      <c r="Q4134" s="44"/>
      <c r="R4134" s="44"/>
      <c r="S4134" s="44"/>
      <c r="T4134" s="44"/>
    </row>
    <row r="4135" spans="12:20" x14ac:dyDescent="0.2">
      <c r="L4135" s="43"/>
      <c r="M4135" s="43"/>
      <c r="N4135" s="43"/>
      <c r="O4135" s="43"/>
      <c r="Q4135" s="44"/>
      <c r="R4135" s="44"/>
      <c r="S4135" s="44"/>
      <c r="T4135" s="44"/>
    </row>
    <row r="4136" spans="12:20" x14ac:dyDescent="0.2">
      <c r="L4136" s="43"/>
      <c r="M4136" s="43"/>
      <c r="N4136" s="43"/>
      <c r="O4136" s="43"/>
      <c r="Q4136" s="44"/>
      <c r="R4136" s="44"/>
      <c r="S4136" s="44"/>
      <c r="T4136" s="44"/>
    </row>
    <row r="4137" spans="12:20" x14ac:dyDescent="0.2">
      <c r="L4137" s="43"/>
      <c r="M4137" s="43"/>
      <c r="N4137" s="43"/>
      <c r="O4137" s="43"/>
      <c r="Q4137" s="44"/>
      <c r="R4137" s="44"/>
      <c r="S4137" s="44"/>
      <c r="T4137" s="44"/>
    </row>
    <row r="4138" spans="12:20" x14ac:dyDescent="0.2">
      <c r="L4138" s="43"/>
      <c r="M4138" s="43"/>
      <c r="N4138" s="43"/>
      <c r="O4138" s="43"/>
      <c r="Q4138" s="44"/>
      <c r="R4138" s="44"/>
      <c r="S4138" s="44"/>
      <c r="T4138" s="44"/>
    </row>
    <row r="4139" spans="12:20" x14ac:dyDescent="0.2">
      <c r="L4139" s="43"/>
      <c r="M4139" s="43"/>
      <c r="N4139" s="43"/>
      <c r="O4139" s="43"/>
      <c r="Q4139" s="44"/>
      <c r="R4139" s="44"/>
      <c r="S4139" s="44"/>
      <c r="T4139" s="44"/>
    </row>
    <row r="4140" spans="12:20" x14ac:dyDescent="0.2">
      <c r="L4140" s="43"/>
      <c r="M4140" s="43"/>
      <c r="N4140" s="43"/>
      <c r="O4140" s="43"/>
      <c r="Q4140" s="44"/>
      <c r="R4140" s="44"/>
      <c r="S4140" s="44"/>
      <c r="T4140" s="44"/>
    </row>
    <row r="4141" spans="12:20" x14ac:dyDescent="0.2">
      <c r="L4141" s="43"/>
      <c r="M4141" s="43"/>
      <c r="N4141" s="43"/>
      <c r="O4141" s="43"/>
      <c r="Q4141" s="44"/>
      <c r="R4141" s="44"/>
      <c r="S4141" s="44"/>
      <c r="T4141" s="44"/>
    </row>
    <row r="4142" spans="12:20" x14ac:dyDescent="0.2">
      <c r="L4142" s="43"/>
      <c r="M4142" s="43"/>
      <c r="N4142" s="43"/>
      <c r="O4142" s="43"/>
      <c r="Q4142" s="44"/>
      <c r="R4142" s="44"/>
      <c r="S4142" s="44"/>
      <c r="T4142" s="44"/>
    </row>
    <row r="4143" spans="12:20" x14ac:dyDescent="0.2">
      <c r="L4143" s="43"/>
      <c r="M4143" s="43"/>
      <c r="N4143" s="43"/>
      <c r="O4143" s="43"/>
      <c r="Q4143" s="44"/>
      <c r="R4143" s="44"/>
      <c r="S4143" s="44"/>
      <c r="T4143" s="44"/>
    </row>
    <row r="4144" spans="12:20" x14ac:dyDescent="0.2">
      <c r="L4144" s="43"/>
      <c r="M4144" s="43"/>
      <c r="N4144" s="43"/>
      <c r="O4144" s="43"/>
      <c r="Q4144" s="44"/>
      <c r="R4144" s="44"/>
      <c r="S4144" s="44"/>
      <c r="T4144" s="44"/>
    </row>
    <row r="4145" spans="12:20" x14ac:dyDescent="0.2">
      <c r="L4145" s="43"/>
      <c r="M4145" s="43"/>
      <c r="N4145" s="43"/>
      <c r="O4145" s="43"/>
      <c r="Q4145" s="44"/>
      <c r="R4145" s="44"/>
      <c r="S4145" s="44"/>
      <c r="T4145" s="44"/>
    </row>
    <row r="4146" spans="12:20" x14ac:dyDescent="0.2">
      <c r="L4146" s="43"/>
      <c r="M4146" s="43"/>
      <c r="N4146" s="43"/>
      <c r="O4146" s="43"/>
      <c r="Q4146" s="44"/>
      <c r="R4146" s="44"/>
      <c r="S4146" s="44"/>
      <c r="T4146" s="44"/>
    </row>
    <row r="4147" spans="12:20" x14ac:dyDescent="0.2">
      <c r="L4147" s="43"/>
      <c r="M4147" s="43"/>
      <c r="N4147" s="43"/>
      <c r="O4147" s="43"/>
      <c r="Q4147" s="44"/>
      <c r="R4147" s="44"/>
      <c r="S4147" s="44"/>
      <c r="T4147" s="44"/>
    </row>
    <row r="4148" spans="12:20" x14ac:dyDescent="0.2">
      <c r="L4148" s="43"/>
      <c r="M4148" s="43"/>
      <c r="N4148" s="43"/>
      <c r="O4148" s="43"/>
      <c r="Q4148" s="44"/>
      <c r="R4148" s="44"/>
      <c r="S4148" s="44"/>
      <c r="T4148" s="44"/>
    </row>
    <row r="4149" spans="12:20" x14ac:dyDescent="0.2">
      <c r="L4149" s="43"/>
      <c r="M4149" s="43"/>
      <c r="N4149" s="43"/>
      <c r="O4149" s="43"/>
      <c r="Q4149" s="44"/>
      <c r="R4149" s="44"/>
      <c r="S4149" s="44"/>
      <c r="T4149" s="44"/>
    </row>
    <row r="4150" spans="12:20" x14ac:dyDescent="0.2">
      <c r="L4150" s="43"/>
      <c r="M4150" s="43"/>
      <c r="N4150" s="43"/>
      <c r="O4150" s="43"/>
      <c r="Q4150" s="44"/>
      <c r="R4150" s="44"/>
      <c r="S4150" s="44"/>
      <c r="T4150" s="44"/>
    </row>
    <row r="4151" spans="12:20" x14ac:dyDescent="0.2">
      <c r="L4151" s="43"/>
      <c r="M4151" s="43"/>
      <c r="N4151" s="43"/>
      <c r="O4151" s="43"/>
      <c r="Q4151" s="44"/>
      <c r="R4151" s="44"/>
      <c r="S4151" s="44"/>
      <c r="T4151" s="44"/>
    </row>
    <row r="4152" spans="12:20" x14ac:dyDescent="0.2">
      <c r="L4152" s="43"/>
      <c r="M4152" s="43"/>
      <c r="N4152" s="43"/>
      <c r="O4152" s="43"/>
      <c r="Q4152" s="44"/>
      <c r="R4152" s="44"/>
      <c r="S4152" s="44"/>
      <c r="T4152" s="44"/>
    </row>
    <row r="4153" spans="12:20" x14ac:dyDescent="0.2">
      <c r="L4153" s="43"/>
      <c r="M4153" s="43"/>
      <c r="N4153" s="43"/>
      <c r="O4153" s="43"/>
      <c r="Q4153" s="44"/>
      <c r="R4153" s="44"/>
      <c r="S4153" s="44"/>
      <c r="T4153" s="44"/>
    </row>
    <row r="4154" spans="12:20" x14ac:dyDescent="0.2">
      <c r="L4154" s="43"/>
      <c r="M4154" s="43"/>
      <c r="N4154" s="43"/>
      <c r="O4154" s="43"/>
      <c r="Q4154" s="44"/>
      <c r="R4154" s="44"/>
      <c r="S4154" s="44"/>
      <c r="T4154" s="44"/>
    </row>
    <row r="4155" spans="12:20" x14ac:dyDescent="0.2">
      <c r="L4155" s="43"/>
      <c r="M4155" s="43"/>
      <c r="N4155" s="43"/>
      <c r="O4155" s="43"/>
      <c r="Q4155" s="44"/>
      <c r="R4155" s="44"/>
      <c r="S4155" s="44"/>
      <c r="T4155" s="44"/>
    </row>
    <row r="4156" spans="12:20" x14ac:dyDescent="0.2">
      <c r="L4156" s="43"/>
      <c r="M4156" s="43"/>
      <c r="N4156" s="43"/>
      <c r="O4156" s="43"/>
      <c r="Q4156" s="44"/>
      <c r="R4156" s="44"/>
      <c r="S4156" s="44"/>
      <c r="T4156" s="44"/>
    </row>
    <row r="4157" spans="12:20" x14ac:dyDescent="0.2">
      <c r="L4157" s="43"/>
      <c r="M4157" s="43"/>
      <c r="N4157" s="43"/>
      <c r="O4157" s="43"/>
      <c r="Q4157" s="44"/>
      <c r="R4157" s="44"/>
      <c r="S4157" s="44"/>
      <c r="T4157" s="44"/>
    </row>
    <row r="4158" spans="12:20" x14ac:dyDescent="0.2">
      <c r="L4158" s="43"/>
      <c r="M4158" s="43"/>
      <c r="N4158" s="43"/>
      <c r="O4158" s="43"/>
      <c r="Q4158" s="44"/>
      <c r="R4158" s="44"/>
      <c r="S4158" s="44"/>
      <c r="T4158" s="44"/>
    </row>
    <row r="4159" spans="12:20" x14ac:dyDescent="0.2">
      <c r="L4159" s="43"/>
      <c r="M4159" s="43"/>
      <c r="N4159" s="43"/>
      <c r="O4159" s="43"/>
      <c r="Q4159" s="44"/>
      <c r="R4159" s="44"/>
      <c r="S4159" s="44"/>
      <c r="T4159" s="44"/>
    </row>
    <row r="4160" spans="12:20" x14ac:dyDescent="0.2">
      <c r="L4160" s="43"/>
      <c r="M4160" s="43"/>
      <c r="N4160" s="43"/>
      <c r="O4160" s="43"/>
      <c r="Q4160" s="44"/>
      <c r="R4160" s="44"/>
      <c r="S4160" s="44"/>
      <c r="T4160" s="44"/>
    </row>
    <row r="4161" spans="12:20" x14ac:dyDescent="0.2">
      <c r="L4161" s="43"/>
      <c r="M4161" s="43"/>
      <c r="N4161" s="43"/>
      <c r="O4161" s="43"/>
      <c r="Q4161" s="44"/>
      <c r="R4161" s="44"/>
      <c r="S4161" s="44"/>
      <c r="T4161" s="44"/>
    </row>
    <row r="4162" spans="12:20" x14ac:dyDescent="0.2">
      <c r="L4162" s="43"/>
      <c r="M4162" s="43"/>
      <c r="N4162" s="43"/>
      <c r="O4162" s="43"/>
      <c r="Q4162" s="44"/>
      <c r="R4162" s="44"/>
      <c r="S4162" s="44"/>
      <c r="T4162" s="44"/>
    </row>
    <row r="4163" spans="12:20" x14ac:dyDescent="0.2">
      <c r="L4163" s="43"/>
      <c r="M4163" s="43"/>
      <c r="N4163" s="43"/>
      <c r="O4163" s="43"/>
      <c r="Q4163" s="44"/>
      <c r="R4163" s="44"/>
      <c r="S4163" s="44"/>
      <c r="T4163" s="44"/>
    </row>
    <row r="4164" spans="12:20" x14ac:dyDescent="0.2">
      <c r="L4164" s="43"/>
      <c r="M4164" s="43"/>
      <c r="N4164" s="43"/>
      <c r="O4164" s="43"/>
      <c r="Q4164" s="44"/>
      <c r="R4164" s="44"/>
      <c r="S4164" s="44"/>
      <c r="T4164" s="44"/>
    </row>
    <row r="4165" spans="12:20" x14ac:dyDescent="0.2">
      <c r="L4165" s="43"/>
      <c r="M4165" s="43"/>
      <c r="N4165" s="43"/>
      <c r="O4165" s="43"/>
      <c r="Q4165" s="44"/>
      <c r="R4165" s="44"/>
      <c r="S4165" s="44"/>
      <c r="T4165" s="44"/>
    </row>
    <row r="4166" spans="12:20" x14ac:dyDescent="0.2">
      <c r="L4166" s="43"/>
      <c r="M4166" s="43"/>
      <c r="N4166" s="43"/>
      <c r="O4166" s="43"/>
      <c r="Q4166" s="44"/>
      <c r="R4166" s="44"/>
      <c r="S4166" s="44"/>
      <c r="T4166" s="44"/>
    </row>
    <row r="4167" spans="12:20" x14ac:dyDescent="0.2">
      <c r="L4167" s="43"/>
      <c r="M4167" s="43"/>
      <c r="N4167" s="43"/>
      <c r="O4167" s="43"/>
      <c r="Q4167" s="44"/>
      <c r="R4167" s="44"/>
      <c r="S4167" s="44"/>
      <c r="T4167" s="44"/>
    </row>
    <row r="4168" spans="12:20" x14ac:dyDescent="0.2">
      <c r="L4168" s="43"/>
      <c r="M4168" s="43"/>
      <c r="N4168" s="43"/>
      <c r="O4168" s="43"/>
      <c r="Q4168" s="44"/>
      <c r="R4168" s="44"/>
      <c r="S4168" s="44"/>
      <c r="T4168" s="44"/>
    </row>
    <row r="4169" spans="12:20" x14ac:dyDescent="0.2">
      <c r="L4169" s="43"/>
      <c r="M4169" s="43"/>
      <c r="N4169" s="43"/>
      <c r="O4169" s="43"/>
      <c r="Q4169" s="44"/>
      <c r="R4169" s="44"/>
      <c r="S4169" s="44"/>
      <c r="T4169" s="44"/>
    </row>
    <row r="4170" spans="12:20" x14ac:dyDescent="0.2">
      <c r="L4170" s="43"/>
      <c r="M4170" s="43"/>
      <c r="N4170" s="43"/>
      <c r="O4170" s="43"/>
      <c r="Q4170" s="44"/>
      <c r="R4170" s="44"/>
      <c r="S4170" s="44"/>
      <c r="T4170" s="44"/>
    </row>
    <row r="4171" spans="12:20" x14ac:dyDescent="0.2">
      <c r="L4171" s="43"/>
      <c r="M4171" s="43"/>
      <c r="N4171" s="43"/>
      <c r="O4171" s="43"/>
      <c r="Q4171" s="44"/>
      <c r="R4171" s="44"/>
      <c r="S4171" s="44"/>
      <c r="T4171" s="44"/>
    </row>
    <row r="4172" spans="12:20" x14ac:dyDescent="0.2">
      <c r="L4172" s="43"/>
      <c r="M4172" s="43"/>
      <c r="N4172" s="43"/>
      <c r="O4172" s="43"/>
      <c r="Q4172" s="44"/>
      <c r="R4172" s="44"/>
      <c r="S4172" s="44"/>
      <c r="T4172" s="44"/>
    </row>
    <row r="4173" spans="12:20" x14ac:dyDescent="0.2">
      <c r="L4173" s="43"/>
      <c r="M4173" s="43"/>
      <c r="N4173" s="43"/>
      <c r="O4173" s="43"/>
      <c r="Q4173" s="44"/>
      <c r="R4173" s="44"/>
      <c r="S4173" s="44"/>
      <c r="T4173" s="44"/>
    </row>
    <row r="4174" spans="12:20" x14ac:dyDescent="0.2">
      <c r="L4174" s="43"/>
      <c r="M4174" s="43"/>
      <c r="N4174" s="43"/>
      <c r="O4174" s="43"/>
      <c r="Q4174" s="44"/>
      <c r="R4174" s="44"/>
      <c r="S4174" s="44"/>
      <c r="T4174" s="44"/>
    </row>
    <row r="4175" spans="12:20" x14ac:dyDescent="0.2">
      <c r="L4175" s="43"/>
      <c r="M4175" s="43"/>
      <c r="N4175" s="43"/>
      <c r="O4175" s="43"/>
      <c r="Q4175" s="44"/>
      <c r="R4175" s="44"/>
      <c r="S4175" s="44"/>
      <c r="T4175" s="44"/>
    </row>
    <row r="4176" spans="12:20" x14ac:dyDescent="0.2">
      <c r="L4176" s="43"/>
      <c r="M4176" s="43"/>
      <c r="N4176" s="43"/>
      <c r="O4176" s="43"/>
      <c r="Q4176" s="44"/>
      <c r="R4176" s="44"/>
      <c r="S4176" s="44"/>
      <c r="T4176" s="44"/>
    </row>
    <row r="4177" spans="12:20" x14ac:dyDescent="0.2">
      <c r="L4177" s="43"/>
      <c r="M4177" s="43"/>
      <c r="N4177" s="43"/>
      <c r="O4177" s="43"/>
      <c r="Q4177" s="44"/>
      <c r="R4177" s="44"/>
      <c r="S4177" s="44"/>
      <c r="T4177" s="44"/>
    </row>
    <row r="4178" spans="12:20" x14ac:dyDescent="0.2">
      <c r="L4178" s="43"/>
      <c r="M4178" s="43"/>
      <c r="N4178" s="43"/>
      <c r="O4178" s="43"/>
      <c r="Q4178" s="44"/>
      <c r="R4178" s="44"/>
      <c r="S4178" s="44"/>
      <c r="T4178" s="44"/>
    </row>
    <row r="4179" spans="12:20" x14ac:dyDescent="0.2">
      <c r="L4179" s="43"/>
      <c r="M4179" s="43"/>
      <c r="N4179" s="43"/>
      <c r="O4179" s="43"/>
      <c r="Q4179" s="44"/>
      <c r="R4179" s="44"/>
      <c r="S4179" s="44"/>
      <c r="T4179" s="44"/>
    </row>
    <row r="4180" spans="12:20" x14ac:dyDescent="0.2">
      <c r="L4180" s="43"/>
      <c r="M4180" s="43"/>
      <c r="N4180" s="43"/>
      <c r="O4180" s="43"/>
      <c r="Q4180" s="44"/>
      <c r="R4180" s="44"/>
      <c r="S4180" s="44"/>
      <c r="T4180" s="44"/>
    </row>
    <row r="4181" spans="12:20" x14ac:dyDescent="0.2">
      <c r="L4181" s="43"/>
      <c r="M4181" s="43"/>
      <c r="N4181" s="43"/>
      <c r="O4181" s="43"/>
      <c r="Q4181" s="44"/>
      <c r="R4181" s="44"/>
      <c r="S4181" s="44"/>
      <c r="T4181" s="44"/>
    </row>
    <row r="4182" spans="12:20" x14ac:dyDescent="0.2">
      <c r="L4182" s="43"/>
      <c r="M4182" s="43"/>
      <c r="N4182" s="43"/>
      <c r="O4182" s="43"/>
      <c r="Q4182" s="44"/>
      <c r="R4182" s="44"/>
      <c r="S4182" s="44"/>
      <c r="T4182" s="44"/>
    </row>
    <row r="4183" spans="12:20" x14ac:dyDescent="0.2">
      <c r="L4183" s="43"/>
      <c r="M4183" s="43"/>
      <c r="N4183" s="43"/>
      <c r="O4183" s="43"/>
      <c r="Q4183" s="44"/>
      <c r="R4183" s="44"/>
      <c r="S4183" s="44"/>
      <c r="T4183" s="44"/>
    </row>
    <row r="4184" spans="12:20" x14ac:dyDescent="0.2">
      <c r="L4184" s="43"/>
      <c r="M4184" s="43"/>
      <c r="N4184" s="43"/>
      <c r="O4184" s="43"/>
      <c r="Q4184" s="44"/>
      <c r="R4184" s="44"/>
      <c r="S4184" s="44"/>
      <c r="T4184" s="44"/>
    </row>
    <row r="4185" spans="12:20" x14ac:dyDescent="0.2">
      <c r="L4185" s="43"/>
      <c r="M4185" s="43"/>
      <c r="N4185" s="43"/>
      <c r="O4185" s="43"/>
      <c r="Q4185" s="44"/>
      <c r="R4185" s="44"/>
      <c r="S4185" s="44"/>
      <c r="T4185" s="44"/>
    </row>
    <row r="4186" spans="12:20" x14ac:dyDescent="0.2">
      <c r="L4186" s="43"/>
      <c r="M4186" s="43"/>
      <c r="N4186" s="43"/>
      <c r="O4186" s="43"/>
      <c r="Q4186" s="44"/>
      <c r="R4186" s="44"/>
      <c r="S4186" s="44"/>
      <c r="T4186" s="44"/>
    </row>
    <row r="4187" spans="12:20" x14ac:dyDescent="0.2">
      <c r="L4187" s="43"/>
      <c r="M4187" s="43"/>
      <c r="N4187" s="43"/>
      <c r="O4187" s="43"/>
      <c r="Q4187" s="44"/>
      <c r="R4187" s="44"/>
      <c r="S4187" s="44"/>
      <c r="T4187" s="44"/>
    </row>
    <row r="4188" spans="12:20" x14ac:dyDescent="0.2">
      <c r="L4188" s="43"/>
      <c r="M4188" s="43"/>
      <c r="N4188" s="43"/>
      <c r="O4188" s="43"/>
      <c r="Q4188" s="44"/>
      <c r="R4188" s="44"/>
      <c r="S4188" s="44"/>
      <c r="T4188" s="44"/>
    </row>
    <row r="4189" spans="12:20" x14ac:dyDescent="0.2">
      <c r="L4189" s="43"/>
      <c r="M4189" s="43"/>
      <c r="N4189" s="43"/>
      <c r="O4189" s="43"/>
      <c r="Q4189" s="44"/>
      <c r="R4189" s="44"/>
      <c r="S4189" s="44"/>
      <c r="T4189" s="44"/>
    </row>
    <row r="4190" spans="12:20" x14ac:dyDescent="0.2">
      <c r="L4190" s="43"/>
      <c r="M4190" s="43"/>
      <c r="N4190" s="43"/>
      <c r="O4190" s="43"/>
      <c r="Q4190" s="44"/>
      <c r="R4190" s="44"/>
      <c r="S4190" s="44"/>
      <c r="T4190" s="44"/>
    </row>
    <row r="4191" spans="12:20" x14ac:dyDescent="0.2">
      <c r="L4191" s="43"/>
      <c r="M4191" s="43"/>
      <c r="N4191" s="43"/>
      <c r="O4191" s="43"/>
      <c r="Q4191" s="44"/>
      <c r="R4191" s="44"/>
      <c r="S4191" s="44"/>
      <c r="T4191" s="44"/>
    </row>
    <row r="4192" spans="12:20" x14ac:dyDescent="0.2">
      <c r="L4192" s="43"/>
      <c r="M4192" s="43"/>
      <c r="N4192" s="43"/>
      <c r="O4192" s="43"/>
      <c r="Q4192" s="44"/>
      <c r="R4192" s="44"/>
      <c r="S4192" s="44"/>
      <c r="T4192" s="44"/>
    </row>
    <row r="4193" spans="12:20" x14ac:dyDescent="0.2">
      <c r="L4193" s="43"/>
      <c r="M4193" s="43"/>
      <c r="N4193" s="43"/>
      <c r="O4193" s="43"/>
      <c r="Q4193" s="44"/>
      <c r="R4193" s="44"/>
      <c r="S4193" s="44"/>
      <c r="T4193" s="44"/>
    </row>
    <row r="4194" spans="12:20" x14ac:dyDescent="0.2">
      <c r="L4194" s="43"/>
      <c r="M4194" s="43"/>
      <c r="N4194" s="43"/>
      <c r="O4194" s="43"/>
      <c r="Q4194" s="44"/>
      <c r="R4194" s="44"/>
      <c r="S4194" s="44"/>
      <c r="T4194" s="44"/>
    </row>
    <row r="4195" spans="12:20" x14ac:dyDescent="0.2">
      <c r="L4195" s="43"/>
      <c r="M4195" s="43"/>
      <c r="N4195" s="43"/>
      <c r="O4195" s="43"/>
      <c r="Q4195" s="44"/>
      <c r="R4195" s="44"/>
      <c r="S4195" s="44"/>
      <c r="T4195" s="44"/>
    </row>
    <row r="4196" spans="12:20" x14ac:dyDescent="0.2">
      <c r="L4196" s="43"/>
      <c r="M4196" s="43"/>
      <c r="N4196" s="43"/>
      <c r="O4196" s="43"/>
      <c r="Q4196" s="44"/>
      <c r="R4196" s="44"/>
      <c r="S4196" s="44"/>
      <c r="T4196" s="44"/>
    </row>
    <row r="4197" spans="12:20" x14ac:dyDescent="0.2">
      <c r="L4197" s="43"/>
      <c r="M4197" s="43"/>
      <c r="N4197" s="43"/>
      <c r="O4197" s="43"/>
      <c r="Q4197" s="44"/>
      <c r="R4197" s="44"/>
      <c r="S4197" s="44"/>
      <c r="T4197" s="44"/>
    </row>
    <row r="4198" spans="12:20" x14ac:dyDescent="0.2">
      <c r="L4198" s="43"/>
      <c r="M4198" s="43"/>
      <c r="N4198" s="43"/>
      <c r="O4198" s="43"/>
      <c r="Q4198" s="44"/>
      <c r="R4198" s="44"/>
      <c r="S4198" s="44"/>
      <c r="T4198" s="44"/>
    </row>
    <row r="4199" spans="12:20" x14ac:dyDescent="0.2">
      <c r="L4199" s="43"/>
      <c r="M4199" s="43"/>
      <c r="N4199" s="43"/>
      <c r="O4199" s="43"/>
      <c r="Q4199" s="44"/>
      <c r="R4199" s="44"/>
      <c r="S4199" s="44"/>
      <c r="T4199" s="44"/>
    </row>
    <row r="4200" spans="12:20" x14ac:dyDescent="0.2">
      <c r="L4200" s="43"/>
      <c r="M4200" s="43"/>
      <c r="N4200" s="43"/>
      <c r="O4200" s="43"/>
      <c r="Q4200" s="44"/>
      <c r="R4200" s="44"/>
      <c r="S4200" s="44"/>
      <c r="T4200" s="44"/>
    </row>
    <row r="4201" spans="12:20" x14ac:dyDescent="0.2">
      <c r="L4201" s="43"/>
      <c r="M4201" s="43"/>
      <c r="N4201" s="43"/>
      <c r="O4201" s="43"/>
      <c r="Q4201" s="44"/>
      <c r="R4201" s="44"/>
      <c r="S4201" s="44"/>
      <c r="T4201" s="44"/>
    </row>
    <row r="4202" spans="12:20" x14ac:dyDescent="0.2">
      <c r="L4202" s="43"/>
      <c r="M4202" s="43"/>
      <c r="N4202" s="43"/>
      <c r="O4202" s="43"/>
      <c r="Q4202" s="44"/>
      <c r="R4202" s="44"/>
      <c r="S4202" s="44"/>
      <c r="T4202" s="44"/>
    </row>
    <row r="4203" spans="12:20" x14ac:dyDescent="0.2">
      <c r="L4203" s="43"/>
      <c r="M4203" s="43"/>
      <c r="N4203" s="43"/>
      <c r="O4203" s="43"/>
      <c r="Q4203" s="44"/>
      <c r="R4203" s="44"/>
      <c r="S4203" s="44"/>
      <c r="T4203" s="44"/>
    </row>
    <row r="4204" spans="12:20" x14ac:dyDescent="0.2">
      <c r="L4204" s="43"/>
      <c r="M4204" s="43"/>
      <c r="N4204" s="43"/>
      <c r="O4204" s="43"/>
      <c r="Q4204" s="44"/>
      <c r="R4204" s="44"/>
      <c r="S4204" s="44"/>
      <c r="T4204" s="44"/>
    </row>
    <row r="4205" spans="12:20" x14ac:dyDescent="0.2">
      <c r="L4205" s="43"/>
      <c r="M4205" s="43"/>
      <c r="N4205" s="43"/>
      <c r="O4205" s="43"/>
      <c r="Q4205" s="44"/>
      <c r="R4205" s="44"/>
      <c r="S4205" s="44"/>
      <c r="T4205" s="44"/>
    </row>
    <row r="4206" spans="12:20" x14ac:dyDescent="0.2">
      <c r="L4206" s="43"/>
      <c r="M4206" s="43"/>
      <c r="N4206" s="43"/>
      <c r="O4206" s="43"/>
      <c r="Q4206" s="44"/>
      <c r="R4206" s="44"/>
      <c r="S4206" s="44"/>
      <c r="T4206" s="44"/>
    </row>
    <row r="4207" spans="12:20" x14ac:dyDescent="0.2">
      <c r="L4207" s="43"/>
      <c r="M4207" s="43"/>
      <c r="N4207" s="43"/>
      <c r="O4207" s="43"/>
      <c r="Q4207" s="44"/>
      <c r="R4207" s="44"/>
      <c r="S4207" s="44"/>
      <c r="T4207" s="44"/>
    </row>
    <row r="4208" spans="12:20" x14ac:dyDescent="0.2">
      <c r="L4208" s="43"/>
      <c r="M4208" s="43"/>
      <c r="N4208" s="43"/>
      <c r="O4208" s="43"/>
      <c r="Q4208" s="44"/>
      <c r="R4208" s="44"/>
      <c r="S4208" s="44"/>
      <c r="T4208" s="44"/>
    </row>
    <row r="4209" spans="12:20" x14ac:dyDescent="0.2">
      <c r="L4209" s="43"/>
      <c r="M4209" s="43"/>
      <c r="N4209" s="43"/>
      <c r="O4209" s="43"/>
      <c r="Q4209" s="44"/>
      <c r="R4209" s="44"/>
      <c r="S4209" s="44"/>
      <c r="T4209" s="44"/>
    </row>
    <row r="4210" spans="12:20" x14ac:dyDescent="0.2">
      <c r="L4210" s="43"/>
      <c r="M4210" s="43"/>
      <c r="N4210" s="43"/>
      <c r="O4210" s="43"/>
      <c r="Q4210" s="44"/>
      <c r="R4210" s="44"/>
      <c r="S4210" s="44"/>
      <c r="T4210" s="44"/>
    </row>
    <row r="4211" spans="12:20" x14ac:dyDescent="0.2">
      <c r="L4211" s="43"/>
      <c r="M4211" s="43"/>
      <c r="N4211" s="43"/>
      <c r="O4211" s="43"/>
      <c r="Q4211" s="44"/>
      <c r="R4211" s="44"/>
      <c r="S4211" s="44"/>
      <c r="T4211" s="44"/>
    </row>
    <row r="4212" spans="12:20" x14ac:dyDescent="0.2">
      <c r="L4212" s="43"/>
      <c r="M4212" s="43"/>
      <c r="N4212" s="43"/>
      <c r="O4212" s="43"/>
      <c r="Q4212" s="44"/>
      <c r="R4212" s="44"/>
      <c r="S4212" s="44"/>
      <c r="T4212" s="44"/>
    </row>
    <row r="4213" spans="12:20" x14ac:dyDescent="0.2">
      <c r="L4213" s="43"/>
      <c r="M4213" s="43"/>
      <c r="N4213" s="43"/>
      <c r="O4213" s="43"/>
      <c r="Q4213" s="44"/>
      <c r="R4213" s="44"/>
      <c r="S4213" s="44"/>
      <c r="T4213" s="44"/>
    </row>
    <row r="4214" spans="12:20" x14ac:dyDescent="0.2">
      <c r="L4214" s="43"/>
      <c r="M4214" s="43"/>
      <c r="N4214" s="43"/>
      <c r="O4214" s="43"/>
      <c r="Q4214" s="44"/>
      <c r="R4214" s="44"/>
      <c r="S4214" s="44"/>
      <c r="T4214" s="44"/>
    </row>
    <row r="4215" spans="12:20" x14ac:dyDescent="0.2">
      <c r="L4215" s="43"/>
      <c r="M4215" s="43"/>
      <c r="N4215" s="43"/>
      <c r="O4215" s="43"/>
      <c r="Q4215" s="44"/>
      <c r="R4215" s="44"/>
      <c r="S4215" s="44"/>
      <c r="T4215" s="44"/>
    </row>
    <row r="4216" spans="12:20" x14ac:dyDescent="0.2">
      <c r="L4216" s="43"/>
      <c r="M4216" s="43"/>
      <c r="N4216" s="43"/>
      <c r="O4216" s="43"/>
      <c r="Q4216" s="44"/>
      <c r="R4216" s="44"/>
      <c r="S4216" s="44"/>
      <c r="T4216" s="44"/>
    </row>
    <row r="4217" spans="12:20" x14ac:dyDescent="0.2">
      <c r="L4217" s="43"/>
      <c r="M4217" s="43"/>
      <c r="N4217" s="43"/>
      <c r="O4217" s="43"/>
      <c r="Q4217" s="44"/>
      <c r="R4217" s="44"/>
      <c r="S4217" s="44"/>
      <c r="T4217" s="44"/>
    </row>
    <row r="4218" spans="12:20" x14ac:dyDescent="0.2">
      <c r="L4218" s="43"/>
      <c r="M4218" s="43"/>
      <c r="N4218" s="43"/>
      <c r="O4218" s="43"/>
      <c r="Q4218" s="44"/>
      <c r="R4218" s="44"/>
      <c r="S4218" s="44"/>
      <c r="T4218" s="44"/>
    </row>
    <row r="4219" spans="12:20" x14ac:dyDescent="0.2">
      <c r="L4219" s="43"/>
      <c r="M4219" s="43"/>
      <c r="N4219" s="43"/>
      <c r="O4219" s="43"/>
      <c r="Q4219" s="44"/>
      <c r="R4219" s="44"/>
      <c r="S4219" s="44"/>
      <c r="T4219" s="44"/>
    </row>
    <row r="4220" spans="12:20" x14ac:dyDescent="0.2">
      <c r="L4220" s="43"/>
      <c r="M4220" s="43"/>
      <c r="N4220" s="43"/>
      <c r="O4220" s="43"/>
      <c r="Q4220" s="44"/>
      <c r="R4220" s="44"/>
      <c r="S4220" s="44"/>
      <c r="T4220" s="44"/>
    </row>
    <row r="4221" spans="12:20" x14ac:dyDescent="0.2">
      <c r="L4221" s="43"/>
      <c r="M4221" s="43"/>
      <c r="N4221" s="43"/>
      <c r="O4221" s="43"/>
      <c r="Q4221" s="44"/>
      <c r="R4221" s="44"/>
      <c r="S4221" s="44"/>
      <c r="T4221" s="44"/>
    </row>
    <row r="4222" spans="12:20" x14ac:dyDescent="0.2">
      <c r="L4222" s="43"/>
      <c r="M4222" s="43"/>
      <c r="N4222" s="43"/>
      <c r="O4222" s="43"/>
      <c r="Q4222" s="44"/>
      <c r="R4222" s="44"/>
      <c r="S4222" s="44"/>
      <c r="T4222" s="44"/>
    </row>
    <row r="4223" spans="12:20" x14ac:dyDescent="0.2">
      <c r="L4223" s="43"/>
      <c r="M4223" s="43"/>
      <c r="N4223" s="43"/>
      <c r="O4223" s="43"/>
      <c r="Q4223" s="44"/>
      <c r="R4223" s="44"/>
      <c r="S4223" s="44"/>
      <c r="T4223" s="44"/>
    </row>
    <row r="4224" spans="12:20" x14ac:dyDescent="0.2">
      <c r="L4224" s="43"/>
      <c r="M4224" s="43"/>
      <c r="N4224" s="43"/>
      <c r="O4224" s="43"/>
      <c r="Q4224" s="44"/>
      <c r="R4224" s="44"/>
      <c r="S4224" s="44"/>
      <c r="T4224" s="44"/>
    </row>
    <row r="4225" spans="12:20" x14ac:dyDescent="0.2">
      <c r="L4225" s="43"/>
      <c r="M4225" s="43"/>
      <c r="N4225" s="43"/>
      <c r="O4225" s="43"/>
      <c r="Q4225" s="44"/>
      <c r="R4225" s="44"/>
      <c r="S4225" s="44"/>
      <c r="T4225" s="44"/>
    </row>
    <row r="4226" spans="12:20" x14ac:dyDescent="0.2">
      <c r="L4226" s="43"/>
      <c r="M4226" s="43"/>
      <c r="N4226" s="43"/>
      <c r="O4226" s="43"/>
      <c r="Q4226" s="44"/>
      <c r="R4226" s="44"/>
      <c r="S4226" s="44"/>
      <c r="T4226" s="44"/>
    </row>
    <row r="4227" spans="12:20" x14ac:dyDescent="0.2">
      <c r="L4227" s="43"/>
      <c r="M4227" s="43"/>
      <c r="N4227" s="43"/>
      <c r="O4227" s="43"/>
      <c r="Q4227" s="44"/>
      <c r="R4227" s="44"/>
      <c r="S4227" s="44"/>
      <c r="T4227" s="44"/>
    </row>
    <row r="4228" spans="12:20" x14ac:dyDescent="0.2">
      <c r="L4228" s="43"/>
      <c r="M4228" s="43"/>
      <c r="N4228" s="43"/>
      <c r="O4228" s="43"/>
      <c r="Q4228" s="44"/>
      <c r="R4228" s="44"/>
      <c r="S4228" s="44"/>
      <c r="T4228" s="44"/>
    </row>
    <row r="4229" spans="12:20" x14ac:dyDescent="0.2">
      <c r="L4229" s="43"/>
      <c r="M4229" s="43"/>
      <c r="N4229" s="43"/>
      <c r="O4229" s="43"/>
      <c r="Q4229" s="44"/>
      <c r="R4229" s="44"/>
      <c r="S4229" s="44"/>
      <c r="T4229" s="44"/>
    </row>
    <row r="4230" spans="12:20" x14ac:dyDescent="0.2">
      <c r="L4230" s="43"/>
      <c r="M4230" s="43"/>
      <c r="N4230" s="43"/>
      <c r="O4230" s="43"/>
      <c r="Q4230" s="44"/>
      <c r="R4230" s="44"/>
      <c r="S4230" s="44"/>
      <c r="T4230" s="44"/>
    </row>
    <row r="4231" spans="12:20" x14ac:dyDescent="0.2">
      <c r="L4231" s="43"/>
      <c r="M4231" s="43"/>
      <c r="N4231" s="43"/>
      <c r="O4231" s="43"/>
      <c r="Q4231" s="44"/>
      <c r="R4231" s="44"/>
      <c r="S4231" s="44"/>
      <c r="T4231" s="44"/>
    </row>
    <row r="4232" spans="12:20" x14ac:dyDescent="0.2">
      <c r="L4232" s="43"/>
      <c r="M4232" s="43"/>
      <c r="N4232" s="43"/>
      <c r="O4232" s="43"/>
      <c r="Q4232" s="44"/>
      <c r="R4232" s="44"/>
      <c r="S4232" s="44"/>
      <c r="T4232" s="44"/>
    </row>
    <row r="4233" spans="12:20" x14ac:dyDescent="0.2">
      <c r="L4233" s="43"/>
      <c r="M4233" s="43"/>
      <c r="N4233" s="43"/>
      <c r="O4233" s="43"/>
      <c r="Q4233" s="44"/>
      <c r="R4233" s="44"/>
      <c r="S4233" s="44"/>
      <c r="T4233" s="44"/>
    </row>
    <row r="4234" spans="12:20" x14ac:dyDescent="0.2">
      <c r="L4234" s="43"/>
      <c r="M4234" s="43"/>
      <c r="N4234" s="43"/>
      <c r="O4234" s="43"/>
      <c r="Q4234" s="44"/>
      <c r="R4234" s="44"/>
      <c r="S4234" s="44"/>
      <c r="T4234" s="44"/>
    </row>
    <row r="4235" spans="12:20" x14ac:dyDescent="0.2">
      <c r="L4235" s="43"/>
      <c r="M4235" s="43"/>
      <c r="N4235" s="43"/>
      <c r="O4235" s="43"/>
      <c r="Q4235" s="44"/>
      <c r="R4235" s="44"/>
      <c r="S4235" s="44"/>
      <c r="T4235" s="44"/>
    </row>
    <row r="4236" spans="12:20" x14ac:dyDescent="0.2">
      <c r="L4236" s="43"/>
      <c r="M4236" s="43"/>
      <c r="N4236" s="43"/>
      <c r="O4236" s="43"/>
      <c r="Q4236" s="44"/>
      <c r="R4236" s="44"/>
      <c r="S4236" s="44"/>
      <c r="T4236" s="44"/>
    </row>
    <row r="4237" spans="12:20" x14ac:dyDescent="0.2">
      <c r="L4237" s="43"/>
      <c r="M4237" s="43"/>
      <c r="N4237" s="43"/>
      <c r="O4237" s="43"/>
      <c r="Q4237" s="44"/>
      <c r="R4237" s="44"/>
      <c r="S4237" s="44"/>
      <c r="T4237" s="44"/>
    </row>
    <row r="4238" spans="12:20" x14ac:dyDescent="0.2">
      <c r="L4238" s="43"/>
      <c r="M4238" s="43"/>
      <c r="N4238" s="43"/>
      <c r="O4238" s="43"/>
      <c r="Q4238" s="44"/>
      <c r="R4238" s="44"/>
      <c r="S4238" s="44"/>
      <c r="T4238" s="44"/>
    </row>
    <row r="4239" spans="12:20" x14ac:dyDescent="0.2">
      <c r="L4239" s="43"/>
      <c r="M4239" s="43"/>
      <c r="N4239" s="43"/>
      <c r="O4239" s="43"/>
      <c r="Q4239" s="44"/>
      <c r="R4239" s="44"/>
      <c r="S4239" s="44"/>
      <c r="T4239" s="44"/>
    </row>
    <row r="4240" spans="12:20" x14ac:dyDescent="0.2">
      <c r="L4240" s="43"/>
      <c r="M4240" s="43"/>
      <c r="N4240" s="43"/>
      <c r="O4240" s="43"/>
      <c r="Q4240" s="44"/>
      <c r="R4240" s="44"/>
      <c r="S4240" s="44"/>
      <c r="T4240" s="44"/>
    </row>
    <row r="4241" spans="12:20" x14ac:dyDescent="0.2">
      <c r="L4241" s="43"/>
      <c r="M4241" s="43"/>
      <c r="N4241" s="43"/>
      <c r="O4241" s="43"/>
      <c r="Q4241" s="44"/>
      <c r="R4241" s="44"/>
      <c r="S4241" s="44"/>
      <c r="T4241" s="44"/>
    </row>
    <row r="4242" spans="12:20" x14ac:dyDescent="0.2">
      <c r="L4242" s="43"/>
      <c r="M4242" s="43"/>
      <c r="N4242" s="43"/>
      <c r="O4242" s="43"/>
      <c r="Q4242" s="44"/>
      <c r="R4242" s="44"/>
      <c r="S4242" s="44"/>
      <c r="T4242" s="44"/>
    </row>
    <row r="4243" spans="12:20" x14ac:dyDescent="0.2">
      <c r="L4243" s="43"/>
      <c r="M4243" s="43"/>
      <c r="N4243" s="43"/>
      <c r="O4243" s="43"/>
      <c r="Q4243" s="44"/>
      <c r="R4243" s="44"/>
      <c r="S4243" s="44"/>
      <c r="T4243" s="44"/>
    </row>
    <row r="4244" spans="12:20" x14ac:dyDescent="0.2">
      <c r="L4244" s="43"/>
      <c r="M4244" s="43"/>
      <c r="N4244" s="43"/>
      <c r="O4244" s="43"/>
      <c r="Q4244" s="44"/>
      <c r="R4244" s="44"/>
      <c r="S4244" s="44"/>
      <c r="T4244" s="44"/>
    </row>
    <row r="4245" spans="12:20" x14ac:dyDescent="0.2">
      <c r="L4245" s="43"/>
      <c r="M4245" s="43"/>
      <c r="N4245" s="43"/>
      <c r="O4245" s="43"/>
      <c r="Q4245" s="44"/>
      <c r="R4245" s="44"/>
      <c r="S4245" s="44"/>
      <c r="T4245" s="44"/>
    </row>
    <row r="4246" spans="12:20" x14ac:dyDescent="0.2">
      <c r="L4246" s="43"/>
      <c r="M4246" s="43"/>
      <c r="N4246" s="43"/>
      <c r="O4246" s="43"/>
      <c r="Q4246" s="44"/>
      <c r="R4246" s="44"/>
      <c r="S4246" s="44"/>
      <c r="T4246" s="44"/>
    </row>
    <row r="4247" spans="12:20" x14ac:dyDescent="0.2">
      <c r="L4247" s="43"/>
      <c r="M4247" s="43"/>
      <c r="N4247" s="43"/>
      <c r="O4247" s="43"/>
      <c r="Q4247" s="44"/>
      <c r="R4247" s="44"/>
      <c r="S4247" s="44"/>
      <c r="T4247" s="44"/>
    </row>
    <row r="4248" spans="12:20" x14ac:dyDescent="0.2">
      <c r="L4248" s="43"/>
      <c r="M4248" s="43"/>
      <c r="N4248" s="43"/>
      <c r="O4248" s="43"/>
      <c r="Q4248" s="44"/>
      <c r="R4248" s="44"/>
      <c r="S4248" s="44"/>
      <c r="T4248" s="44"/>
    </row>
    <row r="4249" spans="12:20" x14ac:dyDescent="0.2">
      <c r="L4249" s="43"/>
      <c r="M4249" s="43"/>
      <c r="N4249" s="43"/>
      <c r="O4249" s="43"/>
      <c r="Q4249" s="44"/>
      <c r="R4249" s="44"/>
      <c r="S4249" s="44"/>
      <c r="T4249" s="44"/>
    </row>
    <row r="4250" spans="12:20" x14ac:dyDescent="0.2">
      <c r="L4250" s="43"/>
      <c r="M4250" s="43"/>
      <c r="N4250" s="43"/>
      <c r="O4250" s="43"/>
      <c r="Q4250" s="44"/>
      <c r="R4250" s="44"/>
      <c r="S4250" s="44"/>
      <c r="T4250" s="44"/>
    </row>
    <row r="4251" spans="12:20" x14ac:dyDescent="0.2">
      <c r="L4251" s="43"/>
      <c r="M4251" s="43"/>
      <c r="N4251" s="43"/>
      <c r="O4251" s="43"/>
      <c r="Q4251" s="44"/>
      <c r="R4251" s="44"/>
      <c r="S4251" s="44"/>
      <c r="T4251" s="44"/>
    </row>
    <row r="4252" spans="12:20" x14ac:dyDescent="0.2">
      <c r="L4252" s="43"/>
      <c r="M4252" s="43"/>
      <c r="N4252" s="43"/>
      <c r="O4252" s="43"/>
      <c r="Q4252" s="44"/>
      <c r="R4252" s="44"/>
      <c r="S4252" s="44"/>
      <c r="T4252" s="44"/>
    </row>
    <row r="4253" spans="12:20" x14ac:dyDescent="0.2">
      <c r="L4253" s="43"/>
      <c r="M4253" s="43"/>
      <c r="N4253" s="43"/>
      <c r="O4253" s="43"/>
      <c r="Q4253" s="44"/>
      <c r="R4253" s="44"/>
      <c r="S4253" s="44"/>
      <c r="T4253" s="44"/>
    </row>
    <row r="4254" spans="12:20" x14ac:dyDescent="0.2">
      <c r="L4254" s="43"/>
      <c r="M4254" s="43"/>
      <c r="N4254" s="43"/>
      <c r="O4254" s="43"/>
      <c r="Q4254" s="44"/>
      <c r="R4254" s="44"/>
      <c r="S4254" s="44"/>
      <c r="T4254" s="44"/>
    </row>
    <row r="4255" spans="12:20" x14ac:dyDescent="0.2">
      <c r="L4255" s="43"/>
      <c r="M4255" s="43"/>
      <c r="N4255" s="43"/>
      <c r="O4255" s="43"/>
      <c r="Q4255" s="44"/>
      <c r="R4255" s="44"/>
      <c r="S4255" s="44"/>
      <c r="T4255" s="44"/>
    </row>
    <row r="4256" spans="12:20" x14ac:dyDescent="0.2">
      <c r="L4256" s="43"/>
      <c r="M4256" s="43"/>
      <c r="N4256" s="43"/>
      <c r="O4256" s="43"/>
      <c r="Q4256" s="44"/>
      <c r="R4256" s="44"/>
      <c r="S4256" s="44"/>
      <c r="T4256" s="44"/>
    </row>
    <row r="4257" spans="12:20" x14ac:dyDescent="0.2">
      <c r="L4257" s="43"/>
      <c r="M4257" s="43"/>
      <c r="N4257" s="43"/>
      <c r="O4257" s="43"/>
      <c r="Q4257" s="44"/>
      <c r="R4257" s="44"/>
      <c r="S4257" s="44"/>
      <c r="T4257" s="44"/>
    </row>
    <row r="4258" spans="12:20" x14ac:dyDescent="0.2">
      <c r="L4258" s="43"/>
      <c r="M4258" s="43"/>
      <c r="N4258" s="43"/>
      <c r="O4258" s="43"/>
      <c r="Q4258" s="44"/>
      <c r="R4258" s="44"/>
      <c r="S4258" s="44"/>
      <c r="T4258" s="44"/>
    </row>
    <row r="4259" spans="12:20" x14ac:dyDescent="0.2">
      <c r="L4259" s="43"/>
      <c r="M4259" s="43"/>
      <c r="N4259" s="43"/>
      <c r="O4259" s="43"/>
      <c r="Q4259" s="44"/>
      <c r="R4259" s="44"/>
      <c r="S4259" s="44"/>
      <c r="T4259" s="44"/>
    </row>
    <row r="4260" spans="12:20" x14ac:dyDescent="0.2">
      <c r="L4260" s="43"/>
      <c r="M4260" s="43"/>
      <c r="N4260" s="43"/>
      <c r="O4260" s="43"/>
      <c r="Q4260" s="44"/>
      <c r="R4260" s="44"/>
      <c r="S4260" s="44"/>
      <c r="T4260" s="44"/>
    </row>
    <row r="4261" spans="12:20" x14ac:dyDescent="0.2">
      <c r="L4261" s="43"/>
      <c r="M4261" s="43"/>
      <c r="N4261" s="43"/>
      <c r="O4261" s="43"/>
      <c r="Q4261" s="44"/>
      <c r="R4261" s="44"/>
      <c r="S4261" s="44"/>
      <c r="T4261" s="44"/>
    </row>
    <row r="4262" spans="12:20" x14ac:dyDescent="0.2">
      <c r="L4262" s="43"/>
      <c r="M4262" s="43"/>
      <c r="N4262" s="43"/>
      <c r="O4262" s="43"/>
      <c r="Q4262" s="44"/>
      <c r="R4262" s="44"/>
      <c r="S4262" s="44"/>
      <c r="T4262" s="44"/>
    </row>
    <row r="4263" spans="12:20" x14ac:dyDescent="0.2">
      <c r="L4263" s="43"/>
      <c r="M4263" s="43"/>
      <c r="N4263" s="43"/>
      <c r="O4263" s="43"/>
      <c r="Q4263" s="44"/>
      <c r="R4263" s="44"/>
      <c r="S4263" s="44"/>
      <c r="T4263" s="44"/>
    </row>
    <row r="4264" spans="12:20" x14ac:dyDescent="0.2">
      <c r="L4264" s="43"/>
      <c r="M4264" s="43"/>
      <c r="N4264" s="43"/>
      <c r="O4264" s="43"/>
      <c r="Q4264" s="44"/>
      <c r="R4264" s="44"/>
      <c r="S4264" s="44"/>
      <c r="T4264" s="44"/>
    </row>
    <row r="4265" spans="12:20" x14ac:dyDescent="0.2">
      <c r="L4265" s="43"/>
      <c r="M4265" s="43"/>
      <c r="N4265" s="43"/>
      <c r="O4265" s="43"/>
      <c r="Q4265" s="44"/>
      <c r="R4265" s="44"/>
      <c r="S4265" s="44"/>
      <c r="T4265" s="44"/>
    </row>
    <row r="4266" spans="12:20" x14ac:dyDescent="0.2">
      <c r="L4266" s="43"/>
      <c r="M4266" s="43"/>
      <c r="N4266" s="43"/>
      <c r="O4266" s="43"/>
      <c r="Q4266" s="44"/>
      <c r="R4266" s="44"/>
      <c r="S4266" s="44"/>
      <c r="T4266" s="44"/>
    </row>
    <row r="4267" spans="12:20" x14ac:dyDescent="0.2">
      <c r="L4267" s="43"/>
      <c r="M4267" s="43"/>
      <c r="N4267" s="43"/>
      <c r="O4267" s="43"/>
      <c r="Q4267" s="44"/>
      <c r="R4267" s="44"/>
      <c r="S4267" s="44"/>
      <c r="T4267" s="44"/>
    </row>
    <row r="4268" spans="12:20" x14ac:dyDescent="0.2">
      <c r="L4268" s="43"/>
      <c r="M4268" s="43"/>
      <c r="N4268" s="43"/>
      <c r="O4268" s="43"/>
      <c r="Q4268" s="44"/>
      <c r="R4268" s="44"/>
      <c r="S4268" s="44"/>
      <c r="T4268" s="44"/>
    </row>
    <row r="4269" spans="12:20" x14ac:dyDescent="0.2">
      <c r="L4269" s="43"/>
      <c r="M4269" s="43"/>
      <c r="N4269" s="43"/>
      <c r="O4269" s="43"/>
      <c r="Q4269" s="44"/>
      <c r="R4269" s="44"/>
      <c r="S4269" s="44"/>
      <c r="T4269" s="44"/>
    </row>
    <row r="4270" spans="12:20" x14ac:dyDescent="0.2">
      <c r="L4270" s="43"/>
      <c r="M4270" s="43"/>
      <c r="N4270" s="43"/>
      <c r="O4270" s="43"/>
      <c r="Q4270" s="44"/>
      <c r="R4270" s="44"/>
      <c r="S4270" s="44"/>
      <c r="T4270" s="44"/>
    </row>
    <row r="4271" spans="12:20" x14ac:dyDescent="0.2">
      <c r="L4271" s="43"/>
      <c r="M4271" s="43"/>
      <c r="N4271" s="43"/>
      <c r="O4271" s="43"/>
      <c r="Q4271" s="44"/>
      <c r="R4271" s="44"/>
      <c r="S4271" s="44"/>
      <c r="T4271" s="44"/>
    </row>
    <row r="4272" spans="12:20" x14ac:dyDescent="0.2">
      <c r="L4272" s="43"/>
      <c r="M4272" s="43"/>
      <c r="N4272" s="43"/>
      <c r="O4272" s="43"/>
      <c r="Q4272" s="44"/>
      <c r="R4272" s="44"/>
      <c r="S4272" s="44"/>
      <c r="T4272" s="44"/>
    </row>
    <row r="4273" spans="12:20" x14ac:dyDescent="0.2">
      <c r="L4273" s="43"/>
      <c r="M4273" s="43"/>
      <c r="N4273" s="43"/>
      <c r="O4273" s="43"/>
      <c r="Q4273" s="44"/>
      <c r="R4273" s="44"/>
      <c r="S4273" s="44"/>
      <c r="T4273" s="44"/>
    </row>
    <row r="4274" spans="12:20" x14ac:dyDescent="0.2">
      <c r="L4274" s="43"/>
      <c r="M4274" s="43"/>
      <c r="N4274" s="43"/>
      <c r="O4274" s="43"/>
      <c r="Q4274" s="44"/>
      <c r="R4274" s="44"/>
      <c r="S4274" s="44"/>
      <c r="T4274" s="44"/>
    </row>
    <row r="4275" spans="12:20" x14ac:dyDescent="0.2">
      <c r="L4275" s="43"/>
      <c r="M4275" s="43"/>
      <c r="N4275" s="43"/>
      <c r="O4275" s="43"/>
      <c r="Q4275" s="44"/>
      <c r="R4275" s="44"/>
      <c r="S4275" s="44"/>
      <c r="T4275" s="44"/>
    </row>
    <row r="4276" spans="12:20" x14ac:dyDescent="0.2">
      <c r="L4276" s="43"/>
      <c r="M4276" s="43"/>
      <c r="N4276" s="43"/>
      <c r="O4276" s="43"/>
      <c r="Q4276" s="44"/>
      <c r="R4276" s="44"/>
      <c r="S4276" s="44"/>
      <c r="T4276" s="44"/>
    </row>
    <row r="4277" spans="12:20" x14ac:dyDescent="0.2">
      <c r="L4277" s="43"/>
      <c r="M4277" s="43"/>
      <c r="N4277" s="43"/>
      <c r="O4277" s="43"/>
      <c r="Q4277" s="44"/>
      <c r="R4277" s="44"/>
      <c r="S4277" s="44"/>
      <c r="T4277" s="44"/>
    </row>
    <row r="4278" spans="12:20" x14ac:dyDescent="0.2">
      <c r="L4278" s="43"/>
      <c r="M4278" s="43"/>
      <c r="N4278" s="43"/>
      <c r="O4278" s="43"/>
      <c r="Q4278" s="44"/>
      <c r="R4278" s="44"/>
      <c r="S4278" s="44"/>
      <c r="T4278" s="44"/>
    </row>
    <row r="4279" spans="12:20" x14ac:dyDescent="0.2">
      <c r="L4279" s="43"/>
      <c r="M4279" s="43"/>
      <c r="N4279" s="43"/>
      <c r="O4279" s="43"/>
      <c r="Q4279" s="44"/>
      <c r="R4279" s="44"/>
      <c r="S4279" s="44"/>
      <c r="T4279" s="44"/>
    </row>
    <row r="4280" spans="12:20" x14ac:dyDescent="0.2">
      <c r="L4280" s="43"/>
      <c r="M4280" s="43"/>
      <c r="N4280" s="43"/>
      <c r="O4280" s="43"/>
      <c r="Q4280" s="44"/>
      <c r="R4280" s="44"/>
      <c r="S4280" s="44"/>
      <c r="T4280" s="44"/>
    </row>
    <row r="4281" spans="12:20" x14ac:dyDescent="0.2">
      <c r="L4281" s="43"/>
      <c r="M4281" s="43"/>
      <c r="N4281" s="43"/>
      <c r="O4281" s="43"/>
      <c r="Q4281" s="44"/>
      <c r="R4281" s="44"/>
      <c r="S4281" s="44"/>
      <c r="T4281" s="44"/>
    </row>
    <row r="4282" spans="12:20" x14ac:dyDescent="0.2">
      <c r="L4282" s="43"/>
      <c r="M4282" s="43"/>
      <c r="N4282" s="43"/>
      <c r="O4282" s="43"/>
      <c r="Q4282" s="44"/>
      <c r="R4282" s="44"/>
      <c r="S4282" s="44"/>
      <c r="T4282" s="44"/>
    </row>
    <row r="4283" spans="12:20" x14ac:dyDescent="0.2">
      <c r="L4283" s="43"/>
      <c r="M4283" s="43"/>
      <c r="N4283" s="43"/>
      <c r="O4283" s="43"/>
      <c r="Q4283" s="44"/>
      <c r="R4283" s="44"/>
      <c r="S4283" s="44"/>
      <c r="T4283" s="44"/>
    </row>
    <row r="4284" spans="12:20" x14ac:dyDescent="0.2">
      <c r="L4284" s="43"/>
      <c r="M4284" s="43"/>
      <c r="N4284" s="43"/>
      <c r="O4284" s="43"/>
      <c r="Q4284" s="44"/>
      <c r="R4284" s="44"/>
      <c r="S4284" s="44"/>
      <c r="T4284" s="44"/>
    </row>
    <row r="4285" spans="12:20" x14ac:dyDescent="0.2">
      <c r="L4285" s="43"/>
      <c r="M4285" s="43"/>
      <c r="N4285" s="43"/>
      <c r="O4285" s="43"/>
      <c r="Q4285" s="44"/>
      <c r="R4285" s="44"/>
      <c r="S4285" s="44"/>
      <c r="T4285" s="44"/>
    </row>
    <row r="4286" spans="12:20" x14ac:dyDescent="0.2">
      <c r="L4286" s="43"/>
      <c r="M4286" s="43"/>
      <c r="N4286" s="43"/>
      <c r="O4286" s="43"/>
      <c r="Q4286" s="44"/>
      <c r="R4286" s="44"/>
      <c r="S4286" s="44"/>
      <c r="T4286" s="44"/>
    </row>
    <row r="4287" spans="12:20" x14ac:dyDescent="0.2">
      <c r="L4287" s="43"/>
      <c r="M4287" s="43"/>
      <c r="N4287" s="43"/>
      <c r="O4287" s="43"/>
      <c r="Q4287" s="44"/>
      <c r="R4287" s="44"/>
      <c r="S4287" s="44"/>
      <c r="T4287" s="44"/>
    </row>
    <row r="4288" spans="12:20" x14ac:dyDescent="0.2">
      <c r="L4288" s="43"/>
      <c r="M4288" s="43"/>
      <c r="N4288" s="43"/>
      <c r="O4288" s="43"/>
      <c r="Q4288" s="44"/>
      <c r="R4288" s="44"/>
      <c r="S4288" s="44"/>
      <c r="T4288" s="44"/>
    </row>
    <row r="4289" spans="12:20" x14ac:dyDescent="0.2">
      <c r="L4289" s="43"/>
      <c r="M4289" s="43"/>
      <c r="N4289" s="43"/>
      <c r="O4289" s="43"/>
      <c r="Q4289" s="44"/>
      <c r="R4289" s="44"/>
      <c r="S4289" s="44"/>
      <c r="T4289" s="44"/>
    </row>
    <row r="4290" spans="12:20" x14ac:dyDescent="0.2">
      <c r="L4290" s="43"/>
      <c r="M4290" s="43"/>
      <c r="N4290" s="43"/>
      <c r="O4290" s="43"/>
      <c r="Q4290" s="44"/>
      <c r="R4290" s="44"/>
      <c r="S4290" s="44"/>
      <c r="T4290" s="44"/>
    </row>
    <row r="4291" spans="12:20" x14ac:dyDescent="0.2">
      <c r="L4291" s="43"/>
      <c r="M4291" s="43"/>
      <c r="N4291" s="43"/>
      <c r="O4291" s="43"/>
      <c r="Q4291" s="44"/>
      <c r="R4291" s="44"/>
      <c r="S4291" s="44"/>
      <c r="T4291" s="44"/>
    </row>
    <row r="4292" spans="12:20" x14ac:dyDescent="0.2">
      <c r="L4292" s="43"/>
      <c r="M4292" s="43"/>
      <c r="N4292" s="43"/>
      <c r="O4292" s="43"/>
      <c r="Q4292" s="44"/>
      <c r="R4292" s="44"/>
      <c r="S4292" s="44"/>
      <c r="T4292" s="44"/>
    </row>
    <row r="4293" spans="12:20" x14ac:dyDescent="0.2">
      <c r="L4293" s="43"/>
      <c r="M4293" s="43"/>
      <c r="N4293" s="43"/>
      <c r="O4293" s="43"/>
      <c r="Q4293" s="44"/>
      <c r="R4293" s="44"/>
      <c r="S4293" s="44"/>
      <c r="T4293" s="44"/>
    </row>
    <row r="4294" spans="12:20" x14ac:dyDescent="0.2">
      <c r="L4294" s="43"/>
      <c r="M4294" s="43"/>
      <c r="N4294" s="43"/>
      <c r="O4294" s="43"/>
      <c r="Q4294" s="44"/>
      <c r="R4294" s="44"/>
      <c r="S4294" s="44"/>
      <c r="T4294" s="44"/>
    </row>
    <row r="4295" spans="12:20" x14ac:dyDescent="0.2">
      <c r="L4295" s="43"/>
      <c r="M4295" s="43"/>
      <c r="N4295" s="43"/>
      <c r="O4295" s="43"/>
      <c r="Q4295" s="44"/>
      <c r="R4295" s="44"/>
      <c r="S4295" s="44"/>
      <c r="T4295" s="44"/>
    </row>
    <row r="4296" spans="12:20" x14ac:dyDescent="0.2">
      <c r="L4296" s="43"/>
      <c r="M4296" s="43"/>
      <c r="N4296" s="43"/>
      <c r="O4296" s="43"/>
      <c r="Q4296" s="44"/>
      <c r="R4296" s="44"/>
      <c r="S4296" s="44"/>
      <c r="T4296" s="44"/>
    </row>
    <row r="4297" spans="12:20" x14ac:dyDescent="0.2">
      <c r="L4297" s="43"/>
      <c r="M4297" s="43"/>
      <c r="N4297" s="43"/>
      <c r="O4297" s="43"/>
      <c r="Q4297" s="44"/>
      <c r="R4297" s="44"/>
      <c r="S4297" s="44"/>
      <c r="T4297" s="44"/>
    </row>
    <row r="4298" spans="12:20" x14ac:dyDescent="0.2">
      <c r="L4298" s="43"/>
      <c r="M4298" s="43"/>
      <c r="N4298" s="43"/>
      <c r="O4298" s="43"/>
      <c r="Q4298" s="44"/>
      <c r="R4298" s="44"/>
      <c r="S4298" s="44"/>
      <c r="T4298" s="44"/>
    </row>
    <row r="4299" spans="12:20" x14ac:dyDescent="0.2">
      <c r="L4299" s="43"/>
      <c r="M4299" s="43"/>
      <c r="N4299" s="43"/>
      <c r="O4299" s="43"/>
      <c r="Q4299" s="44"/>
      <c r="R4299" s="44"/>
      <c r="S4299" s="44"/>
      <c r="T4299" s="44"/>
    </row>
    <row r="4300" spans="12:20" x14ac:dyDescent="0.2">
      <c r="L4300" s="43"/>
      <c r="M4300" s="43"/>
      <c r="N4300" s="43"/>
      <c r="O4300" s="43"/>
      <c r="Q4300" s="44"/>
      <c r="R4300" s="44"/>
      <c r="S4300" s="44"/>
      <c r="T4300" s="44"/>
    </row>
    <row r="4301" spans="12:20" x14ac:dyDescent="0.2">
      <c r="L4301" s="43"/>
      <c r="M4301" s="43"/>
      <c r="N4301" s="43"/>
      <c r="O4301" s="43"/>
      <c r="Q4301" s="44"/>
      <c r="R4301" s="44"/>
      <c r="S4301" s="44"/>
      <c r="T4301" s="44"/>
    </row>
    <row r="4302" spans="12:20" x14ac:dyDescent="0.2">
      <c r="L4302" s="43"/>
      <c r="M4302" s="43"/>
      <c r="N4302" s="43"/>
      <c r="O4302" s="43"/>
      <c r="Q4302" s="44"/>
      <c r="R4302" s="44"/>
      <c r="S4302" s="44"/>
      <c r="T4302" s="44"/>
    </row>
    <row r="4303" spans="12:20" x14ac:dyDescent="0.2">
      <c r="L4303" s="43"/>
      <c r="M4303" s="43"/>
      <c r="N4303" s="43"/>
      <c r="O4303" s="43"/>
      <c r="Q4303" s="44"/>
      <c r="R4303" s="44"/>
      <c r="S4303" s="44"/>
      <c r="T4303" s="44"/>
    </row>
    <row r="4304" spans="12:20" x14ac:dyDescent="0.2">
      <c r="L4304" s="43"/>
      <c r="M4304" s="43"/>
      <c r="N4304" s="43"/>
      <c r="O4304" s="43"/>
      <c r="Q4304" s="44"/>
      <c r="R4304" s="44"/>
      <c r="S4304" s="44"/>
      <c r="T4304" s="44"/>
    </row>
    <row r="4305" spans="12:20" x14ac:dyDescent="0.2">
      <c r="L4305" s="43"/>
      <c r="M4305" s="43"/>
      <c r="N4305" s="43"/>
      <c r="O4305" s="43"/>
      <c r="Q4305" s="44"/>
      <c r="R4305" s="44"/>
      <c r="S4305" s="44"/>
      <c r="T4305" s="44"/>
    </row>
    <row r="4306" spans="12:20" x14ac:dyDescent="0.2">
      <c r="L4306" s="43"/>
      <c r="M4306" s="43"/>
      <c r="N4306" s="43"/>
      <c r="O4306" s="43"/>
      <c r="Q4306" s="44"/>
      <c r="R4306" s="44"/>
      <c r="S4306" s="44"/>
      <c r="T4306" s="44"/>
    </row>
    <row r="4307" spans="12:20" x14ac:dyDescent="0.2">
      <c r="L4307" s="43"/>
      <c r="M4307" s="43"/>
      <c r="N4307" s="43"/>
      <c r="O4307" s="43"/>
      <c r="Q4307" s="44"/>
      <c r="R4307" s="44"/>
      <c r="S4307" s="44"/>
      <c r="T4307" s="44"/>
    </row>
    <row r="4308" spans="12:20" x14ac:dyDescent="0.2">
      <c r="L4308" s="43"/>
      <c r="M4308" s="43"/>
      <c r="N4308" s="43"/>
      <c r="O4308" s="43"/>
      <c r="Q4308" s="44"/>
      <c r="R4308" s="44"/>
      <c r="S4308" s="44"/>
      <c r="T4308" s="44"/>
    </row>
    <row r="4309" spans="12:20" x14ac:dyDescent="0.2">
      <c r="L4309" s="43"/>
      <c r="M4309" s="43"/>
      <c r="N4309" s="43"/>
      <c r="O4309" s="43"/>
      <c r="Q4309" s="44"/>
      <c r="R4309" s="44"/>
      <c r="S4309" s="44"/>
      <c r="T4309" s="44"/>
    </row>
    <row r="4310" spans="12:20" x14ac:dyDescent="0.2">
      <c r="L4310" s="43"/>
      <c r="M4310" s="43"/>
      <c r="N4310" s="43"/>
      <c r="O4310" s="43"/>
      <c r="Q4310" s="44"/>
      <c r="R4310" s="44"/>
      <c r="S4310" s="44"/>
      <c r="T4310" s="44"/>
    </row>
    <row r="4311" spans="12:20" x14ac:dyDescent="0.2">
      <c r="L4311" s="43"/>
      <c r="M4311" s="43"/>
      <c r="N4311" s="43"/>
      <c r="O4311" s="43"/>
      <c r="Q4311" s="44"/>
      <c r="R4311" s="44"/>
      <c r="S4311" s="44"/>
      <c r="T4311" s="44"/>
    </row>
    <row r="4312" spans="12:20" x14ac:dyDescent="0.2">
      <c r="L4312" s="43"/>
      <c r="M4312" s="43"/>
      <c r="N4312" s="43"/>
      <c r="O4312" s="43"/>
      <c r="Q4312" s="44"/>
      <c r="R4312" s="44"/>
      <c r="S4312" s="44"/>
      <c r="T4312" s="44"/>
    </row>
    <row r="4313" spans="12:20" x14ac:dyDescent="0.2">
      <c r="L4313" s="43"/>
      <c r="M4313" s="43"/>
      <c r="N4313" s="43"/>
      <c r="O4313" s="43"/>
      <c r="Q4313" s="44"/>
      <c r="R4313" s="44"/>
      <c r="S4313" s="44"/>
      <c r="T4313" s="44"/>
    </row>
    <row r="4314" spans="12:20" x14ac:dyDescent="0.2">
      <c r="L4314" s="43"/>
      <c r="M4314" s="43"/>
      <c r="N4314" s="43"/>
      <c r="O4314" s="43"/>
      <c r="Q4314" s="44"/>
      <c r="R4314" s="44"/>
      <c r="S4314" s="44"/>
      <c r="T4314" s="44"/>
    </row>
    <row r="4315" spans="12:20" x14ac:dyDescent="0.2">
      <c r="L4315" s="43"/>
      <c r="M4315" s="43"/>
      <c r="N4315" s="43"/>
      <c r="O4315" s="43"/>
      <c r="Q4315" s="44"/>
      <c r="R4315" s="44"/>
      <c r="S4315" s="44"/>
      <c r="T4315" s="44"/>
    </row>
    <row r="4316" spans="12:20" x14ac:dyDescent="0.2">
      <c r="L4316" s="43"/>
      <c r="M4316" s="43"/>
      <c r="N4316" s="43"/>
      <c r="O4316" s="43"/>
      <c r="Q4316" s="44"/>
      <c r="R4316" s="44"/>
      <c r="S4316" s="44"/>
      <c r="T4316" s="44"/>
    </row>
    <row r="4317" spans="12:20" x14ac:dyDescent="0.2">
      <c r="L4317" s="43"/>
      <c r="M4317" s="43"/>
      <c r="N4317" s="43"/>
      <c r="O4317" s="43"/>
      <c r="Q4317" s="44"/>
      <c r="R4317" s="44"/>
      <c r="S4317" s="44"/>
      <c r="T4317" s="44"/>
    </row>
    <row r="4318" spans="12:20" x14ac:dyDescent="0.2">
      <c r="L4318" s="43"/>
      <c r="M4318" s="43"/>
      <c r="N4318" s="43"/>
      <c r="O4318" s="43"/>
      <c r="Q4318" s="44"/>
      <c r="R4318" s="44"/>
      <c r="S4318" s="44"/>
      <c r="T4318" s="44"/>
    </row>
    <row r="4319" spans="12:20" x14ac:dyDescent="0.2">
      <c r="L4319" s="43"/>
      <c r="M4319" s="43"/>
      <c r="N4319" s="43"/>
      <c r="O4319" s="43"/>
      <c r="Q4319" s="44"/>
      <c r="R4319" s="44"/>
      <c r="S4319" s="44"/>
      <c r="T4319" s="44"/>
    </row>
    <row r="4320" spans="12:20" x14ac:dyDescent="0.2">
      <c r="L4320" s="43"/>
      <c r="M4320" s="43"/>
      <c r="N4320" s="43"/>
      <c r="O4320" s="43"/>
      <c r="Q4320" s="44"/>
      <c r="R4320" s="44"/>
      <c r="S4320" s="44"/>
      <c r="T4320" s="44"/>
    </row>
    <row r="4321" spans="12:20" x14ac:dyDescent="0.2">
      <c r="L4321" s="43"/>
      <c r="M4321" s="43"/>
      <c r="N4321" s="43"/>
      <c r="O4321" s="43"/>
      <c r="Q4321" s="44"/>
      <c r="R4321" s="44"/>
      <c r="S4321" s="44"/>
      <c r="T4321" s="44"/>
    </row>
    <row r="4322" spans="12:20" x14ac:dyDescent="0.2">
      <c r="L4322" s="43"/>
      <c r="M4322" s="43"/>
      <c r="N4322" s="43"/>
      <c r="O4322" s="43"/>
      <c r="Q4322" s="44"/>
      <c r="R4322" s="44"/>
      <c r="S4322" s="44"/>
      <c r="T4322" s="44"/>
    </row>
    <row r="4323" spans="12:20" x14ac:dyDescent="0.2">
      <c r="L4323" s="43"/>
      <c r="M4323" s="43"/>
      <c r="N4323" s="43"/>
      <c r="O4323" s="43"/>
      <c r="Q4323" s="44"/>
      <c r="R4323" s="44"/>
      <c r="S4323" s="44"/>
      <c r="T4323" s="44"/>
    </row>
    <row r="4324" spans="12:20" x14ac:dyDescent="0.2">
      <c r="L4324" s="43"/>
      <c r="M4324" s="43"/>
      <c r="N4324" s="43"/>
      <c r="O4324" s="43"/>
      <c r="Q4324" s="44"/>
      <c r="R4324" s="44"/>
      <c r="S4324" s="44"/>
      <c r="T4324" s="44"/>
    </row>
    <row r="4325" spans="12:20" x14ac:dyDescent="0.2">
      <c r="L4325" s="43"/>
      <c r="M4325" s="43"/>
      <c r="N4325" s="43"/>
      <c r="O4325" s="43"/>
      <c r="Q4325" s="44"/>
      <c r="R4325" s="44"/>
      <c r="S4325" s="44"/>
      <c r="T4325" s="44"/>
    </row>
    <row r="4326" spans="12:20" x14ac:dyDescent="0.2">
      <c r="L4326" s="43"/>
      <c r="M4326" s="43"/>
      <c r="N4326" s="43"/>
      <c r="O4326" s="43"/>
      <c r="Q4326" s="44"/>
      <c r="R4326" s="44"/>
      <c r="S4326" s="44"/>
      <c r="T4326" s="44"/>
    </row>
    <row r="4327" spans="12:20" x14ac:dyDescent="0.2">
      <c r="L4327" s="43"/>
      <c r="M4327" s="43"/>
      <c r="N4327" s="43"/>
      <c r="O4327" s="43"/>
      <c r="Q4327" s="44"/>
      <c r="R4327" s="44"/>
      <c r="S4327" s="44"/>
      <c r="T4327" s="44"/>
    </row>
    <row r="4328" spans="12:20" x14ac:dyDescent="0.2">
      <c r="L4328" s="43"/>
      <c r="M4328" s="43"/>
      <c r="N4328" s="43"/>
      <c r="O4328" s="43"/>
      <c r="Q4328" s="44"/>
      <c r="R4328" s="44"/>
      <c r="S4328" s="44"/>
      <c r="T4328" s="44"/>
    </row>
    <row r="4329" spans="12:20" x14ac:dyDescent="0.2">
      <c r="L4329" s="43"/>
      <c r="M4329" s="43"/>
      <c r="N4329" s="43"/>
      <c r="O4329" s="43"/>
      <c r="Q4329" s="44"/>
      <c r="R4329" s="44"/>
      <c r="S4329" s="44"/>
      <c r="T4329" s="44"/>
    </row>
    <row r="4330" spans="12:20" x14ac:dyDescent="0.2">
      <c r="L4330" s="43"/>
      <c r="M4330" s="43"/>
      <c r="N4330" s="43"/>
      <c r="O4330" s="43"/>
      <c r="Q4330" s="44"/>
      <c r="R4330" s="44"/>
      <c r="S4330" s="44"/>
      <c r="T4330" s="44"/>
    </row>
    <row r="4331" spans="12:20" x14ac:dyDescent="0.2">
      <c r="L4331" s="43"/>
      <c r="M4331" s="43"/>
      <c r="N4331" s="43"/>
      <c r="O4331" s="43"/>
      <c r="Q4331" s="44"/>
      <c r="R4331" s="44"/>
      <c r="S4331" s="44"/>
      <c r="T4331" s="44"/>
    </row>
    <row r="4332" spans="12:20" x14ac:dyDescent="0.2">
      <c r="L4332" s="43"/>
      <c r="M4332" s="43"/>
      <c r="N4332" s="43"/>
      <c r="O4332" s="43"/>
      <c r="Q4332" s="44"/>
      <c r="R4332" s="44"/>
      <c r="S4332" s="44"/>
      <c r="T4332" s="44"/>
    </row>
    <row r="4333" spans="12:20" x14ac:dyDescent="0.2">
      <c r="L4333" s="43"/>
      <c r="M4333" s="43"/>
      <c r="N4333" s="43"/>
      <c r="O4333" s="43"/>
      <c r="Q4333" s="44"/>
      <c r="R4333" s="44"/>
      <c r="S4333" s="44"/>
      <c r="T4333" s="44"/>
    </row>
    <row r="4334" spans="12:20" x14ac:dyDescent="0.2">
      <c r="L4334" s="43"/>
      <c r="M4334" s="43"/>
      <c r="N4334" s="43"/>
      <c r="O4334" s="43"/>
      <c r="Q4334" s="44"/>
      <c r="R4334" s="44"/>
      <c r="S4334" s="44"/>
      <c r="T4334" s="44"/>
    </row>
    <row r="4335" spans="12:20" x14ac:dyDescent="0.2">
      <c r="L4335" s="43"/>
      <c r="M4335" s="43"/>
      <c r="N4335" s="43"/>
      <c r="O4335" s="43"/>
      <c r="Q4335" s="44"/>
      <c r="R4335" s="44"/>
      <c r="S4335" s="44"/>
      <c r="T4335" s="44"/>
    </row>
    <row r="4336" spans="12:20" x14ac:dyDescent="0.2">
      <c r="L4336" s="43"/>
      <c r="M4336" s="43"/>
      <c r="N4336" s="43"/>
      <c r="O4336" s="43"/>
      <c r="Q4336" s="44"/>
      <c r="R4336" s="44"/>
      <c r="S4336" s="44"/>
      <c r="T4336" s="44"/>
    </row>
    <row r="4337" spans="12:20" x14ac:dyDescent="0.2">
      <c r="L4337" s="43"/>
      <c r="M4337" s="43"/>
      <c r="N4337" s="43"/>
      <c r="O4337" s="43"/>
      <c r="Q4337" s="44"/>
      <c r="R4337" s="44"/>
      <c r="S4337" s="44"/>
      <c r="T4337" s="44"/>
    </row>
    <row r="4338" spans="12:20" x14ac:dyDescent="0.2">
      <c r="L4338" s="43"/>
      <c r="M4338" s="43"/>
      <c r="N4338" s="43"/>
      <c r="O4338" s="43"/>
      <c r="Q4338" s="44"/>
      <c r="R4338" s="44"/>
      <c r="S4338" s="44"/>
      <c r="T4338" s="44"/>
    </row>
    <row r="4339" spans="12:20" x14ac:dyDescent="0.2">
      <c r="L4339" s="43"/>
      <c r="M4339" s="43"/>
      <c r="N4339" s="43"/>
      <c r="O4339" s="43"/>
      <c r="Q4339" s="44"/>
      <c r="R4339" s="44"/>
      <c r="S4339" s="44"/>
      <c r="T4339" s="44"/>
    </row>
    <row r="4340" spans="12:20" x14ac:dyDescent="0.2">
      <c r="L4340" s="43"/>
      <c r="M4340" s="43"/>
      <c r="N4340" s="43"/>
      <c r="O4340" s="43"/>
      <c r="Q4340" s="44"/>
      <c r="R4340" s="44"/>
      <c r="S4340" s="44"/>
      <c r="T4340" s="44"/>
    </row>
    <row r="4341" spans="12:20" x14ac:dyDescent="0.2">
      <c r="L4341" s="43"/>
      <c r="M4341" s="43"/>
      <c r="N4341" s="43"/>
      <c r="O4341" s="43"/>
      <c r="Q4341" s="44"/>
      <c r="R4341" s="44"/>
      <c r="S4341" s="44"/>
      <c r="T4341" s="44"/>
    </row>
    <row r="4342" spans="12:20" x14ac:dyDescent="0.2">
      <c r="L4342" s="43"/>
      <c r="M4342" s="43"/>
      <c r="N4342" s="43"/>
      <c r="O4342" s="43"/>
      <c r="Q4342" s="44"/>
      <c r="R4342" s="44"/>
      <c r="S4342" s="44"/>
      <c r="T4342" s="44"/>
    </row>
    <row r="4343" spans="12:20" x14ac:dyDescent="0.2">
      <c r="L4343" s="43"/>
      <c r="M4343" s="43"/>
      <c r="N4343" s="43"/>
      <c r="O4343" s="43"/>
      <c r="Q4343" s="44"/>
      <c r="R4343" s="44"/>
      <c r="S4343" s="44"/>
      <c r="T4343" s="44"/>
    </row>
    <row r="4344" spans="12:20" x14ac:dyDescent="0.2">
      <c r="L4344" s="43"/>
      <c r="M4344" s="43"/>
      <c r="N4344" s="43"/>
      <c r="O4344" s="43"/>
      <c r="Q4344" s="44"/>
      <c r="R4344" s="44"/>
      <c r="S4344" s="44"/>
      <c r="T4344" s="44"/>
    </row>
    <row r="4345" spans="12:20" x14ac:dyDescent="0.2">
      <c r="L4345" s="43"/>
      <c r="M4345" s="43"/>
      <c r="N4345" s="43"/>
      <c r="O4345" s="43"/>
      <c r="Q4345" s="44"/>
      <c r="R4345" s="44"/>
      <c r="S4345" s="44"/>
      <c r="T4345" s="44"/>
    </row>
    <row r="4346" spans="12:20" x14ac:dyDescent="0.2">
      <c r="L4346" s="43"/>
      <c r="M4346" s="43"/>
      <c r="N4346" s="43"/>
      <c r="O4346" s="43"/>
      <c r="Q4346" s="44"/>
      <c r="R4346" s="44"/>
      <c r="S4346" s="44"/>
      <c r="T4346" s="44"/>
    </row>
    <row r="4347" spans="12:20" x14ac:dyDescent="0.2">
      <c r="L4347" s="43"/>
      <c r="M4347" s="43"/>
      <c r="N4347" s="43"/>
      <c r="O4347" s="43"/>
      <c r="Q4347" s="44"/>
      <c r="R4347" s="44"/>
      <c r="S4347" s="44"/>
      <c r="T4347" s="44"/>
    </row>
    <row r="4348" spans="12:20" x14ac:dyDescent="0.2">
      <c r="L4348" s="43"/>
      <c r="M4348" s="43"/>
      <c r="N4348" s="43"/>
      <c r="O4348" s="43"/>
      <c r="Q4348" s="44"/>
      <c r="R4348" s="44"/>
      <c r="S4348" s="44"/>
      <c r="T4348" s="44"/>
    </row>
    <row r="4349" spans="12:20" x14ac:dyDescent="0.2">
      <c r="L4349" s="43"/>
      <c r="M4349" s="43"/>
      <c r="N4349" s="43"/>
      <c r="O4349" s="43"/>
      <c r="Q4349" s="44"/>
      <c r="R4349" s="44"/>
      <c r="S4349" s="44"/>
      <c r="T4349" s="44"/>
    </row>
    <row r="4350" spans="12:20" x14ac:dyDescent="0.2">
      <c r="L4350" s="43"/>
      <c r="M4350" s="43"/>
      <c r="N4350" s="43"/>
      <c r="O4350" s="43"/>
      <c r="Q4350" s="44"/>
      <c r="R4350" s="44"/>
      <c r="S4350" s="44"/>
      <c r="T4350" s="44"/>
    </row>
    <row r="4351" spans="12:20" x14ac:dyDescent="0.2">
      <c r="L4351" s="43"/>
      <c r="M4351" s="43"/>
      <c r="N4351" s="43"/>
      <c r="O4351" s="43"/>
      <c r="Q4351" s="44"/>
      <c r="R4351" s="44"/>
      <c r="S4351" s="44"/>
      <c r="T4351" s="44"/>
    </row>
    <row r="4352" spans="12:20" x14ac:dyDescent="0.2">
      <c r="L4352" s="43"/>
      <c r="M4352" s="43"/>
      <c r="N4352" s="43"/>
      <c r="O4352" s="43"/>
      <c r="Q4352" s="44"/>
      <c r="R4352" s="44"/>
      <c r="S4352" s="44"/>
      <c r="T4352" s="44"/>
    </row>
    <row r="4353" spans="12:20" x14ac:dyDescent="0.2">
      <c r="L4353" s="43"/>
      <c r="M4353" s="43"/>
      <c r="N4353" s="43"/>
      <c r="O4353" s="43"/>
      <c r="Q4353" s="44"/>
      <c r="R4353" s="44"/>
      <c r="S4353" s="44"/>
      <c r="T4353" s="44"/>
    </row>
    <row r="4354" spans="12:20" x14ac:dyDescent="0.2">
      <c r="L4354" s="43"/>
      <c r="M4354" s="43"/>
      <c r="N4354" s="43"/>
      <c r="O4354" s="43"/>
      <c r="Q4354" s="44"/>
      <c r="R4354" s="44"/>
      <c r="S4354" s="44"/>
      <c r="T4354" s="44"/>
    </row>
    <row r="4355" spans="12:20" x14ac:dyDescent="0.2">
      <c r="L4355" s="43"/>
      <c r="M4355" s="43"/>
      <c r="N4355" s="43"/>
      <c r="O4355" s="43"/>
      <c r="Q4355" s="44"/>
      <c r="R4355" s="44"/>
      <c r="S4355" s="44"/>
      <c r="T4355" s="44"/>
    </row>
    <row r="4356" spans="12:20" x14ac:dyDescent="0.2">
      <c r="L4356" s="43"/>
      <c r="M4356" s="43"/>
      <c r="N4356" s="43"/>
      <c r="O4356" s="43"/>
      <c r="Q4356" s="44"/>
      <c r="R4356" s="44"/>
      <c r="S4356" s="44"/>
      <c r="T4356" s="44"/>
    </row>
    <row r="4357" spans="12:20" x14ac:dyDescent="0.2">
      <c r="L4357" s="43"/>
      <c r="M4357" s="43"/>
      <c r="N4357" s="43"/>
      <c r="O4357" s="43"/>
      <c r="Q4357" s="44"/>
      <c r="R4357" s="44"/>
      <c r="S4357" s="44"/>
      <c r="T4357" s="44"/>
    </row>
    <row r="4358" spans="12:20" x14ac:dyDescent="0.2">
      <c r="L4358" s="43"/>
      <c r="M4358" s="43"/>
      <c r="N4358" s="43"/>
      <c r="O4358" s="43"/>
      <c r="Q4358" s="44"/>
      <c r="R4358" s="44"/>
      <c r="S4358" s="44"/>
      <c r="T4358" s="44"/>
    </row>
    <row r="4359" spans="12:20" x14ac:dyDescent="0.2">
      <c r="L4359" s="43"/>
      <c r="M4359" s="43"/>
      <c r="N4359" s="43"/>
      <c r="O4359" s="43"/>
      <c r="Q4359" s="44"/>
      <c r="R4359" s="44"/>
      <c r="S4359" s="44"/>
      <c r="T4359" s="44"/>
    </row>
    <row r="4360" spans="12:20" x14ac:dyDescent="0.2">
      <c r="L4360" s="43"/>
      <c r="M4360" s="43"/>
      <c r="N4360" s="43"/>
      <c r="O4360" s="43"/>
      <c r="Q4360" s="44"/>
      <c r="R4360" s="44"/>
      <c r="S4360" s="44"/>
      <c r="T4360" s="44"/>
    </row>
    <row r="4361" spans="12:20" x14ac:dyDescent="0.2">
      <c r="L4361" s="43"/>
      <c r="M4361" s="43"/>
      <c r="N4361" s="43"/>
      <c r="O4361" s="43"/>
      <c r="Q4361" s="44"/>
      <c r="R4361" s="44"/>
      <c r="S4361" s="44"/>
      <c r="T4361" s="44"/>
    </row>
    <row r="4362" spans="12:20" x14ac:dyDescent="0.2">
      <c r="L4362" s="43"/>
      <c r="M4362" s="43"/>
      <c r="N4362" s="43"/>
      <c r="O4362" s="43"/>
      <c r="Q4362" s="44"/>
      <c r="R4362" s="44"/>
      <c r="S4362" s="44"/>
      <c r="T4362" s="44"/>
    </row>
    <row r="4363" spans="12:20" x14ac:dyDescent="0.2">
      <c r="L4363" s="43"/>
      <c r="M4363" s="43"/>
      <c r="N4363" s="43"/>
      <c r="O4363" s="43"/>
      <c r="Q4363" s="44"/>
      <c r="R4363" s="44"/>
      <c r="S4363" s="44"/>
      <c r="T4363" s="44"/>
    </row>
    <row r="4364" spans="12:20" x14ac:dyDescent="0.2">
      <c r="L4364" s="43"/>
      <c r="M4364" s="43"/>
      <c r="N4364" s="43"/>
      <c r="O4364" s="43"/>
      <c r="Q4364" s="44"/>
      <c r="R4364" s="44"/>
      <c r="S4364" s="44"/>
      <c r="T4364" s="44"/>
    </row>
    <row r="4365" spans="12:20" x14ac:dyDescent="0.2">
      <c r="L4365" s="43"/>
      <c r="M4365" s="43"/>
      <c r="N4365" s="43"/>
      <c r="O4365" s="43"/>
      <c r="Q4365" s="44"/>
      <c r="R4365" s="44"/>
      <c r="S4365" s="44"/>
      <c r="T4365" s="44"/>
    </row>
    <row r="4366" spans="12:20" x14ac:dyDescent="0.2">
      <c r="L4366" s="43"/>
      <c r="M4366" s="43"/>
      <c r="N4366" s="43"/>
      <c r="O4366" s="43"/>
      <c r="Q4366" s="44"/>
      <c r="R4366" s="44"/>
      <c r="S4366" s="44"/>
      <c r="T4366" s="44"/>
    </row>
    <row r="4367" spans="12:20" x14ac:dyDescent="0.2">
      <c r="L4367" s="43"/>
      <c r="M4367" s="43"/>
      <c r="N4367" s="43"/>
      <c r="O4367" s="43"/>
      <c r="Q4367" s="44"/>
      <c r="R4367" s="44"/>
      <c r="S4367" s="44"/>
      <c r="T4367" s="44"/>
    </row>
    <row r="4368" spans="12:20" x14ac:dyDescent="0.2">
      <c r="L4368" s="43"/>
      <c r="M4368" s="43"/>
      <c r="N4368" s="43"/>
      <c r="O4368" s="43"/>
      <c r="Q4368" s="44"/>
      <c r="R4368" s="44"/>
      <c r="S4368" s="44"/>
      <c r="T4368" s="44"/>
    </row>
    <row r="4369" spans="12:20" x14ac:dyDescent="0.2">
      <c r="L4369" s="43"/>
      <c r="M4369" s="43"/>
      <c r="N4369" s="43"/>
      <c r="O4369" s="43"/>
      <c r="Q4369" s="44"/>
      <c r="R4369" s="44"/>
      <c r="S4369" s="44"/>
      <c r="T4369" s="44"/>
    </row>
    <row r="4370" spans="12:20" x14ac:dyDescent="0.2">
      <c r="L4370" s="43"/>
      <c r="M4370" s="43"/>
      <c r="N4370" s="43"/>
      <c r="O4370" s="43"/>
      <c r="Q4370" s="44"/>
      <c r="R4370" s="44"/>
      <c r="S4370" s="44"/>
      <c r="T4370" s="44"/>
    </row>
    <row r="4371" spans="12:20" x14ac:dyDescent="0.2">
      <c r="L4371" s="43"/>
      <c r="M4371" s="43"/>
      <c r="N4371" s="43"/>
      <c r="O4371" s="43"/>
      <c r="Q4371" s="44"/>
      <c r="R4371" s="44"/>
      <c r="S4371" s="44"/>
      <c r="T4371" s="44"/>
    </row>
    <row r="4372" spans="12:20" x14ac:dyDescent="0.2">
      <c r="L4372" s="43"/>
      <c r="M4372" s="43"/>
      <c r="N4372" s="43"/>
      <c r="O4372" s="43"/>
      <c r="Q4372" s="44"/>
      <c r="R4372" s="44"/>
      <c r="S4372" s="44"/>
      <c r="T4372" s="44"/>
    </row>
    <row r="4373" spans="12:20" x14ac:dyDescent="0.2">
      <c r="L4373" s="43"/>
      <c r="M4373" s="43"/>
      <c r="N4373" s="43"/>
      <c r="O4373" s="43"/>
      <c r="Q4373" s="44"/>
      <c r="R4373" s="44"/>
      <c r="S4373" s="44"/>
      <c r="T4373" s="44"/>
    </row>
    <row r="4374" spans="12:20" x14ac:dyDescent="0.2">
      <c r="L4374" s="43"/>
      <c r="M4374" s="43"/>
      <c r="N4374" s="43"/>
      <c r="O4374" s="43"/>
      <c r="Q4374" s="44"/>
      <c r="R4374" s="44"/>
      <c r="S4374" s="44"/>
      <c r="T4374" s="44"/>
    </row>
    <row r="4375" spans="12:20" x14ac:dyDescent="0.2">
      <c r="L4375" s="43"/>
      <c r="M4375" s="43"/>
      <c r="N4375" s="43"/>
      <c r="O4375" s="43"/>
      <c r="Q4375" s="44"/>
      <c r="R4375" s="44"/>
      <c r="S4375" s="44"/>
      <c r="T4375" s="44"/>
    </row>
    <row r="4376" spans="12:20" x14ac:dyDescent="0.2">
      <c r="L4376" s="43"/>
      <c r="M4376" s="43"/>
      <c r="N4376" s="43"/>
      <c r="O4376" s="43"/>
      <c r="Q4376" s="44"/>
      <c r="R4376" s="44"/>
      <c r="S4376" s="44"/>
      <c r="T4376" s="44"/>
    </row>
    <row r="4377" spans="12:20" x14ac:dyDescent="0.2">
      <c r="L4377" s="43"/>
      <c r="M4377" s="43"/>
      <c r="N4377" s="43"/>
      <c r="O4377" s="43"/>
      <c r="Q4377" s="44"/>
      <c r="R4377" s="44"/>
      <c r="S4377" s="44"/>
      <c r="T4377" s="44"/>
    </row>
    <row r="4378" spans="12:20" x14ac:dyDescent="0.2">
      <c r="L4378" s="43"/>
      <c r="M4378" s="43"/>
      <c r="N4378" s="43"/>
      <c r="O4378" s="43"/>
      <c r="Q4378" s="44"/>
      <c r="R4378" s="44"/>
      <c r="S4378" s="44"/>
      <c r="T4378" s="44"/>
    </row>
    <row r="4379" spans="12:20" x14ac:dyDescent="0.2">
      <c r="L4379" s="43"/>
      <c r="M4379" s="43"/>
      <c r="N4379" s="43"/>
      <c r="O4379" s="43"/>
      <c r="Q4379" s="44"/>
      <c r="R4379" s="44"/>
      <c r="S4379" s="44"/>
      <c r="T4379" s="44"/>
    </row>
    <row r="4380" spans="12:20" x14ac:dyDescent="0.2">
      <c r="L4380" s="43"/>
      <c r="M4380" s="43"/>
      <c r="N4380" s="43"/>
      <c r="O4380" s="43"/>
      <c r="Q4380" s="44"/>
      <c r="R4380" s="44"/>
      <c r="S4380" s="44"/>
      <c r="T4380" s="44"/>
    </row>
    <row r="4381" spans="12:20" x14ac:dyDescent="0.2">
      <c r="L4381" s="43"/>
      <c r="M4381" s="43"/>
      <c r="N4381" s="43"/>
      <c r="O4381" s="43"/>
      <c r="Q4381" s="44"/>
      <c r="R4381" s="44"/>
      <c r="S4381" s="44"/>
      <c r="T4381" s="44"/>
    </row>
    <row r="4382" spans="12:20" x14ac:dyDescent="0.2">
      <c r="L4382" s="43"/>
      <c r="M4382" s="43"/>
      <c r="N4382" s="43"/>
      <c r="O4382" s="43"/>
      <c r="Q4382" s="44"/>
      <c r="R4382" s="44"/>
      <c r="S4382" s="44"/>
      <c r="T4382" s="44"/>
    </row>
    <row r="4383" spans="12:20" x14ac:dyDescent="0.2">
      <c r="L4383" s="43"/>
      <c r="M4383" s="43"/>
      <c r="N4383" s="43"/>
      <c r="O4383" s="43"/>
      <c r="Q4383" s="44"/>
      <c r="R4383" s="44"/>
      <c r="S4383" s="44"/>
      <c r="T4383" s="44"/>
    </row>
    <row r="4384" spans="12:20" x14ac:dyDescent="0.2">
      <c r="L4384" s="43"/>
      <c r="M4384" s="43"/>
      <c r="N4384" s="43"/>
      <c r="O4384" s="43"/>
      <c r="Q4384" s="44"/>
      <c r="R4384" s="44"/>
      <c r="S4384" s="44"/>
      <c r="T4384" s="44"/>
    </row>
    <row r="4385" spans="12:20" x14ac:dyDescent="0.2">
      <c r="L4385" s="43"/>
      <c r="M4385" s="43"/>
      <c r="N4385" s="43"/>
      <c r="O4385" s="43"/>
      <c r="Q4385" s="44"/>
      <c r="R4385" s="44"/>
      <c r="S4385" s="44"/>
      <c r="T4385" s="44"/>
    </row>
    <row r="4386" spans="12:20" x14ac:dyDescent="0.2">
      <c r="L4386" s="43"/>
      <c r="M4386" s="43"/>
      <c r="N4386" s="43"/>
      <c r="O4386" s="43"/>
      <c r="Q4386" s="44"/>
      <c r="R4386" s="44"/>
      <c r="S4386" s="44"/>
      <c r="T4386" s="44"/>
    </row>
    <row r="4387" spans="12:20" x14ac:dyDescent="0.2">
      <c r="L4387" s="43"/>
      <c r="M4387" s="43"/>
      <c r="N4387" s="43"/>
      <c r="O4387" s="43"/>
      <c r="Q4387" s="44"/>
      <c r="R4387" s="44"/>
      <c r="S4387" s="44"/>
      <c r="T4387" s="44"/>
    </row>
    <row r="4388" spans="12:20" x14ac:dyDescent="0.2">
      <c r="L4388" s="43"/>
      <c r="M4388" s="43"/>
      <c r="N4388" s="43"/>
      <c r="O4388" s="43"/>
      <c r="Q4388" s="44"/>
      <c r="R4388" s="44"/>
      <c r="S4388" s="44"/>
      <c r="T4388" s="44"/>
    </row>
    <row r="4389" spans="12:20" x14ac:dyDescent="0.2">
      <c r="L4389" s="43"/>
      <c r="M4389" s="43"/>
      <c r="N4389" s="43"/>
      <c r="O4389" s="43"/>
      <c r="Q4389" s="44"/>
      <c r="R4389" s="44"/>
      <c r="S4389" s="44"/>
      <c r="T4389" s="44"/>
    </row>
    <row r="4390" spans="12:20" x14ac:dyDescent="0.2">
      <c r="L4390" s="43"/>
      <c r="M4390" s="43"/>
      <c r="N4390" s="43"/>
      <c r="O4390" s="43"/>
      <c r="Q4390" s="44"/>
      <c r="R4390" s="44"/>
      <c r="S4390" s="44"/>
      <c r="T4390" s="44"/>
    </row>
    <row r="4391" spans="12:20" x14ac:dyDescent="0.2">
      <c r="L4391" s="43"/>
      <c r="M4391" s="43"/>
      <c r="N4391" s="43"/>
      <c r="O4391" s="43"/>
      <c r="Q4391" s="44"/>
      <c r="R4391" s="44"/>
      <c r="S4391" s="44"/>
      <c r="T4391" s="44"/>
    </row>
    <row r="4392" spans="12:20" x14ac:dyDescent="0.2">
      <c r="L4392" s="43"/>
      <c r="M4392" s="43"/>
      <c r="N4392" s="43"/>
      <c r="O4392" s="43"/>
      <c r="Q4392" s="44"/>
      <c r="R4392" s="44"/>
      <c r="S4392" s="44"/>
      <c r="T4392" s="44"/>
    </row>
    <row r="4393" spans="12:20" x14ac:dyDescent="0.2">
      <c r="L4393" s="43"/>
      <c r="M4393" s="43"/>
      <c r="N4393" s="43"/>
      <c r="O4393" s="43"/>
      <c r="Q4393" s="44"/>
      <c r="R4393" s="44"/>
      <c r="S4393" s="44"/>
      <c r="T4393" s="44"/>
    </row>
    <row r="4394" spans="12:20" x14ac:dyDescent="0.2">
      <c r="L4394" s="43"/>
      <c r="M4394" s="43"/>
      <c r="N4394" s="43"/>
      <c r="O4394" s="43"/>
      <c r="Q4394" s="44"/>
      <c r="R4394" s="44"/>
      <c r="S4394" s="44"/>
      <c r="T4394" s="44"/>
    </row>
    <row r="4395" spans="12:20" x14ac:dyDescent="0.2">
      <c r="L4395" s="43"/>
      <c r="M4395" s="43"/>
      <c r="N4395" s="43"/>
      <c r="O4395" s="43"/>
      <c r="Q4395" s="44"/>
      <c r="R4395" s="44"/>
      <c r="S4395" s="44"/>
      <c r="T4395" s="44"/>
    </row>
    <row r="4396" spans="12:20" x14ac:dyDescent="0.2">
      <c r="L4396" s="43"/>
      <c r="M4396" s="43"/>
      <c r="N4396" s="43"/>
      <c r="O4396" s="43"/>
      <c r="Q4396" s="44"/>
      <c r="R4396" s="44"/>
      <c r="S4396" s="44"/>
      <c r="T4396" s="44"/>
    </row>
    <row r="4397" spans="12:20" x14ac:dyDescent="0.2">
      <c r="L4397" s="43"/>
      <c r="M4397" s="43"/>
      <c r="N4397" s="43"/>
      <c r="O4397" s="43"/>
      <c r="Q4397" s="44"/>
      <c r="R4397" s="44"/>
      <c r="S4397" s="44"/>
      <c r="T4397" s="44"/>
    </row>
    <row r="4398" spans="12:20" x14ac:dyDescent="0.2">
      <c r="L4398" s="43"/>
      <c r="M4398" s="43"/>
      <c r="N4398" s="43"/>
      <c r="O4398" s="43"/>
      <c r="Q4398" s="44"/>
      <c r="R4398" s="44"/>
      <c r="S4398" s="44"/>
      <c r="T4398" s="44"/>
    </row>
    <row r="4399" spans="12:20" x14ac:dyDescent="0.2">
      <c r="L4399" s="43"/>
      <c r="M4399" s="43"/>
      <c r="N4399" s="43"/>
      <c r="O4399" s="43"/>
      <c r="Q4399" s="44"/>
      <c r="R4399" s="44"/>
      <c r="S4399" s="44"/>
      <c r="T4399" s="44"/>
    </row>
    <row r="4400" spans="12:20" x14ac:dyDescent="0.2">
      <c r="L4400" s="43"/>
      <c r="M4400" s="43"/>
      <c r="N4400" s="43"/>
      <c r="O4400" s="43"/>
      <c r="Q4400" s="44"/>
      <c r="R4400" s="44"/>
      <c r="S4400" s="44"/>
      <c r="T4400" s="44"/>
    </row>
    <row r="4401" spans="12:20" x14ac:dyDescent="0.2">
      <c r="L4401" s="43"/>
      <c r="M4401" s="43"/>
      <c r="N4401" s="43"/>
      <c r="O4401" s="43"/>
      <c r="Q4401" s="44"/>
      <c r="R4401" s="44"/>
      <c r="S4401" s="44"/>
      <c r="T4401" s="44"/>
    </row>
    <row r="4402" spans="12:20" x14ac:dyDescent="0.2">
      <c r="L4402" s="43"/>
      <c r="M4402" s="43"/>
      <c r="N4402" s="43"/>
      <c r="O4402" s="43"/>
      <c r="Q4402" s="44"/>
      <c r="R4402" s="44"/>
      <c r="S4402" s="44"/>
      <c r="T4402" s="44"/>
    </row>
    <row r="4403" spans="12:20" x14ac:dyDescent="0.2">
      <c r="L4403" s="43"/>
      <c r="M4403" s="43"/>
      <c r="N4403" s="43"/>
      <c r="O4403" s="43"/>
      <c r="Q4403" s="44"/>
      <c r="R4403" s="44"/>
      <c r="S4403" s="44"/>
      <c r="T4403" s="44"/>
    </row>
    <row r="4404" spans="12:20" x14ac:dyDescent="0.2">
      <c r="L4404" s="43"/>
      <c r="M4404" s="43"/>
      <c r="N4404" s="43"/>
      <c r="O4404" s="43"/>
      <c r="Q4404" s="44"/>
      <c r="R4404" s="44"/>
      <c r="S4404" s="44"/>
      <c r="T4404" s="44"/>
    </row>
    <row r="4405" spans="12:20" x14ac:dyDescent="0.2">
      <c r="L4405" s="43"/>
      <c r="M4405" s="43"/>
      <c r="N4405" s="43"/>
      <c r="O4405" s="43"/>
      <c r="Q4405" s="44"/>
      <c r="R4405" s="44"/>
      <c r="S4405" s="44"/>
      <c r="T4405" s="44"/>
    </row>
    <row r="4406" spans="12:20" x14ac:dyDescent="0.2">
      <c r="L4406" s="43"/>
      <c r="M4406" s="43"/>
      <c r="N4406" s="43"/>
      <c r="O4406" s="43"/>
      <c r="Q4406" s="44"/>
      <c r="R4406" s="44"/>
      <c r="S4406" s="44"/>
      <c r="T4406" s="44"/>
    </row>
    <row r="4407" spans="12:20" x14ac:dyDescent="0.2">
      <c r="L4407" s="43"/>
      <c r="M4407" s="43"/>
      <c r="N4407" s="43"/>
      <c r="O4407" s="43"/>
      <c r="Q4407" s="44"/>
      <c r="R4407" s="44"/>
      <c r="S4407" s="44"/>
      <c r="T4407" s="44"/>
    </row>
    <row r="4408" spans="12:20" x14ac:dyDescent="0.2">
      <c r="L4408" s="43"/>
      <c r="M4408" s="43"/>
      <c r="N4408" s="43"/>
      <c r="O4408" s="43"/>
      <c r="Q4408" s="44"/>
      <c r="R4408" s="44"/>
      <c r="S4408" s="44"/>
      <c r="T4408" s="44"/>
    </row>
    <row r="4409" spans="12:20" x14ac:dyDescent="0.2">
      <c r="L4409" s="43"/>
      <c r="M4409" s="43"/>
      <c r="N4409" s="43"/>
      <c r="O4409" s="43"/>
      <c r="Q4409" s="44"/>
      <c r="R4409" s="44"/>
      <c r="S4409" s="44"/>
      <c r="T4409" s="44"/>
    </row>
    <row r="4410" spans="12:20" x14ac:dyDescent="0.2">
      <c r="L4410" s="43"/>
      <c r="M4410" s="43"/>
      <c r="N4410" s="43"/>
      <c r="O4410" s="43"/>
      <c r="Q4410" s="44"/>
      <c r="R4410" s="44"/>
      <c r="S4410" s="44"/>
      <c r="T4410" s="44"/>
    </row>
    <row r="4411" spans="12:20" x14ac:dyDescent="0.2">
      <c r="L4411" s="43"/>
      <c r="M4411" s="43"/>
      <c r="N4411" s="43"/>
      <c r="O4411" s="43"/>
      <c r="Q4411" s="44"/>
      <c r="R4411" s="44"/>
      <c r="S4411" s="44"/>
      <c r="T4411" s="44"/>
    </row>
    <row r="4412" spans="12:20" x14ac:dyDescent="0.2">
      <c r="L4412" s="43"/>
      <c r="M4412" s="43"/>
      <c r="N4412" s="43"/>
      <c r="O4412" s="43"/>
      <c r="Q4412" s="44"/>
      <c r="R4412" s="44"/>
      <c r="S4412" s="44"/>
      <c r="T4412" s="44"/>
    </row>
    <row r="4413" spans="12:20" x14ac:dyDescent="0.2">
      <c r="L4413" s="43"/>
      <c r="M4413" s="43"/>
      <c r="N4413" s="43"/>
      <c r="O4413" s="43"/>
      <c r="Q4413" s="44"/>
      <c r="R4413" s="44"/>
      <c r="S4413" s="44"/>
      <c r="T4413" s="44"/>
    </row>
    <row r="4414" spans="12:20" x14ac:dyDescent="0.2">
      <c r="L4414" s="43"/>
      <c r="M4414" s="43"/>
      <c r="N4414" s="43"/>
      <c r="O4414" s="43"/>
      <c r="Q4414" s="44"/>
      <c r="R4414" s="44"/>
      <c r="S4414" s="44"/>
      <c r="T4414" s="44"/>
    </row>
    <row r="4415" spans="12:20" x14ac:dyDescent="0.2">
      <c r="L4415" s="43"/>
      <c r="M4415" s="43"/>
      <c r="N4415" s="43"/>
      <c r="O4415" s="43"/>
      <c r="Q4415" s="44"/>
      <c r="R4415" s="44"/>
      <c r="S4415" s="44"/>
      <c r="T4415" s="44"/>
    </row>
    <row r="4416" spans="12:20" x14ac:dyDescent="0.2">
      <c r="L4416" s="43"/>
      <c r="M4416" s="43"/>
      <c r="N4416" s="43"/>
      <c r="O4416" s="43"/>
      <c r="Q4416" s="44"/>
      <c r="R4416" s="44"/>
      <c r="S4416" s="44"/>
      <c r="T4416" s="44"/>
    </row>
    <row r="4417" spans="12:20" x14ac:dyDescent="0.2">
      <c r="L4417" s="43"/>
      <c r="M4417" s="43"/>
      <c r="N4417" s="43"/>
      <c r="O4417" s="43"/>
      <c r="Q4417" s="44"/>
      <c r="R4417" s="44"/>
      <c r="S4417" s="44"/>
      <c r="T4417" s="44"/>
    </row>
    <row r="4418" spans="12:20" x14ac:dyDescent="0.2">
      <c r="L4418" s="43"/>
      <c r="M4418" s="43"/>
      <c r="N4418" s="43"/>
      <c r="O4418" s="43"/>
      <c r="Q4418" s="44"/>
      <c r="R4418" s="44"/>
      <c r="S4418" s="44"/>
      <c r="T4418" s="44"/>
    </row>
    <row r="4419" spans="12:20" x14ac:dyDescent="0.2">
      <c r="L4419" s="43"/>
      <c r="M4419" s="43"/>
      <c r="N4419" s="43"/>
      <c r="O4419" s="43"/>
      <c r="Q4419" s="44"/>
      <c r="R4419" s="44"/>
      <c r="S4419" s="44"/>
      <c r="T4419" s="44"/>
    </row>
    <row r="4420" spans="12:20" x14ac:dyDescent="0.2">
      <c r="L4420" s="43"/>
      <c r="M4420" s="43"/>
      <c r="N4420" s="43"/>
      <c r="O4420" s="43"/>
      <c r="Q4420" s="44"/>
      <c r="R4420" s="44"/>
      <c r="S4420" s="44"/>
      <c r="T4420" s="44"/>
    </row>
    <row r="4421" spans="12:20" x14ac:dyDescent="0.2">
      <c r="L4421" s="43"/>
      <c r="M4421" s="43"/>
      <c r="N4421" s="43"/>
      <c r="O4421" s="43"/>
      <c r="Q4421" s="44"/>
      <c r="R4421" s="44"/>
      <c r="S4421" s="44"/>
      <c r="T4421" s="44"/>
    </row>
    <row r="4422" spans="12:20" x14ac:dyDescent="0.2">
      <c r="L4422" s="43"/>
      <c r="M4422" s="43"/>
      <c r="N4422" s="43"/>
      <c r="O4422" s="43"/>
      <c r="Q4422" s="44"/>
      <c r="R4422" s="44"/>
      <c r="S4422" s="44"/>
      <c r="T4422" s="44"/>
    </row>
    <row r="4423" spans="12:20" x14ac:dyDescent="0.2">
      <c r="L4423" s="43"/>
      <c r="M4423" s="43"/>
      <c r="N4423" s="43"/>
      <c r="O4423" s="43"/>
      <c r="Q4423" s="44"/>
      <c r="R4423" s="44"/>
      <c r="S4423" s="44"/>
      <c r="T4423" s="44"/>
    </row>
    <row r="4424" spans="12:20" x14ac:dyDescent="0.2">
      <c r="L4424" s="43"/>
      <c r="M4424" s="43"/>
      <c r="N4424" s="43"/>
      <c r="O4424" s="43"/>
      <c r="Q4424" s="44"/>
      <c r="R4424" s="44"/>
      <c r="S4424" s="44"/>
      <c r="T4424" s="44"/>
    </row>
    <row r="4425" spans="12:20" x14ac:dyDescent="0.2">
      <c r="L4425" s="43"/>
      <c r="M4425" s="43"/>
      <c r="N4425" s="43"/>
      <c r="O4425" s="43"/>
      <c r="Q4425" s="44"/>
      <c r="R4425" s="44"/>
      <c r="S4425" s="44"/>
      <c r="T4425" s="44"/>
    </row>
    <row r="4426" spans="12:20" x14ac:dyDescent="0.2">
      <c r="L4426" s="43"/>
      <c r="M4426" s="43"/>
      <c r="N4426" s="43"/>
      <c r="O4426" s="43"/>
      <c r="Q4426" s="44"/>
      <c r="R4426" s="44"/>
      <c r="S4426" s="44"/>
      <c r="T4426" s="44"/>
    </row>
    <row r="4427" spans="12:20" x14ac:dyDescent="0.2">
      <c r="L4427" s="43"/>
      <c r="M4427" s="43"/>
      <c r="N4427" s="43"/>
      <c r="O4427" s="43"/>
      <c r="Q4427" s="44"/>
      <c r="R4427" s="44"/>
      <c r="S4427" s="44"/>
      <c r="T4427" s="44"/>
    </row>
    <row r="4428" spans="12:20" x14ac:dyDescent="0.2">
      <c r="L4428" s="43"/>
      <c r="M4428" s="43"/>
      <c r="N4428" s="43"/>
      <c r="O4428" s="43"/>
      <c r="Q4428" s="44"/>
      <c r="R4428" s="44"/>
      <c r="S4428" s="44"/>
      <c r="T4428" s="44"/>
    </row>
    <row r="4429" spans="12:20" x14ac:dyDescent="0.2">
      <c r="L4429" s="43"/>
      <c r="M4429" s="43"/>
      <c r="N4429" s="43"/>
      <c r="O4429" s="43"/>
      <c r="Q4429" s="44"/>
      <c r="R4429" s="44"/>
      <c r="S4429" s="44"/>
      <c r="T4429" s="44"/>
    </row>
    <row r="4430" spans="12:20" x14ac:dyDescent="0.2">
      <c r="L4430" s="43"/>
      <c r="M4430" s="43"/>
      <c r="N4430" s="43"/>
      <c r="O4430" s="43"/>
      <c r="Q4430" s="44"/>
      <c r="R4430" s="44"/>
      <c r="S4430" s="44"/>
      <c r="T4430" s="44"/>
    </row>
    <row r="4431" spans="12:20" x14ac:dyDescent="0.2">
      <c r="L4431" s="43"/>
      <c r="M4431" s="43"/>
      <c r="N4431" s="43"/>
      <c r="O4431" s="43"/>
      <c r="Q4431" s="44"/>
      <c r="R4431" s="44"/>
      <c r="S4431" s="44"/>
      <c r="T4431" s="44"/>
    </row>
    <row r="4432" spans="12:20" x14ac:dyDescent="0.2">
      <c r="L4432" s="43"/>
      <c r="M4432" s="43"/>
      <c r="N4432" s="43"/>
      <c r="O4432" s="43"/>
      <c r="Q4432" s="44"/>
      <c r="R4432" s="44"/>
      <c r="S4432" s="44"/>
      <c r="T4432" s="44"/>
    </row>
    <row r="4433" spans="12:20" x14ac:dyDescent="0.2">
      <c r="L4433" s="43"/>
      <c r="M4433" s="43"/>
      <c r="N4433" s="43"/>
      <c r="O4433" s="43"/>
      <c r="Q4433" s="44"/>
      <c r="R4433" s="44"/>
      <c r="S4433" s="44"/>
      <c r="T4433" s="44"/>
    </row>
    <row r="4434" spans="12:20" x14ac:dyDescent="0.2">
      <c r="L4434" s="43"/>
      <c r="M4434" s="43"/>
      <c r="N4434" s="43"/>
      <c r="O4434" s="43"/>
      <c r="Q4434" s="44"/>
      <c r="R4434" s="44"/>
      <c r="S4434" s="44"/>
      <c r="T4434" s="44"/>
    </row>
    <row r="4435" spans="12:20" x14ac:dyDescent="0.2">
      <c r="L4435" s="43"/>
      <c r="M4435" s="43"/>
      <c r="N4435" s="43"/>
      <c r="O4435" s="43"/>
      <c r="Q4435" s="44"/>
      <c r="R4435" s="44"/>
      <c r="S4435" s="44"/>
      <c r="T4435" s="44"/>
    </row>
    <row r="4436" spans="12:20" x14ac:dyDescent="0.2">
      <c r="L4436" s="43"/>
      <c r="M4436" s="43"/>
      <c r="N4436" s="43"/>
      <c r="O4436" s="43"/>
      <c r="Q4436" s="44"/>
      <c r="R4436" s="44"/>
      <c r="S4436" s="44"/>
      <c r="T4436" s="44"/>
    </row>
    <row r="4437" spans="12:20" x14ac:dyDescent="0.2">
      <c r="L4437" s="43"/>
      <c r="M4437" s="43"/>
      <c r="N4437" s="43"/>
      <c r="O4437" s="43"/>
      <c r="Q4437" s="44"/>
      <c r="R4437" s="44"/>
      <c r="S4437" s="44"/>
      <c r="T4437" s="44"/>
    </row>
    <row r="4438" spans="12:20" x14ac:dyDescent="0.2">
      <c r="L4438" s="43"/>
      <c r="M4438" s="43"/>
      <c r="N4438" s="43"/>
      <c r="O4438" s="43"/>
      <c r="Q4438" s="44"/>
      <c r="R4438" s="44"/>
      <c r="S4438" s="44"/>
      <c r="T4438" s="44"/>
    </row>
    <row r="4439" spans="12:20" x14ac:dyDescent="0.2">
      <c r="L4439" s="43"/>
      <c r="M4439" s="43"/>
      <c r="N4439" s="43"/>
      <c r="O4439" s="43"/>
      <c r="Q4439" s="44"/>
      <c r="R4439" s="44"/>
      <c r="S4439" s="44"/>
      <c r="T4439" s="44"/>
    </row>
    <row r="4440" spans="12:20" x14ac:dyDescent="0.2">
      <c r="L4440" s="43"/>
      <c r="M4440" s="43"/>
      <c r="N4440" s="43"/>
      <c r="O4440" s="43"/>
      <c r="Q4440" s="44"/>
      <c r="R4440" s="44"/>
      <c r="S4440" s="44"/>
      <c r="T4440" s="44"/>
    </row>
    <row r="4441" spans="12:20" x14ac:dyDescent="0.2">
      <c r="L4441" s="43"/>
      <c r="M4441" s="43"/>
      <c r="N4441" s="43"/>
      <c r="O4441" s="43"/>
      <c r="Q4441" s="44"/>
      <c r="R4441" s="44"/>
      <c r="S4441" s="44"/>
      <c r="T4441" s="44"/>
    </row>
    <row r="4442" spans="12:20" x14ac:dyDescent="0.2">
      <c r="L4442" s="43"/>
      <c r="M4442" s="43"/>
      <c r="N4442" s="43"/>
      <c r="O4442" s="43"/>
      <c r="Q4442" s="44"/>
      <c r="R4442" s="44"/>
      <c r="S4442" s="44"/>
      <c r="T4442" s="44"/>
    </row>
    <row r="4443" spans="12:20" x14ac:dyDescent="0.2">
      <c r="L4443" s="43"/>
      <c r="M4443" s="43"/>
      <c r="N4443" s="43"/>
      <c r="O4443" s="43"/>
      <c r="Q4443" s="44"/>
      <c r="R4443" s="44"/>
      <c r="S4443" s="44"/>
      <c r="T4443" s="44"/>
    </row>
    <row r="4444" spans="12:20" x14ac:dyDescent="0.2">
      <c r="L4444" s="43"/>
      <c r="M4444" s="43"/>
      <c r="N4444" s="43"/>
      <c r="O4444" s="43"/>
      <c r="Q4444" s="44"/>
      <c r="R4444" s="44"/>
      <c r="S4444" s="44"/>
      <c r="T4444" s="44"/>
    </row>
    <row r="4445" spans="12:20" x14ac:dyDescent="0.2">
      <c r="L4445" s="43"/>
      <c r="M4445" s="43"/>
      <c r="N4445" s="43"/>
      <c r="O4445" s="43"/>
      <c r="Q4445" s="44"/>
      <c r="R4445" s="44"/>
      <c r="S4445" s="44"/>
      <c r="T4445" s="44"/>
    </row>
    <row r="4446" spans="12:20" x14ac:dyDescent="0.2">
      <c r="L4446" s="43"/>
      <c r="M4446" s="43"/>
      <c r="N4446" s="43"/>
      <c r="O4446" s="43"/>
      <c r="Q4446" s="44"/>
      <c r="R4446" s="44"/>
      <c r="S4446" s="44"/>
      <c r="T4446" s="44"/>
    </row>
    <row r="4447" spans="12:20" x14ac:dyDescent="0.2">
      <c r="L4447" s="43"/>
      <c r="M4447" s="43"/>
      <c r="N4447" s="43"/>
      <c r="O4447" s="43"/>
      <c r="Q4447" s="44"/>
      <c r="R4447" s="44"/>
      <c r="S4447" s="44"/>
      <c r="T4447" s="44"/>
    </row>
    <row r="4448" spans="12:20" x14ac:dyDescent="0.2">
      <c r="L4448" s="43"/>
      <c r="M4448" s="43"/>
      <c r="N4448" s="43"/>
      <c r="O4448" s="43"/>
      <c r="Q4448" s="44"/>
      <c r="R4448" s="44"/>
      <c r="S4448" s="44"/>
      <c r="T4448" s="44"/>
    </row>
    <row r="4449" spans="12:20" x14ac:dyDescent="0.2">
      <c r="L4449" s="43"/>
      <c r="M4449" s="43"/>
      <c r="N4449" s="43"/>
      <c r="O4449" s="43"/>
      <c r="Q4449" s="44"/>
      <c r="R4449" s="44"/>
      <c r="S4449" s="44"/>
      <c r="T4449" s="44"/>
    </row>
    <row r="4450" spans="12:20" x14ac:dyDescent="0.2">
      <c r="L4450" s="43"/>
      <c r="M4450" s="43"/>
      <c r="N4450" s="43"/>
      <c r="O4450" s="43"/>
      <c r="Q4450" s="44"/>
      <c r="R4450" s="44"/>
      <c r="S4450" s="44"/>
      <c r="T4450" s="44"/>
    </row>
    <row r="4451" spans="12:20" x14ac:dyDescent="0.2">
      <c r="L4451" s="43"/>
      <c r="M4451" s="43"/>
      <c r="N4451" s="43"/>
      <c r="O4451" s="43"/>
      <c r="Q4451" s="44"/>
      <c r="R4451" s="44"/>
      <c r="S4451" s="44"/>
      <c r="T4451" s="44"/>
    </row>
    <row r="4452" spans="12:20" x14ac:dyDescent="0.2">
      <c r="L4452" s="43"/>
      <c r="M4452" s="43"/>
      <c r="N4452" s="43"/>
      <c r="O4452" s="43"/>
      <c r="Q4452" s="44"/>
      <c r="R4452" s="44"/>
      <c r="S4452" s="44"/>
      <c r="T4452" s="44"/>
    </row>
    <row r="4453" spans="12:20" x14ac:dyDescent="0.2">
      <c r="L4453" s="43"/>
      <c r="M4453" s="43"/>
      <c r="N4453" s="43"/>
      <c r="O4453" s="43"/>
      <c r="Q4453" s="44"/>
      <c r="R4453" s="44"/>
      <c r="S4453" s="44"/>
      <c r="T4453" s="44"/>
    </row>
    <row r="4454" spans="12:20" x14ac:dyDescent="0.2">
      <c r="L4454" s="43"/>
      <c r="M4454" s="43"/>
      <c r="N4454" s="43"/>
      <c r="O4454" s="43"/>
      <c r="Q4454" s="44"/>
      <c r="R4454" s="44"/>
      <c r="S4454" s="44"/>
      <c r="T4454" s="44"/>
    </row>
    <row r="4455" spans="12:20" x14ac:dyDescent="0.2">
      <c r="L4455" s="43"/>
      <c r="M4455" s="43"/>
      <c r="N4455" s="43"/>
      <c r="O4455" s="43"/>
      <c r="Q4455" s="44"/>
      <c r="R4455" s="44"/>
      <c r="S4455" s="44"/>
      <c r="T4455" s="44"/>
    </row>
    <row r="4456" spans="12:20" x14ac:dyDescent="0.2">
      <c r="L4456" s="43"/>
      <c r="M4456" s="43"/>
      <c r="N4456" s="43"/>
      <c r="O4456" s="43"/>
      <c r="Q4456" s="44"/>
      <c r="R4456" s="44"/>
      <c r="S4456" s="44"/>
      <c r="T4456" s="44"/>
    </row>
    <row r="4457" spans="12:20" x14ac:dyDescent="0.2">
      <c r="L4457" s="43"/>
      <c r="M4457" s="43"/>
      <c r="N4457" s="43"/>
      <c r="O4457" s="43"/>
      <c r="Q4457" s="44"/>
      <c r="R4457" s="44"/>
      <c r="S4457" s="44"/>
      <c r="T4457" s="44"/>
    </row>
    <row r="4458" spans="12:20" x14ac:dyDescent="0.2">
      <c r="L4458" s="43"/>
      <c r="M4458" s="43"/>
      <c r="N4458" s="43"/>
      <c r="O4458" s="43"/>
      <c r="Q4458" s="44"/>
      <c r="R4458" s="44"/>
      <c r="S4458" s="44"/>
      <c r="T4458" s="44"/>
    </row>
    <row r="4459" spans="12:20" x14ac:dyDescent="0.2">
      <c r="L4459" s="43"/>
      <c r="M4459" s="43"/>
      <c r="N4459" s="43"/>
      <c r="O4459" s="43"/>
      <c r="Q4459" s="44"/>
      <c r="R4459" s="44"/>
      <c r="S4459" s="44"/>
      <c r="T4459" s="44"/>
    </row>
    <row r="4460" spans="12:20" x14ac:dyDescent="0.2">
      <c r="L4460" s="43"/>
      <c r="M4460" s="43"/>
      <c r="N4460" s="43"/>
      <c r="O4460" s="43"/>
      <c r="Q4460" s="44"/>
      <c r="R4460" s="44"/>
      <c r="S4460" s="44"/>
      <c r="T4460" s="44"/>
    </row>
    <row r="4461" spans="12:20" x14ac:dyDescent="0.2">
      <c r="L4461" s="43"/>
      <c r="M4461" s="43"/>
      <c r="N4461" s="43"/>
      <c r="O4461" s="43"/>
      <c r="Q4461" s="44"/>
      <c r="R4461" s="44"/>
      <c r="S4461" s="44"/>
      <c r="T4461" s="44"/>
    </row>
    <row r="4462" spans="12:20" x14ac:dyDescent="0.2">
      <c r="L4462" s="43"/>
      <c r="M4462" s="43"/>
      <c r="N4462" s="43"/>
      <c r="O4462" s="43"/>
      <c r="Q4462" s="44"/>
      <c r="R4462" s="44"/>
      <c r="S4462" s="44"/>
      <c r="T4462" s="44"/>
    </row>
    <row r="4463" spans="12:20" x14ac:dyDescent="0.2">
      <c r="L4463" s="43"/>
      <c r="M4463" s="43"/>
      <c r="N4463" s="43"/>
      <c r="O4463" s="43"/>
      <c r="Q4463" s="44"/>
      <c r="R4463" s="44"/>
      <c r="S4463" s="44"/>
      <c r="T4463" s="44"/>
    </row>
    <row r="4464" spans="12:20" x14ac:dyDescent="0.2">
      <c r="L4464" s="43"/>
      <c r="M4464" s="43"/>
      <c r="N4464" s="43"/>
      <c r="O4464" s="43"/>
      <c r="Q4464" s="44"/>
      <c r="R4464" s="44"/>
      <c r="S4464" s="44"/>
      <c r="T4464" s="44"/>
    </row>
    <row r="4465" spans="12:20" x14ac:dyDescent="0.2">
      <c r="L4465" s="43"/>
      <c r="M4465" s="43"/>
      <c r="N4465" s="43"/>
      <c r="O4465" s="43"/>
      <c r="Q4465" s="44"/>
      <c r="R4465" s="44"/>
      <c r="S4465" s="44"/>
      <c r="T4465" s="44"/>
    </row>
    <row r="4466" spans="12:20" x14ac:dyDescent="0.2">
      <c r="L4466" s="43"/>
      <c r="M4466" s="43"/>
      <c r="N4466" s="43"/>
      <c r="O4466" s="43"/>
      <c r="Q4466" s="44"/>
      <c r="R4466" s="44"/>
      <c r="S4466" s="44"/>
      <c r="T4466" s="44"/>
    </row>
    <row r="4467" spans="12:20" x14ac:dyDescent="0.2">
      <c r="L4467" s="43"/>
      <c r="M4467" s="43"/>
      <c r="N4467" s="43"/>
      <c r="O4467" s="43"/>
      <c r="Q4467" s="44"/>
      <c r="R4467" s="44"/>
      <c r="S4467" s="44"/>
      <c r="T4467" s="44"/>
    </row>
    <row r="4468" spans="12:20" x14ac:dyDescent="0.2">
      <c r="L4468" s="43"/>
      <c r="M4468" s="43"/>
      <c r="N4468" s="43"/>
      <c r="O4468" s="43"/>
      <c r="Q4468" s="44"/>
      <c r="R4468" s="44"/>
      <c r="S4468" s="44"/>
      <c r="T4468" s="44"/>
    </row>
    <row r="4469" spans="12:20" x14ac:dyDescent="0.2">
      <c r="L4469" s="43"/>
      <c r="M4469" s="43"/>
      <c r="N4469" s="43"/>
      <c r="O4469" s="43"/>
      <c r="Q4469" s="44"/>
      <c r="R4469" s="44"/>
      <c r="S4469" s="44"/>
      <c r="T4469" s="44"/>
    </row>
    <row r="4470" spans="12:20" x14ac:dyDescent="0.2">
      <c r="L4470" s="43"/>
      <c r="M4470" s="43"/>
      <c r="N4470" s="43"/>
      <c r="O4470" s="43"/>
      <c r="Q4470" s="44"/>
      <c r="R4470" s="44"/>
      <c r="S4470" s="44"/>
      <c r="T4470" s="44"/>
    </row>
    <row r="4471" spans="12:20" x14ac:dyDescent="0.2">
      <c r="L4471" s="43"/>
      <c r="M4471" s="43"/>
      <c r="N4471" s="43"/>
      <c r="O4471" s="43"/>
      <c r="Q4471" s="44"/>
      <c r="R4471" s="44"/>
      <c r="S4471" s="44"/>
      <c r="T4471" s="44"/>
    </row>
    <row r="4472" spans="12:20" x14ac:dyDescent="0.2">
      <c r="L4472" s="43"/>
      <c r="M4472" s="43"/>
      <c r="N4472" s="43"/>
      <c r="O4472" s="43"/>
      <c r="Q4472" s="44"/>
      <c r="R4472" s="44"/>
      <c r="S4472" s="44"/>
      <c r="T4472" s="44"/>
    </row>
    <row r="4473" spans="12:20" x14ac:dyDescent="0.2">
      <c r="L4473" s="43"/>
      <c r="M4473" s="43"/>
      <c r="N4473" s="43"/>
      <c r="O4473" s="43"/>
      <c r="Q4473" s="44"/>
      <c r="R4473" s="44"/>
      <c r="S4473" s="44"/>
      <c r="T4473" s="44"/>
    </row>
    <row r="4474" spans="12:20" x14ac:dyDescent="0.2">
      <c r="L4474" s="43"/>
      <c r="M4474" s="43"/>
      <c r="N4474" s="43"/>
      <c r="O4474" s="43"/>
      <c r="Q4474" s="44"/>
      <c r="R4474" s="44"/>
      <c r="S4474" s="44"/>
      <c r="T4474" s="44"/>
    </row>
    <row r="4475" spans="12:20" x14ac:dyDescent="0.2">
      <c r="L4475" s="43"/>
      <c r="M4475" s="43"/>
      <c r="N4475" s="43"/>
      <c r="O4475" s="43"/>
      <c r="Q4475" s="44"/>
      <c r="R4475" s="44"/>
      <c r="S4475" s="44"/>
      <c r="T4475" s="44"/>
    </row>
    <row r="4476" spans="12:20" x14ac:dyDescent="0.2">
      <c r="L4476" s="43"/>
      <c r="M4476" s="43"/>
      <c r="N4476" s="43"/>
      <c r="O4476" s="43"/>
      <c r="Q4476" s="44"/>
      <c r="R4476" s="44"/>
      <c r="S4476" s="44"/>
      <c r="T4476" s="44"/>
    </row>
    <row r="4477" spans="12:20" x14ac:dyDescent="0.2">
      <c r="L4477" s="43"/>
      <c r="M4477" s="43"/>
      <c r="N4477" s="43"/>
      <c r="O4477" s="43"/>
      <c r="Q4477" s="44"/>
      <c r="R4477" s="44"/>
      <c r="S4477" s="44"/>
      <c r="T4477" s="44"/>
    </row>
    <row r="4478" spans="12:20" x14ac:dyDescent="0.2">
      <c r="L4478" s="43"/>
      <c r="M4478" s="43"/>
      <c r="N4478" s="43"/>
      <c r="O4478" s="43"/>
      <c r="Q4478" s="44"/>
      <c r="R4478" s="44"/>
      <c r="S4478" s="44"/>
      <c r="T4478" s="44"/>
    </row>
    <row r="4479" spans="12:20" x14ac:dyDescent="0.2">
      <c r="L4479" s="43"/>
      <c r="M4479" s="43"/>
      <c r="N4479" s="43"/>
      <c r="O4479" s="43"/>
      <c r="Q4479" s="44"/>
      <c r="R4479" s="44"/>
      <c r="S4479" s="44"/>
      <c r="T4479" s="44"/>
    </row>
    <row r="4480" spans="12:20" x14ac:dyDescent="0.2">
      <c r="L4480" s="43"/>
      <c r="M4480" s="43"/>
      <c r="N4480" s="43"/>
      <c r="O4480" s="43"/>
      <c r="Q4480" s="44"/>
      <c r="R4480" s="44"/>
      <c r="S4480" s="44"/>
      <c r="T4480" s="44"/>
    </row>
    <row r="4481" spans="12:20" x14ac:dyDescent="0.2">
      <c r="L4481" s="43"/>
      <c r="M4481" s="43"/>
      <c r="N4481" s="43"/>
      <c r="O4481" s="43"/>
      <c r="Q4481" s="44"/>
      <c r="R4481" s="44"/>
      <c r="S4481" s="44"/>
      <c r="T4481" s="44"/>
    </row>
    <row r="4482" spans="12:20" x14ac:dyDescent="0.2">
      <c r="L4482" s="43"/>
      <c r="M4482" s="43"/>
      <c r="N4482" s="43"/>
      <c r="O4482" s="43"/>
      <c r="Q4482" s="44"/>
      <c r="R4482" s="44"/>
      <c r="S4482" s="44"/>
      <c r="T4482" s="44"/>
    </row>
    <row r="4483" spans="12:20" x14ac:dyDescent="0.2">
      <c r="L4483" s="43"/>
      <c r="M4483" s="43"/>
      <c r="N4483" s="43"/>
      <c r="O4483" s="43"/>
      <c r="Q4483" s="44"/>
      <c r="R4483" s="44"/>
      <c r="S4483" s="44"/>
      <c r="T4483" s="44"/>
    </row>
    <row r="4484" spans="12:20" x14ac:dyDescent="0.2">
      <c r="L4484" s="43"/>
      <c r="M4484" s="43"/>
      <c r="N4484" s="43"/>
      <c r="O4484" s="43"/>
      <c r="Q4484" s="44"/>
      <c r="R4484" s="44"/>
      <c r="S4484" s="44"/>
      <c r="T4484" s="44"/>
    </row>
    <row r="4485" spans="12:20" x14ac:dyDescent="0.2">
      <c r="L4485" s="43"/>
      <c r="M4485" s="43"/>
      <c r="N4485" s="43"/>
      <c r="O4485" s="43"/>
      <c r="Q4485" s="44"/>
      <c r="R4485" s="44"/>
      <c r="S4485" s="44"/>
      <c r="T4485" s="44"/>
    </row>
    <row r="4486" spans="12:20" x14ac:dyDescent="0.2">
      <c r="L4486" s="43"/>
      <c r="M4486" s="43"/>
      <c r="N4486" s="43"/>
      <c r="O4486" s="43"/>
      <c r="Q4486" s="44"/>
      <c r="R4486" s="44"/>
      <c r="S4486" s="44"/>
      <c r="T4486" s="44"/>
    </row>
    <row r="4487" spans="12:20" x14ac:dyDescent="0.2">
      <c r="L4487" s="43"/>
      <c r="M4487" s="43"/>
      <c r="N4487" s="43"/>
      <c r="O4487" s="43"/>
      <c r="Q4487" s="44"/>
      <c r="R4487" s="44"/>
      <c r="S4487" s="44"/>
      <c r="T4487" s="44"/>
    </row>
    <row r="4488" spans="12:20" x14ac:dyDescent="0.2">
      <c r="L4488" s="43"/>
      <c r="M4488" s="43"/>
      <c r="N4488" s="43"/>
      <c r="O4488" s="43"/>
      <c r="Q4488" s="44"/>
      <c r="R4488" s="44"/>
      <c r="S4488" s="44"/>
      <c r="T4488" s="44"/>
    </row>
    <row r="4489" spans="12:20" x14ac:dyDescent="0.2">
      <c r="L4489" s="43"/>
      <c r="M4489" s="43"/>
      <c r="N4489" s="43"/>
      <c r="O4489" s="43"/>
      <c r="Q4489" s="44"/>
      <c r="R4489" s="44"/>
      <c r="S4489" s="44"/>
      <c r="T4489" s="44"/>
    </row>
    <row r="4490" spans="12:20" x14ac:dyDescent="0.2">
      <c r="L4490" s="43"/>
      <c r="M4490" s="43"/>
      <c r="N4490" s="43"/>
      <c r="O4490" s="43"/>
      <c r="Q4490" s="44"/>
      <c r="R4490" s="44"/>
      <c r="S4490" s="44"/>
      <c r="T4490" s="44"/>
    </row>
    <row r="4491" spans="12:20" x14ac:dyDescent="0.2">
      <c r="L4491" s="43"/>
      <c r="M4491" s="43"/>
      <c r="N4491" s="43"/>
      <c r="O4491" s="43"/>
      <c r="Q4491" s="44"/>
      <c r="R4491" s="44"/>
      <c r="S4491" s="44"/>
      <c r="T4491" s="44"/>
    </row>
    <row r="4492" spans="12:20" x14ac:dyDescent="0.2">
      <c r="L4492" s="43"/>
      <c r="M4492" s="43"/>
      <c r="N4492" s="43"/>
      <c r="O4492" s="43"/>
      <c r="Q4492" s="44"/>
      <c r="R4492" s="44"/>
      <c r="S4492" s="44"/>
      <c r="T4492" s="44"/>
    </row>
    <row r="4493" spans="12:20" x14ac:dyDescent="0.2">
      <c r="L4493" s="43"/>
      <c r="M4493" s="43"/>
      <c r="N4493" s="43"/>
      <c r="O4493" s="43"/>
      <c r="Q4493" s="44"/>
      <c r="R4493" s="44"/>
      <c r="S4493" s="44"/>
      <c r="T4493" s="44"/>
    </row>
    <row r="4494" spans="12:20" x14ac:dyDescent="0.2">
      <c r="L4494" s="43"/>
      <c r="M4494" s="43"/>
      <c r="N4494" s="43"/>
      <c r="O4494" s="43"/>
      <c r="Q4494" s="44"/>
      <c r="R4494" s="44"/>
      <c r="S4494" s="44"/>
      <c r="T4494" s="44"/>
    </row>
    <row r="4495" spans="12:20" x14ac:dyDescent="0.2">
      <c r="L4495" s="43"/>
      <c r="M4495" s="43"/>
      <c r="N4495" s="43"/>
      <c r="O4495" s="43"/>
      <c r="Q4495" s="44"/>
      <c r="R4495" s="44"/>
      <c r="S4495" s="44"/>
      <c r="T4495" s="44"/>
    </row>
    <row r="4496" spans="12:20" x14ac:dyDescent="0.2">
      <c r="L4496" s="43"/>
      <c r="M4496" s="43"/>
      <c r="N4496" s="43"/>
      <c r="O4496" s="43"/>
      <c r="Q4496" s="44"/>
      <c r="R4496" s="44"/>
      <c r="S4496" s="44"/>
      <c r="T4496" s="44"/>
    </row>
    <row r="4497" spans="12:20" x14ac:dyDescent="0.2">
      <c r="L4497" s="43"/>
      <c r="M4497" s="43"/>
      <c r="N4497" s="43"/>
      <c r="O4497" s="43"/>
      <c r="Q4497" s="44"/>
      <c r="R4497" s="44"/>
      <c r="S4497" s="44"/>
      <c r="T4497" s="44"/>
    </row>
    <row r="4498" spans="12:20" x14ac:dyDescent="0.2">
      <c r="L4498" s="43"/>
      <c r="M4498" s="43"/>
      <c r="N4498" s="43"/>
      <c r="O4498" s="43"/>
      <c r="Q4498" s="44"/>
      <c r="R4498" s="44"/>
      <c r="S4498" s="44"/>
      <c r="T4498" s="44"/>
    </row>
    <row r="4499" spans="12:20" x14ac:dyDescent="0.2">
      <c r="L4499" s="43"/>
      <c r="M4499" s="43"/>
      <c r="N4499" s="43"/>
      <c r="O4499" s="43"/>
      <c r="Q4499" s="44"/>
      <c r="R4499" s="44"/>
      <c r="S4499" s="44"/>
      <c r="T4499" s="44"/>
    </row>
    <row r="4500" spans="12:20" x14ac:dyDescent="0.2">
      <c r="L4500" s="43"/>
      <c r="M4500" s="43"/>
      <c r="N4500" s="43"/>
      <c r="O4500" s="43"/>
      <c r="Q4500" s="44"/>
      <c r="R4500" s="44"/>
      <c r="S4500" s="44"/>
      <c r="T4500" s="44"/>
    </row>
    <row r="4501" spans="12:20" x14ac:dyDescent="0.2">
      <c r="L4501" s="43"/>
      <c r="M4501" s="43"/>
      <c r="N4501" s="43"/>
      <c r="O4501" s="43"/>
      <c r="Q4501" s="44"/>
      <c r="R4501" s="44"/>
      <c r="S4501" s="44"/>
      <c r="T4501" s="44"/>
    </row>
    <row r="4502" spans="12:20" x14ac:dyDescent="0.2">
      <c r="L4502" s="43"/>
      <c r="M4502" s="43"/>
      <c r="N4502" s="43"/>
      <c r="O4502" s="43"/>
      <c r="Q4502" s="44"/>
      <c r="R4502" s="44"/>
      <c r="S4502" s="44"/>
      <c r="T4502" s="44"/>
    </row>
    <row r="4503" spans="12:20" x14ac:dyDescent="0.2">
      <c r="L4503" s="43"/>
      <c r="M4503" s="43"/>
      <c r="N4503" s="43"/>
      <c r="O4503" s="43"/>
      <c r="Q4503" s="44"/>
      <c r="R4503" s="44"/>
      <c r="S4503" s="44"/>
      <c r="T4503" s="44"/>
    </row>
    <row r="4504" spans="12:20" x14ac:dyDescent="0.2">
      <c r="L4504" s="43"/>
      <c r="M4504" s="43"/>
      <c r="N4504" s="43"/>
      <c r="O4504" s="43"/>
      <c r="Q4504" s="44"/>
      <c r="R4504" s="44"/>
      <c r="S4504" s="44"/>
      <c r="T4504" s="44"/>
    </row>
    <row r="4505" spans="12:20" x14ac:dyDescent="0.2">
      <c r="L4505" s="43"/>
      <c r="M4505" s="43"/>
      <c r="N4505" s="43"/>
      <c r="O4505" s="43"/>
      <c r="Q4505" s="44"/>
      <c r="R4505" s="44"/>
      <c r="S4505" s="44"/>
      <c r="T4505" s="44"/>
    </row>
    <row r="4506" spans="12:20" x14ac:dyDescent="0.2">
      <c r="L4506" s="43"/>
      <c r="M4506" s="43"/>
      <c r="N4506" s="43"/>
      <c r="O4506" s="43"/>
      <c r="Q4506" s="44"/>
      <c r="R4506" s="44"/>
      <c r="S4506" s="44"/>
      <c r="T4506" s="44"/>
    </row>
    <row r="4507" spans="12:20" x14ac:dyDescent="0.2">
      <c r="L4507" s="43"/>
      <c r="M4507" s="43"/>
      <c r="N4507" s="43"/>
      <c r="O4507" s="43"/>
      <c r="Q4507" s="44"/>
      <c r="R4507" s="44"/>
      <c r="S4507" s="44"/>
      <c r="T4507" s="44"/>
    </row>
    <row r="4508" spans="12:20" x14ac:dyDescent="0.2">
      <c r="L4508" s="43"/>
      <c r="M4508" s="43"/>
      <c r="N4508" s="43"/>
      <c r="O4508" s="43"/>
      <c r="Q4508" s="44"/>
      <c r="R4508" s="44"/>
      <c r="S4508" s="44"/>
      <c r="T4508" s="44"/>
    </row>
    <row r="4509" spans="12:20" x14ac:dyDescent="0.2">
      <c r="L4509" s="43"/>
      <c r="M4509" s="43"/>
      <c r="N4509" s="43"/>
      <c r="O4509" s="43"/>
      <c r="Q4509" s="44"/>
      <c r="R4509" s="44"/>
      <c r="S4509" s="44"/>
      <c r="T4509" s="44"/>
    </row>
    <row r="4510" spans="12:20" x14ac:dyDescent="0.2">
      <c r="L4510" s="43"/>
      <c r="M4510" s="43"/>
      <c r="N4510" s="43"/>
      <c r="O4510" s="43"/>
      <c r="Q4510" s="44"/>
      <c r="R4510" s="44"/>
      <c r="S4510" s="44"/>
      <c r="T4510" s="44"/>
    </row>
    <row r="4511" spans="12:20" x14ac:dyDescent="0.2">
      <c r="L4511" s="43"/>
      <c r="M4511" s="43"/>
      <c r="N4511" s="43"/>
      <c r="O4511" s="43"/>
      <c r="Q4511" s="44"/>
      <c r="R4511" s="44"/>
      <c r="S4511" s="44"/>
      <c r="T4511" s="44"/>
    </row>
    <row r="4512" spans="12:20" x14ac:dyDescent="0.2">
      <c r="L4512" s="43"/>
      <c r="M4512" s="43"/>
      <c r="N4512" s="43"/>
      <c r="O4512" s="43"/>
      <c r="Q4512" s="44"/>
      <c r="R4512" s="44"/>
      <c r="S4512" s="44"/>
      <c r="T4512" s="44"/>
    </row>
    <row r="4513" spans="12:20" x14ac:dyDescent="0.2">
      <c r="L4513" s="43"/>
      <c r="M4513" s="43"/>
      <c r="N4513" s="43"/>
      <c r="O4513" s="43"/>
      <c r="Q4513" s="44"/>
      <c r="R4513" s="44"/>
      <c r="S4513" s="44"/>
      <c r="T4513" s="44"/>
    </row>
    <row r="4514" spans="12:20" x14ac:dyDescent="0.2">
      <c r="L4514" s="43"/>
      <c r="M4514" s="43"/>
      <c r="N4514" s="43"/>
      <c r="O4514" s="43"/>
      <c r="Q4514" s="44"/>
      <c r="R4514" s="44"/>
      <c r="S4514" s="44"/>
      <c r="T4514" s="44"/>
    </row>
    <row r="4515" spans="12:20" x14ac:dyDescent="0.2">
      <c r="L4515" s="43"/>
      <c r="M4515" s="43"/>
      <c r="N4515" s="43"/>
      <c r="O4515" s="43"/>
      <c r="Q4515" s="44"/>
      <c r="R4515" s="44"/>
      <c r="S4515" s="44"/>
      <c r="T4515" s="44"/>
    </row>
    <row r="4516" spans="12:20" x14ac:dyDescent="0.2">
      <c r="L4516" s="43"/>
      <c r="M4516" s="43"/>
      <c r="N4516" s="43"/>
      <c r="O4516" s="43"/>
      <c r="Q4516" s="44"/>
      <c r="R4516" s="44"/>
      <c r="S4516" s="44"/>
      <c r="T4516" s="44"/>
    </row>
    <row r="4517" spans="12:20" x14ac:dyDescent="0.2">
      <c r="L4517" s="43"/>
      <c r="M4517" s="43"/>
      <c r="N4517" s="43"/>
      <c r="O4517" s="43"/>
      <c r="Q4517" s="44"/>
      <c r="R4517" s="44"/>
      <c r="S4517" s="44"/>
      <c r="T4517" s="44"/>
    </row>
    <row r="4518" spans="12:20" x14ac:dyDescent="0.2">
      <c r="L4518" s="43"/>
      <c r="M4518" s="43"/>
      <c r="N4518" s="43"/>
      <c r="O4518" s="43"/>
      <c r="Q4518" s="44"/>
      <c r="R4518" s="44"/>
      <c r="S4518" s="44"/>
      <c r="T4518" s="44"/>
    </row>
    <row r="4519" spans="12:20" x14ac:dyDescent="0.2">
      <c r="L4519" s="43"/>
      <c r="M4519" s="43"/>
      <c r="N4519" s="43"/>
      <c r="O4519" s="43"/>
      <c r="Q4519" s="44"/>
      <c r="R4519" s="44"/>
      <c r="S4519" s="44"/>
      <c r="T4519" s="44"/>
    </row>
    <row r="4520" spans="12:20" x14ac:dyDescent="0.2">
      <c r="L4520" s="43"/>
      <c r="M4520" s="43"/>
      <c r="N4520" s="43"/>
      <c r="O4520" s="43"/>
      <c r="Q4520" s="44"/>
      <c r="R4520" s="44"/>
      <c r="S4520" s="44"/>
      <c r="T4520" s="44"/>
    </row>
    <row r="4521" spans="12:20" x14ac:dyDescent="0.2">
      <c r="L4521" s="43"/>
      <c r="M4521" s="43"/>
      <c r="N4521" s="43"/>
      <c r="O4521" s="43"/>
      <c r="Q4521" s="44"/>
      <c r="R4521" s="44"/>
      <c r="S4521" s="44"/>
      <c r="T4521" s="44"/>
    </row>
    <row r="4522" spans="12:20" x14ac:dyDescent="0.2">
      <c r="L4522" s="43"/>
      <c r="M4522" s="43"/>
      <c r="N4522" s="43"/>
      <c r="O4522" s="43"/>
      <c r="Q4522" s="44"/>
      <c r="R4522" s="44"/>
      <c r="S4522" s="44"/>
      <c r="T4522" s="44"/>
    </row>
    <row r="4523" spans="12:20" x14ac:dyDescent="0.2">
      <c r="L4523" s="43"/>
      <c r="M4523" s="43"/>
      <c r="N4523" s="43"/>
      <c r="O4523" s="43"/>
      <c r="Q4523" s="44"/>
      <c r="R4523" s="44"/>
      <c r="S4523" s="44"/>
      <c r="T4523" s="44"/>
    </row>
    <row r="4524" spans="12:20" x14ac:dyDescent="0.2">
      <c r="L4524" s="43"/>
      <c r="M4524" s="43"/>
      <c r="N4524" s="43"/>
      <c r="O4524" s="43"/>
      <c r="Q4524" s="44"/>
      <c r="R4524" s="44"/>
      <c r="S4524" s="44"/>
      <c r="T4524" s="44"/>
    </row>
    <row r="4525" spans="12:20" x14ac:dyDescent="0.2">
      <c r="L4525" s="43"/>
      <c r="M4525" s="43"/>
      <c r="N4525" s="43"/>
      <c r="O4525" s="43"/>
      <c r="Q4525" s="44"/>
      <c r="R4525" s="44"/>
      <c r="S4525" s="44"/>
      <c r="T4525" s="44"/>
    </row>
    <row r="4526" spans="12:20" x14ac:dyDescent="0.2">
      <c r="L4526" s="43"/>
      <c r="M4526" s="43"/>
      <c r="N4526" s="43"/>
      <c r="O4526" s="43"/>
      <c r="Q4526" s="44"/>
      <c r="R4526" s="44"/>
      <c r="S4526" s="44"/>
      <c r="T4526" s="44"/>
    </row>
    <row r="4527" spans="12:20" x14ac:dyDescent="0.2">
      <c r="L4527" s="43"/>
      <c r="M4527" s="43"/>
      <c r="N4527" s="43"/>
      <c r="O4527" s="43"/>
      <c r="Q4527" s="44"/>
      <c r="R4527" s="44"/>
      <c r="S4527" s="44"/>
      <c r="T4527" s="44"/>
    </row>
    <row r="4528" spans="12:20" x14ac:dyDescent="0.2">
      <c r="L4528" s="43"/>
      <c r="M4528" s="43"/>
      <c r="N4528" s="43"/>
      <c r="O4528" s="43"/>
      <c r="Q4528" s="44"/>
      <c r="R4528" s="44"/>
      <c r="S4528" s="44"/>
      <c r="T4528" s="44"/>
    </row>
    <row r="4529" spans="12:20" x14ac:dyDescent="0.2">
      <c r="L4529" s="43"/>
      <c r="M4529" s="43"/>
      <c r="N4529" s="43"/>
      <c r="O4529" s="43"/>
      <c r="Q4529" s="44"/>
      <c r="R4529" s="44"/>
      <c r="S4529" s="44"/>
      <c r="T4529" s="44"/>
    </row>
    <row r="4530" spans="12:20" x14ac:dyDescent="0.2">
      <c r="L4530" s="43"/>
      <c r="M4530" s="43"/>
      <c r="N4530" s="43"/>
      <c r="O4530" s="43"/>
      <c r="Q4530" s="44"/>
      <c r="R4530" s="44"/>
      <c r="S4530" s="44"/>
      <c r="T4530" s="44"/>
    </row>
    <row r="4531" spans="12:20" x14ac:dyDescent="0.2">
      <c r="L4531" s="43"/>
      <c r="M4531" s="43"/>
      <c r="N4531" s="43"/>
      <c r="O4531" s="43"/>
      <c r="Q4531" s="44"/>
      <c r="R4531" s="44"/>
      <c r="S4531" s="44"/>
      <c r="T4531" s="44"/>
    </row>
    <row r="4532" spans="12:20" x14ac:dyDescent="0.2">
      <c r="L4532" s="43"/>
      <c r="M4532" s="43"/>
      <c r="N4532" s="43"/>
      <c r="O4532" s="43"/>
      <c r="Q4532" s="44"/>
      <c r="R4532" s="44"/>
      <c r="S4532" s="44"/>
      <c r="T4532" s="44"/>
    </row>
    <row r="4533" spans="12:20" x14ac:dyDescent="0.2">
      <c r="L4533" s="43"/>
      <c r="M4533" s="43"/>
      <c r="N4533" s="43"/>
      <c r="O4533" s="43"/>
      <c r="Q4533" s="44"/>
      <c r="R4533" s="44"/>
      <c r="S4533" s="44"/>
      <c r="T4533" s="44"/>
    </row>
    <row r="4534" spans="12:20" x14ac:dyDescent="0.2">
      <c r="L4534" s="43"/>
      <c r="M4534" s="43"/>
      <c r="N4534" s="43"/>
      <c r="O4534" s="43"/>
      <c r="Q4534" s="44"/>
      <c r="R4534" s="44"/>
      <c r="S4534" s="44"/>
      <c r="T4534" s="44"/>
    </row>
    <row r="4535" spans="12:20" x14ac:dyDescent="0.2">
      <c r="L4535" s="43"/>
      <c r="M4535" s="43"/>
      <c r="N4535" s="43"/>
      <c r="O4535" s="43"/>
      <c r="Q4535" s="44"/>
      <c r="R4535" s="44"/>
      <c r="S4535" s="44"/>
      <c r="T4535" s="44"/>
    </row>
    <row r="4536" spans="12:20" x14ac:dyDescent="0.2">
      <c r="L4536" s="43"/>
      <c r="M4536" s="43"/>
      <c r="N4536" s="43"/>
      <c r="O4536" s="43"/>
      <c r="Q4536" s="44"/>
      <c r="R4536" s="44"/>
      <c r="S4536" s="44"/>
      <c r="T4536" s="44"/>
    </row>
    <row r="4537" spans="12:20" x14ac:dyDescent="0.2">
      <c r="L4537" s="43"/>
      <c r="M4537" s="43"/>
      <c r="N4537" s="43"/>
      <c r="O4537" s="43"/>
      <c r="Q4537" s="44"/>
      <c r="R4537" s="44"/>
      <c r="S4537" s="44"/>
      <c r="T4537" s="44"/>
    </row>
    <row r="4538" spans="12:20" x14ac:dyDescent="0.2">
      <c r="L4538" s="43"/>
      <c r="M4538" s="43"/>
      <c r="N4538" s="43"/>
      <c r="O4538" s="43"/>
      <c r="Q4538" s="44"/>
      <c r="R4538" s="44"/>
      <c r="S4538" s="44"/>
      <c r="T4538" s="44"/>
    </row>
    <row r="4539" spans="12:20" x14ac:dyDescent="0.2">
      <c r="L4539" s="43"/>
      <c r="M4539" s="43"/>
      <c r="N4539" s="43"/>
      <c r="O4539" s="43"/>
      <c r="Q4539" s="44"/>
      <c r="R4539" s="44"/>
      <c r="S4539" s="44"/>
      <c r="T4539" s="44"/>
    </row>
    <row r="4540" spans="12:20" x14ac:dyDescent="0.2">
      <c r="L4540" s="43"/>
      <c r="M4540" s="43"/>
      <c r="N4540" s="43"/>
      <c r="O4540" s="43"/>
      <c r="Q4540" s="44"/>
      <c r="R4540" s="44"/>
      <c r="S4540" s="44"/>
      <c r="T4540" s="44"/>
    </row>
    <row r="4541" spans="12:20" x14ac:dyDescent="0.2">
      <c r="L4541" s="43"/>
      <c r="M4541" s="43"/>
      <c r="N4541" s="43"/>
      <c r="O4541" s="43"/>
      <c r="Q4541" s="44"/>
      <c r="R4541" s="44"/>
      <c r="S4541" s="44"/>
      <c r="T4541" s="44"/>
    </row>
    <row r="4542" spans="12:20" x14ac:dyDescent="0.2">
      <c r="L4542" s="43"/>
      <c r="M4542" s="43"/>
      <c r="N4542" s="43"/>
      <c r="O4542" s="43"/>
      <c r="Q4542" s="44"/>
      <c r="R4542" s="44"/>
      <c r="S4542" s="44"/>
      <c r="T4542" s="44"/>
    </row>
    <row r="4543" spans="12:20" x14ac:dyDescent="0.2">
      <c r="L4543" s="43"/>
      <c r="M4543" s="43"/>
      <c r="N4543" s="43"/>
      <c r="O4543" s="43"/>
      <c r="Q4543" s="44"/>
      <c r="R4543" s="44"/>
      <c r="S4543" s="44"/>
      <c r="T4543" s="44"/>
    </row>
    <row r="4544" spans="12:20" x14ac:dyDescent="0.2">
      <c r="L4544" s="43"/>
      <c r="M4544" s="43"/>
      <c r="N4544" s="43"/>
      <c r="O4544" s="43"/>
      <c r="Q4544" s="44"/>
      <c r="R4544" s="44"/>
      <c r="S4544" s="44"/>
      <c r="T4544" s="44"/>
    </row>
    <row r="4545" spans="12:20" x14ac:dyDescent="0.2">
      <c r="L4545" s="43"/>
      <c r="M4545" s="43"/>
      <c r="N4545" s="43"/>
      <c r="O4545" s="43"/>
      <c r="Q4545" s="44"/>
      <c r="R4545" s="44"/>
      <c r="S4545" s="44"/>
      <c r="T4545" s="44"/>
    </row>
    <row r="4546" spans="12:20" x14ac:dyDescent="0.2">
      <c r="L4546" s="43"/>
      <c r="M4546" s="43"/>
      <c r="N4546" s="43"/>
      <c r="O4546" s="43"/>
      <c r="Q4546" s="44"/>
      <c r="R4546" s="44"/>
      <c r="S4546" s="44"/>
      <c r="T4546" s="44"/>
    </row>
    <row r="4547" spans="12:20" x14ac:dyDescent="0.2">
      <c r="L4547" s="43"/>
      <c r="M4547" s="43"/>
      <c r="N4547" s="43"/>
      <c r="O4547" s="43"/>
      <c r="Q4547" s="44"/>
      <c r="R4547" s="44"/>
      <c r="S4547" s="44"/>
      <c r="T4547" s="44"/>
    </row>
    <row r="4548" spans="12:20" x14ac:dyDescent="0.2">
      <c r="L4548" s="43"/>
      <c r="M4548" s="43"/>
      <c r="N4548" s="43"/>
      <c r="O4548" s="43"/>
      <c r="Q4548" s="44"/>
      <c r="R4548" s="44"/>
      <c r="S4548" s="44"/>
      <c r="T4548" s="44"/>
    </row>
    <row r="4549" spans="12:20" x14ac:dyDescent="0.2">
      <c r="L4549" s="43"/>
      <c r="M4549" s="43"/>
      <c r="N4549" s="43"/>
      <c r="O4549" s="43"/>
      <c r="Q4549" s="44"/>
      <c r="R4549" s="44"/>
      <c r="S4549" s="44"/>
      <c r="T4549" s="44"/>
    </row>
    <row r="4550" spans="12:20" x14ac:dyDescent="0.2">
      <c r="L4550" s="43"/>
      <c r="M4550" s="43"/>
      <c r="N4550" s="43"/>
      <c r="O4550" s="43"/>
      <c r="Q4550" s="44"/>
      <c r="R4550" s="44"/>
      <c r="S4550" s="44"/>
      <c r="T4550" s="44"/>
    </row>
    <row r="4551" spans="12:20" x14ac:dyDescent="0.2">
      <c r="L4551" s="43"/>
      <c r="M4551" s="43"/>
      <c r="N4551" s="43"/>
      <c r="O4551" s="43"/>
      <c r="Q4551" s="44"/>
      <c r="R4551" s="44"/>
      <c r="S4551" s="44"/>
      <c r="T4551" s="44"/>
    </row>
    <row r="4552" spans="12:20" x14ac:dyDescent="0.2">
      <c r="L4552" s="43"/>
      <c r="M4552" s="43"/>
      <c r="N4552" s="43"/>
      <c r="O4552" s="43"/>
      <c r="Q4552" s="44"/>
      <c r="R4552" s="44"/>
      <c r="S4552" s="44"/>
      <c r="T4552" s="44"/>
    </row>
    <row r="4553" spans="12:20" x14ac:dyDescent="0.2">
      <c r="L4553" s="43"/>
      <c r="M4553" s="43"/>
      <c r="N4553" s="43"/>
      <c r="O4553" s="43"/>
      <c r="Q4553" s="44"/>
      <c r="R4553" s="44"/>
      <c r="S4553" s="44"/>
      <c r="T4553" s="44"/>
    </row>
    <row r="4554" spans="12:20" x14ac:dyDescent="0.2">
      <c r="L4554" s="43"/>
      <c r="M4554" s="43"/>
      <c r="N4554" s="43"/>
      <c r="O4554" s="43"/>
      <c r="Q4554" s="44"/>
      <c r="R4554" s="44"/>
      <c r="S4554" s="44"/>
      <c r="T4554" s="44"/>
    </row>
    <row r="4555" spans="12:20" x14ac:dyDescent="0.2">
      <c r="L4555" s="43"/>
      <c r="M4555" s="43"/>
      <c r="N4555" s="43"/>
      <c r="O4555" s="43"/>
      <c r="Q4555" s="44"/>
      <c r="R4555" s="44"/>
      <c r="S4555" s="44"/>
      <c r="T4555" s="44"/>
    </row>
    <row r="4556" spans="12:20" x14ac:dyDescent="0.2">
      <c r="L4556" s="43"/>
      <c r="M4556" s="43"/>
      <c r="N4556" s="43"/>
      <c r="O4556" s="43"/>
      <c r="Q4556" s="44"/>
      <c r="R4556" s="44"/>
      <c r="S4556" s="44"/>
      <c r="T4556" s="44"/>
    </row>
    <row r="4557" spans="12:20" x14ac:dyDescent="0.2">
      <c r="L4557" s="43"/>
      <c r="M4557" s="43"/>
      <c r="N4557" s="43"/>
      <c r="O4557" s="43"/>
      <c r="Q4557" s="44"/>
      <c r="R4557" s="44"/>
      <c r="S4557" s="44"/>
      <c r="T4557" s="44"/>
    </row>
    <row r="4558" spans="12:20" x14ac:dyDescent="0.2">
      <c r="L4558" s="43"/>
      <c r="M4558" s="43"/>
      <c r="N4558" s="43"/>
      <c r="O4558" s="43"/>
      <c r="Q4558" s="44"/>
      <c r="R4558" s="44"/>
      <c r="S4558" s="44"/>
      <c r="T4558" s="44"/>
    </row>
    <row r="4559" spans="12:20" x14ac:dyDescent="0.2">
      <c r="L4559" s="43"/>
      <c r="M4559" s="43"/>
      <c r="N4559" s="43"/>
      <c r="O4559" s="43"/>
      <c r="Q4559" s="44"/>
      <c r="R4559" s="44"/>
      <c r="S4559" s="44"/>
      <c r="T4559" s="44"/>
    </row>
    <row r="4560" spans="12:20" x14ac:dyDescent="0.2">
      <c r="L4560" s="43"/>
      <c r="M4560" s="43"/>
      <c r="N4560" s="43"/>
      <c r="O4560" s="43"/>
      <c r="Q4560" s="44"/>
      <c r="R4560" s="44"/>
      <c r="S4560" s="44"/>
      <c r="T4560" s="44"/>
    </row>
    <row r="4561" spans="12:20" x14ac:dyDescent="0.2">
      <c r="L4561" s="43"/>
      <c r="M4561" s="43"/>
      <c r="N4561" s="43"/>
      <c r="O4561" s="43"/>
      <c r="Q4561" s="44"/>
      <c r="R4561" s="44"/>
      <c r="S4561" s="44"/>
      <c r="T4561" s="44"/>
    </row>
    <row r="4562" spans="12:20" x14ac:dyDescent="0.2">
      <c r="L4562" s="43"/>
      <c r="M4562" s="43"/>
      <c r="N4562" s="43"/>
      <c r="O4562" s="43"/>
      <c r="Q4562" s="44"/>
      <c r="R4562" s="44"/>
      <c r="S4562" s="44"/>
      <c r="T4562" s="44"/>
    </row>
    <row r="4563" spans="12:20" x14ac:dyDescent="0.2">
      <c r="L4563" s="43"/>
      <c r="M4563" s="43"/>
      <c r="N4563" s="43"/>
      <c r="O4563" s="43"/>
      <c r="Q4563" s="44"/>
      <c r="R4563" s="44"/>
      <c r="S4563" s="44"/>
      <c r="T4563" s="44"/>
    </row>
    <row r="4564" spans="12:20" x14ac:dyDescent="0.2">
      <c r="L4564" s="43"/>
      <c r="M4564" s="43"/>
      <c r="N4564" s="43"/>
      <c r="O4564" s="43"/>
      <c r="Q4564" s="44"/>
      <c r="R4564" s="44"/>
      <c r="S4564" s="44"/>
      <c r="T4564" s="44"/>
    </row>
    <row r="4565" spans="12:20" x14ac:dyDescent="0.2">
      <c r="L4565" s="43"/>
      <c r="M4565" s="43"/>
      <c r="N4565" s="43"/>
      <c r="O4565" s="43"/>
      <c r="Q4565" s="44"/>
      <c r="R4565" s="44"/>
      <c r="S4565" s="44"/>
      <c r="T4565" s="44"/>
    </row>
    <row r="4566" spans="12:20" x14ac:dyDescent="0.2">
      <c r="L4566" s="43"/>
      <c r="M4566" s="43"/>
      <c r="N4566" s="43"/>
      <c r="O4566" s="43"/>
      <c r="Q4566" s="44"/>
      <c r="R4566" s="44"/>
      <c r="S4566" s="44"/>
      <c r="T4566" s="44"/>
    </row>
    <row r="4567" spans="12:20" x14ac:dyDescent="0.2">
      <c r="L4567" s="43"/>
      <c r="M4567" s="43"/>
      <c r="N4567" s="43"/>
      <c r="O4567" s="43"/>
      <c r="Q4567" s="44"/>
      <c r="R4567" s="44"/>
      <c r="S4567" s="44"/>
      <c r="T4567" s="44"/>
    </row>
    <row r="4568" spans="12:20" x14ac:dyDescent="0.2">
      <c r="L4568" s="43"/>
      <c r="M4568" s="43"/>
      <c r="N4568" s="43"/>
      <c r="O4568" s="43"/>
      <c r="Q4568" s="44"/>
      <c r="R4568" s="44"/>
      <c r="S4568" s="44"/>
      <c r="T4568" s="44"/>
    </row>
    <row r="4569" spans="12:20" x14ac:dyDescent="0.2">
      <c r="L4569" s="43"/>
      <c r="M4569" s="43"/>
      <c r="N4569" s="43"/>
      <c r="O4569" s="43"/>
      <c r="Q4569" s="44"/>
      <c r="R4569" s="44"/>
      <c r="S4569" s="44"/>
      <c r="T4569" s="44"/>
    </row>
    <row r="4570" spans="12:20" x14ac:dyDescent="0.2">
      <c r="L4570" s="43"/>
      <c r="M4570" s="43"/>
      <c r="N4570" s="43"/>
      <c r="O4570" s="43"/>
      <c r="Q4570" s="44"/>
      <c r="R4570" s="44"/>
      <c r="S4570" s="44"/>
      <c r="T4570" s="44"/>
    </row>
    <row r="4571" spans="12:20" x14ac:dyDescent="0.2">
      <c r="L4571" s="43"/>
      <c r="M4571" s="43"/>
      <c r="N4571" s="43"/>
      <c r="O4571" s="43"/>
      <c r="Q4571" s="44"/>
      <c r="R4571" s="44"/>
      <c r="S4571" s="44"/>
      <c r="T4571" s="44"/>
    </row>
    <row r="4572" spans="12:20" x14ac:dyDescent="0.2">
      <c r="L4572" s="43"/>
      <c r="M4572" s="43"/>
      <c r="N4572" s="43"/>
      <c r="O4572" s="43"/>
      <c r="Q4572" s="44"/>
      <c r="R4572" s="44"/>
      <c r="S4572" s="44"/>
      <c r="T4572" s="44"/>
    </row>
    <row r="4573" spans="12:20" x14ac:dyDescent="0.2">
      <c r="L4573" s="43"/>
      <c r="M4573" s="43"/>
      <c r="N4573" s="43"/>
      <c r="O4573" s="43"/>
      <c r="Q4573" s="44"/>
      <c r="R4573" s="44"/>
      <c r="S4573" s="44"/>
      <c r="T4573" s="44"/>
    </row>
    <row r="4574" spans="12:20" x14ac:dyDescent="0.2">
      <c r="L4574" s="43"/>
      <c r="M4574" s="43"/>
      <c r="N4574" s="43"/>
      <c r="O4574" s="43"/>
      <c r="Q4574" s="44"/>
      <c r="R4574" s="44"/>
      <c r="S4574" s="44"/>
      <c r="T4574" s="44"/>
    </row>
    <row r="4575" spans="12:20" x14ac:dyDescent="0.2">
      <c r="L4575" s="43"/>
      <c r="M4575" s="43"/>
      <c r="N4575" s="43"/>
      <c r="O4575" s="43"/>
      <c r="Q4575" s="44"/>
      <c r="R4575" s="44"/>
      <c r="S4575" s="44"/>
      <c r="T4575" s="44"/>
    </row>
    <row r="4576" spans="12:20" x14ac:dyDescent="0.2">
      <c r="L4576" s="43"/>
      <c r="M4576" s="43"/>
      <c r="N4576" s="43"/>
      <c r="O4576" s="43"/>
      <c r="Q4576" s="44"/>
      <c r="R4576" s="44"/>
      <c r="S4576" s="44"/>
      <c r="T4576" s="44"/>
    </row>
    <row r="4577" spans="12:20" x14ac:dyDescent="0.2">
      <c r="L4577" s="43"/>
      <c r="M4577" s="43"/>
      <c r="N4577" s="43"/>
      <c r="O4577" s="43"/>
      <c r="Q4577" s="44"/>
      <c r="R4577" s="44"/>
      <c r="S4577" s="44"/>
      <c r="T4577" s="44"/>
    </row>
    <row r="4578" spans="12:20" x14ac:dyDescent="0.2">
      <c r="L4578" s="43"/>
      <c r="M4578" s="43"/>
      <c r="N4578" s="43"/>
      <c r="O4578" s="43"/>
      <c r="Q4578" s="44"/>
      <c r="R4578" s="44"/>
      <c r="S4578" s="44"/>
      <c r="T4578" s="44"/>
    </row>
    <row r="4579" spans="12:20" x14ac:dyDescent="0.2">
      <c r="L4579" s="43"/>
      <c r="M4579" s="43"/>
      <c r="N4579" s="43"/>
      <c r="O4579" s="43"/>
      <c r="Q4579" s="44"/>
      <c r="R4579" s="44"/>
      <c r="S4579" s="44"/>
      <c r="T4579" s="44"/>
    </row>
    <row r="4580" spans="12:20" x14ac:dyDescent="0.2">
      <c r="L4580" s="43"/>
      <c r="M4580" s="43"/>
      <c r="N4580" s="43"/>
      <c r="O4580" s="43"/>
      <c r="Q4580" s="44"/>
      <c r="R4580" s="44"/>
      <c r="S4580" s="44"/>
      <c r="T4580" s="44"/>
    </row>
    <row r="4581" spans="12:20" x14ac:dyDescent="0.2">
      <c r="L4581" s="43"/>
      <c r="M4581" s="43"/>
      <c r="N4581" s="43"/>
      <c r="O4581" s="43"/>
      <c r="Q4581" s="44"/>
      <c r="R4581" s="44"/>
      <c r="S4581" s="44"/>
      <c r="T4581" s="44"/>
    </row>
    <row r="4582" spans="12:20" x14ac:dyDescent="0.2">
      <c r="L4582" s="43"/>
      <c r="M4582" s="43"/>
      <c r="N4582" s="43"/>
      <c r="O4582" s="43"/>
      <c r="Q4582" s="44"/>
      <c r="R4582" s="44"/>
      <c r="S4582" s="44"/>
      <c r="T4582" s="44"/>
    </row>
    <row r="4583" spans="12:20" x14ac:dyDescent="0.2">
      <c r="L4583" s="43"/>
      <c r="M4583" s="43"/>
      <c r="N4583" s="43"/>
      <c r="O4583" s="43"/>
      <c r="Q4583" s="44"/>
      <c r="R4583" s="44"/>
      <c r="S4583" s="44"/>
      <c r="T4583" s="44"/>
    </row>
    <row r="4584" spans="12:20" x14ac:dyDescent="0.2">
      <c r="L4584" s="43"/>
      <c r="M4584" s="43"/>
      <c r="N4584" s="43"/>
      <c r="O4584" s="43"/>
      <c r="Q4584" s="44"/>
      <c r="R4584" s="44"/>
      <c r="S4584" s="44"/>
      <c r="T4584" s="44"/>
    </row>
    <row r="4585" spans="12:20" x14ac:dyDescent="0.2">
      <c r="L4585" s="43"/>
      <c r="M4585" s="43"/>
      <c r="N4585" s="43"/>
      <c r="O4585" s="43"/>
      <c r="Q4585" s="44"/>
      <c r="R4585" s="44"/>
      <c r="S4585" s="44"/>
      <c r="T4585" s="44"/>
    </row>
    <row r="4586" spans="12:20" x14ac:dyDescent="0.2">
      <c r="L4586" s="43"/>
      <c r="M4586" s="43"/>
      <c r="N4586" s="43"/>
      <c r="O4586" s="43"/>
      <c r="Q4586" s="44"/>
      <c r="R4586" s="44"/>
      <c r="S4586" s="44"/>
      <c r="T4586" s="44"/>
    </row>
    <row r="4587" spans="12:20" x14ac:dyDescent="0.2">
      <c r="L4587" s="43"/>
      <c r="M4587" s="43"/>
      <c r="N4587" s="43"/>
      <c r="O4587" s="43"/>
      <c r="Q4587" s="44"/>
      <c r="R4587" s="44"/>
      <c r="S4587" s="44"/>
      <c r="T4587" s="44"/>
    </row>
    <row r="4588" spans="12:20" x14ac:dyDescent="0.2">
      <c r="L4588" s="43"/>
      <c r="M4588" s="43"/>
      <c r="N4588" s="43"/>
      <c r="O4588" s="43"/>
      <c r="Q4588" s="44"/>
      <c r="R4588" s="44"/>
      <c r="S4588" s="44"/>
      <c r="T4588" s="44"/>
    </row>
    <row r="4589" spans="12:20" x14ac:dyDescent="0.2">
      <c r="L4589" s="43"/>
      <c r="M4589" s="43"/>
      <c r="N4589" s="43"/>
      <c r="O4589" s="43"/>
      <c r="Q4589" s="44"/>
      <c r="R4589" s="44"/>
      <c r="S4589" s="44"/>
      <c r="T4589" s="44"/>
    </row>
    <row r="4590" spans="12:20" x14ac:dyDescent="0.2">
      <c r="L4590" s="43"/>
      <c r="M4590" s="43"/>
      <c r="N4590" s="43"/>
      <c r="O4590" s="43"/>
      <c r="Q4590" s="44"/>
      <c r="R4590" s="44"/>
      <c r="S4590" s="44"/>
      <c r="T4590" s="44"/>
    </row>
    <row r="4591" spans="12:20" x14ac:dyDescent="0.2">
      <c r="L4591" s="43"/>
      <c r="M4591" s="43"/>
      <c r="N4591" s="43"/>
      <c r="O4591" s="43"/>
      <c r="Q4591" s="44"/>
      <c r="R4591" s="44"/>
      <c r="S4591" s="44"/>
      <c r="T4591" s="44"/>
    </row>
    <row r="4592" spans="12:20" x14ac:dyDescent="0.2">
      <c r="L4592" s="43"/>
      <c r="M4592" s="43"/>
      <c r="N4592" s="43"/>
      <c r="O4592" s="43"/>
      <c r="Q4592" s="44"/>
      <c r="R4592" s="44"/>
      <c r="S4592" s="44"/>
      <c r="T4592" s="44"/>
    </row>
    <row r="4593" spans="12:20" x14ac:dyDescent="0.2">
      <c r="L4593" s="43"/>
      <c r="M4593" s="43"/>
      <c r="N4593" s="43"/>
      <c r="O4593" s="43"/>
      <c r="Q4593" s="44"/>
      <c r="R4593" s="44"/>
      <c r="S4593" s="44"/>
      <c r="T4593" s="44"/>
    </row>
    <row r="4594" spans="12:20" x14ac:dyDescent="0.2">
      <c r="L4594" s="43"/>
      <c r="M4594" s="43"/>
      <c r="N4594" s="43"/>
      <c r="O4594" s="43"/>
      <c r="Q4594" s="44"/>
      <c r="R4594" s="44"/>
      <c r="S4594" s="44"/>
      <c r="T4594" s="44"/>
    </row>
    <row r="4595" spans="12:20" x14ac:dyDescent="0.2">
      <c r="L4595" s="43"/>
      <c r="M4595" s="43"/>
      <c r="N4595" s="43"/>
      <c r="O4595" s="43"/>
      <c r="Q4595" s="44"/>
      <c r="R4595" s="44"/>
      <c r="S4595" s="44"/>
      <c r="T4595" s="44"/>
    </row>
    <row r="4596" spans="12:20" x14ac:dyDescent="0.2">
      <c r="L4596" s="43"/>
      <c r="M4596" s="43"/>
      <c r="N4596" s="43"/>
      <c r="O4596" s="43"/>
      <c r="Q4596" s="44"/>
      <c r="R4596" s="44"/>
      <c r="S4596" s="44"/>
      <c r="T4596" s="44"/>
    </row>
    <row r="4597" spans="12:20" x14ac:dyDescent="0.2">
      <c r="L4597" s="43"/>
      <c r="M4597" s="43"/>
      <c r="N4597" s="43"/>
      <c r="O4597" s="43"/>
      <c r="Q4597" s="44"/>
      <c r="R4597" s="44"/>
      <c r="S4597" s="44"/>
      <c r="T4597" s="44"/>
    </row>
    <row r="4598" spans="12:20" x14ac:dyDescent="0.2">
      <c r="L4598" s="43"/>
      <c r="M4598" s="43"/>
      <c r="N4598" s="43"/>
      <c r="O4598" s="43"/>
      <c r="Q4598" s="44"/>
      <c r="R4598" s="44"/>
      <c r="S4598" s="44"/>
      <c r="T4598" s="44"/>
    </row>
    <row r="4599" spans="12:20" x14ac:dyDescent="0.2">
      <c r="L4599" s="43"/>
      <c r="M4599" s="43"/>
      <c r="N4599" s="43"/>
      <c r="O4599" s="43"/>
      <c r="Q4599" s="44"/>
      <c r="R4599" s="44"/>
      <c r="S4599" s="44"/>
      <c r="T4599" s="44"/>
    </row>
    <row r="4600" spans="12:20" x14ac:dyDescent="0.2">
      <c r="L4600" s="43"/>
      <c r="M4600" s="43"/>
      <c r="N4600" s="43"/>
      <c r="O4600" s="43"/>
      <c r="Q4600" s="44"/>
      <c r="R4600" s="44"/>
      <c r="S4600" s="44"/>
      <c r="T4600" s="44"/>
    </row>
    <row r="4601" spans="12:20" x14ac:dyDescent="0.2">
      <c r="L4601" s="43"/>
      <c r="M4601" s="43"/>
      <c r="N4601" s="43"/>
      <c r="O4601" s="43"/>
      <c r="Q4601" s="44"/>
      <c r="R4601" s="44"/>
      <c r="S4601" s="44"/>
      <c r="T4601" s="44"/>
    </row>
    <row r="4602" spans="12:20" x14ac:dyDescent="0.2">
      <c r="L4602" s="43"/>
      <c r="M4602" s="43"/>
      <c r="N4602" s="43"/>
      <c r="O4602" s="43"/>
      <c r="Q4602" s="44"/>
      <c r="R4602" s="44"/>
      <c r="S4602" s="44"/>
      <c r="T4602" s="44"/>
    </row>
    <row r="4603" spans="12:20" x14ac:dyDescent="0.2">
      <c r="L4603" s="43"/>
      <c r="M4603" s="43"/>
      <c r="N4603" s="43"/>
      <c r="O4603" s="43"/>
      <c r="Q4603" s="44"/>
      <c r="R4603" s="44"/>
      <c r="S4603" s="44"/>
      <c r="T4603" s="44"/>
    </row>
    <row r="4604" spans="12:20" x14ac:dyDescent="0.2">
      <c r="L4604" s="43"/>
      <c r="M4604" s="43"/>
      <c r="N4604" s="43"/>
      <c r="O4604" s="43"/>
      <c r="Q4604" s="44"/>
      <c r="R4604" s="44"/>
      <c r="S4604" s="44"/>
      <c r="T4604" s="44"/>
    </row>
    <row r="4605" spans="12:20" x14ac:dyDescent="0.2">
      <c r="L4605" s="43"/>
      <c r="M4605" s="43"/>
      <c r="N4605" s="43"/>
      <c r="O4605" s="43"/>
      <c r="Q4605" s="44"/>
      <c r="R4605" s="44"/>
      <c r="S4605" s="44"/>
      <c r="T4605" s="44"/>
    </row>
    <row r="4606" spans="12:20" x14ac:dyDescent="0.2">
      <c r="L4606" s="43"/>
      <c r="M4606" s="43"/>
      <c r="N4606" s="43"/>
      <c r="O4606" s="43"/>
      <c r="Q4606" s="44"/>
      <c r="R4606" s="44"/>
      <c r="S4606" s="44"/>
      <c r="T4606" s="44"/>
    </row>
    <row r="4607" spans="12:20" x14ac:dyDescent="0.2">
      <c r="L4607" s="43"/>
      <c r="M4607" s="43"/>
      <c r="N4607" s="43"/>
      <c r="O4607" s="43"/>
      <c r="Q4607" s="44"/>
      <c r="R4607" s="44"/>
      <c r="S4607" s="44"/>
      <c r="T4607" s="44"/>
    </row>
    <row r="4608" spans="12:20" x14ac:dyDescent="0.2">
      <c r="L4608" s="43"/>
      <c r="M4608" s="43"/>
      <c r="N4608" s="43"/>
      <c r="O4608" s="43"/>
      <c r="Q4608" s="44"/>
      <c r="R4608" s="44"/>
      <c r="S4608" s="44"/>
      <c r="T4608" s="44"/>
    </row>
    <row r="4609" spans="12:20" x14ac:dyDescent="0.2">
      <c r="L4609" s="43"/>
      <c r="M4609" s="43"/>
      <c r="N4609" s="43"/>
      <c r="O4609" s="43"/>
      <c r="Q4609" s="44"/>
      <c r="R4609" s="44"/>
      <c r="S4609" s="44"/>
      <c r="T4609" s="44"/>
    </row>
    <row r="4610" spans="12:20" x14ac:dyDescent="0.2">
      <c r="L4610" s="43"/>
      <c r="M4610" s="43"/>
      <c r="N4610" s="43"/>
      <c r="O4610" s="43"/>
      <c r="Q4610" s="44"/>
      <c r="R4610" s="44"/>
      <c r="S4610" s="44"/>
      <c r="T4610" s="44"/>
    </row>
    <row r="4611" spans="12:20" x14ac:dyDescent="0.2">
      <c r="L4611" s="43"/>
      <c r="M4611" s="43"/>
      <c r="N4611" s="43"/>
      <c r="O4611" s="43"/>
      <c r="Q4611" s="44"/>
      <c r="R4611" s="44"/>
      <c r="S4611" s="44"/>
      <c r="T4611" s="44"/>
    </row>
    <row r="4612" spans="12:20" x14ac:dyDescent="0.2">
      <c r="L4612" s="43"/>
      <c r="M4612" s="43"/>
      <c r="N4612" s="43"/>
      <c r="O4612" s="43"/>
      <c r="Q4612" s="44"/>
      <c r="R4612" s="44"/>
      <c r="S4612" s="44"/>
      <c r="T4612" s="44"/>
    </row>
    <row r="4613" spans="12:20" x14ac:dyDescent="0.2">
      <c r="L4613" s="43"/>
      <c r="M4613" s="43"/>
      <c r="N4613" s="43"/>
      <c r="O4613" s="43"/>
      <c r="Q4613" s="44"/>
      <c r="R4613" s="44"/>
      <c r="S4613" s="44"/>
      <c r="T4613" s="44"/>
    </row>
    <row r="4614" spans="12:20" x14ac:dyDescent="0.2">
      <c r="L4614" s="43"/>
      <c r="M4614" s="43"/>
      <c r="N4614" s="43"/>
      <c r="O4614" s="43"/>
      <c r="Q4614" s="44"/>
      <c r="R4614" s="44"/>
      <c r="S4614" s="44"/>
      <c r="T4614" s="44"/>
    </row>
    <row r="4615" spans="12:20" x14ac:dyDescent="0.2">
      <c r="L4615" s="43"/>
      <c r="M4615" s="43"/>
      <c r="N4615" s="43"/>
      <c r="O4615" s="43"/>
      <c r="Q4615" s="44"/>
      <c r="R4615" s="44"/>
      <c r="S4615" s="44"/>
      <c r="T4615" s="44"/>
    </row>
    <row r="4616" spans="12:20" x14ac:dyDescent="0.2">
      <c r="L4616" s="43"/>
      <c r="M4616" s="43"/>
      <c r="N4616" s="43"/>
      <c r="O4616" s="43"/>
      <c r="Q4616" s="44"/>
      <c r="R4616" s="44"/>
      <c r="S4616" s="44"/>
      <c r="T4616" s="44"/>
    </row>
    <row r="4617" spans="12:20" x14ac:dyDescent="0.2">
      <c r="L4617" s="43"/>
      <c r="M4617" s="43"/>
      <c r="N4617" s="43"/>
      <c r="O4617" s="43"/>
      <c r="Q4617" s="44"/>
      <c r="R4617" s="44"/>
      <c r="S4617" s="44"/>
      <c r="T4617" s="44"/>
    </row>
    <row r="4618" spans="12:20" x14ac:dyDescent="0.2">
      <c r="L4618" s="43"/>
      <c r="M4618" s="43"/>
      <c r="N4618" s="43"/>
      <c r="O4618" s="43"/>
      <c r="Q4618" s="44"/>
      <c r="R4618" s="44"/>
      <c r="S4618" s="44"/>
      <c r="T4618" s="44"/>
    </row>
    <row r="4619" spans="12:20" x14ac:dyDescent="0.2">
      <c r="L4619" s="43"/>
      <c r="M4619" s="43"/>
      <c r="N4619" s="43"/>
      <c r="O4619" s="43"/>
      <c r="Q4619" s="44"/>
      <c r="R4619" s="44"/>
      <c r="S4619" s="44"/>
      <c r="T4619" s="44"/>
    </row>
    <row r="4620" spans="12:20" x14ac:dyDescent="0.2">
      <c r="L4620" s="43"/>
      <c r="M4620" s="43"/>
      <c r="N4620" s="43"/>
      <c r="O4620" s="43"/>
      <c r="Q4620" s="44"/>
      <c r="R4620" s="44"/>
      <c r="S4620" s="44"/>
      <c r="T4620" s="44"/>
    </row>
    <row r="4621" spans="12:20" x14ac:dyDescent="0.2">
      <c r="L4621" s="43"/>
      <c r="M4621" s="43"/>
      <c r="N4621" s="43"/>
      <c r="O4621" s="43"/>
      <c r="Q4621" s="44"/>
      <c r="R4621" s="44"/>
      <c r="S4621" s="44"/>
      <c r="T4621" s="44"/>
    </row>
    <row r="4622" spans="12:20" x14ac:dyDescent="0.2">
      <c r="L4622" s="43"/>
      <c r="M4622" s="43"/>
      <c r="N4622" s="43"/>
      <c r="O4622" s="43"/>
      <c r="Q4622" s="44"/>
      <c r="R4622" s="44"/>
      <c r="S4622" s="44"/>
      <c r="T4622" s="44"/>
    </row>
    <row r="4623" spans="12:20" x14ac:dyDescent="0.2">
      <c r="L4623" s="43"/>
      <c r="M4623" s="43"/>
      <c r="N4623" s="43"/>
      <c r="O4623" s="43"/>
      <c r="Q4623" s="44"/>
      <c r="R4623" s="44"/>
      <c r="S4623" s="44"/>
      <c r="T4623" s="44"/>
    </row>
    <row r="4624" spans="12:20" x14ac:dyDescent="0.2">
      <c r="L4624" s="43"/>
      <c r="M4624" s="43"/>
      <c r="N4624" s="43"/>
      <c r="O4624" s="43"/>
      <c r="Q4624" s="44"/>
      <c r="R4624" s="44"/>
      <c r="S4624" s="44"/>
      <c r="T4624" s="44"/>
    </row>
    <row r="4625" spans="12:20" x14ac:dyDescent="0.2">
      <c r="L4625" s="43"/>
      <c r="M4625" s="43"/>
      <c r="N4625" s="43"/>
      <c r="O4625" s="43"/>
      <c r="Q4625" s="44"/>
      <c r="R4625" s="44"/>
      <c r="S4625" s="44"/>
      <c r="T4625" s="44"/>
    </row>
    <row r="4626" spans="12:20" x14ac:dyDescent="0.2">
      <c r="L4626" s="43"/>
      <c r="M4626" s="43"/>
      <c r="N4626" s="43"/>
      <c r="O4626" s="43"/>
      <c r="Q4626" s="44"/>
      <c r="R4626" s="44"/>
      <c r="S4626" s="44"/>
      <c r="T4626" s="44"/>
    </row>
    <row r="4627" spans="12:20" x14ac:dyDescent="0.2">
      <c r="L4627" s="43"/>
      <c r="M4627" s="43"/>
      <c r="N4627" s="43"/>
      <c r="O4627" s="43"/>
      <c r="Q4627" s="44"/>
      <c r="R4627" s="44"/>
      <c r="S4627" s="44"/>
      <c r="T4627" s="44"/>
    </row>
    <row r="4628" spans="12:20" x14ac:dyDescent="0.2">
      <c r="L4628" s="43"/>
      <c r="M4628" s="43"/>
      <c r="N4628" s="43"/>
      <c r="O4628" s="43"/>
      <c r="Q4628" s="44"/>
      <c r="R4628" s="44"/>
      <c r="S4628" s="44"/>
      <c r="T4628" s="44"/>
    </row>
    <row r="4629" spans="12:20" x14ac:dyDescent="0.2">
      <c r="L4629" s="43"/>
      <c r="M4629" s="43"/>
      <c r="N4629" s="43"/>
      <c r="O4629" s="43"/>
      <c r="Q4629" s="44"/>
      <c r="R4629" s="44"/>
      <c r="S4629" s="44"/>
      <c r="T4629" s="44"/>
    </row>
    <row r="4630" spans="12:20" x14ac:dyDescent="0.2">
      <c r="L4630" s="43"/>
      <c r="M4630" s="43"/>
      <c r="N4630" s="43"/>
      <c r="O4630" s="43"/>
      <c r="Q4630" s="44"/>
      <c r="R4630" s="44"/>
      <c r="S4630" s="44"/>
      <c r="T4630" s="44"/>
    </row>
    <row r="4631" spans="12:20" x14ac:dyDescent="0.2">
      <c r="L4631" s="43"/>
      <c r="M4631" s="43"/>
      <c r="N4631" s="43"/>
      <c r="O4631" s="43"/>
      <c r="Q4631" s="44"/>
      <c r="R4631" s="44"/>
      <c r="S4631" s="44"/>
      <c r="T4631" s="44"/>
    </row>
    <row r="4632" spans="12:20" x14ac:dyDescent="0.2">
      <c r="L4632" s="43"/>
      <c r="M4632" s="43"/>
      <c r="N4632" s="43"/>
      <c r="O4632" s="43"/>
      <c r="Q4632" s="44"/>
      <c r="R4632" s="44"/>
      <c r="S4632" s="44"/>
      <c r="T4632" s="44"/>
    </row>
    <row r="4633" spans="12:20" x14ac:dyDescent="0.2">
      <c r="L4633" s="43"/>
      <c r="M4633" s="43"/>
      <c r="N4633" s="43"/>
      <c r="O4633" s="43"/>
      <c r="Q4633" s="44"/>
      <c r="R4633" s="44"/>
      <c r="S4633" s="44"/>
      <c r="T4633" s="44"/>
    </row>
    <row r="4634" spans="12:20" x14ac:dyDescent="0.2">
      <c r="L4634" s="43"/>
      <c r="M4634" s="43"/>
      <c r="N4634" s="43"/>
      <c r="O4634" s="43"/>
      <c r="Q4634" s="44"/>
      <c r="R4634" s="44"/>
      <c r="S4634" s="44"/>
      <c r="T4634" s="44"/>
    </row>
    <row r="4635" spans="12:20" x14ac:dyDescent="0.2">
      <c r="L4635" s="43"/>
      <c r="M4635" s="43"/>
      <c r="N4635" s="43"/>
      <c r="O4635" s="43"/>
      <c r="Q4635" s="44"/>
      <c r="R4635" s="44"/>
      <c r="S4635" s="44"/>
      <c r="T4635" s="44"/>
    </row>
    <row r="4636" spans="12:20" x14ac:dyDescent="0.2">
      <c r="L4636" s="43"/>
      <c r="M4636" s="43"/>
      <c r="N4636" s="43"/>
      <c r="O4636" s="43"/>
      <c r="Q4636" s="44"/>
      <c r="R4636" s="44"/>
      <c r="S4636" s="44"/>
      <c r="T4636" s="44"/>
    </row>
    <row r="4637" spans="12:20" x14ac:dyDescent="0.2">
      <c r="L4637" s="43"/>
      <c r="M4637" s="43"/>
      <c r="N4637" s="43"/>
      <c r="O4637" s="43"/>
      <c r="Q4637" s="44"/>
      <c r="R4637" s="44"/>
      <c r="S4637" s="44"/>
      <c r="T4637" s="44"/>
    </row>
    <row r="4638" spans="12:20" x14ac:dyDescent="0.2">
      <c r="L4638" s="43"/>
      <c r="M4638" s="43"/>
      <c r="N4638" s="43"/>
      <c r="O4638" s="43"/>
      <c r="Q4638" s="44"/>
      <c r="R4638" s="44"/>
      <c r="S4638" s="44"/>
      <c r="T4638" s="44"/>
    </row>
    <row r="4639" spans="12:20" x14ac:dyDescent="0.2">
      <c r="L4639" s="43"/>
      <c r="M4639" s="43"/>
      <c r="N4639" s="43"/>
      <c r="O4639" s="43"/>
      <c r="Q4639" s="44"/>
      <c r="R4639" s="44"/>
      <c r="S4639" s="44"/>
      <c r="T4639" s="44"/>
    </row>
    <row r="4640" spans="12:20" x14ac:dyDescent="0.2">
      <c r="L4640" s="43"/>
      <c r="M4640" s="43"/>
      <c r="N4640" s="43"/>
      <c r="O4640" s="43"/>
      <c r="Q4640" s="44"/>
      <c r="R4640" s="44"/>
      <c r="S4640" s="44"/>
      <c r="T4640" s="44"/>
    </row>
    <row r="4641" spans="12:20" x14ac:dyDescent="0.2">
      <c r="L4641" s="43"/>
      <c r="M4641" s="43"/>
      <c r="N4641" s="43"/>
      <c r="O4641" s="43"/>
      <c r="Q4641" s="44"/>
      <c r="R4641" s="44"/>
      <c r="S4641" s="44"/>
      <c r="T4641" s="44"/>
    </row>
    <row r="4642" spans="12:20" x14ac:dyDescent="0.2">
      <c r="L4642" s="43"/>
      <c r="M4642" s="43"/>
      <c r="N4642" s="43"/>
      <c r="O4642" s="43"/>
      <c r="Q4642" s="44"/>
      <c r="R4642" s="44"/>
      <c r="S4642" s="44"/>
      <c r="T4642" s="44"/>
    </row>
    <row r="4643" spans="12:20" x14ac:dyDescent="0.2">
      <c r="L4643" s="43"/>
      <c r="M4643" s="43"/>
      <c r="N4643" s="43"/>
      <c r="O4643" s="43"/>
      <c r="Q4643" s="44"/>
      <c r="R4643" s="44"/>
      <c r="S4643" s="44"/>
      <c r="T4643" s="44"/>
    </row>
    <row r="4644" spans="12:20" x14ac:dyDescent="0.2">
      <c r="L4644" s="43"/>
      <c r="M4644" s="43"/>
      <c r="N4644" s="43"/>
      <c r="O4644" s="43"/>
      <c r="Q4644" s="44"/>
      <c r="R4644" s="44"/>
      <c r="S4644" s="44"/>
      <c r="T4644" s="44"/>
    </row>
    <row r="4645" spans="12:20" x14ac:dyDescent="0.2">
      <c r="L4645" s="43"/>
      <c r="M4645" s="43"/>
      <c r="N4645" s="43"/>
      <c r="O4645" s="43"/>
      <c r="Q4645" s="44"/>
      <c r="R4645" s="44"/>
      <c r="S4645" s="44"/>
      <c r="T4645" s="44"/>
    </row>
    <row r="4646" spans="12:20" x14ac:dyDescent="0.2">
      <c r="L4646" s="43"/>
      <c r="M4646" s="43"/>
      <c r="N4646" s="43"/>
      <c r="O4646" s="43"/>
      <c r="Q4646" s="44"/>
      <c r="R4646" s="44"/>
      <c r="S4646" s="44"/>
      <c r="T4646" s="44"/>
    </row>
    <row r="4647" spans="12:20" x14ac:dyDescent="0.2">
      <c r="L4647" s="43"/>
      <c r="M4647" s="43"/>
      <c r="N4647" s="43"/>
      <c r="O4647" s="43"/>
      <c r="Q4647" s="44"/>
      <c r="R4647" s="44"/>
      <c r="S4647" s="44"/>
      <c r="T4647" s="44"/>
    </row>
    <row r="4648" spans="12:20" x14ac:dyDescent="0.2">
      <c r="L4648" s="43"/>
      <c r="M4648" s="43"/>
      <c r="N4648" s="43"/>
      <c r="O4648" s="43"/>
      <c r="Q4648" s="44"/>
      <c r="R4648" s="44"/>
      <c r="S4648" s="44"/>
      <c r="T4648" s="44"/>
    </row>
    <row r="4649" spans="12:20" x14ac:dyDescent="0.2">
      <c r="L4649" s="43"/>
      <c r="M4649" s="43"/>
      <c r="N4649" s="43"/>
      <c r="O4649" s="43"/>
      <c r="Q4649" s="44"/>
      <c r="R4649" s="44"/>
      <c r="S4649" s="44"/>
      <c r="T4649" s="44"/>
    </row>
    <row r="4650" spans="12:20" x14ac:dyDescent="0.2">
      <c r="L4650" s="43"/>
      <c r="M4650" s="43"/>
      <c r="N4650" s="43"/>
      <c r="O4650" s="43"/>
      <c r="Q4650" s="44"/>
      <c r="R4650" s="44"/>
      <c r="S4650" s="44"/>
      <c r="T4650" s="44"/>
    </row>
    <row r="4651" spans="12:20" x14ac:dyDescent="0.2">
      <c r="L4651" s="43"/>
      <c r="M4651" s="43"/>
      <c r="N4651" s="43"/>
      <c r="O4651" s="43"/>
      <c r="Q4651" s="44"/>
      <c r="R4651" s="44"/>
      <c r="S4651" s="44"/>
      <c r="T4651" s="44"/>
    </row>
    <row r="4652" spans="12:20" x14ac:dyDescent="0.2">
      <c r="L4652" s="43"/>
      <c r="M4652" s="43"/>
      <c r="N4652" s="43"/>
      <c r="O4652" s="43"/>
      <c r="Q4652" s="44"/>
      <c r="R4652" s="44"/>
      <c r="S4652" s="44"/>
      <c r="T4652" s="44"/>
    </row>
    <row r="4653" spans="12:20" x14ac:dyDescent="0.2">
      <c r="L4653" s="43"/>
      <c r="M4653" s="43"/>
      <c r="N4653" s="43"/>
      <c r="O4653" s="43"/>
      <c r="Q4653" s="44"/>
      <c r="R4653" s="44"/>
      <c r="S4653" s="44"/>
      <c r="T4653" s="44"/>
    </row>
    <row r="4654" spans="12:20" x14ac:dyDescent="0.2">
      <c r="L4654" s="43"/>
      <c r="M4654" s="43"/>
      <c r="N4654" s="43"/>
      <c r="O4654" s="43"/>
      <c r="Q4654" s="44"/>
      <c r="R4654" s="44"/>
      <c r="S4654" s="44"/>
      <c r="T4654" s="44"/>
    </row>
    <row r="4655" spans="12:20" x14ac:dyDescent="0.2">
      <c r="L4655" s="43"/>
      <c r="M4655" s="43"/>
      <c r="N4655" s="43"/>
      <c r="O4655" s="43"/>
      <c r="Q4655" s="44"/>
      <c r="R4655" s="44"/>
      <c r="S4655" s="44"/>
      <c r="T4655" s="44"/>
    </row>
    <row r="4656" spans="12:20" x14ac:dyDescent="0.2">
      <c r="L4656" s="43"/>
      <c r="M4656" s="43"/>
      <c r="N4656" s="43"/>
      <c r="O4656" s="43"/>
      <c r="Q4656" s="44"/>
      <c r="R4656" s="44"/>
      <c r="S4656" s="44"/>
      <c r="T4656" s="44"/>
    </row>
    <row r="4657" spans="12:20" x14ac:dyDescent="0.2">
      <c r="L4657" s="43"/>
      <c r="M4657" s="43"/>
      <c r="N4657" s="43"/>
      <c r="O4657" s="43"/>
      <c r="Q4657" s="44"/>
      <c r="R4657" s="44"/>
      <c r="S4657" s="44"/>
      <c r="T4657" s="44"/>
    </row>
    <row r="4658" spans="12:20" x14ac:dyDescent="0.2">
      <c r="L4658" s="43"/>
      <c r="M4658" s="43"/>
      <c r="N4658" s="43"/>
      <c r="O4658" s="43"/>
      <c r="Q4658" s="44"/>
      <c r="R4658" s="44"/>
      <c r="S4658" s="44"/>
      <c r="T4658" s="44"/>
    </row>
    <row r="4659" spans="12:20" x14ac:dyDescent="0.2">
      <c r="L4659" s="43"/>
      <c r="M4659" s="43"/>
      <c r="N4659" s="43"/>
      <c r="O4659" s="43"/>
      <c r="Q4659" s="44"/>
      <c r="R4659" s="44"/>
      <c r="S4659" s="44"/>
      <c r="T4659" s="44"/>
    </row>
    <row r="4660" spans="12:20" x14ac:dyDescent="0.2">
      <c r="L4660" s="43"/>
      <c r="M4660" s="43"/>
      <c r="N4660" s="43"/>
      <c r="O4660" s="43"/>
      <c r="Q4660" s="44"/>
      <c r="R4660" s="44"/>
      <c r="S4660" s="44"/>
      <c r="T4660" s="44"/>
    </row>
    <row r="4661" spans="12:20" x14ac:dyDescent="0.2">
      <c r="L4661" s="43"/>
      <c r="M4661" s="43"/>
      <c r="N4661" s="43"/>
      <c r="O4661" s="43"/>
      <c r="Q4661" s="44"/>
      <c r="R4661" s="44"/>
      <c r="S4661" s="44"/>
      <c r="T4661" s="44"/>
    </row>
    <row r="4662" spans="12:20" x14ac:dyDescent="0.2">
      <c r="L4662" s="43"/>
      <c r="M4662" s="43"/>
      <c r="N4662" s="43"/>
      <c r="O4662" s="43"/>
      <c r="Q4662" s="44"/>
      <c r="R4662" s="44"/>
      <c r="S4662" s="44"/>
      <c r="T4662" s="44"/>
    </row>
    <row r="4663" spans="12:20" x14ac:dyDescent="0.2">
      <c r="L4663" s="43"/>
      <c r="M4663" s="43"/>
      <c r="N4663" s="43"/>
      <c r="O4663" s="43"/>
      <c r="Q4663" s="44"/>
      <c r="R4663" s="44"/>
      <c r="S4663" s="44"/>
      <c r="T4663" s="44"/>
    </row>
    <row r="4664" spans="12:20" x14ac:dyDescent="0.2">
      <c r="L4664" s="43"/>
      <c r="M4664" s="43"/>
      <c r="N4664" s="43"/>
      <c r="O4664" s="43"/>
      <c r="Q4664" s="44"/>
      <c r="R4664" s="44"/>
      <c r="S4664" s="44"/>
      <c r="T4664" s="44"/>
    </row>
    <row r="4665" spans="12:20" x14ac:dyDescent="0.2">
      <c r="L4665" s="43"/>
      <c r="M4665" s="43"/>
      <c r="N4665" s="43"/>
      <c r="O4665" s="43"/>
      <c r="Q4665" s="44"/>
      <c r="R4665" s="44"/>
      <c r="S4665" s="44"/>
      <c r="T4665" s="44"/>
    </row>
    <row r="4666" spans="12:20" x14ac:dyDescent="0.2">
      <c r="L4666" s="43"/>
      <c r="M4666" s="43"/>
      <c r="N4666" s="43"/>
      <c r="O4666" s="43"/>
      <c r="Q4666" s="44"/>
      <c r="R4666" s="44"/>
      <c r="S4666" s="44"/>
      <c r="T4666" s="44"/>
    </row>
    <row r="4667" spans="12:20" x14ac:dyDescent="0.2">
      <c r="L4667" s="43"/>
      <c r="M4667" s="43"/>
      <c r="N4667" s="43"/>
      <c r="O4667" s="43"/>
      <c r="Q4667" s="44"/>
      <c r="R4667" s="44"/>
      <c r="S4667" s="44"/>
      <c r="T4667" s="44"/>
    </row>
    <row r="4668" spans="12:20" x14ac:dyDescent="0.2">
      <c r="L4668" s="43"/>
      <c r="M4668" s="43"/>
      <c r="N4668" s="43"/>
      <c r="O4668" s="43"/>
      <c r="Q4668" s="44"/>
      <c r="R4668" s="44"/>
      <c r="S4668" s="44"/>
      <c r="T4668" s="44"/>
    </row>
    <row r="4669" spans="12:20" x14ac:dyDescent="0.2">
      <c r="L4669" s="43"/>
      <c r="M4669" s="43"/>
      <c r="N4669" s="43"/>
      <c r="O4669" s="43"/>
      <c r="Q4669" s="44"/>
      <c r="R4669" s="44"/>
      <c r="S4669" s="44"/>
      <c r="T4669" s="44"/>
    </row>
    <row r="4670" spans="12:20" x14ac:dyDescent="0.2">
      <c r="L4670" s="43"/>
      <c r="M4670" s="43"/>
      <c r="N4670" s="43"/>
      <c r="O4670" s="43"/>
      <c r="Q4670" s="44"/>
      <c r="R4670" s="44"/>
      <c r="S4670" s="44"/>
      <c r="T4670" s="44"/>
    </row>
    <row r="4671" spans="12:20" x14ac:dyDescent="0.2">
      <c r="L4671" s="43"/>
      <c r="M4671" s="43"/>
      <c r="N4671" s="43"/>
      <c r="O4671" s="43"/>
      <c r="Q4671" s="44"/>
      <c r="R4671" s="44"/>
      <c r="S4671" s="44"/>
      <c r="T4671" s="44"/>
    </row>
    <row r="4672" spans="12:20" x14ac:dyDescent="0.2">
      <c r="L4672" s="43"/>
      <c r="M4672" s="43"/>
      <c r="N4672" s="43"/>
      <c r="O4672" s="43"/>
      <c r="Q4672" s="44"/>
      <c r="R4672" s="44"/>
      <c r="S4672" s="44"/>
      <c r="T4672" s="44"/>
    </row>
    <row r="4673" spans="12:20" x14ac:dyDescent="0.2">
      <c r="L4673" s="43"/>
      <c r="M4673" s="43"/>
      <c r="N4673" s="43"/>
      <c r="O4673" s="43"/>
      <c r="Q4673" s="44"/>
      <c r="R4673" s="44"/>
      <c r="S4673" s="44"/>
      <c r="T4673" s="44"/>
    </row>
    <row r="4674" spans="12:20" x14ac:dyDescent="0.2">
      <c r="L4674" s="43"/>
      <c r="M4674" s="43"/>
      <c r="N4674" s="43"/>
      <c r="O4674" s="43"/>
      <c r="Q4674" s="44"/>
      <c r="R4674" s="44"/>
      <c r="S4674" s="44"/>
      <c r="T4674" s="44"/>
    </row>
    <row r="4675" spans="12:20" x14ac:dyDescent="0.2">
      <c r="L4675" s="43"/>
      <c r="M4675" s="43"/>
      <c r="N4675" s="43"/>
      <c r="O4675" s="43"/>
      <c r="Q4675" s="44"/>
      <c r="R4675" s="44"/>
      <c r="S4675" s="44"/>
      <c r="T4675" s="44"/>
    </row>
    <row r="4676" spans="12:20" x14ac:dyDescent="0.2">
      <c r="L4676" s="43"/>
      <c r="M4676" s="43"/>
      <c r="N4676" s="43"/>
      <c r="O4676" s="43"/>
      <c r="Q4676" s="44"/>
      <c r="R4676" s="44"/>
      <c r="S4676" s="44"/>
      <c r="T4676" s="44"/>
    </row>
    <row r="4677" spans="12:20" x14ac:dyDescent="0.2">
      <c r="L4677" s="43"/>
      <c r="M4677" s="43"/>
      <c r="N4677" s="43"/>
      <c r="O4677" s="43"/>
      <c r="Q4677" s="44"/>
      <c r="R4677" s="44"/>
      <c r="S4677" s="44"/>
      <c r="T4677" s="44"/>
    </row>
    <row r="4678" spans="12:20" x14ac:dyDescent="0.2">
      <c r="L4678" s="43"/>
      <c r="M4678" s="43"/>
      <c r="N4678" s="43"/>
      <c r="O4678" s="43"/>
      <c r="Q4678" s="44"/>
      <c r="R4678" s="44"/>
      <c r="S4678" s="44"/>
      <c r="T4678" s="44"/>
    </row>
    <row r="4679" spans="12:20" x14ac:dyDescent="0.2">
      <c r="L4679" s="43"/>
      <c r="M4679" s="43"/>
      <c r="N4679" s="43"/>
      <c r="O4679" s="43"/>
      <c r="Q4679" s="44"/>
      <c r="R4679" s="44"/>
      <c r="S4679" s="44"/>
      <c r="T4679" s="44"/>
    </row>
    <row r="4680" spans="12:20" x14ac:dyDescent="0.2">
      <c r="L4680" s="43"/>
      <c r="M4680" s="43"/>
      <c r="N4680" s="43"/>
      <c r="O4680" s="43"/>
      <c r="Q4680" s="44"/>
      <c r="R4680" s="44"/>
      <c r="S4680" s="44"/>
      <c r="T4680" s="44"/>
    </row>
    <row r="4681" spans="12:20" x14ac:dyDescent="0.2">
      <c r="L4681" s="43"/>
      <c r="M4681" s="43"/>
      <c r="N4681" s="43"/>
      <c r="O4681" s="43"/>
      <c r="Q4681" s="44"/>
      <c r="R4681" s="44"/>
      <c r="S4681" s="44"/>
      <c r="T4681" s="44"/>
    </row>
    <row r="4682" spans="12:20" x14ac:dyDescent="0.2">
      <c r="L4682" s="43"/>
      <c r="M4682" s="43"/>
      <c r="N4682" s="43"/>
      <c r="O4682" s="43"/>
      <c r="Q4682" s="44"/>
      <c r="R4682" s="44"/>
      <c r="S4682" s="44"/>
      <c r="T4682" s="44"/>
    </row>
    <row r="4683" spans="12:20" x14ac:dyDescent="0.2">
      <c r="L4683" s="43"/>
      <c r="M4683" s="43"/>
      <c r="N4683" s="43"/>
      <c r="O4683" s="43"/>
      <c r="Q4683" s="44"/>
      <c r="R4683" s="44"/>
      <c r="S4683" s="44"/>
      <c r="T4683" s="44"/>
    </row>
    <row r="4684" spans="12:20" x14ac:dyDescent="0.2">
      <c r="L4684" s="43"/>
      <c r="M4684" s="43"/>
      <c r="N4684" s="43"/>
      <c r="O4684" s="43"/>
      <c r="Q4684" s="44"/>
      <c r="R4684" s="44"/>
      <c r="S4684" s="44"/>
      <c r="T4684" s="44"/>
    </row>
    <row r="4685" spans="12:20" x14ac:dyDescent="0.2">
      <c r="L4685" s="43"/>
      <c r="M4685" s="43"/>
      <c r="N4685" s="43"/>
      <c r="O4685" s="43"/>
      <c r="Q4685" s="44"/>
      <c r="R4685" s="44"/>
      <c r="S4685" s="44"/>
      <c r="T4685" s="44"/>
    </row>
    <row r="4686" spans="12:20" x14ac:dyDescent="0.2">
      <c r="L4686" s="43"/>
      <c r="M4686" s="43"/>
      <c r="N4686" s="43"/>
      <c r="O4686" s="43"/>
      <c r="Q4686" s="44"/>
      <c r="R4686" s="44"/>
      <c r="S4686" s="44"/>
      <c r="T4686" s="44"/>
    </row>
    <row r="4687" spans="12:20" x14ac:dyDescent="0.2">
      <c r="L4687" s="43"/>
      <c r="M4687" s="43"/>
      <c r="N4687" s="43"/>
      <c r="O4687" s="43"/>
      <c r="Q4687" s="44"/>
      <c r="R4687" s="44"/>
      <c r="S4687" s="44"/>
      <c r="T4687" s="44"/>
    </row>
    <row r="4688" spans="12:20" x14ac:dyDescent="0.2">
      <c r="L4688" s="43"/>
      <c r="M4688" s="43"/>
      <c r="N4688" s="43"/>
      <c r="O4688" s="43"/>
      <c r="Q4688" s="44"/>
      <c r="R4688" s="44"/>
      <c r="S4688" s="44"/>
      <c r="T4688" s="44"/>
    </row>
    <row r="4689" spans="12:20" x14ac:dyDescent="0.2">
      <c r="L4689" s="43"/>
      <c r="M4689" s="43"/>
      <c r="N4689" s="43"/>
      <c r="O4689" s="43"/>
      <c r="Q4689" s="44"/>
      <c r="R4689" s="44"/>
      <c r="S4689" s="44"/>
      <c r="T4689" s="44"/>
    </row>
    <row r="4690" spans="12:20" x14ac:dyDescent="0.2">
      <c r="L4690" s="43"/>
      <c r="M4690" s="43"/>
      <c r="N4690" s="43"/>
      <c r="O4690" s="43"/>
      <c r="Q4690" s="44"/>
      <c r="R4690" s="44"/>
      <c r="S4690" s="44"/>
      <c r="T4690" s="44"/>
    </row>
    <row r="4691" spans="12:20" x14ac:dyDescent="0.2">
      <c r="L4691" s="43"/>
      <c r="M4691" s="43"/>
      <c r="N4691" s="43"/>
      <c r="O4691" s="43"/>
      <c r="Q4691" s="44"/>
      <c r="R4691" s="44"/>
      <c r="S4691" s="44"/>
      <c r="T4691" s="44"/>
    </row>
    <row r="4692" spans="12:20" x14ac:dyDescent="0.2">
      <c r="L4692" s="43"/>
      <c r="M4692" s="43"/>
      <c r="N4692" s="43"/>
      <c r="O4692" s="43"/>
      <c r="Q4692" s="44"/>
      <c r="R4692" s="44"/>
      <c r="S4692" s="44"/>
      <c r="T4692" s="44"/>
    </row>
    <row r="4693" spans="12:20" x14ac:dyDescent="0.2">
      <c r="L4693" s="43"/>
      <c r="M4693" s="43"/>
      <c r="N4693" s="43"/>
      <c r="O4693" s="43"/>
      <c r="Q4693" s="44"/>
      <c r="R4693" s="44"/>
      <c r="S4693" s="44"/>
      <c r="T4693" s="44"/>
    </row>
    <row r="4694" spans="12:20" x14ac:dyDescent="0.2">
      <c r="L4694" s="43"/>
      <c r="M4694" s="43"/>
      <c r="N4694" s="43"/>
      <c r="O4694" s="43"/>
      <c r="Q4694" s="44"/>
      <c r="R4694" s="44"/>
      <c r="S4694" s="44"/>
      <c r="T4694" s="44"/>
    </row>
    <row r="4695" spans="12:20" x14ac:dyDescent="0.2">
      <c r="L4695" s="43"/>
      <c r="M4695" s="43"/>
      <c r="N4695" s="43"/>
      <c r="O4695" s="43"/>
      <c r="Q4695" s="44"/>
      <c r="R4695" s="44"/>
      <c r="S4695" s="44"/>
      <c r="T4695" s="44"/>
    </row>
    <row r="4696" spans="12:20" x14ac:dyDescent="0.2">
      <c r="L4696" s="43"/>
      <c r="M4696" s="43"/>
      <c r="N4696" s="43"/>
      <c r="O4696" s="43"/>
      <c r="Q4696" s="44"/>
      <c r="R4696" s="44"/>
      <c r="S4696" s="44"/>
      <c r="T4696" s="44"/>
    </row>
    <row r="4697" spans="12:20" x14ac:dyDescent="0.2">
      <c r="L4697" s="43"/>
      <c r="M4697" s="43"/>
      <c r="N4697" s="43"/>
      <c r="O4697" s="43"/>
      <c r="Q4697" s="44"/>
      <c r="R4697" s="44"/>
      <c r="S4697" s="44"/>
      <c r="T4697" s="44"/>
    </row>
    <row r="4698" spans="12:20" x14ac:dyDescent="0.2">
      <c r="L4698" s="43"/>
      <c r="M4698" s="43"/>
      <c r="N4698" s="43"/>
      <c r="O4698" s="43"/>
      <c r="Q4698" s="44"/>
      <c r="R4698" s="44"/>
      <c r="S4698" s="44"/>
      <c r="T4698" s="44"/>
    </row>
    <row r="4699" spans="12:20" x14ac:dyDescent="0.2">
      <c r="L4699" s="43"/>
      <c r="M4699" s="43"/>
      <c r="N4699" s="43"/>
      <c r="O4699" s="43"/>
      <c r="Q4699" s="44"/>
      <c r="R4699" s="44"/>
      <c r="S4699" s="44"/>
      <c r="T4699" s="44"/>
    </row>
    <row r="4700" spans="12:20" x14ac:dyDescent="0.2">
      <c r="L4700" s="43"/>
      <c r="M4700" s="43"/>
      <c r="N4700" s="43"/>
      <c r="O4700" s="43"/>
      <c r="Q4700" s="44"/>
      <c r="R4700" s="44"/>
      <c r="S4700" s="44"/>
      <c r="T4700" s="44"/>
    </row>
    <row r="4701" spans="12:20" x14ac:dyDescent="0.2">
      <c r="L4701" s="43"/>
      <c r="M4701" s="43"/>
      <c r="N4701" s="43"/>
      <c r="O4701" s="43"/>
      <c r="Q4701" s="44"/>
      <c r="R4701" s="44"/>
      <c r="S4701" s="44"/>
      <c r="T4701" s="44"/>
    </row>
    <row r="4702" spans="12:20" x14ac:dyDescent="0.2">
      <c r="L4702" s="43"/>
      <c r="M4702" s="43"/>
      <c r="N4702" s="43"/>
      <c r="O4702" s="43"/>
      <c r="Q4702" s="44"/>
      <c r="R4702" s="44"/>
      <c r="S4702" s="44"/>
      <c r="T4702" s="44"/>
    </row>
    <row r="4703" spans="12:20" x14ac:dyDescent="0.2">
      <c r="L4703" s="43"/>
      <c r="M4703" s="43"/>
      <c r="N4703" s="43"/>
      <c r="O4703" s="43"/>
      <c r="Q4703" s="44"/>
      <c r="R4703" s="44"/>
      <c r="S4703" s="44"/>
      <c r="T4703" s="44"/>
    </row>
    <row r="4704" spans="12:20" x14ac:dyDescent="0.2">
      <c r="L4704" s="43"/>
      <c r="M4704" s="43"/>
      <c r="N4704" s="43"/>
      <c r="O4704" s="43"/>
      <c r="Q4704" s="44"/>
      <c r="R4704" s="44"/>
      <c r="S4704" s="44"/>
      <c r="T4704" s="44"/>
    </row>
    <row r="4705" spans="12:20" x14ac:dyDescent="0.2">
      <c r="L4705" s="43"/>
      <c r="M4705" s="43"/>
      <c r="N4705" s="43"/>
      <c r="O4705" s="43"/>
      <c r="Q4705" s="44"/>
      <c r="R4705" s="44"/>
      <c r="S4705" s="44"/>
      <c r="T4705" s="44"/>
    </row>
    <row r="4706" spans="12:20" x14ac:dyDescent="0.2">
      <c r="L4706" s="43"/>
      <c r="M4706" s="43"/>
      <c r="N4706" s="43"/>
      <c r="O4706" s="43"/>
      <c r="Q4706" s="44"/>
      <c r="R4706" s="44"/>
      <c r="S4706" s="44"/>
      <c r="T4706" s="44"/>
    </row>
    <row r="4707" spans="12:20" x14ac:dyDescent="0.2">
      <c r="L4707" s="43"/>
      <c r="M4707" s="43"/>
      <c r="N4707" s="43"/>
      <c r="O4707" s="43"/>
      <c r="Q4707" s="44"/>
      <c r="R4707" s="44"/>
      <c r="S4707" s="44"/>
      <c r="T4707" s="44"/>
    </row>
    <row r="4708" spans="12:20" x14ac:dyDescent="0.2">
      <c r="L4708" s="43"/>
      <c r="M4708" s="43"/>
      <c r="N4708" s="43"/>
      <c r="O4708" s="43"/>
      <c r="Q4708" s="44"/>
      <c r="R4708" s="44"/>
      <c r="S4708" s="44"/>
      <c r="T4708" s="44"/>
    </row>
    <row r="4709" spans="12:20" x14ac:dyDescent="0.2">
      <c r="L4709" s="43"/>
      <c r="M4709" s="43"/>
      <c r="N4709" s="43"/>
      <c r="O4709" s="43"/>
      <c r="Q4709" s="44"/>
      <c r="R4709" s="44"/>
      <c r="S4709" s="44"/>
      <c r="T4709" s="44"/>
    </row>
    <row r="4710" spans="12:20" x14ac:dyDescent="0.2">
      <c r="L4710" s="43"/>
      <c r="M4710" s="43"/>
      <c r="N4710" s="43"/>
      <c r="O4710" s="43"/>
      <c r="Q4710" s="44"/>
      <c r="R4710" s="44"/>
      <c r="S4710" s="44"/>
      <c r="T4710" s="44"/>
    </row>
    <row r="4711" spans="12:20" x14ac:dyDescent="0.2">
      <c r="L4711" s="43"/>
      <c r="M4711" s="43"/>
      <c r="N4711" s="43"/>
      <c r="O4711" s="43"/>
      <c r="Q4711" s="44"/>
      <c r="R4711" s="44"/>
      <c r="S4711" s="44"/>
      <c r="T4711" s="44"/>
    </row>
    <row r="4712" spans="12:20" x14ac:dyDescent="0.2">
      <c r="L4712" s="43"/>
      <c r="M4712" s="43"/>
      <c r="N4712" s="43"/>
      <c r="O4712" s="43"/>
      <c r="Q4712" s="44"/>
      <c r="R4712" s="44"/>
      <c r="S4712" s="44"/>
      <c r="T4712" s="44"/>
    </row>
    <row r="4713" spans="12:20" x14ac:dyDescent="0.2">
      <c r="L4713" s="43"/>
      <c r="M4713" s="43"/>
      <c r="N4713" s="43"/>
      <c r="O4713" s="43"/>
      <c r="Q4713" s="44"/>
      <c r="R4713" s="44"/>
      <c r="S4713" s="44"/>
      <c r="T4713" s="44"/>
    </row>
    <row r="4714" spans="12:20" x14ac:dyDescent="0.2">
      <c r="L4714" s="43"/>
      <c r="M4714" s="43"/>
      <c r="N4714" s="43"/>
      <c r="O4714" s="43"/>
      <c r="Q4714" s="44"/>
      <c r="R4714" s="44"/>
      <c r="S4714" s="44"/>
      <c r="T4714" s="44"/>
    </row>
    <row r="4715" spans="12:20" x14ac:dyDescent="0.2">
      <c r="L4715" s="43"/>
      <c r="M4715" s="43"/>
      <c r="N4715" s="43"/>
      <c r="O4715" s="43"/>
      <c r="Q4715" s="44"/>
      <c r="R4715" s="44"/>
      <c r="S4715" s="44"/>
      <c r="T4715" s="44"/>
    </row>
    <row r="4716" spans="12:20" x14ac:dyDescent="0.2">
      <c r="L4716" s="43"/>
      <c r="M4716" s="43"/>
      <c r="N4716" s="43"/>
      <c r="O4716" s="43"/>
      <c r="Q4716" s="44"/>
      <c r="R4716" s="44"/>
      <c r="S4716" s="44"/>
      <c r="T4716" s="44"/>
    </row>
    <row r="4717" spans="12:20" x14ac:dyDescent="0.2">
      <c r="L4717" s="43"/>
      <c r="M4717" s="43"/>
      <c r="N4717" s="43"/>
      <c r="O4717" s="43"/>
      <c r="Q4717" s="44"/>
      <c r="R4717" s="44"/>
      <c r="S4717" s="44"/>
      <c r="T4717" s="44"/>
    </row>
    <row r="4718" spans="12:20" x14ac:dyDescent="0.2">
      <c r="L4718" s="43"/>
      <c r="M4718" s="43"/>
      <c r="N4718" s="43"/>
      <c r="O4718" s="43"/>
      <c r="Q4718" s="44"/>
      <c r="R4718" s="44"/>
      <c r="S4718" s="44"/>
      <c r="T4718" s="44"/>
    </row>
    <row r="4719" spans="12:20" x14ac:dyDescent="0.2">
      <c r="L4719" s="43"/>
      <c r="M4719" s="43"/>
      <c r="N4719" s="43"/>
      <c r="O4719" s="43"/>
      <c r="Q4719" s="44"/>
      <c r="R4719" s="44"/>
      <c r="S4719" s="44"/>
      <c r="T4719" s="44"/>
    </row>
    <row r="4720" spans="12:20" x14ac:dyDescent="0.2">
      <c r="L4720" s="43"/>
      <c r="M4720" s="43"/>
      <c r="N4720" s="43"/>
      <c r="O4720" s="43"/>
      <c r="Q4720" s="44"/>
      <c r="R4720" s="44"/>
      <c r="S4720" s="44"/>
      <c r="T4720" s="44"/>
    </row>
    <row r="4721" spans="12:20" x14ac:dyDescent="0.2">
      <c r="L4721" s="43"/>
      <c r="M4721" s="43"/>
      <c r="N4721" s="43"/>
      <c r="O4721" s="43"/>
      <c r="Q4721" s="44"/>
      <c r="R4721" s="44"/>
      <c r="S4721" s="44"/>
      <c r="T4721" s="44"/>
    </row>
    <row r="4722" spans="12:20" x14ac:dyDescent="0.2">
      <c r="L4722" s="43"/>
      <c r="M4722" s="43"/>
      <c r="N4722" s="43"/>
      <c r="O4722" s="43"/>
      <c r="Q4722" s="44"/>
      <c r="R4722" s="44"/>
      <c r="S4722" s="44"/>
      <c r="T4722" s="44"/>
    </row>
    <row r="4723" spans="12:20" x14ac:dyDescent="0.2">
      <c r="L4723" s="43"/>
      <c r="M4723" s="43"/>
      <c r="N4723" s="43"/>
      <c r="O4723" s="43"/>
      <c r="Q4723" s="44"/>
      <c r="R4723" s="44"/>
      <c r="S4723" s="44"/>
      <c r="T4723" s="44"/>
    </row>
    <row r="4724" spans="12:20" x14ac:dyDescent="0.2">
      <c r="L4724" s="43"/>
      <c r="M4724" s="43"/>
      <c r="N4724" s="43"/>
      <c r="O4724" s="43"/>
      <c r="Q4724" s="44"/>
      <c r="R4724" s="44"/>
      <c r="S4724" s="44"/>
      <c r="T4724" s="44"/>
    </row>
    <row r="4725" spans="12:20" x14ac:dyDescent="0.2">
      <c r="L4725" s="43"/>
      <c r="M4725" s="43"/>
      <c r="N4725" s="43"/>
      <c r="O4725" s="43"/>
      <c r="Q4725" s="44"/>
      <c r="R4725" s="44"/>
      <c r="S4725" s="44"/>
      <c r="T4725" s="44"/>
    </row>
    <row r="4726" spans="12:20" x14ac:dyDescent="0.2">
      <c r="L4726" s="43"/>
      <c r="M4726" s="43"/>
      <c r="N4726" s="43"/>
      <c r="O4726" s="43"/>
      <c r="Q4726" s="44"/>
      <c r="R4726" s="44"/>
      <c r="S4726" s="44"/>
      <c r="T4726" s="44"/>
    </row>
    <row r="4727" spans="12:20" x14ac:dyDescent="0.2">
      <c r="L4727" s="43"/>
      <c r="M4727" s="43"/>
      <c r="N4727" s="43"/>
      <c r="O4727" s="43"/>
      <c r="Q4727" s="44"/>
      <c r="R4727" s="44"/>
      <c r="S4727" s="44"/>
      <c r="T4727" s="44"/>
    </row>
    <row r="4728" spans="12:20" x14ac:dyDescent="0.2">
      <c r="L4728" s="43"/>
      <c r="M4728" s="43"/>
      <c r="N4728" s="43"/>
      <c r="O4728" s="43"/>
      <c r="Q4728" s="44"/>
      <c r="R4728" s="44"/>
      <c r="S4728" s="44"/>
      <c r="T4728" s="44"/>
    </row>
    <row r="4729" spans="12:20" x14ac:dyDescent="0.2">
      <c r="L4729" s="43"/>
      <c r="M4729" s="43"/>
      <c r="N4729" s="43"/>
      <c r="O4729" s="43"/>
      <c r="Q4729" s="44"/>
      <c r="R4729" s="44"/>
      <c r="S4729" s="44"/>
      <c r="T4729" s="44"/>
    </row>
    <row r="4730" spans="12:20" x14ac:dyDescent="0.2">
      <c r="L4730" s="43"/>
      <c r="M4730" s="43"/>
      <c r="N4730" s="43"/>
      <c r="O4730" s="43"/>
      <c r="Q4730" s="44"/>
      <c r="R4730" s="44"/>
      <c r="S4730" s="44"/>
      <c r="T4730" s="44"/>
    </row>
    <row r="4731" spans="12:20" x14ac:dyDescent="0.2">
      <c r="L4731" s="43"/>
      <c r="M4731" s="43"/>
      <c r="N4731" s="43"/>
      <c r="O4731" s="43"/>
      <c r="Q4731" s="44"/>
      <c r="R4731" s="44"/>
      <c r="S4731" s="44"/>
      <c r="T4731" s="44"/>
    </row>
    <row r="4732" spans="12:20" x14ac:dyDescent="0.2">
      <c r="L4732" s="43"/>
      <c r="M4732" s="43"/>
      <c r="N4732" s="43"/>
      <c r="O4732" s="43"/>
      <c r="Q4732" s="44"/>
      <c r="R4732" s="44"/>
      <c r="S4732" s="44"/>
      <c r="T4732" s="44"/>
    </row>
    <row r="4733" spans="12:20" x14ac:dyDescent="0.2">
      <c r="L4733" s="43"/>
      <c r="M4733" s="43"/>
      <c r="N4733" s="43"/>
      <c r="O4733" s="43"/>
      <c r="Q4733" s="44"/>
      <c r="R4733" s="44"/>
      <c r="S4733" s="44"/>
      <c r="T4733" s="44"/>
    </row>
    <row r="4734" spans="12:20" x14ac:dyDescent="0.2">
      <c r="L4734" s="43"/>
      <c r="M4734" s="43"/>
      <c r="N4734" s="43"/>
      <c r="O4734" s="43"/>
      <c r="Q4734" s="44"/>
      <c r="R4734" s="44"/>
      <c r="S4734" s="44"/>
      <c r="T4734" s="44"/>
    </row>
    <row r="4735" spans="12:20" x14ac:dyDescent="0.2">
      <c r="L4735" s="43"/>
      <c r="M4735" s="43"/>
      <c r="N4735" s="43"/>
      <c r="O4735" s="43"/>
      <c r="Q4735" s="44"/>
      <c r="R4735" s="44"/>
      <c r="S4735" s="44"/>
      <c r="T4735" s="44"/>
    </row>
    <row r="4736" spans="12:20" x14ac:dyDescent="0.2">
      <c r="L4736" s="43"/>
      <c r="M4736" s="43"/>
      <c r="N4736" s="43"/>
      <c r="O4736" s="43"/>
      <c r="Q4736" s="44"/>
      <c r="R4736" s="44"/>
      <c r="S4736" s="44"/>
      <c r="T4736" s="44"/>
    </row>
    <row r="4737" spans="12:20" x14ac:dyDescent="0.2">
      <c r="L4737" s="43"/>
      <c r="M4737" s="43"/>
      <c r="N4737" s="43"/>
      <c r="O4737" s="43"/>
      <c r="Q4737" s="44"/>
      <c r="R4737" s="44"/>
      <c r="S4737" s="44"/>
      <c r="T4737" s="44"/>
    </row>
    <row r="4738" spans="12:20" x14ac:dyDescent="0.2">
      <c r="L4738" s="43"/>
      <c r="M4738" s="43"/>
      <c r="N4738" s="43"/>
      <c r="O4738" s="43"/>
      <c r="Q4738" s="44"/>
      <c r="R4738" s="44"/>
      <c r="S4738" s="44"/>
      <c r="T4738" s="44"/>
    </row>
    <row r="4739" spans="12:20" x14ac:dyDescent="0.2">
      <c r="L4739" s="43"/>
      <c r="M4739" s="43"/>
      <c r="N4739" s="43"/>
      <c r="O4739" s="43"/>
      <c r="Q4739" s="44"/>
      <c r="R4739" s="44"/>
      <c r="S4739" s="44"/>
      <c r="T4739" s="44"/>
    </row>
    <row r="4740" spans="12:20" x14ac:dyDescent="0.2">
      <c r="L4740" s="43"/>
      <c r="M4740" s="43"/>
      <c r="N4740" s="43"/>
      <c r="O4740" s="43"/>
      <c r="Q4740" s="44"/>
      <c r="R4740" s="44"/>
      <c r="S4740" s="44"/>
      <c r="T4740" s="44"/>
    </row>
    <row r="4741" spans="12:20" x14ac:dyDescent="0.2">
      <c r="L4741" s="43"/>
      <c r="M4741" s="43"/>
      <c r="N4741" s="43"/>
      <c r="O4741" s="43"/>
      <c r="Q4741" s="44"/>
      <c r="R4741" s="44"/>
      <c r="S4741" s="44"/>
      <c r="T4741" s="44"/>
    </row>
    <row r="4742" spans="12:20" x14ac:dyDescent="0.2">
      <c r="L4742" s="43"/>
      <c r="M4742" s="43"/>
      <c r="N4742" s="43"/>
      <c r="O4742" s="43"/>
      <c r="Q4742" s="44"/>
      <c r="R4742" s="44"/>
      <c r="S4742" s="44"/>
      <c r="T4742" s="44"/>
    </row>
    <row r="4743" spans="12:20" x14ac:dyDescent="0.2">
      <c r="L4743" s="43"/>
      <c r="M4743" s="43"/>
      <c r="N4743" s="43"/>
      <c r="O4743" s="43"/>
      <c r="Q4743" s="44"/>
      <c r="R4743" s="44"/>
      <c r="S4743" s="44"/>
      <c r="T4743" s="44"/>
    </row>
    <row r="4744" spans="12:20" x14ac:dyDescent="0.2">
      <c r="L4744" s="43"/>
      <c r="M4744" s="43"/>
      <c r="N4744" s="43"/>
      <c r="O4744" s="43"/>
      <c r="Q4744" s="44"/>
      <c r="R4744" s="44"/>
      <c r="S4744" s="44"/>
      <c r="T4744" s="44"/>
    </row>
    <row r="4745" spans="12:20" x14ac:dyDescent="0.2">
      <c r="L4745" s="43"/>
      <c r="M4745" s="43"/>
      <c r="N4745" s="43"/>
      <c r="O4745" s="43"/>
      <c r="Q4745" s="44"/>
      <c r="R4745" s="44"/>
      <c r="S4745" s="44"/>
      <c r="T4745" s="44"/>
    </row>
    <row r="4746" spans="12:20" x14ac:dyDescent="0.2">
      <c r="L4746" s="43"/>
      <c r="M4746" s="43"/>
      <c r="N4746" s="43"/>
      <c r="O4746" s="43"/>
      <c r="Q4746" s="44"/>
      <c r="R4746" s="44"/>
      <c r="S4746" s="44"/>
      <c r="T4746" s="44"/>
    </row>
    <row r="4747" spans="12:20" x14ac:dyDescent="0.2">
      <c r="L4747" s="43"/>
      <c r="M4747" s="43"/>
      <c r="N4747" s="43"/>
      <c r="O4747" s="43"/>
      <c r="Q4747" s="44"/>
      <c r="R4747" s="44"/>
      <c r="S4747" s="44"/>
      <c r="T4747" s="44"/>
    </row>
    <row r="4748" spans="12:20" x14ac:dyDescent="0.2">
      <c r="L4748" s="43"/>
      <c r="M4748" s="43"/>
      <c r="N4748" s="43"/>
      <c r="O4748" s="43"/>
      <c r="Q4748" s="44"/>
      <c r="R4748" s="44"/>
      <c r="S4748" s="44"/>
      <c r="T4748" s="44"/>
    </row>
    <row r="4749" spans="12:20" x14ac:dyDescent="0.2">
      <c r="L4749" s="43"/>
      <c r="M4749" s="43"/>
      <c r="N4749" s="43"/>
      <c r="O4749" s="43"/>
      <c r="Q4749" s="44"/>
      <c r="R4749" s="44"/>
      <c r="S4749" s="44"/>
      <c r="T4749" s="44"/>
    </row>
    <row r="4750" spans="12:20" x14ac:dyDescent="0.2">
      <c r="L4750" s="43"/>
      <c r="M4750" s="43"/>
      <c r="N4750" s="43"/>
      <c r="O4750" s="43"/>
      <c r="Q4750" s="44"/>
      <c r="R4750" s="44"/>
      <c r="S4750" s="44"/>
      <c r="T4750" s="44"/>
    </row>
    <row r="4751" spans="12:20" x14ac:dyDescent="0.2">
      <c r="L4751" s="43"/>
      <c r="M4751" s="43"/>
      <c r="N4751" s="43"/>
      <c r="O4751" s="43"/>
      <c r="Q4751" s="44"/>
      <c r="R4751" s="44"/>
      <c r="S4751" s="44"/>
      <c r="T4751" s="44"/>
    </row>
    <row r="4752" spans="12:20" x14ac:dyDescent="0.2">
      <c r="L4752" s="43"/>
      <c r="M4752" s="43"/>
      <c r="N4752" s="43"/>
      <c r="O4752" s="43"/>
      <c r="Q4752" s="44"/>
      <c r="R4752" s="44"/>
      <c r="S4752" s="44"/>
      <c r="T4752" s="44"/>
    </row>
    <row r="4753" spans="12:20" x14ac:dyDescent="0.2">
      <c r="L4753" s="43"/>
      <c r="M4753" s="43"/>
      <c r="N4753" s="43"/>
      <c r="O4753" s="43"/>
      <c r="Q4753" s="44"/>
      <c r="R4753" s="44"/>
      <c r="S4753" s="44"/>
      <c r="T4753" s="44"/>
    </row>
    <row r="4754" spans="12:20" x14ac:dyDescent="0.2">
      <c r="L4754" s="43"/>
      <c r="M4754" s="43"/>
      <c r="N4754" s="43"/>
      <c r="O4754" s="43"/>
      <c r="Q4754" s="44"/>
      <c r="R4754" s="44"/>
      <c r="S4754" s="44"/>
      <c r="T4754" s="44"/>
    </row>
    <row r="4755" spans="12:20" x14ac:dyDescent="0.2">
      <c r="L4755" s="43"/>
      <c r="M4755" s="43"/>
      <c r="N4755" s="43"/>
      <c r="O4755" s="43"/>
      <c r="Q4755" s="44"/>
      <c r="R4755" s="44"/>
      <c r="S4755" s="44"/>
      <c r="T4755" s="44"/>
    </row>
    <row r="4756" spans="12:20" x14ac:dyDescent="0.2">
      <c r="L4756" s="43"/>
      <c r="M4756" s="43"/>
      <c r="N4756" s="43"/>
      <c r="O4756" s="43"/>
      <c r="Q4756" s="44"/>
      <c r="R4756" s="44"/>
      <c r="S4756" s="44"/>
      <c r="T4756" s="44"/>
    </row>
    <row r="4757" spans="12:20" x14ac:dyDescent="0.2">
      <c r="L4757" s="43"/>
      <c r="M4757" s="43"/>
      <c r="N4757" s="43"/>
      <c r="O4757" s="43"/>
      <c r="Q4757" s="44"/>
      <c r="R4757" s="44"/>
      <c r="S4757" s="44"/>
      <c r="T4757" s="44"/>
    </row>
    <row r="4758" spans="12:20" x14ac:dyDescent="0.2">
      <c r="L4758" s="43"/>
      <c r="M4758" s="43"/>
      <c r="N4758" s="43"/>
      <c r="O4758" s="43"/>
      <c r="Q4758" s="44"/>
      <c r="R4758" s="44"/>
      <c r="S4758" s="44"/>
      <c r="T4758" s="44"/>
    </row>
    <row r="4759" spans="12:20" x14ac:dyDescent="0.2">
      <c r="L4759" s="43"/>
      <c r="M4759" s="43"/>
      <c r="N4759" s="43"/>
      <c r="O4759" s="43"/>
      <c r="Q4759" s="44"/>
      <c r="R4759" s="44"/>
      <c r="S4759" s="44"/>
      <c r="T4759" s="44"/>
    </row>
    <row r="4760" spans="12:20" x14ac:dyDescent="0.2">
      <c r="L4760" s="43"/>
      <c r="M4760" s="43"/>
      <c r="N4760" s="43"/>
      <c r="O4760" s="43"/>
      <c r="Q4760" s="44"/>
      <c r="R4760" s="44"/>
      <c r="S4760" s="44"/>
      <c r="T4760" s="44"/>
    </row>
    <row r="4761" spans="12:20" x14ac:dyDescent="0.2">
      <c r="L4761" s="43"/>
      <c r="M4761" s="43"/>
      <c r="N4761" s="43"/>
      <c r="O4761" s="43"/>
      <c r="Q4761" s="44"/>
      <c r="R4761" s="44"/>
      <c r="S4761" s="44"/>
      <c r="T4761" s="44"/>
    </row>
    <row r="4762" spans="12:20" x14ac:dyDescent="0.2">
      <c r="L4762" s="43"/>
      <c r="M4762" s="43"/>
      <c r="N4762" s="43"/>
      <c r="O4762" s="43"/>
      <c r="Q4762" s="44"/>
      <c r="R4762" s="44"/>
      <c r="S4762" s="44"/>
      <c r="T4762" s="44"/>
    </row>
    <row r="4763" spans="12:20" x14ac:dyDescent="0.2">
      <c r="L4763" s="43"/>
      <c r="M4763" s="43"/>
      <c r="N4763" s="43"/>
      <c r="O4763" s="43"/>
      <c r="Q4763" s="44"/>
      <c r="R4763" s="44"/>
      <c r="S4763" s="44"/>
      <c r="T4763" s="44"/>
    </row>
    <row r="4764" spans="12:20" x14ac:dyDescent="0.2">
      <c r="L4764" s="43"/>
      <c r="M4764" s="43"/>
      <c r="N4764" s="43"/>
      <c r="O4764" s="43"/>
      <c r="Q4764" s="44"/>
      <c r="R4764" s="44"/>
      <c r="S4764" s="44"/>
      <c r="T4764" s="44"/>
    </row>
    <row r="4765" spans="12:20" x14ac:dyDescent="0.2">
      <c r="L4765" s="43"/>
      <c r="M4765" s="43"/>
      <c r="N4765" s="43"/>
      <c r="O4765" s="43"/>
      <c r="Q4765" s="44"/>
      <c r="R4765" s="44"/>
      <c r="S4765" s="44"/>
      <c r="T4765" s="44"/>
    </row>
    <row r="4766" spans="12:20" x14ac:dyDescent="0.2">
      <c r="L4766" s="43"/>
      <c r="M4766" s="43"/>
      <c r="N4766" s="43"/>
      <c r="O4766" s="43"/>
      <c r="Q4766" s="44"/>
      <c r="R4766" s="44"/>
      <c r="S4766" s="44"/>
      <c r="T4766" s="44"/>
    </row>
    <row r="4767" spans="12:20" x14ac:dyDescent="0.2">
      <c r="L4767" s="43"/>
      <c r="M4767" s="43"/>
      <c r="N4767" s="43"/>
      <c r="O4767" s="43"/>
      <c r="Q4767" s="44"/>
      <c r="R4767" s="44"/>
      <c r="S4767" s="44"/>
      <c r="T4767" s="44"/>
    </row>
    <row r="4768" spans="12:20" x14ac:dyDescent="0.2">
      <c r="L4768" s="43"/>
      <c r="M4768" s="43"/>
      <c r="N4768" s="43"/>
      <c r="O4768" s="43"/>
      <c r="Q4768" s="44"/>
      <c r="R4768" s="44"/>
      <c r="S4768" s="44"/>
      <c r="T4768" s="44"/>
    </row>
    <row r="4769" spans="12:20" x14ac:dyDescent="0.2">
      <c r="L4769" s="43"/>
      <c r="M4769" s="43"/>
      <c r="N4769" s="43"/>
      <c r="O4769" s="43"/>
      <c r="Q4769" s="44"/>
      <c r="R4769" s="44"/>
      <c r="S4769" s="44"/>
      <c r="T4769" s="44"/>
    </row>
    <row r="4770" spans="12:20" x14ac:dyDescent="0.2">
      <c r="L4770" s="43"/>
      <c r="M4770" s="43"/>
      <c r="N4770" s="43"/>
      <c r="O4770" s="43"/>
      <c r="Q4770" s="44"/>
      <c r="R4770" s="44"/>
      <c r="S4770" s="44"/>
      <c r="T4770" s="44"/>
    </row>
    <row r="4771" spans="12:20" x14ac:dyDescent="0.2">
      <c r="L4771" s="43"/>
      <c r="M4771" s="43"/>
      <c r="N4771" s="43"/>
      <c r="O4771" s="43"/>
      <c r="Q4771" s="44"/>
      <c r="R4771" s="44"/>
      <c r="S4771" s="44"/>
      <c r="T4771" s="44"/>
    </row>
    <row r="4772" spans="12:20" x14ac:dyDescent="0.2">
      <c r="L4772" s="43"/>
      <c r="M4772" s="43"/>
      <c r="N4772" s="43"/>
      <c r="O4772" s="43"/>
      <c r="Q4772" s="44"/>
      <c r="R4772" s="44"/>
      <c r="S4772" s="44"/>
      <c r="T4772" s="44"/>
    </row>
    <row r="4773" spans="12:20" x14ac:dyDescent="0.2">
      <c r="L4773" s="43"/>
      <c r="M4773" s="43"/>
      <c r="N4773" s="43"/>
      <c r="O4773" s="43"/>
      <c r="Q4773" s="44"/>
      <c r="R4773" s="44"/>
      <c r="S4773" s="44"/>
      <c r="T4773" s="44"/>
    </row>
    <row r="4774" spans="12:20" x14ac:dyDescent="0.2">
      <c r="L4774" s="43"/>
      <c r="M4774" s="43"/>
      <c r="N4774" s="43"/>
      <c r="O4774" s="43"/>
      <c r="Q4774" s="44"/>
      <c r="R4774" s="44"/>
      <c r="S4774" s="44"/>
      <c r="T4774" s="44"/>
    </row>
    <row r="4775" spans="12:20" x14ac:dyDescent="0.2">
      <c r="L4775" s="43"/>
      <c r="M4775" s="43"/>
      <c r="N4775" s="43"/>
      <c r="O4775" s="43"/>
      <c r="Q4775" s="44"/>
      <c r="R4775" s="44"/>
      <c r="S4775" s="44"/>
      <c r="T4775" s="44"/>
    </row>
    <row r="4776" spans="12:20" x14ac:dyDescent="0.2">
      <c r="L4776" s="43"/>
      <c r="M4776" s="43"/>
      <c r="N4776" s="43"/>
      <c r="O4776" s="43"/>
      <c r="Q4776" s="44"/>
      <c r="R4776" s="44"/>
      <c r="S4776" s="44"/>
      <c r="T4776" s="44"/>
    </row>
    <row r="4777" spans="12:20" x14ac:dyDescent="0.2">
      <c r="L4777" s="43"/>
      <c r="M4777" s="43"/>
      <c r="N4777" s="43"/>
      <c r="O4777" s="43"/>
      <c r="Q4777" s="44"/>
      <c r="R4777" s="44"/>
      <c r="S4777" s="44"/>
      <c r="T4777" s="44"/>
    </row>
    <row r="4778" spans="12:20" x14ac:dyDescent="0.2">
      <c r="L4778" s="43"/>
      <c r="M4778" s="43"/>
      <c r="N4778" s="43"/>
      <c r="O4778" s="43"/>
      <c r="Q4778" s="44"/>
      <c r="R4778" s="44"/>
      <c r="S4778" s="44"/>
      <c r="T4778" s="44"/>
    </row>
    <row r="4779" spans="12:20" x14ac:dyDescent="0.2">
      <c r="L4779" s="43"/>
      <c r="M4779" s="43"/>
      <c r="N4779" s="43"/>
      <c r="O4779" s="43"/>
      <c r="Q4779" s="44"/>
      <c r="R4779" s="44"/>
      <c r="S4779" s="44"/>
      <c r="T4779" s="44"/>
    </row>
    <row r="4780" spans="12:20" x14ac:dyDescent="0.2">
      <c r="L4780" s="43"/>
      <c r="M4780" s="43"/>
      <c r="N4780" s="43"/>
      <c r="O4780" s="43"/>
      <c r="Q4780" s="44"/>
      <c r="R4780" s="44"/>
      <c r="S4780" s="44"/>
      <c r="T4780" s="44"/>
    </row>
    <row r="4781" spans="12:20" x14ac:dyDescent="0.2">
      <c r="L4781" s="43"/>
      <c r="M4781" s="43"/>
      <c r="N4781" s="43"/>
      <c r="O4781" s="43"/>
      <c r="Q4781" s="44"/>
      <c r="R4781" s="44"/>
      <c r="S4781" s="44"/>
      <c r="T4781" s="44"/>
    </row>
    <row r="4782" spans="12:20" x14ac:dyDescent="0.2">
      <c r="L4782" s="43"/>
      <c r="M4782" s="43"/>
      <c r="N4782" s="43"/>
      <c r="O4782" s="43"/>
      <c r="Q4782" s="44"/>
      <c r="R4782" s="44"/>
      <c r="S4782" s="44"/>
      <c r="T4782" s="44"/>
    </row>
    <row r="4783" spans="12:20" x14ac:dyDescent="0.2">
      <c r="L4783" s="43"/>
      <c r="M4783" s="43"/>
      <c r="N4783" s="43"/>
      <c r="O4783" s="43"/>
      <c r="Q4783" s="44"/>
      <c r="R4783" s="44"/>
      <c r="S4783" s="44"/>
      <c r="T4783" s="44"/>
    </row>
    <row r="4784" spans="12:20" x14ac:dyDescent="0.2">
      <c r="L4784" s="43"/>
      <c r="M4784" s="43"/>
      <c r="N4784" s="43"/>
      <c r="O4784" s="43"/>
      <c r="Q4784" s="44"/>
      <c r="R4784" s="44"/>
      <c r="S4784" s="44"/>
      <c r="T4784" s="44"/>
    </row>
    <row r="4785" spans="12:20" x14ac:dyDescent="0.2">
      <c r="L4785" s="43"/>
      <c r="M4785" s="43"/>
      <c r="N4785" s="43"/>
      <c r="O4785" s="43"/>
      <c r="Q4785" s="44"/>
      <c r="R4785" s="44"/>
      <c r="S4785" s="44"/>
      <c r="T4785" s="44"/>
    </row>
    <row r="4786" spans="12:20" x14ac:dyDescent="0.2">
      <c r="L4786" s="43"/>
      <c r="M4786" s="43"/>
      <c r="N4786" s="43"/>
      <c r="O4786" s="43"/>
      <c r="Q4786" s="44"/>
      <c r="R4786" s="44"/>
      <c r="S4786" s="44"/>
      <c r="T4786" s="44"/>
    </row>
    <row r="4787" spans="12:20" x14ac:dyDescent="0.2">
      <c r="L4787" s="43"/>
      <c r="M4787" s="43"/>
      <c r="N4787" s="43"/>
      <c r="O4787" s="43"/>
      <c r="Q4787" s="44"/>
      <c r="R4787" s="44"/>
      <c r="S4787" s="44"/>
      <c r="T4787" s="44"/>
    </row>
    <row r="4788" spans="12:20" x14ac:dyDescent="0.2">
      <c r="L4788" s="43"/>
      <c r="M4788" s="43"/>
      <c r="N4788" s="43"/>
      <c r="O4788" s="43"/>
      <c r="Q4788" s="44"/>
      <c r="R4788" s="44"/>
      <c r="S4788" s="44"/>
      <c r="T4788" s="44"/>
    </row>
    <row r="4789" spans="12:20" x14ac:dyDescent="0.2">
      <c r="L4789" s="43"/>
      <c r="M4789" s="43"/>
      <c r="N4789" s="43"/>
      <c r="O4789" s="43"/>
      <c r="Q4789" s="44"/>
      <c r="R4789" s="44"/>
      <c r="S4789" s="44"/>
      <c r="T4789" s="44"/>
    </row>
    <row r="4790" spans="12:20" x14ac:dyDescent="0.2">
      <c r="L4790" s="43"/>
      <c r="M4790" s="43"/>
      <c r="N4790" s="43"/>
      <c r="O4790" s="43"/>
      <c r="Q4790" s="44"/>
      <c r="R4790" s="44"/>
      <c r="S4790" s="44"/>
      <c r="T4790" s="44"/>
    </row>
    <row r="4791" spans="12:20" x14ac:dyDescent="0.2">
      <c r="L4791" s="43"/>
      <c r="M4791" s="43"/>
      <c r="N4791" s="43"/>
      <c r="O4791" s="43"/>
      <c r="Q4791" s="44"/>
      <c r="R4791" s="44"/>
      <c r="S4791" s="44"/>
      <c r="T4791" s="44"/>
    </row>
    <row r="4792" spans="12:20" x14ac:dyDescent="0.2">
      <c r="L4792" s="43"/>
      <c r="M4792" s="43"/>
      <c r="N4792" s="43"/>
      <c r="O4792" s="43"/>
      <c r="Q4792" s="44"/>
      <c r="R4792" s="44"/>
      <c r="S4792" s="44"/>
      <c r="T4792" s="44"/>
    </row>
    <row r="4793" spans="12:20" x14ac:dyDescent="0.2">
      <c r="L4793" s="43"/>
      <c r="M4793" s="43"/>
      <c r="N4793" s="43"/>
      <c r="O4793" s="43"/>
      <c r="Q4793" s="44"/>
      <c r="R4793" s="44"/>
      <c r="S4793" s="44"/>
      <c r="T4793" s="44"/>
    </row>
    <row r="4794" spans="12:20" x14ac:dyDescent="0.2">
      <c r="L4794" s="43"/>
      <c r="M4794" s="43"/>
      <c r="N4794" s="43"/>
      <c r="O4794" s="43"/>
      <c r="Q4794" s="44"/>
      <c r="R4794" s="44"/>
      <c r="S4794" s="44"/>
      <c r="T4794" s="44"/>
    </row>
    <row r="4795" spans="12:20" x14ac:dyDescent="0.2">
      <c r="L4795" s="43"/>
      <c r="M4795" s="43"/>
      <c r="N4795" s="43"/>
      <c r="O4795" s="43"/>
      <c r="Q4795" s="44"/>
      <c r="R4795" s="44"/>
      <c r="S4795" s="44"/>
      <c r="T4795" s="44"/>
    </row>
    <row r="4796" spans="12:20" x14ac:dyDescent="0.2">
      <c r="L4796" s="43"/>
      <c r="M4796" s="43"/>
      <c r="N4796" s="43"/>
      <c r="O4796" s="43"/>
      <c r="Q4796" s="44"/>
      <c r="R4796" s="44"/>
      <c r="S4796" s="44"/>
      <c r="T4796" s="44"/>
    </row>
    <row r="4797" spans="12:20" x14ac:dyDescent="0.2">
      <c r="L4797" s="43"/>
      <c r="M4797" s="43"/>
      <c r="N4797" s="43"/>
      <c r="O4797" s="43"/>
      <c r="Q4797" s="44"/>
      <c r="R4797" s="44"/>
      <c r="S4797" s="44"/>
      <c r="T4797" s="44"/>
    </row>
    <row r="4798" spans="12:20" x14ac:dyDescent="0.2">
      <c r="L4798" s="43"/>
      <c r="M4798" s="43"/>
      <c r="N4798" s="43"/>
      <c r="O4798" s="43"/>
      <c r="Q4798" s="44"/>
      <c r="R4798" s="44"/>
      <c r="S4798" s="44"/>
      <c r="T4798" s="44"/>
    </row>
    <row r="4799" spans="12:20" x14ac:dyDescent="0.2">
      <c r="L4799" s="43"/>
      <c r="M4799" s="43"/>
      <c r="N4799" s="43"/>
      <c r="O4799" s="43"/>
      <c r="Q4799" s="44"/>
      <c r="R4799" s="44"/>
      <c r="S4799" s="44"/>
      <c r="T4799" s="44"/>
    </row>
    <row r="4800" spans="12:20" x14ac:dyDescent="0.2">
      <c r="L4800" s="43"/>
      <c r="M4800" s="43"/>
      <c r="N4800" s="43"/>
      <c r="O4800" s="43"/>
      <c r="Q4800" s="44"/>
      <c r="R4800" s="44"/>
      <c r="S4800" s="44"/>
      <c r="T4800" s="44"/>
    </row>
    <row r="4801" spans="12:20" x14ac:dyDescent="0.2">
      <c r="L4801" s="43"/>
      <c r="M4801" s="43"/>
      <c r="N4801" s="43"/>
      <c r="O4801" s="43"/>
      <c r="Q4801" s="44"/>
      <c r="R4801" s="44"/>
      <c r="S4801" s="44"/>
      <c r="T4801" s="44"/>
    </row>
    <row r="4802" spans="12:20" x14ac:dyDescent="0.2">
      <c r="L4802" s="43"/>
      <c r="M4802" s="43"/>
      <c r="N4802" s="43"/>
      <c r="O4802" s="43"/>
      <c r="Q4802" s="44"/>
      <c r="R4802" s="44"/>
      <c r="S4802" s="44"/>
      <c r="T4802" s="44"/>
    </row>
    <row r="4803" spans="12:20" x14ac:dyDescent="0.2">
      <c r="L4803" s="43"/>
      <c r="M4803" s="43"/>
      <c r="N4803" s="43"/>
      <c r="O4803" s="43"/>
      <c r="Q4803" s="44"/>
      <c r="R4803" s="44"/>
      <c r="S4803" s="44"/>
      <c r="T4803" s="44"/>
    </row>
    <row r="4804" spans="12:20" x14ac:dyDescent="0.2">
      <c r="L4804" s="43"/>
      <c r="M4804" s="43"/>
      <c r="N4804" s="43"/>
      <c r="O4804" s="43"/>
      <c r="Q4804" s="44"/>
      <c r="R4804" s="44"/>
      <c r="S4804" s="44"/>
      <c r="T4804" s="44"/>
    </row>
    <row r="4805" spans="12:20" x14ac:dyDescent="0.2">
      <c r="L4805" s="43"/>
      <c r="M4805" s="43"/>
      <c r="N4805" s="43"/>
      <c r="O4805" s="43"/>
      <c r="Q4805" s="44"/>
      <c r="R4805" s="44"/>
      <c r="S4805" s="44"/>
      <c r="T4805" s="44"/>
    </row>
    <row r="4806" spans="12:20" x14ac:dyDescent="0.2">
      <c r="L4806" s="43"/>
      <c r="M4806" s="43"/>
      <c r="N4806" s="43"/>
      <c r="O4806" s="43"/>
      <c r="Q4806" s="44"/>
      <c r="R4806" s="44"/>
      <c r="S4806" s="44"/>
      <c r="T4806" s="44"/>
    </row>
    <row r="4807" spans="12:20" x14ac:dyDescent="0.2">
      <c r="L4807" s="43"/>
      <c r="M4807" s="43"/>
      <c r="N4807" s="43"/>
      <c r="O4807" s="43"/>
      <c r="Q4807" s="44"/>
      <c r="R4807" s="44"/>
      <c r="S4807" s="44"/>
      <c r="T4807" s="44"/>
    </row>
    <row r="4808" spans="12:20" x14ac:dyDescent="0.2">
      <c r="L4808" s="43"/>
      <c r="M4808" s="43"/>
      <c r="N4808" s="43"/>
      <c r="O4808" s="43"/>
      <c r="Q4808" s="44"/>
      <c r="R4808" s="44"/>
      <c r="S4808" s="44"/>
      <c r="T4808" s="44"/>
    </row>
    <row r="4809" spans="12:20" x14ac:dyDescent="0.2">
      <c r="L4809" s="43"/>
      <c r="M4809" s="43"/>
      <c r="N4809" s="43"/>
      <c r="O4809" s="43"/>
      <c r="Q4809" s="44"/>
      <c r="R4809" s="44"/>
      <c r="S4809" s="44"/>
      <c r="T4809" s="44"/>
    </row>
    <row r="4810" spans="12:20" x14ac:dyDescent="0.2">
      <c r="L4810" s="43"/>
      <c r="M4810" s="43"/>
      <c r="N4810" s="43"/>
      <c r="O4810" s="43"/>
      <c r="Q4810" s="44"/>
      <c r="R4810" s="44"/>
      <c r="S4810" s="44"/>
      <c r="T4810" s="44"/>
    </row>
    <row r="4811" spans="12:20" x14ac:dyDescent="0.2">
      <c r="L4811" s="43"/>
      <c r="M4811" s="43"/>
      <c r="N4811" s="43"/>
      <c r="O4811" s="43"/>
      <c r="Q4811" s="44"/>
      <c r="R4811" s="44"/>
      <c r="S4811" s="44"/>
      <c r="T4811" s="44"/>
    </row>
    <row r="4812" spans="12:20" x14ac:dyDescent="0.2">
      <c r="L4812" s="43"/>
      <c r="M4812" s="43"/>
      <c r="N4812" s="43"/>
      <c r="O4812" s="43"/>
      <c r="Q4812" s="44"/>
      <c r="R4812" s="44"/>
      <c r="S4812" s="44"/>
      <c r="T4812" s="44"/>
    </row>
    <row r="4813" spans="12:20" x14ac:dyDescent="0.2">
      <c r="L4813" s="43"/>
      <c r="M4813" s="43"/>
      <c r="N4813" s="43"/>
      <c r="O4813" s="43"/>
      <c r="Q4813" s="44"/>
      <c r="R4813" s="44"/>
      <c r="S4813" s="44"/>
      <c r="T4813" s="44"/>
    </row>
    <row r="4814" spans="12:20" x14ac:dyDescent="0.2">
      <c r="L4814" s="43"/>
      <c r="M4814" s="43"/>
      <c r="N4814" s="43"/>
      <c r="O4814" s="43"/>
      <c r="Q4814" s="44"/>
      <c r="R4814" s="44"/>
      <c r="S4814" s="44"/>
      <c r="T4814" s="44"/>
    </row>
    <row r="4815" spans="12:20" x14ac:dyDescent="0.2">
      <c r="L4815" s="43"/>
      <c r="M4815" s="43"/>
      <c r="N4815" s="43"/>
      <c r="O4815" s="43"/>
      <c r="Q4815" s="44"/>
      <c r="R4815" s="44"/>
      <c r="S4815" s="44"/>
      <c r="T4815" s="44"/>
    </row>
    <row r="4816" spans="12:20" x14ac:dyDescent="0.2">
      <c r="L4816" s="43"/>
      <c r="M4816" s="43"/>
      <c r="N4816" s="43"/>
      <c r="O4816" s="43"/>
      <c r="Q4816" s="44"/>
      <c r="R4816" s="44"/>
      <c r="S4816" s="44"/>
      <c r="T4816" s="44"/>
    </row>
    <row r="4817" spans="12:20" x14ac:dyDescent="0.2">
      <c r="L4817" s="43"/>
      <c r="M4817" s="43"/>
      <c r="N4817" s="43"/>
      <c r="O4817" s="43"/>
      <c r="Q4817" s="44"/>
      <c r="R4817" s="44"/>
      <c r="S4817" s="44"/>
      <c r="T4817" s="44"/>
    </row>
    <row r="4818" spans="12:20" x14ac:dyDescent="0.2">
      <c r="L4818" s="43"/>
      <c r="M4818" s="43"/>
      <c r="N4818" s="43"/>
      <c r="O4818" s="43"/>
      <c r="Q4818" s="44"/>
      <c r="R4818" s="44"/>
      <c r="S4818" s="44"/>
      <c r="T4818" s="44"/>
    </row>
    <row r="4819" spans="12:20" x14ac:dyDescent="0.2">
      <c r="L4819" s="43"/>
      <c r="M4819" s="43"/>
      <c r="N4819" s="43"/>
      <c r="O4819" s="43"/>
      <c r="Q4819" s="44"/>
      <c r="R4819" s="44"/>
      <c r="S4819" s="44"/>
      <c r="T4819" s="44"/>
    </row>
    <row r="4820" spans="12:20" x14ac:dyDescent="0.2">
      <c r="L4820" s="43"/>
      <c r="M4820" s="43"/>
      <c r="N4820" s="43"/>
      <c r="O4820" s="43"/>
      <c r="Q4820" s="44"/>
      <c r="R4820" s="44"/>
      <c r="S4820" s="44"/>
      <c r="T4820" s="44"/>
    </row>
    <row r="4821" spans="12:20" x14ac:dyDescent="0.2">
      <c r="L4821" s="43"/>
      <c r="M4821" s="43"/>
      <c r="N4821" s="43"/>
      <c r="O4821" s="43"/>
      <c r="Q4821" s="44"/>
      <c r="R4821" s="44"/>
      <c r="S4821" s="44"/>
      <c r="T4821" s="44"/>
    </row>
    <row r="4822" spans="12:20" x14ac:dyDescent="0.2">
      <c r="L4822" s="43"/>
      <c r="M4822" s="43"/>
      <c r="N4822" s="43"/>
      <c r="O4822" s="43"/>
      <c r="Q4822" s="44"/>
      <c r="R4822" s="44"/>
      <c r="S4822" s="44"/>
      <c r="T4822" s="44"/>
    </row>
    <row r="4823" spans="12:20" x14ac:dyDescent="0.2">
      <c r="L4823" s="43"/>
      <c r="M4823" s="43"/>
      <c r="N4823" s="43"/>
      <c r="O4823" s="43"/>
      <c r="Q4823" s="44"/>
      <c r="R4823" s="44"/>
      <c r="S4823" s="44"/>
      <c r="T4823" s="44"/>
    </row>
    <row r="4824" spans="12:20" x14ac:dyDescent="0.2">
      <c r="L4824" s="43"/>
      <c r="M4824" s="43"/>
      <c r="N4824" s="43"/>
      <c r="O4824" s="43"/>
      <c r="Q4824" s="44"/>
      <c r="R4824" s="44"/>
      <c r="S4824" s="44"/>
      <c r="T4824" s="44"/>
    </row>
    <row r="4825" spans="12:20" x14ac:dyDescent="0.2">
      <c r="L4825" s="43"/>
      <c r="M4825" s="43"/>
      <c r="N4825" s="43"/>
      <c r="O4825" s="43"/>
      <c r="Q4825" s="44"/>
      <c r="R4825" s="44"/>
      <c r="S4825" s="44"/>
      <c r="T4825" s="44"/>
    </row>
    <row r="4826" spans="12:20" x14ac:dyDescent="0.2">
      <c r="L4826" s="43"/>
      <c r="M4826" s="43"/>
      <c r="N4826" s="43"/>
      <c r="O4826" s="43"/>
      <c r="Q4826" s="44"/>
      <c r="R4826" s="44"/>
      <c r="S4826" s="44"/>
      <c r="T4826" s="44"/>
    </row>
    <row r="4827" spans="12:20" x14ac:dyDescent="0.2">
      <c r="L4827" s="43"/>
      <c r="M4827" s="43"/>
      <c r="N4827" s="43"/>
      <c r="O4827" s="43"/>
      <c r="Q4827" s="44"/>
      <c r="R4827" s="44"/>
      <c r="S4827" s="44"/>
      <c r="T4827" s="44"/>
    </row>
    <row r="4828" spans="12:20" x14ac:dyDescent="0.2">
      <c r="L4828" s="43"/>
      <c r="M4828" s="43"/>
      <c r="N4828" s="43"/>
      <c r="O4828" s="43"/>
      <c r="Q4828" s="44"/>
      <c r="R4828" s="44"/>
      <c r="S4828" s="44"/>
      <c r="T4828" s="44"/>
    </row>
    <row r="4829" spans="12:20" x14ac:dyDescent="0.2">
      <c r="L4829" s="43"/>
      <c r="M4829" s="43"/>
      <c r="N4829" s="43"/>
      <c r="O4829" s="43"/>
      <c r="Q4829" s="44"/>
      <c r="R4829" s="44"/>
      <c r="S4829" s="44"/>
      <c r="T4829" s="44"/>
    </row>
    <row r="4830" spans="12:20" x14ac:dyDescent="0.2">
      <c r="L4830" s="43"/>
      <c r="M4830" s="43"/>
      <c r="N4830" s="43"/>
      <c r="O4830" s="43"/>
      <c r="Q4830" s="44"/>
      <c r="R4830" s="44"/>
      <c r="S4830" s="44"/>
      <c r="T4830" s="44"/>
    </row>
    <row r="4831" spans="12:20" x14ac:dyDescent="0.2">
      <c r="L4831" s="43"/>
      <c r="M4831" s="43"/>
      <c r="N4831" s="43"/>
      <c r="O4831" s="43"/>
      <c r="Q4831" s="44"/>
      <c r="R4831" s="44"/>
      <c r="S4831" s="44"/>
      <c r="T4831" s="44"/>
    </row>
    <row r="4832" spans="12:20" x14ac:dyDescent="0.2">
      <c r="L4832" s="43"/>
      <c r="M4832" s="43"/>
      <c r="N4832" s="43"/>
      <c r="O4832" s="43"/>
      <c r="Q4832" s="44"/>
      <c r="R4832" s="44"/>
      <c r="S4832" s="44"/>
      <c r="T4832" s="44"/>
    </row>
    <row r="4833" spans="12:20" x14ac:dyDescent="0.2">
      <c r="L4833" s="43"/>
      <c r="M4833" s="43"/>
      <c r="N4833" s="43"/>
      <c r="O4833" s="43"/>
      <c r="Q4833" s="44"/>
      <c r="R4833" s="44"/>
      <c r="S4833" s="44"/>
      <c r="T4833" s="44"/>
    </row>
    <row r="4834" spans="12:20" x14ac:dyDescent="0.2">
      <c r="L4834" s="43"/>
      <c r="M4834" s="43"/>
      <c r="N4834" s="43"/>
      <c r="O4834" s="43"/>
      <c r="Q4834" s="44"/>
      <c r="R4834" s="44"/>
      <c r="S4834" s="44"/>
      <c r="T4834" s="44"/>
    </row>
    <row r="4835" spans="12:20" x14ac:dyDescent="0.2">
      <c r="L4835" s="43"/>
      <c r="M4835" s="43"/>
      <c r="N4835" s="43"/>
      <c r="O4835" s="43"/>
      <c r="Q4835" s="44"/>
      <c r="R4835" s="44"/>
      <c r="S4835" s="44"/>
      <c r="T4835" s="44"/>
    </row>
    <row r="4836" spans="12:20" x14ac:dyDescent="0.2">
      <c r="L4836" s="43"/>
      <c r="M4836" s="43"/>
      <c r="N4836" s="43"/>
      <c r="O4836" s="43"/>
      <c r="Q4836" s="44"/>
      <c r="R4836" s="44"/>
      <c r="S4836" s="44"/>
      <c r="T4836" s="44"/>
    </row>
    <row r="4837" spans="12:20" x14ac:dyDescent="0.2">
      <c r="L4837" s="43"/>
      <c r="M4837" s="43"/>
      <c r="N4837" s="43"/>
      <c r="O4837" s="43"/>
      <c r="Q4837" s="44"/>
      <c r="R4837" s="44"/>
      <c r="S4837" s="44"/>
      <c r="T4837" s="44"/>
    </row>
    <row r="4838" spans="12:20" x14ac:dyDescent="0.2">
      <c r="L4838" s="43"/>
      <c r="M4838" s="43"/>
      <c r="N4838" s="43"/>
      <c r="O4838" s="43"/>
      <c r="Q4838" s="44"/>
      <c r="R4838" s="44"/>
      <c r="S4838" s="44"/>
      <c r="T4838" s="44"/>
    </row>
    <row r="4839" spans="12:20" x14ac:dyDescent="0.2">
      <c r="L4839" s="43"/>
      <c r="M4839" s="43"/>
      <c r="N4839" s="43"/>
      <c r="O4839" s="43"/>
      <c r="Q4839" s="44"/>
      <c r="R4839" s="44"/>
      <c r="S4839" s="44"/>
      <c r="T4839" s="44"/>
    </row>
    <row r="4840" spans="12:20" x14ac:dyDescent="0.2">
      <c r="L4840" s="43"/>
      <c r="M4840" s="43"/>
      <c r="N4840" s="43"/>
      <c r="O4840" s="43"/>
      <c r="Q4840" s="44"/>
      <c r="R4840" s="44"/>
      <c r="S4840" s="44"/>
      <c r="T4840" s="44"/>
    </row>
    <row r="4841" spans="12:20" x14ac:dyDescent="0.2">
      <c r="L4841" s="43"/>
      <c r="M4841" s="43"/>
      <c r="N4841" s="43"/>
      <c r="O4841" s="43"/>
      <c r="Q4841" s="44"/>
      <c r="R4841" s="44"/>
      <c r="S4841" s="44"/>
      <c r="T4841" s="44"/>
    </row>
    <row r="4842" spans="12:20" x14ac:dyDescent="0.2">
      <c r="L4842" s="43"/>
      <c r="M4842" s="43"/>
      <c r="N4842" s="43"/>
      <c r="O4842" s="43"/>
      <c r="Q4842" s="44"/>
      <c r="R4842" s="44"/>
      <c r="S4842" s="44"/>
      <c r="T4842" s="44"/>
    </row>
    <row r="4843" spans="12:20" x14ac:dyDescent="0.2">
      <c r="L4843" s="43"/>
      <c r="M4843" s="43"/>
      <c r="N4843" s="43"/>
      <c r="O4843" s="43"/>
      <c r="Q4843" s="44"/>
      <c r="R4843" s="44"/>
      <c r="S4843" s="44"/>
      <c r="T4843" s="44"/>
    </row>
    <row r="4844" spans="12:20" x14ac:dyDescent="0.2">
      <c r="L4844" s="43"/>
      <c r="M4844" s="43"/>
      <c r="N4844" s="43"/>
      <c r="O4844" s="43"/>
      <c r="Q4844" s="44"/>
      <c r="R4844" s="44"/>
      <c r="S4844" s="44"/>
      <c r="T4844" s="44"/>
    </row>
    <row r="4845" spans="12:20" x14ac:dyDescent="0.2">
      <c r="L4845" s="43"/>
      <c r="M4845" s="43"/>
      <c r="N4845" s="43"/>
      <c r="O4845" s="43"/>
      <c r="Q4845" s="44"/>
      <c r="R4845" s="44"/>
      <c r="S4845" s="44"/>
      <c r="T4845" s="44"/>
    </row>
    <row r="4846" spans="12:20" x14ac:dyDescent="0.2">
      <c r="L4846" s="43"/>
      <c r="M4846" s="43"/>
      <c r="N4846" s="43"/>
      <c r="O4846" s="43"/>
      <c r="Q4846" s="44"/>
      <c r="R4846" s="44"/>
      <c r="S4846" s="44"/>
      <c r="T4846" s="44"/>
    </row>
    <row r="4847" spans="12:20" x14ac:dyDescent="0.2">
      <c r="L4847" s="43"/>
      <c r="M4847" s="43"/>
      <c r="N4847" s="43"/>
      <c r="O4847" s="43"/>
      <c r="Q4847" s="44"/>
      <c r="R4847" s="44"/>
      <c r="S4847" s="44"/>
      <c r="T4847" s="44"/>
    </row>
    <row r="4848" spans="12:20" x14ac:dyDescent="0.2">
      <c r="L4848" s="43"/>
      <c r="M4848" s="43"/>
      <c r="N4848" s="43"/>
      <c r="O4848" s="43"/>
      <c r="Q4848" s="44"/>
      <c r="R4848" s="44"/>
      <c r="S4848" s="44"/>
      <c r="T4848" s="44"/>
    </row>
    <row r="4849" spans="12:20" x14ac:dyDescent="0.2">
      <c r="L4849" s="43"/>
      <c r="M4849" s="43"/>
      <c r="N4849" s="43"/>
      <c r="O4849" s="43"/>
      <c r="Q4849" s="44"/>
      <c r="R4849" s="44"/>
      <c r="S4849" s="44"/>
      <c r="T4849" s="44"/>
    </row>
    <row r="4850" spans="12:20" x14ac:dyDescent="0.2">
      <c r="L4850" s="43"/>
      <c r="M4850" s="43"/>
      <c r="N4850" s="43"/>
      <c r="O4850" s="43"/>
      <c r="Q4850" s="44"/>
      <c r="R4850" s="44"/>
      <c r="S4850" s="44"/>
      <c r="T4850" s="44"/>
    </row>
    <row r="4851" spans="12:20" x14ac:dyDescent="0.2">
      <c r="L4851" s="43"/>
      <c r="M4851" s="43"/>
      <c r="N4851" s="43"/>
      <c r="O4851" s="43"/>
      <c r="Q4851" s="44"/>
      <c r="R4851" s="44"/>
      <c r="S4851" s="44"/>
      <c r="T4851" s="44"/>
    </row>
    <row r="4852" spans="12:20" x14ac:dyDescent="0.2">
      <c r="L4852" s="43"/>
      <c r="M4852" s="43"/>
      <c r="N4852" s="43"/>
      <c r="O4852" s="43"/>
      <c r="Q4852" s="44"/>
      <c r="R4852" s="44"/>
      <c r="S4852" s="44"/>
      <c r="T4852" s="44"/>
    </row>
    <row r="4853" spans="12:20" x14ac:dyDescent="0.2">
      <c r="L4853" s="43"/>
      <c r="M4853" s="43"/>
      <c r="N4853" s="43"/>
      <c r="O4853" s="43"/>
      <c r="Q4853" s="44"/>
      <c r="R4853" s="44"/>
      <c r="S4853" s="44"/>
      <c r="T4853" s="44"/>
    </row>
    <row r="4854" spans="12:20" x14ac:dyDescent="0.2">
      <c r="L4854" s="43"/>
      <c r="M4854" s="43"/>
      <c r="N4854" s="43"/>
      <c r="O4854" s="43"/>
      <c r="Q4854" s="44"/>
      <c r="R4854" s="44"/>
      <c r="S4854" s="44"/>
      <c r="T4854" s="44"/>
    </row>
    <row r="4855" spans="12:20" x14ac:dyDescent="0.2">
      <c r="L4855" s="43"/>
      <c r="M4855" s="43"/>
      <c r="N4855" s="43"/>
      <c r="O4855" s="43"/>
      <c r="Q4855" s="44"/>
      <c r="R4855" s="44"/>
      <c r="S4855" s="44"/>
      <c r="T4855" s="44"/>
    </row>
    <row r="4856" spans="12:20" x14ac:dyDescent="0.2">
      <c r="L4856" s="43"/>
      <c r="M4856" s="43"/>
      <c r="N4856" s="43"/>
      <c r="O4856" s="43"/>
      <c r="Q4856" s="44"/>
      <c r="R4856" s="44"/>
      <c r="S4856" s="44"/>
      <c r="T4856" s="44"/>
    </row>
    <row r="4857" spans="12:20" x14ac:dyDescent="0.2">
      <c r="L4857" s="43"/>
      <c r="M4857" s="43"/>
      <c r="N4857" s="43"/>
      <c r="O4857" s="43"/>
      <c r="Q4857" s="44"/>
      <c r="R4857" s="44"/>
      <c r="S4857" s="44"/>
      <c r="T4857" s="44"/>
    </row>
    <row r="4858" spans="12:20" x14ac:dyDescent="0.2">
      <c r="L4858" s="43"/>
      <c r="M4858" s="43"/>
      <c r="N4858" s="43"/>
      <c r="O4858" s="43"/>
      <c r="Q4858" s="44"/>
      <c r="R4858" s="44"/>
      <c r="S4858" s="44"/>
      <c r="T4858" s="44"/>
    </row>
    <row r="4859" spans="12:20" x14ac:dyDescent="0.2">
      <c r="L4859" s="43"/>
      <c r="M4859" s="43"/>
      <c r="N4859" s="43"/>
      <c r="O4859" s="43"/>
      <c r="Q4859" s="44"/>
      <c r="R4859" s="44"/>
      <c r="S4859" s="44"/>
      <c r="T4859" s="44"/>
    </row>
    <row r="4860" spans="12:20" x14ac:dyDescent="0.2">
      <c r="L4860" s="43"/>
      <c r="M4860" s="43"/>
      <c r="N4860" s="43"/>
      <c r="O4860" s="43"/>
      <c r="Q4860" s="44"/>
      <c r="R4860" s="44"/>
      <c r="S4860" s="44"/>
      <c r="T4860" s="44"/>
    </row>
    <row r="4861" spans="12:20" x14ac:dyDescent="0.2">
      <c r="L4861" s="43"/>
      <c r="M4861" s="43"/>
      <c r="N4861" s="43"/>
      <c r="O4861" s="43"/>
      <c r="Q4861" s="44"/>
      <c r="R4861" s="44"/>
      <c r="S4861" s="44"/>
      <c r="T4861" s="44"/>
    </row>
    <row r="4862" spans="12:20" x14ac:dyDescent="0.2">
      <c r="L4862" s="43"/>
      <c r="M4862" s="43"/>
      <c r="N4862" s="43"/>
      <c r="O4862" s="43"/>
      <c r="Q4862" s="44"/>
      <c r="R4862" s="44"/>
      <c r="S4862" s="44"/>
      <c r="T4862" s="44"/>
    </row>
    <row r="4863" spans="12:20" x14ac:dyDescent="0.2">
      <c r="L4863" s="43"/>
      <c r="M4863" s="43"/>
      <c r="N4863" s="43"/>
      <c r="O4863" s="43"/>
      <c r="Q4863" s="44"/>
      <c r="R4863" s="44"/>
      <c r="S4863" s="44"/>
      <c r="T4863" s="44"/>
    </row>
    <row r="4864" spans="12:20" x14ac:dyDescent="0.2">
      <c r="L4864" s="43"/>
      <c r="M4864" s="43"/>
      <c r="N4864" s="43"/>
      <c r="O4864" s="43"/>
      <c r="Q4864" s="44"/>
      <c r="R4864" s="44"/>
      <c r="S4864" s="44"/>
      <c r="T4864" s="44"/>
    </row>
    <row r="4865" spans="12:20" x14ac:dyDescent="0.2">
      <c r="L4865" s="43"/>
      <c r="M4865" s="43"/>
      <c r="N4865" s="43"/>
      <c r="O4865" s="43"/>
      <c r="Q4865" s="44"/>
      <c r="R4865" s="44"/>
      <c r="S4865" s="44"/>
      <c r="T4865" s="44"/>
    </row>
    <row r="4866" spans="12:20" x14ac:dyDescent="0.2">
      <c r="L4866" s="43"/>
      <c r="M4866" s="43"/>
      <c r="N4866" s="43"/>
      <c r="O4866" s="43"/>
      <c r="Q4866" s="44"/>
      <c r="R4866" s="44"/>
      <c r="S4866" s="44"/>
      <c r="T4866" s="44"/>
    </row>
    <row r="4867" spans="12:20" x14ac:dyDescent="0.2">
      <c r="L4867" s="43"/>
      <c r="M4867" s="43"/>
      <c r="N4867" s="43"/>
      <c r="O4867" s="43"/>
      <c r="Q4867" s="44"/>
      <c r="R4867" s="44"/>
      <c r="S4867" s="44"/>
      <c r="T4867" s="44"/>
    </row>
    <row r="4868" spans="12:20" x14ac:dyDescent="0.2">
      <c r="L4868" s="43"/>
      <c r="M4868" s="43"/>
      <c r="N4868" s="43"/>
      <c r="O4868" s="43"/>
      <c r="Q4868" s="44"/>
      <c r="R4868" s="44"/>
      <c r="S4868" s="44"/>
      <c r="T4868" s="44"/>
    </row>
    <row r="4869" spans="12:20" x14ac:dyDescent="0.2">
      <c r="L4869" s="43"/>
      <c r="M4869" s="43"/>
      <c r="N4869" s="43"/>
      <c r="O4869" s="43"/>
      <c r="Q4869" s="44"/>
      <c r="R4869" s="44"/>
      <c r="S4869" s="44"/>
      <c r="T4869" s="44"/>
    </row>
    <row r="4870" spans="12:20" x14ac:dyDescent="0.2">
      <c r="L4870" s="43"/>
      <c r="M4870" s="43"/>
      <c r="N4870" s="43"/>
      <c r="O4870" s="43"/>
      <c r="Q4870" s="44"/>
      <c r="R4870" s="44"/>
      <c r="S4870" s="44"/>
      <c r="T4870" s="44"/>
    </row>
    <row r="4871" spans="12:20" x14ac:dyDescent="0.2">
      <c r="L4871" s="43"/>
      <c r="M4871" s="43"/>
      <c r="N4871" s="43"/>
      <c r="O4871" s="43"/>
      <c r="Q4871" s="44"/>
      <c r="R4871" s="44"/>
      <c r="S4871" s="44"/>
      <c r="T4871" s="44"/>
    </row>
    <row r="4872" spans="12:20" x14ac:dyDescent="0.2">
      <c r="L4872" s="43"/>
      <c r="M4872" s="43"/>
      <c r="N4872" s="43"/>
      <c r="O4872" s="43"/>
      <c r="Q4872" s="44"/>
      <c r="R4872" s="44"/>
      <c r="S4872" s="44"/>
      <c r="T4872" s="44"/>
    </row>
    <row r="4873" spans="12:20" x14ac:dyDescent="0.2">
      <c r="L4873" s="43"/>
      <c r="M4873" s="43"/>
      <c r="N4873" s="43"/>
      <c r="O4873" s="43"/>
      <c r="Q4873" s="44"/>
      <c r="R4873" s="44"/>
      <c r="S4873" s="44"/>
      <c r="T4873" s="44"/>
    </row>
    <row r="4874" spans="12:20" x14ac:dyDescent="0.2">
      <c r="L4874" s="43"/>
      <c r="M4874" s="43"/>
      <c r="N4874" s="43"/>
      <c r="O4874" s="43"/>
      <c r="Q4874" s="44"/>
      <c r="R4874" s="44"/>
      <c r="S4874" s="44"/>
      <c r="T4874" s="44"/>
    </row>
    <row r="4875" spans="12:20" x14ac:dyDescent="0.2">
      <c r="L4875" s="43"/>
      <c r="M4875" s="43"/>
      <c r="N4875" s="43"/>
      <c r="O4875" s="43"/>
      <c r="Q4875" s="44"/>
      <c r="R4875" s="44"/>
      <c r="S4875" s="44"/>
      <c r="T4875" s="44"/>
    </row>
    <row r="4876" spans="12:20" x14ac:dyDescent="0.2">
      <c r="L4876" s="43"/>
      <c r="M4876" s="43"/>
      <c r="N4876" s="43"/>
      <c r="O4876" s="43"/>
      <c r="Q4876" s="44"/>
      <c r="R4876" s="44"/>
      <c r="S4876" s="44"/>
      <c r="T4876" s="44"/>
    </row>
    <row r="4877" spans="12:20" x14ac:dyDescent="0.2">
      <c r="L4877" s="43"/>
      <c r="M4877" s="43"/>
      <c r="N4877" s="43"/>
      <c r="O4877" s="43"/>
      <c r="Q4877" s="44"/>
      <c r="R4877" s="44"/>
      <c r="S4877" s="44"/>
      <c r="T4877" s="44"/>
    </row>
    <row r="4878" spans="12:20" x14ac:dyDescent="0.2">
      <c r="L4878" s="43"/>
      <c r="M4878" s="43"/>
      <c r="N4878" s="43"/>
      <c r="O4878" s="43"/>
      <c r="Q4878" s="44"/>
      <c r="R4878" s="44"/>
      <c r="S4878" s="44"/>
      <c r="T4878" s="44"/>
    </row>
    <row r="4879" spans="12:20" x14ac:dyDescent="0.2">
      <c r="L4879" s="43"/>
      <c r="M4879" s="43"/>
      <c r="N4879" s="43"/>
      <c r="O4879" s="43"/>
      <c r="Q4879" s="44"/>
      <c r="R4879" s="44"/>
      <c r="S4879" s="44"/>
      <c r="T4879" s="44"/>
    </row>
    <row r="4880" spans="12:20" x14ac:dyDescent="0.2">
      <c r="L4880" s="43"/>
      <c r="M4880" s="43"/>
      <c r="N4880" s="43"/>
      <c r="O4880" s="43"/>
      <c r="Q4880" s="44"/>
      <c r="R4880" s="44"/>
      <c r="S4880" s="44"/>
      <c r="T4880" s="44"/>
    </row>
    <row r="4881" spans="12:20" x14ac:dyDescent="0.2">
      <c r="L4881" s="43"/>
      <c r="M4881" s="43"/>
      <c r="N4881" s="43"/>
      <c r="O4881" s="43"/>
      <c r="Q4881" s="44"/>
      <c r="R4881" s="44"/>
      <c r="S4881" s="44"/>
      <c r="T4881" s="44"/>
    </row>
    <row r="4882" spans="12:20" x14ac:dyDescent="0.2">
      <c r="L4882" s="43"/>
      <c r="M4882" s="43"/>
      <c r="N4882" s="43"/>
      <c r="O4882" s="43"/>
      <c r="Q4882" s="44"/>
      <c r="R4882" s="44"/>
      <c r="S4882" s="44"/>
      <c r="T4882" s="44"/>
    </row>
    <row r="4883" spans="12:20" x14ac:dyDescent="0.2">
      <c r="L4883" s="43"/>
      <c r="M4883" s="43"/>
      <c r="N4883" s="43"/>
      <c r="O4883" s="43"/>
      <c r="Q4883" s="44"/>
      <c r="R4883" s="44"/>
      <c r="S4883" s="44"/>
      <c r="T4883" s="44"/>
    </row>
    <row r="4884" spans="12:20" x14ac:dyDescent="0.2">
      <c r="L4884" s="43"/>
      <c r="M4884" s="43"/>
      <c r="N4884" s="43"/>
      <c r="O4884" s="43"/>
      <c r="Q4884" s="44"/>
      <c r="R4884" s="44"/>
      <c r="S4884" s="44"/>
      <c r="T4884" s="44"/>
    </row>
    <row r="4885" spans="12:20" x14ac:dyDescent="0.2">
      <c r="L4885" s="43"/>
      <c r="M4885" s="43"/>
      <c r="N4885" s="43"/>
      <c r="O4885" s="43"/>
      <c r="Q4885" s="44"/>
      <c r="R4885" s="44"/>
      <c r="S4885" s="44"/>
      <c r="T4885" s="44"/>
    </row>
    <row r="4886" spans="12:20" x14ac:dyDescent="0.2">
      <c r="L4886" s="43"/>
      <c r="M4886" s="43"/>
      <c r="N4886" s="43"/>
      <c r="O4886" s="43"/>
      <c r="Q4886" s="44"/>
      <c r="R4886" s="44"/>
      <c r="S4886" s="44"/>
      <c r="T4886" s="44"/>
    </row>
    <row r="4887" spans="12:20" x14ac:dyDescent="0.2">
      <c r="L4887" s="43"/>
      <c r="M4887" s="43"/>
      <c r="N4887" s="43"/>
      <c r="O4887" s="43"/>
      <c r="Q4887" s="44"/>
      <c r="R4887" s="44"/>
      <c r="S4887" s="44"/>
      <c r="T4887" s="44"/>
    </row>
    <row r="4888" spans="12:20" x14ac:dyDescent="0.2">
      <c r="L4888" s="43"/>
      <c r="M4888" s="43"/>
      <c r="N4888" s="43"/>
      <c r="O4888" s="43"/>
      <c r="Q4888" s="44"/>
      <c r="R4888" s="44"/>
      <c r="S4888" s="44"/>
      <c r="T4888" s="44"/>
    </row>
    <row r="4889" spans="12:20" x14ac:dyDescent="0.2">
      <c r="L4889" s="43"/>
      <c r="M4889" s="43"/>
      <c r="N4889" s="43"/>
      <c r="O4889" s="43"/>
      <c r="Q4889" s="44"/>
      <c r="R4889" s="44"/>
      <c r="S4889" s="44"/>
      <c r="T4889" s="44"/>
    </row>
    <row r="4890" spans="12:20" x14ac:dyDescent="0.2">
      <c r="L4890" s="43"/>
      <c r="M4890" s="43"/>
      <c r="N4890" s="43"/>
      <c r="O4890" s="43"/>
      <c r="Q4890" s="44"/>
      <c r="R4890" s="44"/>
      <c r="S4890" s="44"/>
      <c r="T4890" s="44"/>
    </row>
    <row r="4891" spans="12:20" x14ac:dyDescent="0.2">
      <c r="L4891" s="43"/>
      <c r="M4891" s="43"/>
      <c r="N4891" s="43"/>
      <c r="O4891" s="43"/>
      <c r="Q4891" s="44"/>
      <c r="R4891" s="44"/>
      <c r="S4891" s="44"/>
      <c r="T4891" s="44"/>
    </row>
    <row r="4892" spans="12:20" x14ac:dyDescent="0.2">
      <c r="L4892" s="43"/>
      <c r="M4892" s="43"/>
      <c r="N4892" s="43"/>
      <c r="O4892" s="43"/>
      <c r="Q4892" s="44"/>
      <c r="R4892" s="44"/>
      <c r="S4892" s="44"/>
      <c r="T4892" s="44"/>
    </row>
    <row r="4893" spans="12:20" x14ac:dyDescent="0.2">
      <c r="L4893" s="43"/>
      <c r="M4893" s="43"/>
      <c r="N4893" s="43"/>
      <c r="O4893" s="43"/>
      <c r="Q4893" s="44"/>
      <c r="R4893" s="44"/>
      <c r="S4893" s="44"/>
      <c r="T4893" s="44"/>
    </row>
    <row r="4894" spans="12:20" x14ac:dyDescent="0.2">
      <c r="L4894" s="43"/>
      <c r="M4894" s="43"/>
      <c r="N4894" s="43"/>
      <c r="O4894" s="43"/>
      <c r="Q4894" s="44"/>
      <c r="R4894" s="44"/>
      <c r="S4894" s="44"/>
      <c r="T4894" s="44"/>
    </row>
    <row r="4895" spans="12:20" x14ac:dyDescent="0.2">
      <c r="L4895" s="43"/>
      <c r="M4895" s="43"/>
      <c r="N4895" s="43"/>
      <c r="O4895" s="43"/>
      <c r="Q4895" s="44"/>
      <c r="R4895" s="44"/>
      <c r="S4895" s="44"/>
      <c r="T4895" s="44"/>
    </row>
    <row r="4896" spans="12:20" x14ac:dyDescent="0.2">
      <c r="L4896" s="43"/>
      <c r="M4896" s="43"/>
      <c r="N4896" s="43"/>
      <c r="O4896" s="43"/>
      <c r="Q4896" s="44"/>
      <c r="R4896" s="44"/>
      <c r="S4896" s="44"/>
      <c r="T4896" s="44"/>
    </row>
    <row r="4897" spans="12:20" x14ac:dyDescent="0.2">
      <c r="L4897" s="43"/>
      <c r="M4897" s="43"/>
      <c r="N4897" s="43"/>
      <c r="O4897" s="43"/>
      <c r="Q4897" s="44"/>
      <c r="R4897" s="44"/>
      <c r="S4897" s="44"/>
      <c r="T4897" s="44"/>
    </row>
    <row r="4898" spans="12:20" x14ac:dyDescent="0.2">
      <c r="L4898" s="43"/>
      <c r="M4898" s="43"/>
      <c r="N4898" s="43"/>
      <c r="O4898" s="43"/>
      <c r="Q4898" s="44"/>
      <c r="R4898" s="44"/>
      <c r="S4898" s="44"/>
      <c r="T4898" s="44"/>
    </row>
    <row r="4899" spans="12:20" x14ac:dyDescent="0.2">
      <c r="L4899" s="43"/>
      <c r="M4899" s="43"/>
      <c r="N4899" s="43"/>
      <c r="O4899" s="43"/>
      <c r="Q4899" s="44"/>
      <c r="R4899" s="44"/>
      <c r="S4899" s="44"/>
      <c r="T4899" s="44"/>
    </row>
    <row r="4900" spans="12:20" x14ac:dyDescent="0.2">
      <c r="L4900" s="43"/>
      <c r="M4900" s="43"/>
      <c r="N4900" s="43"/>
      <c r="O4900" s="43"/>
      <c r="Q4900" s="44"/>
      <c r="R4900" s="44"/>
      <c r="S4900" s="44"/>
      <c r="T4900" s="44"/>
    </row>
    <row r="4901" spans="12:20" x14ac:dyDescent="0.2">
      <c r="L4901" s="43"/>
      <c r="M4901" s="43"/>
      <c r="N4901" s="43"/>
      <c r="O4901" s="43"/>
      <c r="Q4901" s="44"/>
      <c r="R4901" s="44"/>
      <c r="S4901" s="44"/>
      <c r="T4901" s="44"/>
    </row>
    <row r="4902" spans="12:20" x14ac:dyDescent="0.2">
      <c r="L4902" s="43"/>
      <c r="M4902" s="43"/>
      <c r="N4902" s="43"/>
      <c r="O4902" s="43"/>
      <c r="Q4902" s="44"/>
      <c r="R4902" s="44"/>
      <c r="S4902" s="44"/>
      <c r="T4902" s="44"/>
    </row>
    <row r="4903" spans="12:20" x14ac:dyDescent="0.2">
      <c r="L4903" s="43"/>
      <c r="M4903" s="43"/>
      <c r="N4903" s="43"/>
      <c r="O4903" s="43"/>
      <c r="Q4903" s="44"/>
      <c r="R4903" s="44"/>
      <c r="S4903" s="44"/>
      <c r="T4903" s="44"/>
    </row>
    <row r="4904" spans="12:20" x14ac:dyDescent="0.2">
      <c r="L4904" s="43"/>
      <c r="M4904" s="43"/>
      <c r="N4904" s="43"/>
      <c r="O4904" s="43"/>
      <c r="Q4904" s="44"/>
      <c r="R4904" s="44"/>
      <c r="S4904" s="44"/>
      <c r="T4904" s="44"/>
    </row>
    <row r="4905" spans="12:20" x14ac:dyDescent="0.2">
      <c r="L4905" s="43"/>
      <c r="M4905" s="43"/>
      <c r="N4905" s="43"/>
      <c r="O4905" s="43"/>
      <c r="Q4905" s="44"/>
      <c r="R4905" s="44"/>
      <c r="S4905" s="44"/>
      <c r="T4905" s="44"/>
    </row>
    <row r="4906" spans="12:20" x14ac:dyDescent="0.2">
      <c r="L4906" s="43"/>
      <c r="M4906" s="43"/>
      <c r="N4906" s="43"/>
      <c r="O4906" s="43"/>
      <c r="Q4906" s="44"/>
      <c r="R4906" s="44"/>
      <c r="S4906" s="44"/>
      <c r="T4906" s="44"/>
    </row>
    <row r="4907" spans="12:20" x14ac:dyDescent="0.2">
      <c r="L4907" s="43"/>
      <c r="M4907" s="43"/>
      <c r="N4907" s="43"/>
      <c r="O4907" s="43"/>
      <c r="Q4907" s="44"/>
      <c r="R4907" s="44"/>
      <c r="S4907" s="44"/>
      <c r="T4907" s="44"/>
    </row>
    <row r="4908" spans="12:20" x14ac:dyDescent="0.2">
      <c r="L4908" s="43"/>
      <c r="M4908" s="43"/>
      <c r="N4908" s="43"/>
      <c r="O4908" s="43"/>
      <c r="Q4908" s="44"/>
      <c r="R4908" s="44"/>
      <c r="S4908" s="44"/>
      <c r="T4908" s="44"/>
    </row>
    <row r="4909" spans="12:20" x14ac:dyDescent="0.2">
      <c r="L4909" s="43"/>
      <c r="M4909" s="43"/>
      <c r="N4909" s="43"/>
      <c r="O4909" s="43"/>
      <c r="Q4909" s="44"/>
      <c r="R4909" s="44"/>
      <c r="S4909" s="44"/>
      <c r="T4909" s="44"/>
    </row>
    <row r="4910" spans="12:20" x14ac:dyDescent="0.2">
      <c r="L4910" s="43"/>
      <c r="M4910" s="43"/>
      <c r="N4910" s="43"/>
      <c r="O4910" s="43"/>
      <c r="Q4910" s="44"/>
      <c r="R4910" s="44"/>
      <c r="S4910" s="44"/>
      <c r="T4910" s="44"/>
    </row>
    <row r="4911" spans="12:20" x14ac:dyDescent="0.2">
      <c r="L4911" s="43"/>
      <c r="M4911" s="43"/>
      <c r="N4911" s="43"/>
      <c r="O4911" s="43"/>
      <c r="Q4911" s="44"/>
      <c r="R4911" s="44"/>
      <c r="S4911" s="44"/>
      <c r="T4911" s="44"/>
    </row>
    <row r="4912" spans="12:20" x14ac:dyDescent="0.2">
      <c r="L4912" s="43"/>
      <c r="M4912" s="43"/>
      <c r="N4912" s="43"/>
      <c r="O4912" s="43"/>
      <c r="Q4912" s="44"/>
      <c r="R4912" s="44"/>
      <c r="S4912" s="44"/>
      <c r="T4912" s="44"/>
    </row>
    <row r="4913" spans="12:20" x14ac:dyDescent="0.2">
      <c r="L4913" s="43"/>
      <c r="M4913" s="43"/>
      <c r="N4913" s="43"/>
      <c r="O4913" s="43"/>
      <c r="Q4913" s="44"/>
      <c r="R4913" s="44"/>
      <c r="S4913" s="44"/>
      <c r="T4913" s="44"/>
    </row>
    <row r="4914" spans="12:20" x14ac:dyDescent="0.2">
      <c r="L4914" s="43"/>
      <c r="M4914" s="43"/>
      <c r="N4914" s="43"/>
      <c r="O4914" s="43"/>
      <c r="Q4914" s="44"/>
      <c r="R4914" s="44"/>
      <c r="S4914" s="44"/>
      <c r="T4914" s="44"/>
    </row>
    <row r="4915" spans="12:20" x14ac:dyDescent="0.2">
      <c r="L4915" s="43"/>
      <c r="M4915" s="43"/>
      <c r="N4915" s="43"/>
      <c r="O4915" s="43"/>
      <c r="Q4915" s="44"/>
      <c r="R4915" s="44"/>
      <c r="S4915" s="44"/>
      <c r="T4915" s="44"/>
    </row>
    <row r="4916" spans="12:20" x14ac:dyDescent="0.2">
      <c r="L4916" s="43"/>
      <c r="M4916" s="43"/>
      <c r="N4916" s="43"/>
      <c r="O4916" s="43"/>
      <c r="Q4916" s="44"/>
      <c r="R4916" s="44"/>
      <c r="S4916" s="44"/>
      <c r="T4916" s="44"/>
    </row>
    <row r="4917" spans="12:20" x14ac:dyDescent="0.2">
      <c r="L4917" s="43"/>
      <c r="M4917" s="43"/>
      <c r="N4917" s="43"/>
      <c r="O4917" s="43"/>
      <c r="Q4917" s="44"/>
      <c r="R4917" s="44"/>
      <c r="S4917" s="44"/>
      <c r="T4917" s="44"/>
    </row>
    <row r="4918" spans="12:20" x14ac:dyDescent="0.2">
      <c r="L4918" s="43"/>
      <c r="M4918" s="43"/>
      <c r="N4918" s="43"/>
      <c r="O4918" s="43"/>
      <c r="Q4918" s="44"/>
      <c r="R4918" s="44"/>
      <c r="S4918" s="44"/>
      <c r="T4918" s="44"/>
    </row>
    <row r="4919" spans="12:20" x14ac:dyDescent="0.2">
      <c r="L4919" s="43"/>
      <c r="M4919" s="43"/>
      <c r="N4919" s="43"/>
      <c r="O4919" s="43"/>
      <c r="Q4919" s="44"/>
      <c r="R4919" s="44"/>
      <c r="S4919" s="44"/>
      <c r="T4919" s="44"/>
    </row>
    <row r="4920" spans="12:20" x14ac:dyDescent="0.2">
      <c r="L4920" s="43"/>
      <c r="M4920" s="43"/>
      <c r="N4920" s="43"/>
      <c r="O4920" s="43"/>
      <c r="Q4920" s="44"/>
      <c r="R4920" s="44"/>
      <c r="S4920" s="44"/>
      <c r="T4920" s="44"/>
    </row>
    <row r="4921" spans="12:20" x14ac:dyDescent="0.2">
      <c r="L4921" s="43"/>
      <c r="M4921" s="43"/>
      <c r="N4921" s="43"/>
      <c r="O4921" s="43"/>
      <c r="Q4921" s="44"/>
      <c r="R4921" s="44"/>
      <c r="S4921" s="44"/>
      <c r="T4921" s="44"/>
    </row>
    <row r="4922" spans="12:20" x14ac:dyDescent="0.2">
      <c r="L4922" s="43"/>
      <c r="M4922" s="43"/>
      <c r="N4922" s="43"/>
      <c r="O4922" s="43"/>
      <c r="Q4922" s="44"/>
      <c r="R4922" s="44"/>
      <c r="S4922" s="44"/>
      <c r="T4922" s="44"/>
    </row>
    <row r="4923" spans="12:20" x14ac:dyDescent="0.2">
      <c r="L4923" s="43"/>
      <c r="M4923" s="43"/>
      <c r="N4923" s="43"/>
      <c r="O4923" s="43"/>
      <c r="Q4923" s="44"/>
      <c r="R4923" s="44"/>
      <c r="S4923" s="44"/>
      <c r="T4923" s="44"/>
    </row>
    <row r="4924" spans="12:20" x14ac:dyDescent="0.2">
      <c r="L4924" s="43"/>
      <c r="M4924" s="43"/>
      <c r="N4924" s="43"/>
      <c r="O4924" s="43"/>
      <c r="Q4924" s="44"/>
      <c r="R4924" s="44"/>
      <c r="S4924" s="44"/>
      <c r="T4924" s="44"/>
    </row>
    <row r="4925" spans="12:20" x14ac:dyDescent="0.2">
      <c r="L4925" s="43"/>
      <c r="M4925" s="43"/>
      <c r="N4925" s="43"/>
      <c r="O4925" s="43"/>
      <c r="Q4925" s="44"/>
      <c r="R4925" s="44"/>
      <c r="S4925" s="44"/>
      <c r="T4925" s="44"/>
    </row>
    <row r="4926" spans="12:20" x14ac:dyDescent="0.2">
      <c r="L4926" s="43"/>
      <c r="M4926" s="43"/>
      <c r="N4926" s="43"/>
      <c r="O4926" s="43"/>
      <c r="Q4926" s="44"/>
      <c r="R4926" s="44"/>
      <c r="S4926" s="44"/>
      <c r="T4926" s="44"/>
    </row>
    <row r="4927" spans="12:20" x14ac:dyDescent="0.2">
      <c r="L4927" s="43"/>
      <c r="M4927" s="43"/>
      <c r="N4927" s="43"/>
      <c r="O4927" s="43"/>
      <c r="Q4927" s="44"/>
      <c r="R4927" s="44"/>
      <c r="S4927" s="44"/>
      <c r="T4927" s="44"/>
    </row>
    <row r="4928" spans="12:20" x14ac:dyDescent="0.2">
      <c r="L4928" s="43"/>
      <c r="M4928" s="43"/>
      <c r="N4928" s="43"/>
      <c r="O4928" s="43"/>
      <c r="Q4928" s="44"/>
      <c r="R4928" s="44"/>
      <c r="S4928" s="44"/>
      <c r="T4928" s="44"/>
    </row>
    <row r="4929" spans="12:20" x14ac:dyDescent="0.2">
      <c r="L4929" s="43"/>
      <c r="M4929" s="43"/>
      <c r="N4929" s="43"/>
      <c r="O4929" s="43"/>
      <c r="Q4929" s="44"/>
      <c r="R4929" s="44"/>
      <c r="S4929" s="44"/>
      <c r="T4929" s="44"/>
    </row>
    <row r="4930" spans="12:20" x14ac:dyDescent="0.2">
      <c r="L4930" s="43"/>
      <c r="M4930" s="43"/>
      <c r="N4930" s="43"/>
      <c r="O4930" s="43"/>
      <c r="Q4930" s="44"/>
      <c r="R4930" s="44"/>
      <c r="S4930" s="44"/>
      <c r="T4930" s="44"/>
    </row>
    <row r="4931" spans="12:20" x14ac:dyDescent="0.2">
      <c r="L4931" s="43"/>
      <c r="M4931" s="43"/>
      <c r="N4931" s="43"/>
      <c r="O4931" s="43"/>
      <c r="Q4931" s="44"/>
      <c r="R4931" s="44"/>
      <c r="S4931" s="44"/>
      <c r="T4931" s="44"/>
    </row>
    <row r="4932" spans="12:20" x14ac:dyDescent="0.2">
      <c r="L4932" s="43"/>
      <c r="M4932" s="43"/>
      <c r="N4932" s="43"/>
      <c r="O4932" s="43"/>
      <c r="Q4932" s="44"/>
      <c r="R4932" s="44"/>
      <c r="S4932" s="44"/>
      <c r="T4932" s="44"/>
    </row>
    <row r="4933" spans="12:20" x14ac:dyDescent="0.2">
      <c r="L4933" s="43"/>
      <c r="M4933" s="43"/>
      <c r="N4933" s="43"/>
      <c r="O4933" s="43"/>
      <c r="Q4933" s="44"/>
      <c r="R4933" s="44"/>
      <c r="S4933" s="44"/>
      <c r="T4933" s="44"/>
    </row>
    <row r="4934" spans="12:20" x14ac:dyDescent="0.2">
      <c r="L4934" s="43"/>
      <c r="M4934" s="43"/>
      <c r="N4934" s="43"/>
      <c r="O4934" s="43"/>
      <c r="Q4934" s="44"/>
      <c r="R4934" s="44"/>
      <c r="S4934" s="44"/>
      <c r="T4934" s="44"/>
    </row>
    <row r="4935" spans="12:20" x14ac:dyDescent="0.2">
      <c r="L4935" s="43"/>
      <c r="M4935" s="43"/>
      <c r="N4935" s="43"/>
      <c r="O4935" s="43"/>
      <c r="Q4935" s="44"/>
      <c r="R4935" s="44"/>
      <c r="S4935" s="44"/>
      <c r="T4935" s="44"/>
    </row>
    <row r="4936" spans="12:20" x14ac:dyDescent="0.2">
      <c r="L4936" s="43"/>
      <c r="M4936" s="43"/>
      <c r="N4936" s="43"/>
      <c r="O4936" s="43"/>
      <c r="Q4936" s="44"/>
      <c r="R4936" s="44"/>
      <c r="S4936" s="44"/>
      <c r="T4936" s="44"/>
    </row>
    <row r="4937" spans="12:20" x14ac:dyDescent="0.2">
      <c r="L4937" s="43"/>
      <c r="M4937" s="43"/>
      <c r="N4937" s="43"/>
      <c r="O4937" s="43"/>
      <c r="Q4937" s="44"/>
      <c r="R4937" s="44"/>
      <c r="S4937" s="44"/>
      <c r="T4937" s="44"/>
    </row>
    <row r="4938" spans="12:20" x14ac:dyDescent="0.2">
      <c r="L4938" s="43"/>
      <c r="M4938" s="43"/>
      <c r="N4938" s="43"/>
      <c r="O4938" s="43"/>
      <c r="Q4938" s="44"/>
      <c r="R4938" s="44"/>
      <c r="S4938" s="44"/>
      <c r="T4938" s="44"/>
    </row>
    <row r="4939" spans="12:20" x14ac:dyDescent="0.2">
      <c r="L4939" s="43"/>
      <c r="M4939" s="43"/>
      <c r="N4939" s="43"/>
      <c r="O4939" s="43"/>
      <c r="Q4939" s="44"/>
      <c r="R4939" s="44"/>
      <c r="S4939" s="44"/>
      <c r="T4939" s="44"/>
    </row>
    <row r="4940" spans="12:20" x14ac:dyDescent="0.2">
      <c r="L4940" s="43"/>
      <c r="M4940" s="43"/>
      <c r="N4940" s="43"/>
      <c r="O4940" s="43"/>
      <c r="Q4940" s="44"/>
      <c r="R4940" s="44"/>
      <c r="S4940" s="44"/>
      <c r="T4940" s="44"/>
    </row>
    <row r="4941" spans="12:20" x14ac:dyDescent="0.2">
      <c r="L4941" s="43"/>
      <c r="M4941" s="43"/>
      <c r="N4941" s="43"/>
      <c r="O4941" s="43"/>
      <c r="Q4941" s="44"/>
      <c r="R4941" s="44"/>
      <c r="S4941" s="44"/>
      <c r="T4941" s="44"/>
    </row>
    <row r="4942" spans="12:20" x14ac:dyDescent="0.2">
      <c r="L4942" s="43"/>
      <c r="M4942" s="43"/>
      <c r="N4942" s="43"/>
      <c r="O4942" s="43"/>
      <c r="Q4942" s="44"/>
      <c r="R4942" s="44"/>
      <c r="S4942" s="44"/>
      <c r="T4942" s="44"/>
    </row>
    <row r="4943" spans="12:20" x14ac:dyDescent="0.2">
      <c r="L4943" s="43"/>
      <c r="M4943" s="43"/>
      <c r="N4943" s="43"/>
      <c r="O4943" s="43"/>
      <c r="Q4943" s="44"/>
      <c r="R4943" s="44"/>
      <c r="S4943" s="44"/>
      <c r="T4943" s="44"/>
    </row>
    <row r="4944" spans="12:20" x14ac:dyDescent="0.2">
      <c r="L4944" s="43"/>
      <c r="M4944" s="43"/>
      <c r="N4944" s="43"/>
      <c r="O4944" s="43"/>
      <c r="Q4944" s="44"/>
      <c r="R4944" s="44"/>
      <c r="S4944" s="44"/>
      <c r="T4944" s="44"/>
    </row>
    <row r="4945" spans="12:20" x14ac:dyDescent="0.2">
      <c r="L4945" s="43"/>
      <c r="M4945" s="43"/>
      <c r="N4945" s="43"/>
      <c r="O4945" s="43"/>
      <c r="Q4945" s="44"/>
      <c r="R4945" s="44"/>
      <c r="S4945" s="44"/>
      <c r="T4945" s="44"/>
    </row>
    <row r="4946" spans="12:20" x14ac:dyDescent="0.2">
      <c r="L4946" s="43"/>
      <c r="M4946" s="43"/>
      <c r="N4946" s="43"/>
      <c r="O4946" s="43"/>
      <c r="Q4946" s="44"/>
      <c r="R4946" s="44"/>
      <c r="S4946" s="44"/>
      <c r="T4946" s="44"/>
    </row>
    <row r="4947" spans="12:20" x14ac:dyDescent="0.2">
      <c r="L4947" s="43"/>
      <c r="M4947" s="43"/>
      <c r="N4947" s="43"/>
      <c r="O4947" s="43"/>
      <c r="Q4947" s="44"/>
      <c r="R4947" s="44"/>
      <c r="S4947" s="44"/>
      <c r="T4947" s="44"/>
    </row>
    <row r="4948" spans="12:20" x14ac:dyDescent="0.2">
      <c r="L4948" s="43"/>
      <c r="M4948" s="43"/>
      <c r="N4948" s="43"/>
      <c r="O4948" s="43"/>
      <c r="Q4948" s="44"/>
      <c r="R4948" s="44"/>
      <c r="S4948" s="44"/>
      <c r="T4948" s="44"/>
    </row>
    <row r="4949" spans="12:20" x14ac:dyDescent="0.2">
      <c r="L4949" s="43"/>
      <c r="M4949" s="43"/>
      <c r="N4949" s="43"/>
      <c r="O4949" s="43"/>
      <c r="Q4949" s="44"/>
      <c r="R4949" s="44"/>
      <c r="S4949" s="44"/>
      <c r="T4949" s="44"/>
    </row>
    <row r="4950" spans="12:20" x14ac:dyDescent="0.2">
      <c r="L4950" s="43"/>
      <c r="M4950" s="43"/>
      <c r="N4950" s="43"/>
      <c r="O4950" s="43"/>
      <c r="Q4950" s="44"/>
      <c r="R4950" s="44"/>
      <c r="S4950" s="44"/>
      <c r="T4950" s="44"/>
    </row>
    <row r="4951" spans="12:20" x14ac:dyDescent="0.2">
      <c r="L4951" s="43"/>
      <c r="M4951" s="43"/>
      <c r="N4951" s="43"/>
      <c r="O4951" s="43"/>
      <c r="Q4951" s="44"/>
      <c r="R4951" s="44"/>
      <c r="S4951" s="44"/>
      <c r="T4951" s="44"/>
    </row>
    <row r="4952" spans="12:20" x14ac:dyDescent="0.2">
      <c r="L4952" s="43"/>
      <c r="M4952" s="43"/>
      <c r="N4952" s="43"/>
      <c r="O4952" s="43"/>
      <c r="Q4952" s="44"/>
      <c r="R4952" s="44"/>
      <c r="S4952" s="44"/>
      <c r="T4952" s="44"/>
    </row>
    <row r="4953" spans="12:20" x14ac:dyDescent="0.2">
      <c r="L4953" s="43"/>
      <c r="M4953" s="43"/>
      <c r="N4953" s="43"/>
      <c r="O4953" s="43"/>
      <c r="Q4953" s="44"/>
      <c r="R4953" s="44"/>
      <c r="S4953" s="44"/>
      <c r="T4953" s="44"/>
    </row>
    <row r="4954" spans="12:20" x14ac:dyDescent="0.2">
      <c r="L4954" s="43"/>
      <c r="M4954" s="43"/>
      <c r="N4954" s="43"/>
      <c r="O4954" s="43"/>
      <c r="Q4954" s="44"/>
      <c r="R4954" s="44"/>
      <c r="S4954" s="44"/>
      <c r="T4954" s="44"/>
    </row>
    <row r="4955" spans="12:20" x14ac:dyDescent="0.2">
      <c r="L4955" s="43"/>
      <c r="M4955" s="43"/>
      <c r="N4955" s="43"/>
      <c r="O4955" s="43"/>
      <c r="Q4955" s="44"/>
      <c r="R4955" s="44"/>
      <c r="S4955" s="44"/>
      <c r="T4955" s="44"/>
    </row>
    <row r="4956" spans="12:20" x14ac:dyDescent="0.2">
      <c r="L4956" s="43"/>
      <c r="M4956" s="43"/>
      <c r="N4956" s="43"/>
      <c r="O4956" s="43"/>
      <c r="Q4956" s="44"/>
      <c r="R4956" s="44"/>
      <c r="S4956" s="44"/>
      <c r="T4956" s="44"/>
    </row>
    <row r="4957" spans="12:20" x14ac:dyDescent="0.2">
      <c r="L4957" s="43"/>
      <c r="M4957" s="43"/>
      <c r="N4957" s="43"/>
      <c r="O4957" s="43"/>
      <c r="Q4957" s="44"/>
      <c r="R4957" s="44"/>
      <c r="S4957" s="44"/>
      <c r="T4957" s="44"/>
    </row>
    <row r="4958" spans="12:20" x14ac:dyDescent="0.2">
      <c r="L4958" s="43"/>
      <c r="M4958" s="43"/>
      <c r="N4958" s="43"/>
      <c r="O4958" s="43"/>
      <c r="Q4958" s="44"/>
      <c r="R4958" s="44"/>
      <c r="S4958" s="44"/>
      <c r="T4958" s="44"/>
    </row>
    <row r="4959" spans="12:20" x14ac:dyDescent="0.2">
      <c r="L4959" s="43"/>
      <c r="M4959" s="43"/>
      <c r="N4959" s="43"/>
      <c r="O4959" s="43"/>
      <c r="Q4959" s="44"/>
      <c r="R4959" s="44"/>
      <c r="S4959" s="44"/>
      <c r="T4959" s="44"/>
    </row>
    <row r="4960" spans="12:20" x14ac:dyDescent="0.2">
      <c r="L4960" s="43"/>
      <c r="M4960" s="43"/>
      <c r="N4960" s="43"/>
      <c r="O4960" s="43"/>
      <c r="Q4960" s="44"/>
      <c r="R4960" s="44"/>
      <c r="S4960" s="44"/>
      <c r="T4960" s="44"/>
    </row>
    <row r="4961" spans="12:20" x14ac:dyDescent="0.2">
      <c r="L4961" s="43"/>
      <c r="M4961" s="43"/>
      <c r="N4961" s="43"/>
      <c r="O4961" s="43"/>
      <c r="Q4961" s="44"/>
      <c r="R4961" s="44"/>
      <c r="S4961" s="44"/>
      <c r="T4961" s="44"/>
    </row>
    <row r="4962" spans="12:20" x14ac:dyDescent="0.2">
      <c r="L4962" s="43"/>
      <c r="M4962" s="43"/>
      <c r="N4962" s="43"/>
      <c r="O4962" s="43"/>
      <c r="Q4962" s="44"/>
      <c r="R4962" s="44"/>
      <c r="S4962" s="44"/>
      <c r="T4962" s="44"/>
    </row>
    <row r="4963" spans="12:20" x14ac:dyDescent="0.2">
      <c r="L4963" s="43"/>
      <c r="M4963" s="43"/>
      <c r="N4963" s="43"/>
      <c r="O4963" s="43"/>
      <c r="Q4963" s="44"/>
      <c r="R4963" s="44"/>
      <c r="S4963" s="44"/>
      <c r="T4963" s="44"/>
    </row>
    <row r="4964" spans="12:20" x14ac:dyDescent="0.2">
      <c r="L4964" s="43"/>
      <c r="M4964" s="43"/>
      <c r="N4964" s="43"/>
      <c r="O4964" s="43"/>
      <c r="Q4964" s="44"/>
      <c r="R4964" s="44"/>
      <c r="S4964" s="44"/>
      <c r="T4964" s="44"/>
    </row>
    <row r="4965" spans="12:20" x14ac:dyDescent="0.2">
      <c r="L4965" s="43"/>
      <c r="M4965" s="43"/>
      <c r="N4965" s="43"/>
      <c r="O4965" s="43"/>
      <c r="Q4965" s="44"/>
      <c r="R4965" s="44"/>
      <c r="S4965" s="44"/>
      <c r="T4965" s="44"/>
    </row>
    <row r="4966" spans="12:20" x14ac:dyDescent="0.2">
      <c r="L4966" s="43"/>
      <c r="M4966" s="43"/>
      <c r="N4966" s="43"/>
      <c r="O4966" s="43"/>
      <c r="Q4966" s="44"/>
      <c r="R4966" s="44"/>
      <c r="S4966" s="44"/>
      <c r="T4966" s="44"/>
    </row>
    <row r="4967" spans="12:20" x14ac:dyDescent="0.2">
      <c r="L4967" s="43"/>
      <c r="M4967" s="43"/>
      <c r="N4967" s="43"/>
      <c r="O4967" s="43"/>
      <c r="Q4967" s="44"/>
      <c r="R4967" s="44"/>
      <c r="S4967" s="44"/>
      <c r="T4967" s="44"/>
    </row>
    <row r="4968" spans="12:20" x14ac:dyDescent="0.2">
      <c r="L4968" s="43"/>
      <c r="M4968" s="43"/>
      <c r="N4968" s="43"/>
      <c r="O4968" s="43"/>
      <c r="Q4968" s="44"/>
      <c r="R4968" s="44"/>
      <c r="S4968" s="44"/>
      <c r="T4968" s="44"/>
    </row>
    <row r="4969" spans="12:20" x14ac:dyDescent="0.2">
      <c r="L4969" s="43"/>
      <c r="M4969" s="43"/>
      <c r="N4969" s="43"/>
      <c r="O4969" s="43"/>
      <c r="Q4969" s="44"/>
      <c r="R4969" s="44"/>
      <c r="S4969" s="44"/>
      <c r="T4969" s="44"/>
    </row>
    <row r="4970" spans="12:20" x14ac:dyDescent="0.2">
      <c r="L4970" s="43"/>
      <c r="M4970" s="43"/>
      <c r="N4970" s="43"/>
      <c r="O4970" s="43"/>
      <c r="Q4970" s="44"/>
      <c r="R4970" s="44"/>
      <c r="S4970" s="44"/>
      <c r="T4970" s="44"/>
    </row>
    <row r="4971" spans="12:20" x14ac:dyDescent="0.2">
      <c r="L4971" s="43"/>
      <c r="M4971" s="43"/>
      <c r="N4971" s="43"/>
      <c r="O4971" s="43"/>
      <c r="Q4971" s="44"/>
      <c r="R4971" s="44"/>
      <c r="S4971" s="44"/>
      <c r="T4971" s="44"/>
    </row>
    <row r="4972" spans="12:20" x14ac:dyDescent="0.2">
      <c r="L4972" s="43"/>
      <c r="M4972" s="43"/>
      <c r="N4972" s="43"/>
      <c r="O4972" s="43"/>
      <c r="Q4972" s="44"/>
      <c r="R4972" s="44"/>
      <c r="S4972" s="44"/>
      <c r="T4972" s="44"/>
    </row>
    <row r="4973" spans="12:20" x14ac:dyDescent="0.2">
      <c r="L4973" s="43"/>
      <c r="M4973" s="43"/>
      <c r="N4973" s="43"/>
      <c r="O4973" s="43"/>
      <c r="Q4973" s="44"/>
      <c r="R4973" s="44"/>
      <c r="S4973" s="44"/>
      <c r="T4973" s="44"/>
    </row>
    <row r="4974" spans="12:20" x14ac:dyDescent="0.2">
      <c r="L4974" s="43"/>
      <c r="M4974" s="43"/>
      <c r="N4974" s="43"/>
      <c r="O4974" s="43"/>
      <c r="Q4974" s="44"/>
      <c r="R4974" s="44"/>
      <c r="S4974" s="44"/>
      <c r="T4974" s="44"/>
    </row>
    <row r="4975" spans="12:20" x14ac:dyDescent="0.2">
      <c r="L4975" s="43"/>
      <c r="M4975" s="43"/>
      <c r="N4975" s="43"/>
      <c r="O4975" s="43"/>
      <c r="Q4975" s="44"/>
      <c r="R4975" s="44"/>
      <c r="S4975" s="44"/>
      <c r="T4975" s="44"/>
    </row>
    <row r="4976" spans="12:20" x14ac:dyDescent="0.2">
      <c r="L4976" s="43"/>
      <c r="M4976" s="43"/>
      <c r="N4976" s="43"/>
      <c r="O4976" s="43"/>
      <c r="Q4976" s="44"/>
      <c r="R4976" s="44"/>
      <c r="S4976" s="44"/>
      <c r="T4976" s="44"/>
    </row>
    <row r="4977" spans="12:20" x14ac:dyDescent="0.2">
      <c r="L4977" s="43"/>
      <c r="M4977" s="43"/>
      <c r="N4977" s="43"/>
      <c r="O4977" s="43"/>
      <c r="Q4977" s="44"/>
      <c r="R4977" s="44"/>
      <c r="S4977" s="44"/>
      <c r="T4977" s="44"/>
    </row>
    <row r="4978" spans="12:20" x14ac:dyDescent="0.2">
      <c r="L4978" s="43"/>
      <c r="M4978" s="43"/>
      <c r="N4978" s="43"/>
      <c r="O4978" s="43"/>
      <c r="Q4978" s="44"/>
      <c r="R4978" s="44"/>
      <c r="S4978" s="44"/>
      <c r="T4978" s="44"/>
    </row>
    <row r="4979" spans="12:20" x14ac:dyDescent="0.2">
      <c r="L4979" s="43"/>
      <c r="M4979" s="43"/>
      <c r="N4979" s="43"/>
      <c r="O4979" s="43"/>
      <c r="Q4979" s="44"/>
      <c r="R4979" s="44"/>
      <c r="S4979" s="44"/>
      <c r="T4979" s="44"/>
    </row>
    <row r="4980" spans="12:20" x14ac:dyDescent="0.2">
      <c r="L4980" s="43"/>
      <c r="M4980" s="43"/>
      <c r="N4980" s="43"/>
      <c r="O4980" s="43"/>
      <c r="Q4980" s="44"/>
      <c r="R4980" s="44"/>
      <c r="S4980" s="44"/>
      <c r="T4980" s="44"/>
    </row>
    <row r="4981" spans="12:20" x14ac:dyDescent="0.2">
      <c r="L4981" s="43"/>
      <c r="M4981" s="43"/>
      <c r="N4981" s="43"/>
      <c r="O4981" s="43"/>
      <c r="Q4981" s="44"/>
      <c r="R4981" s="44"/>
      <c r="S4981" s="44"/>
      <c r="T4981" s="44"/>
    </row>
    <row r="4982" spans="12:20" x14ac:dyDescent="0.2">
      <c r="L4982" s="43"/>
      <c r="M4982" s="43"/>
      <c r="N4982" s="43"/>
      <c r="O4982" s="43"/>
      <c r="Q4982" s="44"/>
      <c r="R4982" s="44"/>
      <c r="S4982" s="44"/>
      <c r="T4982" s="44"/>
    </row>
    <row r="4983" spans="12:20" x14ac:dyDescent="0.2">
      <c r="L4983" s="43"/>
      <c r="M4983" s="43"/>
      <c r="N4983" s="43"/>
      <c r="O4983" s="43"/>
      <c r="Q4983" s="44"/>
      <c r="R4983" s="44"/>
      <c r="S4983" s="44"/>
      <c r="T4983" s="44"/>
    </row>
    <row r="4984" spans="12:20" x14ac:dyDescent="0.2">
      <c r="L4984" s="43"/>
      <c r="M4984" s="43"/>
      <c r="N4984" s="43"/>
      <c r="O4984" s="43"/>
      <c r="Q4984" s="44"/>
      <c r="R4984" s="44"/>
      <c r="S4984" s="44"/>
      <c r="T4984" s="44"/>
    </row>
    <row r="4985" spans="12:20" x14ac:dyDescent="0.2">
      <c r="L4985" s="43"/>
      <c r="M4985" s="43"/>
      <c r="N4985" s="43"/>
      <c r="O4985" s="43"/>
      <c r="Q4985" s="44"/>
      <c r="R4985" s="44"/>
      <c r="S4985" s="44"/>
      <c r="T4985" s="44"/>
    </row>
    <row r="4986" spans="12:20" x14ac:dyDescent="0.2">
      <c r="L4986" s="43"/>
      <c r="M4986" s="43"/>
      <c r="N4986" s="43"/>
      <c r="O4986" s="43"/>
      <c r="Q4986" s="44"/>
      <c r="R4986" s="44"/>
      <c r="S4986" s="44"/>
      <c r="T4986" s="44"/>
    </row>
    <row r="4987" spans="12:20" x14ac:dyDescent="0.2">
      <c r="L4987" s="43"/>
      <c r="M4987" s="43"/>
      <c r="N4987" s="43"/>
      <c r="O4987" s="43"/>
      <c r="Q4987" s="44"/>
      <c r="R4987" s="44"/>
      <c r="S4987" s="44"/>
      <c r="T4987" s="44"/>
    </row>
    <row r="4988" spans="12:20" x14ac:dyDescent="0.2">
      <c r="L4988" s="43"/>
      <c r="M4988" s="43"/>
      <c r="N4988" s="43"/>
      <c r="O4988" s="43"/>
      <c r="Q4988" s="44"/>
      <c r="R4988" s="44"/>
      <c r="S4988" s="44"/>
      <c r="T4988" s="44"/>
    </row>
    <row r="4989" spans="12:20" x14ac:dyDescent="0.2">
      <c r="L4989" s="43"/>
      <c r="M4989" s="43"/>
      <c r="N4989" s="43"/>
      <c r="O4989" s="43"/>
      <c r="Q4989" s="44"/>
      <c r="R4989" s="44"/>
      <c r="S4989" s="44"/>
      <c r="T4989" s="44"/>
    </row>
    <row r="4990" spans="12:20" x14ac:dyDescent="0.2">
      <c r="L4990" s="43"/>
      <c r="M4990" s="43"/>
      <c r="N4990" s="43"/>
      <c r="O4990" s="43"/>
      <c r="Q4990" s="44"/>
      <c r="R4990" s="44"/>
      <c r="S4990" s="44"/>
      <c r="T4990" s="44"/>
    </row>
    <row r="4991" spans="12:20" x14ac:dyDescent="0.2">
      <c r="L4991" s="43"/>
      <c r="M4991" s="43"/>
      <c r="N4991" s="43"/>
      <c r="O4991" s="43"/>
      <c r="Q4991" s="44"/>
      <c r="R4991" s="44"/>
      <c r="S4991" s="44"/>
      <c r="T4991" s="44"/>
    </row>
    <row r="4992" spans="12:20" x14ac:dyDescent="0.2">
      <c r="L4992" s="43"/>
      <c r="M4992" s="43"/>
      <c r="N4992" s="43"/>
      <c r="O4992" s="43"/>
      <c r="Q4992" s="44"/>
      <c r="R4992" s="44"/>
      <c r="S4992" s="44"/>
      <c r="T4992" s="44"/>
    </row>
    <row r="4993" spans="12:20" x14ac:dyDescent="0.2">
      <c r="L4993" s="43"/>
      <c r="M4993" s="43"/>
      <c r="N4993" s="43"/>
      <c r="O4993" s="43"/>
      <c r="Q4993" s="44"/>
      <c r="R4993" s="44"/>
      <c r="S4993" s="44"/>
      <c r="T4993" s="44"/>
    </row>
    <row r="4994" spans="12:20" x14ac:dyDescent="0.2">
      <c r="L4994" s="43"/>
      <c r="M4994" s="43"/>
      <c r="N4994" s="43"/>
      <c r="O4994" s="43"/>
      <c r="Q4994" s="44"/>
      <c r="R4994" s="44"/>
      <c r="S4994" s="44"/>
      <c r="T4994" s="44"/>
    </row>
    <row r="4995" spans="12:20" x14ac:dyDescent="0.2">
      <c r="L4995" s="43"/>
      <c r="M4995" s="43"/>
      <c r="N4995" s="43"/>
      <c r="O4995" s="43"/>
      <c r="Q4995" s="44"/>
      <c r="R4995" s="44"/>
      <c r="S4995" s="44"/>
      <c r="T4995" s="44"/>
    </row>
    <row r="4996" spans="12:20" x14ac:dyDescent="0.2">
      <c r="L4996" s="43"/>
      <c r="M4996" s="43"/>
      <c r="N4996" s="43"/>
      <c r="O4996" s="43"/>
      <c r="Q4996" s="44"/>
      <c r="R4996" s="44"/>
      <c r="S4996" s="44"/>
      <c r="T4996" s="44"/>
    </row>
    <row r="4997" spans="12:20" x14ac:dyDescent="0.2">
      <c r="L4997" s="43"/>
      <c r="M4997" s="43"/>
      <c r="N4997" s="43"/>
      <c r="O4997" s="43"/>
      <c r="Q4997" s="44"/>
      <c r="R4997" s="44"/>
      <c r="S4997" s="44"/>
      <c r="T4997" s="44"/>
    </row>
    <row r="4998" spans="12:20" x14ac:dyDescent="0.2">
      <c r="L4998" s="43"/>
      <c r="M4998" s="43"/>
      <c r="N4998" s="43"/>
      <c r="O4998" s="43"/>
      <c r="Q4998" s="44"/>
      <c r="R4998" s="44"/>
      <c r="S4998" s="44"/>
      <c r="T4998" s="44"/>
    </row>
    <row r="4999" spans="12:20" x14ac:dyDescent="0.2">
      <c r="L4999" s="43"/>
      <c r="M4999" s="43"/>
      <c r="N4999" s="43"/>
      <c r="O4999" s="43"/>
      <c r="Q4999" s="44"/>
      <c r="R4999" s="44"/>
      <c r="S4999" s="44"/>
      <c r="T4999" s="44"/>
    </row>
    <row r="5000" spans="12:20" x14ac:dyDescent="0.2">
      <c r="L5000" s="43"/>
      <c r="M5000" s="43"/>
      <c r="N5000" s="43"/>
      <c r="O5000" s="43"/>
      <c r="Q5000" s="44"/>
      <c r="R5000" s="44"/>
      <c r="S5000" s="44"/>
      <c r="T5000" s="44"/>
    </row>
    <row r="5001" spans="12:20" x14ac:dyDescent="0.2">
      <c r="L5001" s="43"/>
      <c r="M5001" s="43"/>
      <c r="N5001" s="43"/>
      <c r="O5001" s="43"/>
      <c r="Q5001" s="44"/>
      <c r="R5001" s="44"/>
      <c r="S5001" s="44"/>
      <c r="T5001" s="44"/>
    </row>
    <row r="5002" spans="12:20" x14ac:dyDescent="0.2">
      <c r="L5002" s="43"/>
      <c r="M5002" s="43"/>
      <c r="N5002" s="43"/>
      <c r="O5002" s="43"/>
      <c r="Q5002" s="44"/>
      <c r="R5002" s="44"/>
      <c r="S5002" s="44"/>
      <c r="T5002" s="44"/>
    </row>
    <row r="5003" spans="12:20" x14ac:dyDescent="0.2">
      <c r="L5003" s="43"/>
      <c r="M5003" s="43"/>
      <c r="N5003" s="43"/>
      <c r="O5003" s="43"/>
      <c r="Q5003" s="44"/>
      <c r="R5003" s="44"/>
      <c r="S5003" s="44"/>
      <c r="T5003" s="44"/>
    </row>
    <row r="5004" spans="12:20" x14ac:dyDescent="0.2">
      <c r="L5004" s="43"/>
      <c r="M5004" s="43"/>
      <c r="N5004" s="43"/>
      <c r="O5004" s="43"/>
      <c r="Q5004" s="44"/>
      <c r="R5004" s="44"/>
      <c r="S5004" s="44"/>
      <c r="T5004" s="44"/>
    </row>
    <row r="5005" spans="12:20" x14ac:dyDescent="0.2">
      <c r="L5005" s="43"/>
      <c r="M5005" s="43"/>
      <c r="N5005" s="43"/>
      <c r="O5005" s="43"/>
      <c r="Q5005" s="44"/>
      <c r="R5005" s="44"/>
      <c r="S5005" s="44"/>
      <c r="T5005" s="44"/>
    </row>
    <row r="5006" spans="12:20" x14ac:dyDescent="0.2">
      <c r="L5006" s="43"/>
      <c r="M5006" s="43"/>
      <c r="N5006" s="43"/>
      <c r="O5006" s="43"/>
      <c r="Q5006" s="44"/>
      <c r="R5006" s="44"/>
      <c r="S5006" s="44"/>
      <c r="T5006" s="44"/>
    </row>
    <row r="5007" spans="12:20" x14ac:dyDescent="0.2">
      <c r="L5007" s="43"/>
      <c r="M5007" s="43"/>
      <c r="N5007" s="43"/>
      <c r="O5007" s="43"/>
      <c r="Q5007" s="44"/>
      <c r="R5007" s="44"/>
      <c r="S5007" s="44"/>
      <c r="T5007" s="44"/>
    </row>
    <row r="5008" spans="12:20" x14ac:dyDescent="0.2">
      <c r="L5008" s="43"/>
      <c r="M5008" s="43"/>
      <c r="N5008" s="43"/>
      <c r="O5008" s="43"/>
      <c r="Q5008" s="44"/>
      <c r="R5008" s="44"/>
      <c r="S5008" s="44"/>
      <c r="T5008" s="44"/>
    </row>
    <row r="5009" spans="12:20" x14ac:dyDescent="0.2">
      <c r="L5009" s="43"/>
      <c r="M5009" s="43"/>
      <c r="N5009" s="43"/>
      <c r="O5009" s="43"/>
      <c r="Q5009" s="44"/>
      <c r="R5009" s="44"/>
      <c r="S5009" s="44"/>
      <c r="T5009" s="44"/>
    </row>
    <row r="5010" spans="12:20" x14ac:dyDescent="0.2">
      <c r="L5010" s="43"/>
      <c r="M5010" s="43"/>
      <c r="N5010" s="43"/>
      <c r="O5010" s="43"/>
      <c r="Q5010" s="44"/>
      <c r="R5010" s="44"/>
      <c r="S5010" s="44"/>
      <c r="T5010" s="44"/>
    </row>
    <row r="5011" spans="12:20" x14ac:dyDescent="0.2">
      <c r="L5011" s="43"/>
      <c r="M5011" s="43"/>
      <c r="N5011" s="43"/>
      <c r="O5011" s="43"/>
      <c r="Q5011" s="44"/>
      <c r="R5011" s="44"/>
      <c r="S5011" s="44"/>
      <c r="T5011" s="44"/>
    </row>
    <row r="5012" spans="12:20" x14ac:dyDescent="0.2">
      <c r="L5012" s="43"/>
      <c r="M5012" s="43"/>
      <c r="N5012" s="43"/>
      <c r="O5012" s="43"/>
      <c r="Q5012" s="44"/>
      <c r="R5012" s="44"/>
      <c r="S5012" s="44"/>
      <c r="T5012" s="44"/>
    </row>
    <row r="5013" spans="12:20" x14ac:dyDescent="0.2">
      <c r="L5013" s="43"/>
      <c r="M5013" s="43"/>
      <c r="N5013" s="43"/>
      <c r="O5013" s="43"/>
      <c r="Q5013" s="44"/>
      <c r="R5013" s="44"/>
      <c r="S5013" s="44"/>
      <c r="T5013" s="44"/>
    </row>
    <row r="5014" spans="12:20" x14ac:dyDescent="0.2">
      <c r="L5014" s="43"/>
      <c r="M5014" s="43"/>
      <c r="N5014" s="43"/>
      <c r="O5014" s="43"/>
      <c r="Q5014" s="44"/>
      <c r="R5014" s="44"/>
      <c r="S5014" s="44"/>
      <c r="T5014" s="44"/>
    </row>
    <row r="5015" spans="12:20" x14ac:dyDescent="0.2">
      <c r="L5015" s="43"/>
      <c r="M5015" s="43"/>
      <c r="N5015" s="43"/>
      <c r="O5015" s="43"/>
      <c r="Q5015" s="44"/>
      <c r="R5015" s="44"/>
      <c r="S5015" s="44"/>
      <c r="T5015" s="44"/>
    </row>
    <row r="5016" spans="12:20" x14ac:dyDescent="0.2">
      <c r="L5016" s="43"/>
      <c r="M5016" s="43"/>
      <c r="N5016" s="43"/>
      <c r="O5016" s="43"/>
      <c r="Q5016" s="44"/>
      <c r="R5016" s="44"/>
      <c r="S5016" s="44"/>
      <c r="T5016" s="44"/>
    </row>
    <row r="5017" spans="12:20" x14ac:dyDescent="0.2">
      <c r="L5017" s="43"/>
      <c r="M5017" s="43"/>
      <c r="N5017" s="43"/>
      <c r="O5017" s="43"/>
      <c r="Q5017" s="44"/>
      <c r="R5017" s="44"/>
      <c r="S5017" s="44"/>
      <c r="T5017" s="44"/>
    </row>
    <row r="5018" spans="12:20" x14ac:dyDescent="0.2">
      <c r="L5018" s="43"/>
      <c r="M5018" s="43"/>
      <c r="N5018" s="43"/>
      <c r="O5018" s="43"/>
      <c r="Q5018" s="44"/>
      <c r="R5018" s="44"/>
      <c r="S5018" s="44"/>
      <c r="T5018" s="44"/>
    </row>
    <row r="5019" spans="12:20" x14ac:dyDescent="0.2">
      <c r="L5019" s="43"/>
      <c r="M5019" s="43"/>
      <c r="N5019" s="43"/>
      <c r="O5019" s="43"/>
      <c r="Q5019" s="44"/>
      <c r="R5019" s="44"/>
      <c r="S5019" s="44"/>
      <c r="T5019" s="44"/>
    </row>
    <row r="5020" spans="12:20" x14ac:dyDescent="0.2">
      <c r="L5020" s="43"/>
      <c r="M5020" s="43"/>
      <c r="N5020" s="43"/>
      <c r="O5020" s="43"/>
      <c r="Q5020" s="44"/>
      <c r="R5020" s="44"/>
      <c r="S5020" s="44"/>
      <c r="T5020" s="44"/>
    </row>
    <row r="5021" spans="12:20" x14ac:dyDescent="0.2">
      <c r="L5021" s="43"/>
      <c r="M5021" s="43"/>
      <c r="N5021" s="43"/>
      <c r="O5021" s="43"/>
      <c r="Q5021" s="44"/>
      <c r="R5021" s="44"/>
      <c r="S5021" s="44"/>
      <c r="T5021" s="44"/>
    </row>
    <row r="5022" spans="12:20" x14ac:dyDescent="0.2">
      <c r="L5022" s="43"/>
      <c r="M5022" s="43"/>
      <c r="N5022" s="43"/>
      <c r="O5022" s="43"/>
      <c r="Q5022" s="44"/>
      <c r="R5022" s="44"/>
      <c r="S5022" s="44"/>
      <c r="T5022" s="44"/>
    </row>
    <row r="5023" spans="12:20" x14ac:dyDescent="0.2">
      <c r="L5023" s="43"/>
      <c r="M5023" s="43"/>
      <c r="N5023" s="43"/>
      <c r="O5023" s="43"/>
      <c r="Q5023" s="44"/>
      <c r="R5023" s="44"/>
      <c r="S5023" s="44"/>
      <c r="T5023" s="44"/>
    </row>
    <row r="5024" spans="12:20" x14ac:dyDescent="0.2">
      <c r="L5024" s="43"/>
      <c r="M5024" s="43"/>
      <c r="N5024" s="43"/>
      <c r="O5024" s="43"/>
      <c r="Q5024" s="44"/>
      <c r="R5024" s="44"/>
      <c r="S5024" s="44"/>
      <c r="T5024" s="44"/>
    </row>
    <row r="5025" spans="12:20" x14ac:dyDescent="0.2">
      <c r="L5025" s="43"/>
      <c r="M5025" s="43"/>
      <c r="N5025" s="43"/>
      <c r="O5025" s="43"/>
      <c r="Q5025" s="44"/>
      <c r="R5025" s="44"/>
      <c r="S5025" s="44"/>
      <c r="T5025" s="44"/>
    </row>
    <row r="5026" spans="12:20" x14ac:dyDescent="0.2">
      <c r="L5026" s="43"/>
      <c r="M5026" s="43"/>
      <c r="N5026" s="43"/>
      <c r="O5026" s="43"/>
      <c r="Q5026" s="44"/>
      <c r="R5026" s="44"/>
      <c r="S5026" s="44"/>
      <c r="T5026" s="44"/>
    </row>
    <row r="5027" spans="12:20" x14ac:dyDescent="0.2">
      <c r="L5027" s="43"/>
      <c r="M5027" s="43"/>
      <c r="N5027" s="43"/>
      <c r="O5027" s="43"/>
      <c r="Q5027" s="44"/>
      <c r="R5027" s="44"/>
      <c r="S5027" s="44"/>
      <c r="T5027" s="44"/>
    </row>
    <row r="5028" spans="12:20" x14ac:dyDescent="0.2">
      <c r="L5028" s="43"/>
      <c r="M5028" s="43"/>
      <c r="N5028" s="43"/>
      <c r="O5028" s="43"/>
      <c r="Q5028" s="44"/>
      <c r="R5028" s="44"/>
      <c r="S5028" s="44"/>
      <c r="T5028" s="44"/>
    </row>
    <row r="5029" spans="12:20" x14ac:dyDescent="0.2">
      <c r="L5029" s="43"/>
      <c r="M5029" s="43"/>
      <c r="N5029" s="43"/>
      <c r="O5029" s="43"/>
      <c r="Q5029" s="44"/>
      <c r="R5029" s="44"/>
      <c r="S5029" s="44"/>
      <c r="T5029" s="44"/>
    </row>
    <row r="5030" spans="12:20" x14ac:dyDescent="0.2">
      <c r="L5030" s="43"/>
      <c r="M5030" s="43"/>
      <c r="N5030" s="43"/>
      <c r="O5030" s="43"/>
      <c r="Q5030" s="44"/>
      <c r="R5030" s="44"/>
      <c r="S5030" s="44"/>
      <c r="T5030" s="44"/>
    </row>
    <row r="5031" spans="12:20" x14ac:dyDescent="0.2">
      <c r="L5031" s="43"/>
      <c r="M5031" s="43"/>
      <c r="N5031" s="43"/>
      <c r="O5031" s="43"/>
      <c r="Q5031" s="44"/>
      <c r="R5031" s="44"/>
      <c r="S5031" s="44"/>
      <c r="T5031" s="44"/>
    </row>
    <row r="5032" spans="12:20" x14ac:dyDescent="0.2">
      <c r="L5032" s="43"/>
      <c r="M5032" s="43"/>
      <c r="N5032" s="43"/>
      <c r="O5032" s="43"/>
      <c r="Q5032" s="44"/>
      <c r="R5032" s="44"/>
      <c r="S5032" s="44"/>
      <c r="T5032" s="44"/>
    </row>
    <row r="5033" spans="12:20" x14ac:dyDescent="0.2">
      <c r="L5033" s="43"/>
      <c r="M5033" s="43"/>
      <c r="N5033" s="43"/>
      <c r="O5033" s="43"/>
      <c r="Q5033" s="44"/>
      <c r="R5033" s="44"/>
      <c r="S5033" s="44"/>
      <c r="T5033" s="44"/>
    </row>
    <row r="5034" spans="12:20" x14ac:dyDescent="0.2">
      <c r="L5034" s="43"/>
      <c r="M5034" s="43"/>
      <c r="N5034" s="43"/>
      <c r="O5034" s="43"/>
      <c r="Q5034" s="44"/>
      <c r="R5034" s="44"/>
      <c r="S5034" s="44"/>
      <c r="T5034" s="44"/>
    </row>
    <row r="5035" spans="12:20" x14ac:dyDescent="0.2">
      <c r="L5035" s="43"/>
      <c r="M5035" s="43"/>
      <c r="N5035" s="43"/>
      <c r="O5035" s="43"/>
      <c r="Q5035" s="44"/>
      <c r="R5035" s="44"/>
      <c r="S5035" s="44"/>
      <c r="T5035" s="44"/>
    </row>
    <row r="5036" spans="12:20" x14ac:dyDescent="0.2">
      <c r="L5036" s="43"/>
      <c r="M5036" s="43"/>
      <c r="N5036" s="43"/>
      <c r="O5036" s="43"/>
      <c r="Q5036" s="44"/>
      <c r="R5036" s="44"/>
      <c r="S5036" s="44"/>
      <c r="T5036" s="44"/>
    </row>
    <row r="5037" spans="12:20" x14ac:dyDescent="0.2">
      <c r="L5037" s="43"/>
      <c r="M5037" s="43"/>
      <c r="N5037" s="43"/>
      <c r="O5037" s="43"/>
      <c r="Q5037" s="44"/>
      <c r="R5037" s="44"/>
      <c r="S5037" s="44"/>
      <c r="T5037" s="44"/>
    </row>
    <row r="5038" spans="12:20" x14ac:dyDescent="0.2">
      <c r="L5038" s="43"/>
      <c r="M5038" s="43"/>
      <c r="N5038" s="43"/>
      <c r="O5038" s="43"/>
      <c r="Q5038" s="44"/>
      <c r="R5038" s="44"/>
      <c r="S5038" s="44"/>
      <c r="T5038" s="44"/>
    </row>
    <row r="5039" spans="12:20" x14ac:dyDescent="0.2">
      <c r="L5039" s="43"/>
      <c r="M5039" s="43"/>
      <c r="N5039" s="43"/>
      <c r="O5039" s="43"/>
      <c r="Q5039" s="44"/>
      <c r="R5039" s="44"/>
      <c r="S5039" s="44"/>
      <c r="T5039" s="44"/>
    </row>
    <row r="5040" spans="12:20" x14ac:dyDescent="0.2">
      <c r="L5040" s="43"/>
      <c r="M5040" s="43"/>
      <c r="N5040" s="43"/>
      <c r="O5040" s="43"/>
      <c r="Q5040" s="44"/>
      <c r="R5040" s="44"/>
      <c r="S5040" s="44"/>
      <c r="T5040" s="44"/>
    </row>
    <row r="5041" spans="12:20" x14ac:dyDescent="0.2">
      <c r="L5041" s="43"/>
      <c r="M5041" s="43"/>
      <c r="N5041" s="43"/>
      <c r="O5041" s="43"/>
      <c r="Q5041" s="44"/>
      <c r="R5041" s="44"/>
      <c r="S5041" s="44"/>
      <c r="T5041" s="44"/>
    </row>
    <row r="5042" spans="12:20" x14ac:dyDescent="0.2">
      <c r="L5042" s="43"/>
      <c r="M5042" s="43"/>
      <c r="N5042" s="43"/>
      <c r="O5042" s="43"/>
      <c r="Q5042" s="44"/>
      <c r="R5042" s="44"/>
      <c r="S5042" s="44"/>
      <c r="T5042" s="44"/>
    </row>
    <row r="5043" spans="12:20" x14ac:dyDescent="0.2">
      <c r="L5043" s="43"/>
      <c r="M5043" s="43"/>
      <c r="N5043" s="43"/>
      <c r="O5043" s="43"/>
      <c r="Q5043" s="44"/>
      <c r="R5043" s="44"/>
      <c r="S5043" s="44"/>
      <c r="T5043" s="44"/>
    </row>
    <row r="5044" spans="12:20" x14ac:dyDescent="0.2">
      <c r="L5044" s="43"/>
      <c r="M5044" s="43"/>
      <c r="N5044" s="43"/>
      <c r="O5044" s="43"/>
      <c r="Q5044" s="44"/>
      <c r="R5044" s="44"/>
      <c r="S5044" s="44"/>
      <c r="T5044" s="44"/>
    </row>
    <row r="5045" spans="12:20" x14ac:dyDescent="0.2">
      <c r="L5045" s="43"/>
      <c r="M5045" s="43"/>
      <c r="N5045" s="43"/>
      <c r="O5045" s="43"/>
      <c r="Q5045" s="44"/>
      <c r="R5045" s="44"/>
      <c r="S5045" s="44"/>
      <c r="T5045" s="44"/>
    </row>
    <row r="5046" spans="12:20" x14ac:dyDescent="0.2">
      <c r="L5046" s="43"/>
      <c r="M5046" s="43"/>
      <c r="N5046" s="43"/>
      <c r="O5046" s="43"/>
      <c r="Q5046" s="44"/>
      <c r="R5046" s="44"/>
      <c r="S5046" s="44"/>
      <c r="T5046" s="44"/>
    </row>
    <row r="5047" spans="12:20" x14ac:dyDescent="0.2">
      <c r="L5047" s="43"/>
      <c r="M5047" s="43"/>
      <c r="N5047" s="43"/>
      <c r="O5047" s="43"/>
      <c r="Q5047" s="44"/>
      <c r="R5047" s="44"/>
      <c r="S5047" s="44"/>
      <c r="T5047" s="44"/>
    </row>
    <row r="5048" spans="12:20" x14ac:dyDescent="0.2">
      <c r="L5048" s="43"/>
      <c r="M5048" s="43"/>
      <c r="N5048" s="43"/>
      <c r="O5048" s="43"/>
      <c r="Q5048" s="44"/>
      <c r="R5048" s="44"/>
      <c r="S5048" s="44"/>
      <c r="T5048" s="44"/>
    </row>
    <row r="5049" spans="12:20" x14ac:dyDescent="0.2">
      <c r="L5049" s="43"/>
      <c r="M5049" s="43"/>
      <c r="N5049" s="43"/>
      <c r="O5049" s="43"/>
      <c r="Q5049" s="44"/>
      <c r="R5049" s="44"/>
      <c r="S5049" s="44"/>
      <c r="T5049" s="44"/>
    </row>
    <row r="5050" spans="12:20" x14ac:dyDescent="0.2">
      <c r="L5050" s="43"/>
      <c r="M5050" s="43"/>
      <c r="N5050" s="43"/>
      <c r="O5050" s="43"/>
      <c r="Q5050" s="44"/>
      <c r="R5050" s="44"/>
      <c r="S5050" s="44"/>
      <c r="T5050" s="44"/>
    </row>
    <row r="5051" spans="12:20" x14ac:dyDescent="0.2">
      <c r="L5051" s="43"/>
      <c r="M5051" s="43"/>
      <c r="N5051" s="43"/>
      <c r="O5051" s="43"/>
      <c r="Q5051" s="44"/>
      <c r="R5051" s="44"/>
      <c r="S5051" s="44"/>
      <c r="T5051" s="44"/>
    </row>
    <row r="5052" spans="12:20" x14ac:dyDescent="0.2">
      <c r="L5052" s="43"/>
      <c r="M5052" s="43"/>
      <c r="N5052" s="43"/>
      <c r="O5052" s="43"/>
      <c r="Q5052" s="44"/>
      <c r="R5052" s="44"/>
      <c r="S5052" s="44"/>
      <c r="T5052" s="44"/>
    </row>
    <row r="5053" spans="12:20" x14ac:dyDescent="0.2">
      <c r="L5053" s="43"/>
      <c r="M5053" s="43"/>
      <c r="N5053" s="43"/>
      <c r="O5053" s="43"/>
      <c r="Q5053" s="44"/>
      <c r="R5053" s="44"/>
      <c r="S5053" s="44"/>
      <c r="T5053" s="44"/>
    </row>
    <row r="5054" spans="12:20" x14ac:dyDescent="0.2">
      <c r="L5054" s="43"/>
      <c r="M5054" s="43"/>
      <c r="N5054" s="43"/>
      <c r="O5054" s="43"/>
      <c r="Q5054" s="44"/>
      <c r="R5054" s="44"/>
      <c r="S5054" s="44"/>
      <c r="T5054" s="44"/>
    </row>
    <row r="5055" spans="12:20" x14ac:dyDescent="0.2">
      <c r="L5055" s="43"/>
      <c r="M5055" s="43"/>
      <c r="N5055" s="43"/>
      <c r="O5055" s="43"/>
      <c r="Q5055" s="44"/>
      <c r="R5055" s="44"/>
      <c r="S5055" s="44"/>
      <c r="T5055" s="44"/>
    </row>
    <row r="5056" spans="12:20" x14ac:dyDescent="0.2">
      <c r="L5056" s="43"/>
      <c r="M5056" s="43"/>
      <c r="N5056" s="43"/>
      <c r="O5056" s="43"/>
      <c r="Q5056" s="44"/>
      <c r="R5056" s="44"/>
      <c r="S5056" s="44"/>
      <c r="T5056" s="44"/>
    </row>
    <row r="5057" spans="12:20" x14ac:dyDescent="0.2">
      <c r="L5057" s="43"/>
      <c r="M5057" s="43"/>
      <c r="N5057" s="43"/>
      <c r="O5057" s="43"/>
      <c r="Q5057" s="44"/>
      <c r="R5057" s="44"/>
      <c r="S5057" s="44"/>
      <c r="T5057" s="44"/>
    </row>
    <row r="5058" spans="12:20" x14ac:dyDescent="0.2">
      <c r="L5058" s="43"/>
      <c r="M5058" s="43"/>
      <c r="N5058" s="43"/>
      <c r="O5058" s="43"/>
      <c r="Q5058" s="44"/>
      <c r="R5058" s="44"/>
      <c r="S5058" s="44"/>
      <c r="T5058" s="44"/>
    </row>
    <row r="5059" spans="12:20" x14ac:dyDescent="0.2">
      <c r="L5059" s="43"/>
      <c r="M5059" s="43"/>
      <c r="N5059" s="43"/>
      <c r="O5059" s="43"/>
      <c r="Q5059" s="44"/>
      <c r="R5059" s="44"/>
      <c r="S5059" s="44"/>
      <c r="T5059" s="44"/>
    </row>
    <row r="5060" spans="12:20" x14ac:dyDescent="0.2">
      <c r="L5060" s="43"/>
      <c r="M5060" s="43"/>
      <c r="N5060" s="43"/>
      <c r="O5060" s="43"/>
      <c r="Q5060" s="44"/>
      <c r="R5060" s="44"/>
      <c r="S5060" s="44"/>
      <c r="T5060" s="44"/>
    </row>
    <row r="5061" spans="12:20" x14ac:dyDescent="0.2">
      <c r="L5061" s="43"/>
      <c r="M5061" s="43"/>
      <c r="N5061" s="43"/>
      <c r="O5061" s="43"/>
      <c r="Q5061" s="44"/>
      <c r="R5061" s="44"/>
      <c r="S5061" s="44"/>
      <c r="T5061" s="44"/>
    </row>
    <row r="5062" spans="12:20" x14ac:dyDescent="0.2">
      <c r="L5062" s="43"/>
      <c r="M5062" s="43"/>
      <c r="N5062" s="43"/>
      <c r="O5062" s="43"/>
      <c r="Q5062" s="44"/>
      <c r="R5062" s="44"/>
      <c r="S5062" s="44"/>
      <c r="T5062" s="44"/>
    </row>
    <row r="5063" spans="12:20" x14ac:dyDescent="0.2">
      <c r="L5063" s="43"/>
      <c r="M5063" s="43"/>
      <c r="N5063" s="43"/>
      <c r="O5063" s="43"/>
      <c r="Q5063" s="44"/>
      <c r="R5063" s="44"/>
      <c r="S5063" s="44"/>
      <c r="T5063" s="44"/>
    </row>
    <row r="5064" spans="12:20" x14ac:dyDescent="0.2">
      <c r="L5064" s="43"/>
      <c r="M5064" s="43"/>
      <c r="N5064" s="43"/>
      <c r="O5064" s="43"/>
      <c r="Q5064" s="44"/>
      <c r="R5064" s="44"/>
      <c r="S5064" s="44"/>
      <c r="T5064" s="44"/>
    </row>
    <row r="5065" spans="12:20" x14ac:dyDescent="0.2">
      <c r="L5065" s="43"/>
      <c r="M5065" s="43"/>
      <c r="N5065" s="43"/>
      <c r="O5065" s="43"/>
      <c r="Q5065" s="44"/>
      <c r="R5065" s="44"/>
      <c r="S5065" s="44"/>
      <c r="T5065" s="44"/>
    </row>
    <row r="5066" spans="12:20" x14ac:dyDescent="0.2">
      <c r="L5066" s="43"/>
      <c r="M5066" s="43"/>
      <c r="N5066" s="43"/>
      <c r="O5066" s="43"/>
      <c r="Q5066" s="44"/>
      <c r="R5066" s="44"/>
      <c r="S5066" s="44"/>
      <c r="T5066" s="44"/>
    </row>
    <row r="5067" spans="12:20" x14ac:dyDescent="0.2">
      <c r="L5067" s="43"/>
      <c r="M5067" s="43"/>
      <c r="N5067" s="43"/>
      <c r="O5067" s="43"/>
      <c r="Q5067" s="44"/>
      <c r="R5067" s="44"/>
      <c r="S5067" s="44"/>
      <c r="T5067" s="44"/>
    </row>
    <row r="5068" spans="12:20" x14ac:dyDescent="0.2">
      <c r="L5068" s="43"/>
      <c r="M5068" s="43"/>
      <c r="N5068" s="43"/>
      <c r="O5068" s="43"/>
      <c r="Q5068" s="44"/>
      <c r="R5068" s="44"/>
      <c r="S5068" s="44"/>
      <c r="T5068" s="44"/>
    </row>
    <row r="5069" spans="12:20" x14ac:dyDescent="0.2">
      <c r="L5069" s="43"/>
      <c r="M5069" s="43"/>
      <c r="N5069" s="43"/>
      <c r="O5069" s="43"/>
      <c r="Q5069" s="44"/>
      <c r="R5069" s="44"/>
      <c r="S5069" s="44"/>
      <c r="T5069" s="44"/>
    </row>
    <row r="5070" spans="12:20" x14ac:dyDescent="0.2">
      <c r="L5070" s="43"/>
      <c r="M5070" s="43"/>
      <c r="N5070" s="43"/>
      <c r="O5070" s="43"/>
      <c r="Q5070" s="44"/>
      <c r="R5070" s="44"/>
      <c r="S5070" s="44"/>
      <c r="T5070" s="44"/>
    </row>
    <row r="5071" spans="12:20" x14ac:dyDescent="0.2">
      <c r="L5071" s="43"/>
      <c r="M5071" s="43"/>
      <c r="N5071" s="43"/>
      <c r="O5071" s="43"/>
      <c r="Q5071" s="44"/>
      <c r="R5071" s="44"/>
      <c r="S5071" s="44"/>
      <c r="T5071" s="44"/>
    </row>
    <row r="5072" spans="12:20" x14ac:dyDescent="0.2">
      <c r="L5072" s="43"/>
      <c r="M5072" s="43"/>
      <c r="N5072" s="43"/>
      <c r="O5072" s="43"/>
      <c r="Q5072" s="44"/>
      <c r="R5072" s="44"/>
      <c r="S5072" s="44"/>
      <c r="T5072" s="44"/>
    </row>
    <row r="5073" spans="12:20" x14ac:dyDescent="0.2">
      <c r="L5073" s="43"/>
      <c r="M5073" s="43"/>
      <c r="N5073" s="43"/>
      <c r="O5073" s="43"/>
      <c r="Q5073" s="44"/>
      <c r="R5073" s="44"/>
      <c r="S5073" s="44"/>
      <c r="T5073" s="44"/>
    </row>
    <row r="5074" spans="12:20" x14ac:dyDescent="0.2">
      <c r="L5074" s="43"/>
      <c r="M5074" s="43"/>
      <c r="N5074" s="43"/>
      <c r="O5074" s="43"/>
      <c r="Q5074" s="44"/>
      <c r="R5074" s="44"/>
      <c r="S5074" s="44"/>
      <c r="T5074" s="44"/>
    </row>
    <row r="5075" spans="12:20" x14ac:dyDescent="0.2">
      <c r="L5075" s="43"/>
      <c r="M5075" s="43"/>
      <c r="N5075" s="43"/>
      <c r="O5075" s="43"/>
      <c r="Q5075" s="44"/>
      <c r="R5075" s="44"/>
      <c r="S5075" s="44"/>
      <c r="T5075" s="44"/>
    </row>
    <row r="5076" spans="12:20" x14ac:dyDescent="0.2">
      <c r="L5076" s="43"/>
      <c r="M5076" s="43"/>
      <c r="N5076" s="43"/>
      <c r="O5076" s="43"/>
      <c r="Q5076" s="44"/>
      <c r="R5076" s="44"/>
      <c r="S5076" s="44"/>
      <c r="T5076" s="44"/>
    </row>
    <row r="5077" spans="12:20" x14ac:dyDescent="0.2">
      <c r="L5077" s="43"/>
      <c r="M5077" s="43"/>
      <c r="N5077" s="43"/>
      <c r="O5077" s="43"/>
      <c r="Q5077" s="44"/>
      <c r="R5077" s="44"/>
      <c r="S5077" s="44"/>
      <c r="T5077" s="44"/>
    </row>
    <row r="5078" spans="12:20" x14ac:dyDescent="0.2">
      <c r="L5078" s="43"/>
      <c r="M5078" s="43"/>
      <c r="N5078" s="43"/>
      <c r="O5078" s="43"/>
      <c r="Q5078" s="44"/>
      <c r="R5078" s="44"/>
      <c r="S5078" s="44"/>
      <c r="T5078" s="44"/>
    </row>
    <row r="5079" spans="12:20" x14ac:dyDescent="0.2">
      <c r="L5079" s="43"/>
      <c r="M5079" s="43"/>
      <c r="N5079" s="43"/>
      <c r="O5079" s="43"/>
      <c r="Q5079" s="44"/>
      <c r="R5079" s="44"/>
      <c r="S5079" s="44"/>
      <c r="T5079" s="44"/>
    </row>
    <row r="5080" spans="12:20" x14ac:dyDescent="0.2">
      <c r="L5080" s="43"/>
      <c r="M5080" s="43"/>
      <c r="N5080" s="43"/>
      <c r="O5080" s="43"/>
      <c r="Q5080" s="44"/>
      <c r="R5080" s="44"/>
      <c r="S5080" s="44"/>
      <c r="T5080" s="44"/>
    </row>
    <row r="5081" spans="12:20" x14ac:dyDescent="0.2">
      <c r="L5081" s="43"/>
      <c r="M5081" s="43"/>
      <c r="N5081" s="43"/>
      <c r="O5081" s="43"/>
      <c r="Q5081" s="44"/>
      <c r="R5081" s="44"/>
      <c r="S5081" s="44"/>
      <c r="T5081" s="44"/>
    </row>
    <row r="5082" spans="12:20" x14ac:dyDescent="0.2">
      <c r="L5082" s="43"/>
      <c r="M5082" s="43"/>
      <c r="N5082" s="43"/>
      <c r="O5082" s="43"/>
      <c r="Q5082" s="44"/>
      <c r="R5082" s="44"/>
      <c r="S5082" s="44"/>
      <c r="T5082" s="44"/>
    </row>
    <row r="5083" spans="12:20" x14ac:dyDescent="0.2">
      <c r="L5083" s="43"/>
      <c r="M5083" s="43"/>
      <c r="N5083" s="43"/>
      <c r="O5083" s="43"/>
      <c r="Q5083" s="44"/>
      <c r="R5083" s="44"/>
      <c r="S5083" s="44"/>
      <c r="T5083" s="44"/>
    </row>
    <row r="5084" spans="12:20" x14ac:dyDescent="0.2">
      <c r="L5084" s="43"/>
      <c r="M5084" s="43"/>
      <c r="N5084" s="43"/>
      <c r="O5084" s="43"/>
      <c r="Q5084" s="44"/>
      <c r="R5084" s="44"/>
      <c r="S5084" s="44"/>
      <c r="T5084" s="44"/>
    </row>
    <row r="5085" spans="12:20" x14ac:dyDescent="0.2">
      <c r="L5085" s="43"/>
      <c r="M5085" s="43"/>
      <c r="N5085" s="43"/>
      <c r="O5085" s="43"/>
      <c r="Q5085" s="44"/>
      <c r="R5085" s="44"/>
      <c r="S5085" s="44"/>
      <c r="T5085" s="44"/>
    </row>
    <row r="5086" spans="12:20" x14ac:dyDescent="0.2">
      <c r="L5086" s="43"/>
      <c r="M5086" s="43"/>
      <c r="N5086" s="43"/>
      <c r="O5086" s="43"/>
      <c r="Q5086" s="44"/>
      <c r="R5086" s="44"/>
      <c r="S5086" s="44"/>
      <c r="T5086" s="44"/>
    </row>
    <row r="5087" spans="12:20" x14ac:dyDescent="0.2">
      <c r="L5087" s="43"/>
      <c r="M5087" s="43"/>
      <c r="N5087" s="43"/>
      <c r="O5087" s="43"/>
      <c r="Q5087" s="44"/>
      <c r="R5087" s="44"/>
      <c r="S5087" s="44"/>
      <c r="T5087" s="44"/>
    </row>
    <row r="5088" spans="12:20" x14ac:dyDescent="0.2">
      <c r="L5088" s="43"/>
      <c r="M5088" s="43"/>
      <c r="N5088" s="43"/>
      <c r="O5088" s="43"/>
      <c r="Q5088" s="44"/>
      <c r="R5088" s="44"/>
      <c r="S5088" s="44"/>
      <c r="T5088" s="44"/>
    </row>
    <row r="5089" spans="12:20" x14ac:dyDescent="0.2">
      <c r="L5089" s="43"/>
      <c r="M5089" s="43"/>
      <c r="N5089" s="43"/>
      <c r="O5089" s="43"/>
      <c r="Q5089" s="44"/>
      <c r="R5089" s="44"/>
      <c r="S5089" s="44"/>
      <c r="T5089" s="44"/>
    </row>
    <row r="5090" spans="12:20" x14ac:dyDescent="0.2">
      <c r="L5090" s="43"/>
      <c r="M5090" s="43"/>
      <c r="N5090" s="43"/>
      <c r="O5090" s="43"/>
      <c r="Q5090" s="44"/>
      <c r="R5090" s="44"/>
      <c r="S5090" s="44"/>
      <c r="T5090" s="44"/>
    </row>
    <row r="5091" spans="12:20" x14ac:dyDescent="0.2">
      <c r="L5091" s="43"/>
      <c r="M5091" s="43"/>
      <c r="N5091" s="43"/>
      <c r="O5091" s="43"/>
      <c r="Q5091" s="44"/>
      <c r="R5091" s="44"/>
      <c r="S5091" s="44"/>
      <c r="T5091" s="44"/>
    </row>
    <row r="5092" spans="12:20" x14ac:dyDescent="0.2">
      <c r="L5092" s="43"/>
      <c r="M5092" s="43"/>
      <c r="N5092" s="43"/>
      <c r="O5092" s="43"/>
      <c r="Q5092" s="44"/>
      <c r="R5092" s="44"/>
      <c r="S5092" s="44"/>
      <c r="T5092" s="44"/>
    </row>
    <row r="5093" spans="12:20" x14ac:dyDescent="0.2">
      <c r="L5093" s="43"/>
      <c r="M5093" s="43"/>
      <c r="N5093" s="43"/>
      <c r="O5093" s="43"/>
      <c r="Q5093" s="44"/>
      <c r="R5093" s="44"/>
      <c r="S5093" s="44"/>
      <c r="T5093" s="44"/>
    </row>
    <row r="5094" spans="12:20" x14ac:dyDescent="0.2">
      <c r="L5094" s="43"/>
      <c r="M5094" s="43"/>
      <c r="N5094" s="43"/>
      <c r="O5094" s="43"/>
      <c r="Q5094" s="44"/>
      <c r="R5094" s="44"/>
      <c r="S5094" s="44"/>
      <c r="T5094" s="44"/>
    </row>
    <row r="5095" spans="12:20" x14ac:dyDescent="0.2">
      <c r="L5095" s="43"/>
      <c r="M5095" s="43"/>
      <c r="N5095" s="43"/>
      <c r="O5095" s="43"/>
      <c r="Q5095" s="44"/>
      <c r="R5095" s="44"/>
      <c r="S5095" s="44"/>
      <c r="T5095" s="44"/>
    </row>
    <row r="5096" spans="12:20" x14ac:dyDescent="0.2">
      <c r="L5096" s="43"/>
      <c r="M5096" s="43"/>
      <c r="N5096" s="43"/>
      <c r="O5096" s="43"/>
      <c r="Q5096" s="44"/>
      <c r="R5096" s="44"/>
      <c r="S5096" s="44"/>
      <c r="T5096" s="44"/>
    </row>
    <row r="5097" spans="12:20" x14ac:dyDescent="0.2">
      <c r="L5097" s="43"/>
      <c r="M5097" s="43"/>
      <c r="N5097" s="43"/>
      <c r="O5097" s="43"/>
      <c r="Q5097" s="44"/>
      <c r="R5097" s="44"/>
      <c r="S5097" s="44"/>
      <c r="T5097" s="44"/>
    </row>
    <row r="5098" spans="12:20" x14ac:dyDescent="0.2">
      <c r="L5098" s="43"/>
      <c r="M5098" s="43"/>
      <c r="N5098" s="43"/>
      <c r="O5098" s="43"/>
      <c r="Q5098" s="44"/>
      <c r="R5098" s="44"/>
      <c r="S5098" s="44"/>
      <c r="T5098" s="44"/>
    </row>
    <row r="5099" spans="12:20" x14ac:dyDescent="0.2">
      <c r="L5099" s="43"/>
      <c r="M5099" s="43"/>
      <c r="N5099" s="43"/>
      <c r="O5099" s="43"/>
      <c r="Q5099" s="44"/>
      <c r="R5099" s="44"/>
      <c r="S5099" s="44"/>
      <c r="T5099" s="44"/>
    </row>
    <row r="5100" spans="12:20" x14ac:dyDescent="0.2">
      <c r="L5100" s="43"/>
      <c r="M5100" s="43"/>
      <c r="N5100" s="43"/>
      <c r="O5100" s="43"/>
      <c r="Q5100" s="44"/>
      <c r="R5100" s="44"/>
      <c r="S5100" s="44"/>
      <c r="T5100" s="44"/>
    </row>
    <row r="5101" spans="12:20" x14ac:dyDescent="0.2">
      <c r="L5101" s="43"/>
      <c r="M5101" s="43"/>
      <c r="N5101" s="43"/>
      <c r="O5101" s="43"/>
      <c r="Q5101" s="44"/>
      <c r="R5101" s="44"/>
      <c r="S5101" s="44"/>
      <c r="T5101" s="44"/>
    </row>
    <row r="5102" spans="12:20" x14ac:dyDescent="0.2">
      <c r="L5102" s="43"/>
      <c r="M5102" s="43"/>
      <c r="N5102" s="43"/>
      <c r="O5102" s="43"/>
      <c r="Q5102" s="44"/>
      <c r="R5102" s="44"/>
      <c r="S5102" s="44"/>
      <c r="T5102" s="44"/>
    </row>
    <row r="5103" spans="12:20" x14ac:dyDescent="0.2">
      <c r="L5103" s="43"/>
      <c r="M5103" s="43"/>
      <c r="N5103" s="43"/>
      <c r="O5103" s="43"/>
      <c r="Q5103" s="44"/>
      <c r="R5103" s="44"/>
      <c r="S5103" s="44"/>
      <c r="T5103" s="44"/>
    </row>
    <row r="5104" spans="12:20" x14ac:dyDescent="0.2">
      <c r="L5104" s="43"/>
      <c r="M5104" s="43"/>
      <c r="N5104" s="43"/>
      <c r="O5104" s="43"/>
      <c r="Q5104" s="44"/>
      <c r="R5104" s="44"/>
      <c r="S5104" s="44"/>
      <c r="T5104" s="44"/>
    </row>
    <row r="5105" spans="12:20" x14ac:dyDescent="0.2">
      <c r="L5105" s="43"/>
      <c r="M5105" s="43"/>
      <c r="N5105" s="43"/>
      <c r="O5105" s="43"/>
      <c r="Q5105" s="44"/>
      <c r="R5105" s="44"/>
      <c r="S5105" s="44"/>
      <c r="T5105" s="44"/>
    </row>
    <row r="5106" spans="12:20" x14ac:dyDescent="0.2">
      <c r="L5106" s="43"/>
      <c r="M5106" s="43"/>
      <c r="N5106" s="43"/>
      <c r="O5106" s="43"/>
      <c r="Q5106" s="44"/>
      <c r="R5106" s="44"/>
      <c r="S5106" s="44"/>
      <c r="T5106" s="44"/>
    </row>
    <row r="5107" spans="12:20" x14ac:dyDescent="0.2">
      <c r="L5107" s="43"/>
      <c r="M5107" s="43"/>
      <c r="N5107" s="43"/>
      <c r="O5107" s="43"/>
      <c r="Q5107" s="44"/>
      <c r="R5107" s="44"/>
      <c r="S5107" s="44"/>
      <c r="T5107" s="44"/>
    </row>
    <row r="5108" spans="12:20" x14ac:dyDescent="0.2">
      <c r="L5108" s="43"/>
      <c r="M5108" s="43"/>
      <c r="N5108" s="43"/>
      <c r="O5108" s="43"/>
      <c r="Q5108" s="44"/>
      <c r="R5108" s="44"/>
      <c r="S5108" s="44"/>
      <c r="T5108" s="44"/>
    </row>
    <row r="5109" spans="12:20" x14ac:dyDescent="0.2">
      <c r="L5109" s="43"/>
      <c r="M5109" s="43"/>
      <c r="N5109" s="43"/>
      <c r="O5109" s="43"/>
      <c r="Q5109" s="44"/>
      <c r="R5109" s="44"/>
      <c r="S5109" s="44"/>
      <c r="T5109" s="44"/>
    </row>
    <row r="5110" spans="12:20" x14ac:dyDescent="0.2">
      <c r="L5110" s="43"/>
      <c r="M5110" s="43"/>
      <c r="N5110" s="43"/>
      <c r="O5110" s="43"/>
      <c r="Q5110" s="44"/>
      <c r="R5110" s="44"/>
      <c r="S5110" s="44"/>
      <c r="T5110" s="44"/>
    </row>
    <row r="5111" spans="12:20" x14ac:dyDescent="0.2">
      <c r="L5111" s="43"/>
      <c r="M5111" s="43"/>
      <c r="N5111" s="43"/>
      <c r="O5111" s="43"/>
      <c r="Q5111" s="44"/>
      <c r="R5111" s="44"/>
      <c r="S5111" s="44"/>
      <c r="T5111" s="44"/>
    </row>
    <row r="5112" spans="12:20" x14ac:dyDescent="0.2">
      <c r="L5112" s="43"/>
      <c r="M5112" s="43"/>
      <c r="N5112" s="43"/>
      <c r="O5112" s="43"/>
      <c r="Q5112" s="44"/>
      <c r="R5112" s="44"/>
      <c r="S5112" s="44"/>
      <c r="T5112" s="44"/>
    </row>
    <row r="5113" spans="12:20" x14ac:dyDescent="0.2">
      <c r="L5113" s="43"/>
      <c r="M5113" s="43"/>
      <c r="N5113" s="43"/>
      <c r="O5113" s="43"/>
      <c r="Q5113" s="44"/>
      <c r="R5113" s="44"/>
      <c r="S5113" s="44"/>
      <c r="T5113" s="44"/>
    </row>
    <row r="5114" spans="12:20" x14ac:dyDescent="0.2">
      <c r="L5114" s="43"/>
      <c r="M5114" s="43"/>
      <c r="N5114" s="43"/>
      <c r="O5114" s="43"/>
      <c r="Q5114" s="44"/>
      <c r="R5114" s="44"/>
      <c r="S5114" s="44"/>
      <c r="T5114" s="44"/>
    </row>
    <row r="5115" spans="12:20" x14ac:dyDescent="0.2">
      <c r="L5115" s="43"/>
      <c r="M5115" s="43"/>
      <c r="N5115" s="43"/>
      <c r="O5115" s="43"/>
      <c r="Q5115" s="44"/>
      <c r="R5115" s="44"/>
      <c r="S5115" s="44"/>
      <c r="T5115" s="44"/>
    </row>
    <row r="5116" spans="12:20" x14ac:dyDescent="0.2">
      <c r="L5116" s="43"/>
      <c r="M5116" s="43"/>
      <c r="N5116" s="43"/>
      <c r="O5116" s="43"/>
      <c r="Q5116" s="44"/>
      <c r="R5116" s="44"/>
      <c r="S5116" s="44"/>
      <c r="T5116" s="44"/>
    </row>
    <row r="5117" spans="12:20" x14ac:dyDescent="0.2">
      <c r="L5117" s="43"/>
      <c r="M5117" s="43"/>
      <c r="N5117" s="43"/>
      <c r="O5117" s="43"/>
      <c r="Q5117" s="44"/>
      <c r="R5117" s="44"/>
      <c r="S5117" s="44"/>
      <c r="T5117" s="44"/>
    </row>
    <row r="5118" spans="12:20" x14ac:dyDescent="0.2">
      <c r="L5118" s="43"/>
      <c r="M5118" s="43"/>
      <c r="N5118" s="43"/>
      <c r="O5118" s="43"/>
      <c r="Q5118" s="44"/>
      <c r="R5118" s="44"/>
      <c r="S5118" s="44"/>
      <c r="T5118" s="44"/>
    </row>
    <row r="5119" spans="12:20" x14ac:dyDescent="0.2">
      <c r="L5119" s="43"/>
      <c r="M5119" s="43"/>
      <c r="N5119" s="43"/>
      <c r="O5119" s="43"/>
      <c r="Q5119" s="44"/>
      <c r="R5119" s="44"/>
      <c r="S5119" s="44"/>
      <c r="T5119" s="44"/>
    </row>
    <row r="5120" spans="12:20" x14ac:dyDescent="0.2">
      <c r="L5120" s="43"/>
      <c r="M5120" s="43"/>
      <c r="N5120" s="43"/>
      <c r="O5120" s="43"/>
      <c r="Q5120" s="44"/>
      <c r="R5120" s="44"/>
      <c r="S5120" s="44"/>
      <c r="T5120" s="44"/>
    </row>
    <row r="5121" spans="12:20" x14ac:dyDescent="0.2">
      <c r="L5121" s="43"/>
      <c r="M5121" s="43"/>
      <c r="N5121" s="43"/>
      <c r="O5121" s="43"/>
      <c r="Q5121" s="44"/>
      <c r="R5121" s="44"/>
      <c r="S5121" s="44"/>
      <c r="T5121" s="44"/>
    </row>
    <row r="5122" spans="12:20" x14ac:dyDescent="0.2">
      <c r="L5122" s="43"/>
      <c r="M5122" s="43"/>
      <c r="N5122" s="43"/>
      <c r="O5122" s="43"/>
      <c r="Q5122" s="44"/>
      <c r="R5122" s="44"/>
      <c r="S5122" s="44"/>
      <c r="T5122" s="44"/>
    </row>
    <row r="5123" spans="12:20" x14ac:dyDescent="0.2">
      <c r="L5123" s="43"/>
      <c r="M5123" s="43"/>
      <c r="N5123" s="43"/>
      <c r="O5123" s="43"/>
      <c r="Q5123" s="44"/>
      <c r="R5123" s="44"/>
      <c r="S5123" s="44"/>
      <c r="T5123" s="44"/>
    </row>
    <row r="5124" spans="12:20" x14ac:dyDescent="0.2">
      <c r="L5124" s="43"/>
      <c r="M5124" s="43"/>
      <c r="N5124" s="43"/>
      <c r="O5124" s="43"/>
      <c r="Q5124" s="44"/>
      <c r="R5124" s="44"/>
      <c r="S5124" s="44"/>
      <c r="T5124" s="44"/>
    </row>
    <row r="5125" spans="12:20" x14ac:dyDescent="0.2">
      <c r="L5125" s="43"/>
      <c r="M5125" s="43"/>
      <c r="N5125" s="43"/>
      <c r="O5125" s="43"/>
      <c r="Q5125" s="44"/>
      <c r="R5125" s="44"/>
      <c r="S5125" s="44"/>
      <c r="T5125" s="44"/>
    </row>
    <row r="5126" spans="12:20" x14ac:dyDescent="0.2">
      <c r="L5126" s="43"/>
      <c r="M5126" s="43"/>
      <c r="N5126" s="43"/>
      <c r="O5126" s="43"/>
      <c r="Q5126" s="44"/>
      <c r="R5126" s="44"/>
      <c r="S5126" s="44"/>
      <c r="T5126" s="44"/>
    </row>
    <row r="5127" spans="12:20" x14ac:dyDescent="0.2">
      <c r="L5127" s="43"/>
      <c r="M5127" s="43"/>
      <c r="N5127" s="43"/>
      <c r="O5127" s="43"/>
      <c r="Q5127" s="44"/>
      <c r="R5127" s="44"/>
      <c r="S5127" s="44"/>
      <c r="T5127" s="44"/>
    </row>
    <row r="5128" spans="12:20" x14ac:dyDescent="0.2">
      <c r="L5128" s="43"/>
      <c r="M5128" s="43"/>
      <c r="N5128" s="43"/>
      <c r="O5128" s="43"/>
      <c r="Q5128" s="44"/>
      <c r="R5128" s="44"/>
      <c r="S5128" s="44"/>
      <c r="T5128" s="44"/>
    </row>
    <row r="5129" spans="12:20" x14ac:dyDescent="0.2">
      <c r="L5129" s="43"/>
      <c r="M5129" s="43"/>
      <c r="N5129" s="43"/>
      <c r="O5129" s="43"/>
      <c r="Q5129" s="44"/>
      <c r="R5129" s="44"/>
      <c r="S5129" s="44"/>
      <c r="T5129" s="44"/>
    </row>
    <row r="5130" spans="12:20" x14ac:dyDescent="0.2">
      <c r="L5130" s="43"/>
      <c r="M5130" s="43"/>
      <c r="N5130" s="43"/>
      <c r="O5130" s="43"/>
      <c r="Q5130" s="44"/>
      <c r="R5130" s="44"/>
      <c r="S5130" s="44"/>
      <c r="T5130" s="44"/>
    </row>
    <row r="5131" spans="12:20" x14ac:dyDescent="0.2">
      <c r="L5131" s="43"/>
      <c r="M5131" s="43"/>
      <c r="N5131" s="43"/>
      <c r="O5131" s="43"/>
      <c r="Q5131" s="44"/>
      <c r="R5131" s="44"/>
      <c r="S5131" s="44"/>
      <c r="T5131" s="44"/>
    </row>
    <row r="5132" spans="12:20" x14ac:dyDescent="0.2">
      <c r="L5132" s="43"/>
      <c r="M5132" s="43"/>
      <c r="N5132" s="43"/>
      <c r="O5132" s="43"/>
      <c r="Q5132" s="44"/>
      <c r="R5132" s="44"/>
      <c r="S5132" s="44"/>
      <c r="T5132" s="44"/>
    </row>
    <row r="5133" spans="12:20" x14ac:dyDescent="0.2">
      <c r="L5133" s="43"/>
      <c r="M5133" s="43"/>
      <c r="N5133" s="43"/>
      <c r="O5133" s="43"/>
      <c r="Q5133" s="44"/>
      <c r="R5133" s="44"/>
      <c r="S5133" s="44"/>
      <c r="T5133" s="44"/>
    </row>
    <row r="5134" spans="12:20" x14ac:dyDescent="0.2">
      <c r="L5134" s="43"/>
      <c r="M5134" s="43"/>
      <c r="N5134" s="43"/>
      <c r="O5134" s="43"/>
      <c r="Q5134" s="44"/>
      <c r="R5134" s="44"/>
      <c r="S5134" s="44"/>
      <c r="T5134" s="44"/>
    </row>
    <row r="5135" spans="12:20" x14ac:dyDescent="0.2">
      <c r="L5135" s="43"/>
      <c r="M5135" s="43"/>
      <c r="N5135" s="43"/>
      <c r="O5135" s="43"/>
      <c r="Q5135" s="44"/>
      <c r="R5135" s="44"/>
      <c r="S5135" s="44"/>
      <c r="T5135" s="44"/>
    </row>
    <row r="5136" spans="12:20" x14ac:dyDescent="0.2">
      <c r="L5136" s="43"/>
      <c r="M5136" s="43"/>
      <c r="N5136" s="43"/>
      <c r="O5136" s="43"/>
      <c r="Q5136" s="44"/>
      <c r="R5136" s="44"/>
      <c r="S5136" s="44"/>
      <c r="T5136" s="44"/>
    </row>
    <row r="5137" spans="12:20" x14ac:dyDescent="0.2">
      <c r="L5137" s="43"/>
      <c r="M5137" s="43"/>
      <c r="N5137" s="43"/>
      <c r="O5137" s="43"/>
      <c r="Q5137" s="44"/>
      <c r="R5137" s="44"/>
      <c r="S5137" s="44"/>
      <c r="T5137" s="44"/>
    </row>
    <row r="5138" spans="12:20" x14ac:dyDescent="0.2">
      <c r="L5138" s="43"/>
      <c r="M5138" s="43"/>
      <c r="N5138" s="43"/>
      <c r="O5138" s="43"/>
      <c r="Q5138" s="44"/>
      <c r="R5138" s="44"/>
      <c r="S5138" s="44"/>
      <c r="T5138" s="44"/>
    </row>
    <row r="5139" spans="12:20" x14ac:dyDescent="0.2">
      <c r="L5139" s="43"/>
      <c r="M5139" s="43"/>
      <c r="N5139" s="43"/>
      <c r="O5139" s="43"/>
      <c r="Q5139" s="44"/>
      <c r="R5139" s="44"/>
      <c r="S5139" s="44"/>
      <c r="T5139" s="44"/>
    </row>
    <row r="5140" spans="12:20" x14ac:dyDescent="0.2">
      <c r="L5140" s="43"/>
      <c r="M5140" s="43"/>
      <c r="N5140" s="43"/>
      <c r="O5140" s="43"/>
      <c r="Q5140" s="44"/>
      <c r="R5140" s="44"/>
      <c r="S5140" s="44"/>
      <c r="T5140" s="44"/>
    </row>
    <row r="5141" spans="12:20" x14ac:dyDescent="0.2">
      <c r="L5141" s="43"/>
      <c r="M5141" s="43"/>
      <c r="N5141" s="43"/>
      <c r="O5141" s="43"/>
      <c r="Q5141" s="44"/>
      <c r="R5141" s="44"/>
      <c r="S5141" s="44"/>
      <c r="T5141" s="44"/>
    </row>
    <row r="5142" spans="12:20" x14ac:dyDescent="0.2">
      <c r="L5142" s="43"/>
      <c r="M5142" s="43"/>
      <c r="N5142" s="43"/>
      <c r="O5142" s="43"/>
      <c r="Q5142" s="44"/>
      <c r="R5142" s="44"/>
      <c r="S5142" s="44"/>
      <c r="T5142" s="44"/>
    </row>
    <row r="5143" spans="12:20" x14ac:dyDescent="0.2">
      <c r="L5143" s="43"/>
      <c r="M5143" s="43"/>
      <c r="N5143" s="43"/>
      <c r="O5143" s="43"/>
      <c r="Q5143" s="44"/>
      <c r="R5143" s="44"/>
      <c r="S5143" s="44"/>
      <c r="T5143" s="44"/>
    </row>
    <row r="5144" spans="12:20" x14ac:dyDescent="0.2">
      <c r="L5144" s="43"/>
      <c r="M5144" s="43"/>
      <c r="N5144" s="43"/>
      <c r="O5144" s="43"/>
      <c r="Q5144" s="44"/>
      <c r="R5144" s="44"/>
      <c r="S5144" s="44"/>
      <c r="T5144" s="44"/>
    </row>
    <row r="5145" spans="12:20" x14ac:dyDescent="0.2">
      <c r="L5145" s="43"/>
      <c r="M5145" s="43"/>
      <c r="N5145" s="43"/>
      <c r="O5145" s="43"/>
      <c r="Q5145" s="44"/>
      <c r="R5145" s="44"/>
      <c r="S5145" s="44"/>
      <c r="T5145" s="44"/>
    </row>
    <row r="5146" spans="12:20" x14ac:dyDescent="0.2">
      <c r="L5146" s="43"/>
      <c r="M5146" s="43"/>
      <c r="N5146" s="43"/>
      <c r="O5146" s="43"/>
      <c r="Q5146" s="44"/>
      <c r="R5146" s="44"/>
      <c r="S5146" s="44"/>
      <c r="T5146" s="44"/>
    </row>
    <row r="5147" spans="12:20" x14ac:dyDescent="0.2">
      <c r="L5147" s="43"/>
      <c r="M5147" s="43"/>
      <c r="N5147" s="43"/>
      <c r="O5147" s="43"/>
      <c r="Q5147" s="44"/>
      <c r="R5147" s="44"/>
      <c r="S5147" s="44"/>
      <c r="T5147" s="44"/>
    </row>
    <row r="5148" spans="12:20" x14ac:dyDescent="0.2">
      <c r="L5148" s="43"/>
      <c r="M5148" s="43"/>
      <c r="N5148" s="43"/>
      <c r="O5148" s="43"/>
      <c r="Q5148" s="44"/>
      <c r="R5148" s="44"/>
      <c r="S5148" s="44"/>
      <c r="T5148" s="44"/>
    </row>
    <row r="5149" spans="12:20" x14ac:dyDescent="0.2">
      <c r="L5149" s="43"/>
      <c r="M5149" s="43"/>
      <c r="N5149" s="43"/>
      <c r="O5149" s="43"/>
      <c r="Q5149" s="44"/>
      <c r="R5149" s="44"/>
      <c r="S5149" s="44"/>
      <c r="T5149" s="44"/>
    </row>
    <row r="5150" spans="12:20" x14ac:dyDescent="0.2">
      <c r="L5150" s="43"/>
      <c r="M5150" s="43"/>
      <c r="N5150" s="43"/>
      <c r="O5150" s="43"/>
      <c r="Q5150" s="44"/>
      <c r="R5150" s="44"/>
      <c r="S5150" s="44"/>
      <c r="T5150" s="44"/>
    </row>
    <row r="5151" spans="12:20" x14ac:dyDescent="0.2">
      <c r="L5151" s="43"/>
      <c r="M5151" s="43"/>
      <c r="N5151" s="43"/>
      <c r="O5151" s="43"/>
      <c r="Q5151" s="44"/>
      <c r="R5151" s="44"/>
      <c r="S5151" s="44"/>
      <c r="T5151" s="44"/>
    </row>
    <row r="5152" spans="12:20" x14ac:dyDescent="0.2">
      <c r="L5152" s="43"/>
      <c r="M5152" s="43"/>
      <c r="N5152" s="43"/>
      <c r="O5152" s="43"/>
      <c r="Q5152" s="44"/>
      <c r="R5152" s="44"/>
      <c r="S5152" s="44"/>
      <c r="T5152" s="44"/>
    </row>
    <row r="5153" spans="12:20" x14ac:dyDescent="0.2">
      <c r="L5153" s="43"/>
      <c r="M5153" s="43"/>
      <c r="N5153" s="43"/>
      <c r="O5153" s="43"/>
      <c r="Q5153" s="44"/>
      <c r="R5153" s="44"/>
      <c r="S5153" s="44"/>
      <c r="T5153" s="44"/>
    </row>
    <row r="5154" spans="12:20" x14ac:dyDescent="0.2">
      <c r="L5154" s="43"/>
      <c r="M5154" s="43"/>
      <c r="N5154" s="43"/>
      <c r="O5154" s="43"/>
      <c r="Q5154" s="44"/>
      <c r="R5154" s="44"/>
      <c r="S5154" s="44"/>
      <c r="T5154" s="44"/>
    </row>
    <row r="5155" spans="12:20" x14ac:dyDescent="0.2">
      <c r="L5155" s="43"/>
      <c r="M5155" s="43"/>
      <c r="N5155" s="43"/>
      <c r="O5155" s="43"/>
      <c r="Q5155" s="44"/>
      <c r="R5155" s="44"/>
      <c r="S5155" s="44"/>
      <c r="T5155" s="44"/>
    </row>
    <row r="5156" spans="12:20" x14ac:dyDescent="0.2">
      <c r="L5156" s="43"/>
      <c r="M5156" s="43"/>
      <c r="N5156" s="43"/>
      <c r="O5156" s="43"/>
      <c r="Q5156" s="44"/>
      <c r="R5156" s="44"/>
      <c r="S5156" s="44"/>
      <c r="T5156" s="44"/>
    </row>
    <row r="5157" spans="12:20" x14ac:dyDescent="0.2">
      <c r="L5157" s="43"/>
      <c r="M5157" s="43"/>
      <c r="N5157" s="43"/>
      <c r="O5157" s="43"/>
      <c r="Q5157" s="44"/>
      <c r="R5157" s="44"/>
      <c r="S5157" s="44"/>
      <c r="T5157" s="44"/>
    </row>
    <row r="5158" spans="12:20" x14ac:dyDescent="0.2">
      <c r="L5158" s="43"/>
      <c r="M5158" s="43"/>
      <c r="N5158" s="43"/>
      <c r="O5158" s="43"/>
      <c r="Q5158" s="44"/>
      <c r="R5158" s="44"/>
      <c r="S5158" s="44"/>
      <c r="T5158" s="44"/>
    </row>
    <row r="5159" spans="12:20" x14ac:dyDescent="0.2">
      <c r="L5159" s="43"/>
      <c r="M5159" s="43"/>
      <c r="N5159" s="43"/>
      <c r="O5159" s="43"/>
      <c r="Q5159" s="44"/>
      <c r="R5159" s="44"/>
      <c r="S5159" s="44"/>
      <c r="T5159" s="44"/>
    </row>
    <row r="5160" spans="12:20" x14ac:dyDescent="0.2">
      <c r="L5160" s="43"/>
      <c r="M5160" s="43"/>
      <c r="N5160" s="43"/>
      <c r="O5160" s="43"/>
      <c r="Q5160" s="44"/>
      <c r="R5160" s="44"/>
      <c r="S5160" s="44"/>
      <c r="T5160" s="44"/>
    </row>
    <row r="5161" spans="12:20" x14ac:dyDescent="0.2">
      <c r="L5161" s="43"/>
      <c r="M5161" s="43"/>
      <c r="N5161" s="43"/>
      <c r="O5161" s="43"/>
      <c r="Q5161" s="44"/>
      <c r="R5161" s="44"/>
      <c r="S5161" s="44"/>
      <c r="T5161" s="44"/>
    </row>
    <row r="5162" spans="12:20" x14ac:dyDescent="0.2">
      <c r="L5162" s="43"/>
      <c r="M5162" s="43"/>
      <c r="N5162" s="43"/>
      <c r="O5162" s="43"/>
      <c r="Q5162" s="44"/>
      <c r="R5162" s="44"/>
      <c r="S5162" s="44"/>
      <c r="T5162" s="44"/>
    </row>
    <row r="5163" spans="12:20" x14ac:dyDescent="0.2">
      <c r="L5163" s="43"/>
      <c r="M5163" s="43"/>
      <c r="N5163" s="43"/>
      <c r="O5163" s="43"/>
      <c r="Q5163" s="44"/>
      <c r="R5163" s="44"/>
      <c r="S5163" s="44"/>
      <c r="T5163" s="44"/>
    </row>
    <row r="5164" spans="12:20" x14ac:dyDescent="0.2">
      <c r="L5164" s="43"/>
      <c r="M5164" s="43"/>
      <c r="N5164" s="43"/>
      <c r="O5164" s="43"/>
      <c r="Q5164" s="44"/>
      <c r="R5164" s="44"/>
      <c r="S5164" s="44"/>
      <c r="T5164" s="44"/>
    </row>
    <row r="5165" spans="12:20" x14ac:dyDescent="0.2">
      <c r="L5165" s="43"/>
      <c r="M5165" s="43"/>
      <c r="N5165" s="43"/>
      <c r="O5165" s="43"/>
      <c r="Q5165" s="44"/>
      <c r="R5165" s="44"/>
      <c r="S5165" s="44"/>
      <c r="T5165" s="44"/>
    </row>
    <row r="5166" spans="12:20" x14ac:dyDescent="0.2">
      <c r="L5166" s="43"/>
      <c r="M5166" s="43"/>
      <c r="N5166" s="43"/>
      <c r="O5166" s="43"/>
      <c r="Q5166" s="44"/>
      <c r="R5166" s="44"/>
      <c r="S5166" s="44"/>
      <c r="T5166" s="44"/>
    </row>
    <row r="5167" spans="12:20" x14ac:dyDescent="0.2">
      <c r="L5167" s="43"/>
      <c r="M5167" s="43"/>
      <c r="N5167" s="43"/>
      <c r="O5167" s="43"/>
      <c r="Q5167" s="44"/>
      <c r="R5167" s="44"/>
      <c r="S5167" s="44"/>
      <c r="T5167" s="44"/>
    </row>
    <row r="5168" spans="12:20" x14ac:dyDescent="0.2">
      <c r="L5168" s="43"/>
      <c r="M5168" s="43"/>
      <c r="N5168" s="43"/>
      <c r="O5168" s="43"/>
      <c r="Q5168" s="44"/>
      <c r="R5168" s="44"/>
      <c r="S5168" s="44"/>
      <c r="T5168" s="44"/>
    </row>
    <row r="5169" spans="12:20" x14ac:dyDescent="0.2">
      <c r="L5169" s="43"/>
      <c r="M5169" s="43"/>
      <c r="N5169" s="43"/>
      <c r="O5169" s="43"/>
      <c r="Q5169" s="44"/>
      <c r="R5169" s="44"/>
      <c r="S5169" s="44"/>
      <c r="T5169" s="44"/>
    </row>
    <row r="5170" spans="12:20" x14ac:dyDescent="0.2">
      <c r="L5170" s="43"/>
      <c r="M5170" s="43"/>
      <c r="N5170" s="43"/>
      <c r="O5170" s="43"/>
      <c r="Q5170" s="44"/>
      <c r="R5170" s="44"/>
      <c r="S5170" s="44"/>
      <c r="T5170" s="44"/>
    </row>
    <row r="5171" spans="12:20" x14ac:dyDescent="0.2">
      <c r="L5171" s="43"/>
      <c r="M5171" s="43"/>
      <c r="N5171" s="43"/>
      <c r="O5171" s="43"/>
      <c r="Q5171" s="44"/>
      <c r="R5171" s="44"/>
      <c r="S5171" s="44"/>
      <c r="T5171" s="44"/>
    </row>
    <row r="5172" spans="12:20" x14ac:dyDescent="0.2">
      <c r="L5172" s="43"/>
      <c r="M5172" s="43"/>
      <c r="N5172" s="43"/>
      <c r="O5172" s="43"/>
      <c r="Q5172" s="44"/>
      <c r="R5172" s="44"/>
      <c r="S5172" s="44"/>
      <c r="T5172" s="44"/>
    </row>
    <row r="5173" spans="12:20" x14ac:dyDescent="0.2">
      <c r="L5173" s="43"/>
      <c r="M5173" s="43"/>
      <c r="N5173" s="43"/>
      <c r="O5173" s="43"/>
      <c r="Q5173" s="44"/>
      <c r="R5173" s="44"/>
      <c r="S5173" s="44"/>
      <c r="T5173" s="44"/>
    </row>
    <row r="5174" spans="12:20" x14ac:dyDescent="0.2">
      <c r="L5174" s="43"/>
      <c r="M5174" s="43"/>
      <c r="N5174" s="43"/>
      <c r="O5174" s="43"/>
      <c r="Q5174" s="44"/>
      <c r="R5174" s="44"/>
      <c r="S5174" s="44"/>
      <c r="T5174" s="44"/>
    </row>
    <row r="5175" spans="12:20" x14ac:dyDescent="0.2">
      <c r="L5175" s="43"/>
      <c r="M5175" s="43"/>
      <c r="N5175" s="43"/>
      <c r="O5175" s="43"/>
      <c r="Q5175" s="44"/>
      <c r="R5175" s="44"/>
      <c r="S5175" s="44"/>
      <c r="T5175" s="44"/>
    </row>
    <row r="5176" spans="12:20" x14ac:dyDescent="0.2">
      <c r="L5176" s="43"/>
      <c r="M5176" s="43"/>
      <c r="N5176" s="43"/>
      <c r="O5176" s="43"/>
      <c r="Q5176" s="44"/>
      <c r="R5176" s="44"/>
      <c r="S5176" s="44"/>
      <c r="T5176" s="44"/>
    </row>
    <row r="5177" spans="12:20" x14ac:dyDescent="0.2">
      <c r="L5177" s="43"/>
      <c r="M5177" s="43"/>
      <c r="N5177" s="43"/>
      <c r="O5177" s="43"/>
      <c r="Q5177" s="44"/>
      <c r="R5177" s="44"/>
      <c r="S5177" s="44"/>
      <c r="T5177" s="44"/>
    </row>
    <row r="5178" spans="12:20" x14ac:dyDescent="0.2">
      <c r="L5178" s="43"/>
      <c r="M5178" s="43"/>
      <c r="N5178" s="43"/>
      <c r="O5178" s="43"/>
      <c r="Q5178" s="44"/>
      <c r="R5178" s="44"/>
      <c r="S5178" s="44"/>
      <c r="T5178" s="44"/>
    </row>
    <row r="5179" spans="12:20" x14ac:dyDescent="0.2">
      <c r="L5179" s="43"/>
      <c r="M5179" s="43"/>
      <c r="N5179" s="43"/>
      <c r="O5179" s="43"/>
      <c r="Q5179" s="44"/>
      <c r="R5179" s="44"/>
      <c r="S5179" s="44"/>
      <c r="T5179" s="44"/>
    </row>
    <row r="5180" spans="12:20" x14ac:dyDescent="0.2">
      <c r="L5180" s="43"/>
      <c r="M5180" s="43"/>
      <c r="N5180" s="43"/>
      <c r="O5180" s="43"/>
      <c r="Q5180" s="44"/>
      <c r="R5180" s="44"/>
      <c r="S5180" s="44"/>
      <c r="T5180" s="44"/>
    </row>
    <row r="5181" spans="12:20" x14ac:dyDescent="0.2">
      <c r="L5181" s="43"/>
      <c r="M5181" s="43"/>
      <c r="N5181" s="43"/>
      <c r="O5181" s="43"/>
      <c r="Q5181" s="44"/>
      <c r="R5181" s="44"/>
      <c r="S5181" s="44"/>
      <c r="T5181" s="44"/>
    </row>
    <row r="5182" spans="12:20" x14ac:dyDescent="0.2">
      <c r="L5182" s="43"/>
      <c r="M5182" s="43"/>
      <c r="N5182" s="43"/>
      <c r="O5182" s="43"/>
      <c r="Q5182" s="44"/>
      <c r="R5182" s="44"/>
      <c r="S5182" s="44"/>
      <c r="T5182" s="44"/>
    </row>
    <row r="5183" spans="12:20" x14ac:dyDescent="0.2">
      <c r="L5183" s="43"/>
      <c r="M5183" s="43"/>
      <c r="N5183" s="43"/>
      <c r="O5183" s="43"/>
      <c r="Q5183" s="44"/>
      <c r="R5183" s="44"/>
      <c r="S5183" s="44"/>
      <c r="T5183" s="44"/>
    </row>
    <row r="5184" spans="12:20" x14ac:dyDescent="0.2">
      <c r="L5184" s="43"/>
      <c r="M5184" s="43"/>
      <c r="N5184" s="43"/>
      <c r="O5184" s="43"/>
      <c r="Q5184" s="44"/>
      <c r="R5184" s="44"/>
      <c r="S5184" s="44"/>
      <c r="T5184" s="44"/>
    </row>
    <row r="5185" spans="12:20" x14ac:dyDescent="0.2">
      <c r="L5185" s="43"/>
      <c r="M5185" s="43"/>
      <c r="N5185" s="43"/>
      <c r="O5185" s="43"/>
      <c r="Q5185" s="44"/>
      <c r="R5185" s="44"/>
      <c r="S5185" s="44"/>
      <c r="T5185" s="44"/>
    </row>
    <row r="5186" spans="12:20" x14ac:dyDescent="0.2">
      <c r="L5186" s="43"/>
      <c r="M5186" s="43"/>
      <c r="N5186" s="43"/>
      <c r="O5186" s="43"/>
      <c r="Q5186" s="44"/>
      <c r="R5186" s="44"/>
      <c r="S5186" s="44"/>
      <c r="T5186" s="44"/>
    </row>
    <row r="5187" spans="12:20" x14ac:dyDescent="0.2">
      <c r="L5187" s="43"/>
      <c r="M5187" s="43"/>
      <c r="N5187" s="43"/>
      <c r="O5187" s="43"/>
      <c r="Q5187" s="44"/>
      <c r="R5187" s="44"/>
      <c r="S5187" s="44"/>
      <c r="T5187" s="44"/>
    </row>
    <row r="5188" spans="12:20" x14ac:dyDescent="0.2">
      <c r="L5188" s="43"/>
      <c r="M5188" s="43"/>
      <c r="N5188" s="43"/>
      <c r="O5188" s="43"/>
      <c r="Q5188" s="44"/>
      <c r="R5188" s="44"/>
      <c r="S5188" s="44"/>
      <c r="T5188" s="44"/>
    </row>
    <row r="5189" spans="12:20" x14ac:dyDescent="0.2">
      <c r="L5189" s="43"/>
      <c r="M5189" s="43"/>
      <c r="N5189" s="43"/>
      <c r="O5189" s="43"/>
      <c r="Q5189" s="44"/>
      <c r="R5189" s="44"/>
      <c r="S5189" s="44"/>
      <c r="T5189" s="44"/>
    </row>
    <row r="5190" spans="12:20" x14ac:dyDescent="0.2">
      <c r="L5190" s="43"/>
      <c r="M5190" s="43"/>
      <c r="N5190" s="43"/>
      <c r="O5190" s="43"/>
      <c r="Q5190" s="44"/>
      <c r="R5190" s="44"/>
      <c r="S5190" s="44"/>
      <c r="T5190" s="44"/>
    </row>
    <row r="5191" spans="12:20" x14ac:dyDescent="0.2">
      <c r="L5191" s="43"/>
      <c r="M5191" s="43"/>
      <c r="N5191" s="43"/>
      <c r="O5191" s="43"/>
      <c r="Q5191" s="44"/>
      <c r="R5191" s="44"/>
      <c r="S5191" s="44"/>
      <c r="T5191" s="44"/>
    </row>
    <row r="5192" spans="12:20" x14ac:dyDescent="0.2">
      <c r="L5192" s="43"/>
      <c r="M5192" s="43"/>
      <c r="N5192" s="43"/>
      <c r="O5192" s="43"/>
      <c r="Q5192" s="44"/>
      <c r="R5192" s="44"/>
      <c r="S5192" s="44"/>
      <c r="T5192" s="44"/>
    </row>
    <row r="5193" spans="12:20" x14ac:dyDescent="0.2">
      <c r="L5193" s="43"/>
      <c r="M5193" s="43"/>
      <c r="N5193" s="43"/>
      <c r="O5193" s="43"/>
      <c r="Q5193" s="44"/>
      <c r="R5193" s="44"/>
      <c r="S5193" s="44"/>
      <c r="T5193" s="44"/>
    </row>
    <row r="5194" spans="12:20" x14ac:dyDescent="0.2">
      <c r="L5194" s="43"/>
      <c r="M5194" s="43"/>
      <c r="N5194" s="43"/>
      <c r="O5194" s="43"/>
      <c r="Q5194" s="44"/>
      <c r="R5194" s="44"/>
      <c r="S5194" s="44"/>
      <c r="T5194" s="44"/>
    </row>
    <row r="5195" spans="12:20" x14ac:dyDescent="0.2">
      <c r="L5195" s="43"/>
      <c r="M5195" s="43"/>
      <c r="N5195" s="43"/>
      <c r="O5195" s="43"/>
      <c r="Q5195" s="44"/>
      <c r="R5195" s="44"/>
      <c r="S5195" s="44"/>
      <c r="T5195" s="44"/>
    </row>
    <row r="5196" spans="12:20" x14ac:dyDescent="0.2">
      <c r="L5196" s="43"/>
      <c r="M5196" s="43"/>
      <c r="N5196" s="43"/>
      <c r="O5196" s="43"/>
      <c r="Q5196" s="44"/>
      <c r="R5196" s="44"/>
      <c r="S5196" s="44"/>
      <c r="T5196" s="44"/>
    </row>
    <row r="5197" spans="12:20" x14ac:dyDescent="0.2">
      <c r="L5197" s="43"/>
      <c r="M5197" s="43"/>
      <c r="N5197" s="43"/>
      <c r="O5197" s="43"/>
      <c r="Q5197" s="44"/>
      <c r="R5197" s="44"/>
      <c r="S5197" s="44"/>
      <c r="T5197" s="44"/>
    </row>
    <row r="5198" spans="12:20" x14ac:dyDescent="0.2">
      <c r="L5198" s="43"/>
      <c r="M5198" s="43"/>
      <c r="N5198" s="43"/>
      <c r="O5198" s="43"/>
      <c r="Q5198" s="44"/>
      <c r="R5198" s="44"/>
      <c r="S5198" s="44"/>
      <c r="T5198" s="44"/>
    </row>
    <row r="5199" spans="12:20" x14ac:dyDescent="0.2">
      <c r="L5199" s="43"/>
      <c r="M5199" s="43"/>
      <c r="N5199" s="43"/>
      <c r="O5199" s="43"/>
      <c r="Q5199" s="44"/>
      <c r="R5199" s="44"/>
      <c r="S5199" s="44"/>
      <c r="T5199" s="44"/>
    </row>
    <row r="5200" spans="12:20" x14ac:dyDescent="0.2">
      <c r="L5200" s="43"/>
      <c r="M5200" s="43"/>
      <c r="N5200" s="43"/>
      <c r="O5200" s="43"/>
      <c r="Q5200" s="44"/>
      <c r="R5200" s="44"/>
      <c r="S5200" s="44"/>
      <c r="T5200" s="44"/>
    </row>
    <row r="5201" spans="12:20" x14ac:dyDescent="0.2">
      <c r="L5201" s="43"/>
      <c r="M5201" s="43"/>
      <c r="N5201" s="43"/>
      <c r="O5201" s="43"/>
      <c r="Q5201" s="44"/>
      <c r="R5201" s="44"/>
      <c r="S5201" s="44"/>
      <c r="T5201" s="44"/>
    </row>
    <row r="5202" spans="12:20" x14ac:dyDescent="0.2">
      <c r="L5202" s="43"/>
      <c r="M5202" s="43"/>
      <c r="N5202" s="43"/>
      <c r="O5202" s="43"/>
      <c r="Q5202" s="44"/>
      <c r="R5202" s="44"/>
      <c r="S5202" s="44"/>
      <c r="T5202" s="44"/>
    </row>
    <row r="5203" spans="12:20" x14ac:dyDescent="0.2">
      <c r="L5203" s="43"/>
      <c r="M5203" s="43"/>
      <c r="N5203" s="43"/>
      <c r="O5203" s="43"/>
      <c r="Q5203" s="44"/>
      <c r="R5203" s="44"/>
      <c r="S5203" s="44"/>
      <c r="T5203" s="44"/>
    </row>
    <row r="5204" spans="12:20" x14ac:dyDescent="0.2">
      <c r="L5204" s="43"/>
      <c r="M5204" s="43"/>
      <c r="N5204" s="43"/>
      <c r="O5204" s="43"/>
      <c r="Q5204" s="44"/>
      <c r="R5204" s="44"/>
      <c r="S5204" s="44"/>
      <c r="T5204" s="44"/>
    </row>
    <row r="5205" spans="12:20" x14ac:dyDescent="0.2">
      <c r="L5205" s="43"/>
      <c r="M5205" s="43"/>
      <c r="N5205" s="43"/>
      <c r="O5205" s="43"/>
      <c r="Q5205" s="44"/>
      <c r="R5205" s="44"/>
      <c r="S5205" s="44"/>
      <c r="T5205" s="44"/>
    </row>
    <row r="5206" spans="12:20" x14ac:dyDescent="0.2">
      <c r="L5206" s="43"/>
      <c r="M5206" s="43"/>
      <c r="N5206" s="43"/>
      <c r="O5206" s="43"/>
      <c r="Q5206" s="44"/>
      <c r="R5206" s="44"/>
      <c r="S5206" s="44"/>
      <c r="T5206" s="44"/>
    </row>
    <row r="5207" spans="12:20" x14ac:dyDescent="0.2">
      <c r="L5207" s="43"/>
      <c r="M5207" s="43"/>
      <c r="N5207" s="43"/>
      <c r="O5207" s="43"/>
      <c r="Q5207" s="44"/>
      <c r="R5207" s="44"/>
      <c r="S5207" s="44"/>
      <c r="T5207" s="44"/>
    </row>
    <row r="5208" spans="12:20" x14ac:dyDescent="0.2">
      <c r="L5208" s="43"/>
      <c r="M5208" s="43"/>
      <c r="N5208" s="43"/>
      <c r="O5208" s="43"/>
      <c r="Q5208" s="44"/>
      <c r="R5208" s="44"/>
      <c r="S5208" s="44"/>
      <c r="T5208" s="44"/>
    </row>
    <row r="5209" spans="12:20" x14ac:dyDescent="0.2">
      <c r="L5209" s="43"/>
      <c r="M5209" s="43"/>
      <c r="N5209" s="43"/>
      <c r="O5209" s="43"/>
      <c r="Q5209" s="44"/>
      <c r="R5209" s="44"/>
      <c r="S5209" s="44"/>
      <c r="T5209" s="44"/>
    </row>
    <row r="5210" spans="12:20" x14ac:dyDescent="0.2">
      <c r="L5210" s="43"/>
      <c r="M5210" s="43"/>
      <c r="N5210" s="43"/>
      <c r="O5210" s="43"/>
      <c r="Q5210" s="44"/>
      <c r="R5210" s="44"/>
      <c r="S5210" s="44"/>
      <c r="T5210" s="44"/>
    </row>
    <row r="5211" spans="12:20" x14ac:dyDescent="0.2">
      <c r="L5211" s="43"/>
      <c r="M5211" s="43"/>
      <c r="N5211" s="43"/>
      <c r="O5211" s="43"/>
      <c r="Q5211" s="44"/>
      <c r="R5211" s="44"/>
      <c r="S5211" s="44"/>
      <c r="T5211" s="44"/>
    </row>
    <row r="5212" spans="12:20" x14ac:dyDescent="0.2">
      <c r="L5212" s="43"/>
      <c r="M5212" s="43"/>
      <c r="N5212" s="43"/>
      <c r="O5212" s="43"/>
      <c r="Q5212" s="44"/>
      <c r="R5212" s="44"/>
      <c r="S5212" s="44"/>
      <c r="T5212" s="44"/>
    </row>
    <row r="5213" spans="12:20" x14ac:dyDescent="0.2">
      <c r="L5213" s="43"/>
      <c r="M5213" s="43"/>
      <c r="N5213" s="43"/>
      <c r="O5213" s="43"/>
      <c r="Q5213" s="44"/>
      <c r="R5213" s="44"/>
      <c r="S5213" s="44"/>
      <c r="T5213" s="44"/>
    </row>
    <row r="5214" spans="12:20" x14ac:dyDescent="0.2">
      <c r="L5214" s="43"/>
      <c r="M5214" s="43"/>
      <c r="N5214" s="43"/>
      <c r="O5214" s="43"/>
      <c r="Q5214" s="44"/>
      <c r="R5214" s="44"/>
      <c r="S5214" s="44"/>
      <c r="T5214" s="44"/>
    </row>
    <row r="5215" spans="12:20" x14ac:dyDescent="0.2">
      <c r="L5215" s="43"/>
      <c r="M5215" s="43"/>
      <c r="N5215" s="43"/>
      <c r="O5215" s="43"/>
      <c r="Q5215" s="44"/>
      <c r="R5215" s="44"/>
      <c r="S5215" s="44"/>
      <c r="T5215" s="44"/>
    </row>
    <row r="5216" spans="12:20" x14ac:dyDescent="0.2">
      <c r="L5216" s="43"/>
      <c r="M5216" s="43"/>
      <c r="N5216" s="43"/>
      <c r="O5216" s="43"/>
      <c r="Q5216" s="44"/>
      <c r="R5216" s="44"/>
      <c r="S5216" s="44"/>
      <c r="T5216" s="44"/>
    </row>
    <row r="5217" spans="12:20" x14ac:dyDescent="0.2">
      <c r="L5217" s="43"/>
      <c r="M5217" s="43"/>
      <c r="N5217" s="43"/>
      <c r="O5217" s="43"/>
      <c r="Q5217" s="44"/>
      <c r="R5217" s="44"/>
      <c r="S5217" s="44"/>
      <c r="T5217" s="44"/>
    </row>
    <row r="5218" spans="12:20" x14ac:dyDescent="0.2">
      <c r="L5218" s="43"/>
      <c r="M5218" s="43"/>
      <c r="N5218" s="43"/>
      <c r="O5218" s="43"/>
      <c r="Q5218" s="44"/>
      <c r="R5218" s="44"/>
      <c r="S5218" s="44"/>
      <c r="T5218" s="44"/>
    </row>
    <row r="5219" spans="12:20" x14ac:dyDescent="0.2">
      <c r="L5219" s="43"/>
      <c r="M5219" s="43"/>
      <c r="N5219" s="43"/>
      <c r="O5219" s="43"/>
      <c r="Q5219" s="44"/>
      <c r="R5219" s="44"/>
      <c r="S5219" s="44"/>
      <c r="T5219" s="44"/>
    </row>
    <row r="5220" spans="12:20" x14ac:dyDescent="0.2">
      <c r="L5220" s="43"/>
      <c r="M5220" s="43"/>
      <c r="N5220" s="43"/>
      <c r="O5220" s="43"/>
      <c r="Q5220" s="44"/>
      <c r="R5220" s="44"/>
      <c r="S5220" s="44"/>
      <c r="T5220" s="44"/>
    </row>
    <row r="5221" spans="12:20" x14ac:dyDescent="0.2">
      <c r="L5221" s="43"/>
      <c r="M5221" s="43"/>
      <c r="N5221" s="43"/>
      <c r="O5221" s="43"/>
      <c r="Q5221" s="44"/>
      <c r="R5221" s="44"/>
      <c r="S5221" s="44"/>
      <c r="T5221" s="44"/>
    </row>
    <row r="5222" spans="12:20" x14ac:dyDescent="0.2">
      <c r="L5222" s="43"/>
      <c r="M5222" s="43"/>
      <c r="N5222" s="43"/>
      <c r="O5222" s="43"/>
      <c r="Q5222" s="44"/>
      <c r="R5222" s="44"/>
      <c r="S5222" s="44"/>
      <c r="T5222" s="44"/>
    </row>
    <row r="5223" spans="12:20" x14ac:dyDescent="0.2">
      <c r="L5223" s="43"/>
      <c r="M5223" s="43"/>
      <c r="N5223" s="43"/>
      <c r="O5223" s="43"/>
      <c r="Q5223" s="44"/>
      <c r="R5223" s="44"/>
      <c r="S5223" s="44"/>
      <c r="T5223" s="44"/>
    </row>
    <row r="5224" spans="12:20" x14ac:dyDescent="0.2">
      <c r="L5224" s="43"/>
      <c r="M5224" s="43"/>
      <c r="N5224" s="43"/>
      <c r="O5224" s="43"/>
      <c r="Q5224" s="44"/>
      <c r="R5224" s="44"/>
      <c r="S5224" s="44"/>
      <c r="T5224" s="44"/>
    </row>
    <row r="5225" spans="12:20" x14ac:dyDescent="0.2">
      <c r="L5225" s="43"/>
      <c r="M5225" s="43"/>
      <c r="N5225" s="43"/>
      <c r="O5225" s="43"/>
      <c r="Q5225" s="44"/>
      <c r="R5225" s="44"/>
      <c r="S5225" s="44"/>
      <c r="T5225" s="44"/>
    </row>
    <row r="5226" spans="12:20" x14ac:dyDescent="0.2">
      <c r="L5226" s="43"/>
      <c r="M5226" s="43"/>
      <c r="N5226" s="43"/>
      <c r="O5226" s="43"/>
      <c r="Q5226" s="44"/>
      <c r="R5226" s="44"/>
      <c r="S5226" s="44"/>
      <c r="T5226" s="44"/>
    </row>
    <row r="5227" spans="12:20" x14ac:dyDescent="0.2">
      <c r="L5227" s="43"/>
      <c r="M5227" s="43"/>
      <c r="N5227" s="43"/>
      <c r="O5227" s="43"/>
      <c r="Q5227" s="44"/>
      <c r="R5227" s="44"/>
      <c r="S5227" s="44"/>
      <c r="T5227" s="44"/>
    </row>
    <row r="5228" spans="12:20" x14ac:dyDescent="0.2">
      <c r="L5228" s="43"/>
      <c r="M5228" s="43"/>
      <c r="N5228" s="43"/>
      <c r="O5228" s="43"/>
      <c r="Q5228" s="44"/>
      <c r="R5228" s="44"/>
      <c r="S5228" s="44"/>
      <c r="T5228" s="44"/>
    </row>
    <row r="5229" spans="12:20" x14ac:dyDescent="0.2">
      <c r="L5229" s="43"/>
      <c r="M5229" s="43"/>
      <c r="N5229" s="43"/>
      <c r="O5229" s="43"/>
      <c r="Q5229" s="44"/>
      <c r="R5229" s="44"/>
      <c r="S5229" s="44"/>
      <c r="T5229" s="44"/>
    </row>
    <row r="5230" spans="12:20" x14ac:dyDescent="0.2">
      <c r="L5230" s="43"/>
      <c r="M5230" s="43"/>
      <c r="N5230" s="43"/>
      <c r="O5230" s="43"/>
      <c r="Q5230" s="44"/>
      <c r="R5230" s="44"/>
      <c r="S5230" s="44"/>
      <c r="T5230" s="44"/>
    </row>
    <row r="5231" spans="12:20" x14ac:dyDescent="0.2">
      <c r="L5231" s="43"/>
      <c r="M5231" s="43"/>
      <c r="N5231" s="43"/>
      <c r="O5231" s="43"/>
      <c r="Q5231" s="44"/>
      <c r="R5231" s="44"/>
      <c r="S5231" s="44"/>
      <c r="T5231" s="44"/>
    </row>
    <row r="5232" spans="12:20" x14ac:dyDescent="0.2">
      <c r="L5232" s="43"/>
      <c r="M5232" s="43"/>
      <c r="N5232" s="43"/>
      <c r="O5232" s="43"/>
      <c r="Q5232" s="44"/>
      <c r="R5232" s="44"/>
      <c r="S5232" s="44"/>
      <c r="T5232" s="44"/>
    </row>
    <row r="5233" spans="12:20" x14ac:dyDescent="0.2">
      <c r="L5233" s="43"/>
      <c r="M5233" s="43"/>
      <c r="N5233" s="43"/>
      <c r="O5233" s="43"/>
      <c r="Q5233" s="44"/>
      <c r="R5233" s="44"/>
      <c r="S5233" s="44"/>
      <c r="T5233" s="44"/>
    </row>
    <row r="5234" spans="12:20" x14ac:dyDescent="0.2">
      <c r="L5234" s="43"/>
      <c r="M5234" s="43"/>
      <c r="N5234" s="43"/>
      <c r="O5234" s="43"/>
      <c r="Q5234" s="44"/>
      <c r="R5234" s="44"/>
      <c r="S5234" s="44"/>
      <c r="T5234" s="44"/>
    </row>
    <row r="5235" spans="12:20" x14ac:dyDescent="0.2">
      <c r="L5235" s="43"/>
      <c r="M5235" s="43"/>
      <c r="N5235" s="43"/>
      <c r="O5235" s="43"/>
      <c r="Q5235" s="44"/>
      <c r="R5235" s="44"/>
      <c r="S5235" s="44"/>
      <c r="T5235" s="44"/>
    </row>
    <row r="5236" spans="12:20" x14ac:dyDescent="0.2">
      <c r="L5236" s="43"/>
      <c r="M5236" s="43"/>
      <c r="N5236" s="43"/>
      <c r="O5236" s="43"/>
      <c r="Q5236" s="44"/>
      <c r="R5236" s="44"/>
      <c r="S5236" s="44"/>
      <c r="T5236" s="44"/>
    </row>
    <row r="5237" spans="12:20" x14ac:dyDescent="0.2">
      <c r="L5237" s="43"/>
      <c r="M5237" s="43"/>
      <c r="N5237" s="43"/>
      <c r="O5237" s="43"/>
      <c r="Q5237" s="44"/>
      <c r="R5237" s="44"/>
      <c r="S5237" s="44"/>
      <c r="T5237" s="44"/>
    </row>
    <row r="5238" spans="12:20" x14ac:dyDescent="0.2">
      <c r="L5238" s="43"/>
      <c r="M5238" s="43"/>
      <c r="N5238" s="43"/>
      <c r="O5238" s="43"/>
      <c r="Q5238" s="44"/>
      <c r="R5238" s="44"/>
      <c r="S5238" s="44"/>
      <c r="T5238" s="44"/>
    </row>
    <row r="5239" spans="12:20" x14ac:dyDescent="0.2">
      <c r="L5239" s="43"/>
      <c r="M5239" s="43"/>
      <c r="N5239" s="43"/>
      <c r="O5239" s="43"/>
      <c r="Q5239" s="44"/>
      <c r="R5239" s="44"/>
      <c r="S5239" s="44"/>
      <c r="T5239" s="44"/>
    </row>
    <row r="5240" spans="12:20" x14ac:dyDescent="0.2">
      <c r="L5240" s="43"/>
      <c r="M5240" s="43"/>
      <c r="N5240" s="43"/>
      <c r="O5240" s="43"/>
      <c r="Q5240" s="44"/>
      <c r="R5240" s="44"/>
      <c r="S5240" s="44"/>
      <c r="T5240" s="44"/>
    </row>
    <row r="5241" spans="12:20" x14ac:dyDescent="0.2">
      <c r="L5241" s="43"/>
      <c r="M5241" s="43"/>
      <c r="N5241" s="43"/>
      <c r="O5241" s="43"/>
      <c r="Q5241" s="44"/>
      <c r="R5241" s="44"/>
      <c r="S5241" s="44"/>
      <c r="T5241" s="44"/>
    </row>
    <row r="5242" spans="12:20" x14ac:dyDescent="0.2">
      <c r="L5242" s="43"/>
      <c r="M5242" s="43"/>
      <c r="N5242" s="43"/>
      <c r="O5242" s="43"/>
      <c r="Q5242" s="44"/>
      <c r="R5242" s="44"/>
      <c r="S5242" s="44"/>
      <c r="T5242" s="44"/>
    </row>
    <row r="5243" spans="12:20" x14ac:dyDescent="0.2">
      <c r="L5243" s="43"/>
      <c r="M5243" s="43"/>
      <c r="N5243" s="43"/>
      <c r="O5243" s="43"/>
      <c r="Q5243" s="44"/>
      <c r="R5243" s="44"/>
      <c r="S5243" s="44"/>
      <c r="T5243" s="44"/>
    </row>
    <row r="5244" spans="12:20" x14ac:dyDescent="0.2">
      <c r="L5244" s="43"/>
      <c r="M5244" s="43"/>
      <c r="N5244" s="43"/>
      <c r="O5244" s="43"/>
      <c r="Q5244" s="44"/>
      <c r="R5244" s="44"/>
      <c r="S5244" s="44"/>
      <c r="T5244" s="44"/>
    </row>
    <row r="5245" spans="12:20" x14ac:dyDescent="0.2">
      <c r="L5245" s="43"/>
      <c r="M5245" s="43"/>
      <c r="N5245" s="43"/>
      <c r="O5245" s="43"/>
      <c r="Q5245" s="44"/>
      <c r="R5245" s="44"/>
      <c r="S5245" s="44"/>
      <c r="T5245" s="44"/>
    </row>
    <row r="5246" spans="12:20" x14ac:dyDescent="0.2">
      <c r="L5246" s="43"/>
      <c r="M5246" s="43"/>
      <c r="N5246" s="43"/>
      <c r="O5246" s="43"/>
      <c r="Q5246" s="44"/>
      <c r="R5246" s="44"/>
      <c r="S5246" s="44"/>
      <c r="T5246" s="44"/>
    </row>
    <row r="5247" spans="12:20" x14ac:dyDescent="0.2">
      <c r="L5247" s="43"/>
      <c r="M5247" s="43"/>
      <c r="N5247" s="43"/>
      <c r="O5247" s="43"/>
      <c r="Q5247" s="44"/>
      <c r="R5247" s="44"/>
      <c r="S5247" s="44"/>
      <c r="T5247" s="44"/>
    </row>
    <row r="5248" spans="12:20" x14ac:dyDescent="0.2">
      <c r="L5248" s="43"/>
      <c r="M5248" s="43"/>
      <c r="N5248" s="43"/>
      <c r="O5248" s="43"/>
      <c r="Q5248" s="44"/>
      <c r="R5248" s="44"/>
      <c r="S5248" s="44"/>
      <c r="T5248" s="44"/>
    </row>
    <row r="5249" spans="12:20" x14ac:dyDescent="0.2">
      <c r="L5249" s="43"/>
      <c r="M5249" s="43"/>
      <c r="N5249" s="43"/>
      <c r="O5249" s="43"/>
      <c r="Q5249" s="44"/>
      <c r="R5249" s="44"/>
      <c r="S5249" s="44"/>
      <c r="T5249" s="44"/>
    </row>
    <row r="5250" spans="12:20" x14ac:dyDescent="0.2">
      <c r="L5250" s="43"/>
      <c r="M5250" s="43"/>
      <c r="N5250" s="43"/>
      <c r="O5250" s="43"/>
      <c r="Q5250" s="44"/>
      <c r="R5250" s="44"/>
      <c r="S5250" s="44"/>
      <c r="T5250" s="44"/>
    </row>
    <row r="5251" spans="12:20" x14ac:dyDescent="0.2">
      <c r="L5251" s="43"/>
      <c r="M5251" s="43"/>
      <c r="N5251" s="43"/>
      <c r="O5251" s="43"/>
      <c r="Q5251" s="44"/>
      <c r="R5251" s="44"/>
      <c r="S5251" s="44"/>
      <c r="T5251" s="44"/>
    </row>
    <row r="5252" spans="12:20" x14ac:dyDescent="0.2">
      <c r="L5252" s="43"/>
      <c r="M5252" s="43"/>
      <c r="N5252" s="43"/>
      <c r="O5252" s="43"/>
      <c r="Q5252" s="44"/>
      <c r="R5252" s="44"/>
      <c r="S5252" s="44"/>
      <c r="T5252" s="44"/>
    </row>
    <row r="5253" spans="12:20" x14ac:dyDescent="0.2">
      <c r="L5253" s="43"/>
      <c r="M5253" s="43"/>
      <c r="N5253" s="43"/>
      <c r="O5253" s="43"/>
      <c r="Q5253" s="44"/>
      <c r="R5253" s="44"/>
      <c r="S5253" s="44"/>
      <c r="T5253" s="44"/>
    </row>
    <row r="5254" spans="12:20" x14ac:dyDescent="0.2">
      <c r="L5254" s="43"/>
      <c r="M5254" s="43"/>
      <c r="N5254" s="43"/>
      <c r="O5254" s="43"/>
      <c r="Q5254" s="44"/>
      <c r="R5254" s="44"/>
      <c r="S5254" s="44"/>
      <c r="T5254" s="44"/>
    </row>
    <row r="5255" spans="12:20" x14ac:dyDescent="0.2">
      <c r="L5255" s="43"/>
      <c r="M5255" s="43"/>
      <c r="N5255" s="43"/>
      <c r="O5255" s="43"/>
      <c r="Q5255" s="44"/>
      <c r="R5255" s="44"/>
      <c r="S5255" s="44"/>
      <c r="T5255" s="44"/>
    </row>
    <row r="5256" spans="12:20" x14ac:dyDescent="0.2">
      <c r="L5256" s="43"/>
      <c r="M5256" s="43"/>
      <c r="N5256" s="43"/>
      <c r="O5256" s="43"/>
      <c r="Q5256" s="44"/>
      <c r="R5256" s="44"/>
      <c r="S5256" s="44"/>
      <c r="T5256" s="44"/>
    </row>
    <row r="5257" spans="12:20" x14ac:dyDescent="0.2">
      <c r="L5257" s="43"/>
      <c r="M5257" s="43"/>
      <c r="N5257" s="43"/>
      <c r="O5257" s="43"/>
      <c r="Q5257" s="44"/>
      <c r="R5257" s="44"/>
      <c r="S5257" s="44"/>
      <c r="T5257" s="44"/>
    </row>
    <row r="5258" spans="12:20" x14ac:dyDescent="0.2">
      <c r="L5258" s="43"/>
      <c r="M5258" s="43"/>
      <c r="N5258" s="43"/>
      <c r="O5258" s="43"/>
      <c r="Q5258" s="44"/>
      <c r="R5258" s="44"/>
      <c r="S5258" s="44"/>
      <c r="T5258" s="44"/>
    </row>
    <row r="5259" spans="12:20" x14ac:dyDescent="0.2">
      <c r="L5259" s="43"/>
      <c r="M5259" s="43"/>
      <c r="N5259" s="43"/>
      <c r="O5259" s="43"/>
      <c r="Q5259" s="44"/>
      <c r="R5259" s="44"/>
      <c r="S5259" s="44"/>
      <c r="T5259" s="44"/>
    </row>
    <row r="5260" spans="12:20" x14ac:dyDescent="0.2">
      <c r="L5260" s="43"/>
      <c r="M5260" s="43"/>
      <c r="N5260" s="43"/>
      <c r="O5260" s="43"/>
      <c r="Q5260" s="44"/>
      <c r="R5260" s="44"/>
      <c r="S5260" s="44"/>
      <c r="T5260" s="44"/>
    </row>
    <row r="5261" spans="12:20" x14ac:dyDescent="0.2">
      <c r="L5261" s="43"/>
      <c r="M5261" s="43"/>
      <c r="N5261" s="43"/>
      <c r="O5261" s="43"/>
      <c r="Q5261" s="44"/>
      <c r="R5261" s="44"/>
      <c r="S5261" s="44"/>
      <c r="T5261" s="44"/>
    </row>
    <row r="5262" spans="12:20" x14ac:dyDescent="0.2">
      <c r="L5262" s="43"/>
      <c r="M5262" s="43"/>
      <c r="N5262" s="43"/>
      <c r="O5262" s="43"/>
      <c r="Q5262" s="44"/>
      <c r="R5262" s="44"/>
      <c r="S5262" s="44"/>
      <c r="T5262" s="44"/>
    </row>
    <row r="5263" spans="12:20" x14ac:dyDescent="0.2">
      <c r="L5263" s="43"/>
      <c r="M5263" s="43"/>
      <c r="N5263" s="43"/>
      <c r="O5263" s="43"/>
      <c r="Q5263" s="44"/>
      <c r="R5263" s="44"/>
      <c r="S5263" s="44"/>
      <c r="T5263" s="44"/>
    </row>
    <row r="5264" spans="12:20" x14ac:dyDescent="0.2">
      <c r="L5264" s="43"/>
      <c r="M5264" s="43"/>
      <c r="N5264" s="43"/>
      <c r="O5264" s="43"/>
      <c r="Q5264" s="44"/>
      <c r="R5264" s="44"/>
      <c r="S5264" s="44"/>
      <c r="T5264" s="44"/>
    </row>
    <row r="5265" spans="12:20" x14ac:dyDescent="0.2">
      <c r="L5265" s="43"/>
      <c r="M5265" s="43"/>
      <c r="N5265" s="43"/>
      <c r="O5265" s="43"/>
      <c r="Q5265" s="44"/>
      <c r="R5265" s="44"/>
      <c r="S5265" s="44"/>
      <c r="T5265" s="44"/>
    </row>
    <row r="5266" spans="12:20" x14ac:dyDescent="0.2">
      <c r="L5266" s="43"/>
      <c r="M5266" s="43"/>
      <c r="N5266" s="43"/>
      <c r="O5266" s="43"/>
      <c r="Q5266" s="44"/>
      <c r="R5266" s="44"/>
      <c r="S5266" s="44"/>
      <c r="T5266" s="44"/>
    </row>
    <row r="5267" spans="12:20" x14ac:dyDescent="0.2">
      <c r="L5267" s="43"/>
      <c r="M5267" s="43"/>
      <c r="N5267" s="43"/>
      <c r="O5267" s="43"/>
      <c r="Q5267" s="44"/>
      <c r="R5267" s="44"/>
      <c r="S5267" s="44"/>
      <c r="T5267" s="44"/>
    </row>
    <row r="5268" spans="12:20" x14ac:dyDescent="0.2">
      <c r="L5268" s="43"/>
      <c r="M5268" s="43"/>
      <c r="N5268" s="43"/>
      <c r="O5268" s="43"/>
      <c r="Q5268" s="44"/>
      <c r="R5268" s="44"/>
      <c r="S5268" s="44"/>
      <c r="T5268" s="44"/>
    </row>
    <row r="5269" spans="12:20" x14ac:dyDescent="0.2">
      <c r="L5269" s="43"/>
      <c r="M5269" s="43"/>
      <c r="N5269" s="43"/>
      <c r="O5269" s="43"/>
      <c r="Q5269" s="44"/>
      <c r="R5269" s="44"/>
      <c r="S5269" s="44"/>
      <c r="T5269" s="44"/>
    </row>
    <row r="5270" spans="12:20" x14ac:dyDescent="0.2">
      <c r="L5270" s="43"/>
      <c r="M5270" s="43"/>
      <c r="N5270" s="43"/>
      <c r="O5270" s="43"/>
      <c r="Q5270" s="44"/>
      <c r="R5270" s="44"/>
      <c r="S5270" s="44"/>
      <c r="T5270" s="44"/>
    </row>
    <row r="5271" spans="12:20" x14ac:dyDescent="0.2">
      <c r="L5271" s="43"/>
      <c r="M5271" s="43"/>
      <c r="N5271" s="43"/>
      <c r="O5271" s="43"/>
      <c r="Q5271" s="44"/>
      <c r="R5271" s="44"/>
      <c r="S5271" s="44"/>
      <c r="T5271" s="44"/>
    </row>
    <row r="5272" spans="12:20" x14ac:dyDescent="0.2">
      <c r="L5272" s="43"/>
      <c r="M5272" s="43"/>
      <c r="N5272" s="43"/>
      <c r="O5272" s="43"/>
      <c r="Q5272" s="44"/>
      <c r="R5272" s="44"/>
      <c r="S5272" s="44"/>
      <c r="T5272" s="44"/>
    </row>
    <row r="5273" spans="12:20" x14ac:dyDescent="0.2">
      <c r="L5273" s="43"/>
      <c r="M5273" s="43"/>
      <c r="N5273" s="43"/>
      <c r="O5273" s="43"/>
      <c r="Q5273" s="44"/>
      <c r="R5273" s="44"/>
      <c r="S5273" s="44"/>
      <c r="T5273" s="44"/>
    </row>
    <row r="5274" spans="12:20" x14ac:dyDescent="0.2">
      <c r="L5274" s="43"/>
      <c r="M5274" s="43"/>
      <c r="N5274" s="43"/>
      <c r="O5274" s="43"/>
      <c r="Q5274" s="44"/>
      <c r="R5274" s="44"/>
      <c r="S5274" s="44"/>
      <c r="T5274" s="44"/>
    </row>
    <row r="5275" spans="12:20" x14ac:dyDescent="0.2">
      <c r="L5275" s="43"/>
      <c r="M5275" s="43"/>
      <c r="N5275" s="43"/>
      <c r="O5275" s="43"/>
      <c r="Q5275" s="44"/>
      <c r="R5275" s="44"/>
      <c r="S5275" s="44"/>
      <c r="T5275" s="44"/>
    </row>
    <row r="5276" spans="12:20" x14ac:dyDescent="0.2">
      <c r="L5276" s="43"/>
      <c r="M5276" s="43"/>
      <c r="N5276" s="43"/>
      <c r="O5276" s="43"/>
      <c r="Q5276" s="44"/>
      <c r="R5276" s="44"/>
      <c r="S5276" s="44"/>
      <c r="T5276" s="44"/>
    </row>
    <row r="5277" spans="12:20" x14ac:dyDescent="0.2">
      <c r="L5277" s="43"/>
      <c r="M5277" s="43"/>
      <c r="N5277" s="43"/>
      <c r="O5277" s="43"/>
      <c r="Q5277" s="44"/>
      <c r="R5277" s="44"/>
      <c r="S5277" s="44"/>
      <c r="T5277" s="44"/>
    </row>
    <row r="5278" spans="12:20" x14ac:dyDescent="0.2">
      <c r="L5278" s="43"/>
      <c r="M5278" s="43"/>
      <c r="N5278" s="43"/>
      <c r="O5278" s="43"/>
      <c r="Q5278" s="44"/>
      <c r="R5278" s="44"/>
      <c r="S5278" s="44"/>
      <c r="T5278" s="44"/>
    </row>
    <row r="5279" spans="12:20" x14ac:dyDescent="0.2">
      <c r="L5279" s="43"/>
      <c r="M5279" s="43"/>
      <c r="N5279" s="43"/>
      <c r="O5279" s="43"/>
      <c r="Q5279" s="44"/>
      <c r="R5279" s="44"/>
      <c r="S5279" s="44"/>
      <c r="T5279" s="44"/>
    </row>
    <row r="5280" spans="12:20" x14ac:dyDescent="0.2">
      <c r="L5280" s="43"/>
      <c r="M5280" s="43"/>
      <c r="N5280" s="43"/>
      <c r="O5280" s="43"/>
      <c r="Q5280" s="44"/>
      <c r="R5280" s="44"/>
      <c r="S5280" s="44"/>
      <c r="T5280" s="44"/>
    </row>
    <row r="5281" spans="12:20" x14ac:dyDescent="0.2">
      <c r="L5281" s="43"/>
      <c r="M5281" s="43"/>
      <c r="N5281" s="43"/>
      <c r="O5281" s="43"/>
      <c r="Q5281" s="44"/>
      <c r="R5281" s="44"/>
      <c r="S5281" s="44"/>
      <c r="T5281" s="44"/>
    </row>
    <row r="5282" spans="12:20" x14ac:dyDescent="0.2">
      <c r="L5282" s="43"/>
      <c r="M5282" s="43"/>
      <c r="N5282" s="43"/>
      <c r="O5282" s="43"/>
      <c r="Q5282" s="44"/>
      <c r="R5282" s="44"/>
      <c r="S5282" s="44"/>
      <c r="T5282" s="44"/>
    </row>
    <row r="5283" spans="12:20" x14ac:dyDescent="0.2">
      <c r="L5283" s="43"/>
      <c r="M5283" s="43"/>
      <c r="N5283" s="43"/>
      <c r="O5283" s="43"/>
      <c r="Q5283" s="44"/>
      <c r="R5283" s="44"/>
      <c r="S5283" s="44"/>
      <c r="T5283" s="44"/>
    </row>
    <row r="5284" spans="12:20" x14ac:dyDescent="0.2">
      <c r="L5284" s="43"/>
      <c r="M5284" s="43"/>
      <c r="N5284" s="43"/>
      <c r="O5284" s="43"/>
      <c r="Q5284" s="44"/>
      <c r="R5284" s="44"/>
      <c r="S5284" s="44"/>
      <c r="T5284" s="44"/>
    </row>
    <row r="5285" spans="12:20" x14ac:dyDescent="0.2">
      <c r="L5285" s="43"/>
      <c r="M5285" s="43"/>
      <c r="N5285" s="43"/>
      <c r="O5285" s="43"/>
      <c r="Q5285" s="44"/>
      <c r="R5285" s="44"/>
      <c r="S5285" s="44"/>
      <c r="T5285" s="44"/>
    </row>
    <row r="5286" spans="12:20" x14ac:dyDescent="0.2">
      <c r="L5286" s="43"/>
      <c r="M5286" s="43"/>
      <c r="N5286" s="43"/>
      <c r="O5286" s="43"/>
      <c r="Q5286" s="44"/>
      <c r="R5286" s="44"/>
      <c r="S5286" s="44"/>
      <c r="T5286" s="44"/>
    </row>
    <row r="5287" spans="12:20" x14ac:dyDescent="0.2">
      <c r="L5287" s="43"/>
      <c r="M5287" s="43"/>
      <c r="N5287" s="43"/>
      <c r="O5287" s="43"/>
      <c r="Q5287" s="44"/>
      <c r="R5287" s="44"/>
      <c r="S5287" s="44"/>
      <c r="T5287" s="44"/>
    </row>
    <row r="5288" spans="12:20" x14ac:dyDescent="0.2">
      <c r="L5288" s="43"/>
      <c r="M5288" s="43"/>
      <c r="N5288" s="43"/>
      <c r="O5288" s="43"/>
      <c r="Q5288" s="44"/>
      <c r="R5288" s="44"/>
      <c r="S5288" s="44"/>
      <c r="T5288" s="44"/>
    </row>
    <row r="5289" spans="12:20" x14ac:dyDescent="0.2">
      <c r="L5289" s="43"/>
      <c r="M5289" s="43"/>
      <c r="N5289" s="43"/>
      <c r="O5289" s="43"/>
      <c r="Q5289" s="44"/>
      <c r="R5289" s="44"/>
      <c r="S5289" s="44"/>
      <c r="T5289" s="44"/>
    </row>
    <row r="5290" spans="12:20" x14ac:dyDescent="0.2">
      <c r="L5290" s="43"/>
      <c r="M5290" s="43"/>
      <c r="N5290" s="43"/>
      <c r="O5290" s="43"/>
      <c r="Q5290" s="44"/>
      <c r="R5290" s="44"/>
      <c r="S5290" s="44"/>
      <c r="T5290" s="44"/>
    </row>
    <row r="5291" spans="12:20" x14ac:dyDescent="0.2">
      <c r="L5291" s="43"/>
      <c r="M5291" s="43"/>
      <c r="N5291" s="43"/>
      <c r="O5291" s="43"/>
      <c r="Q5291" s="44"/>
      <c r="R5291" s="44"/>
      <c r="S5291" s="44"/>
      <c r="T5291" s="44"/>
    </row>
    <row r="5292" spans="12:20" x14ac:dyDescent="0.2">
      <c r="L5292" s="43"/>
      <c r="M5292" s="43"/>
      <c r="N5292" s="43"/>
      <c r="O5292" s="43"/>
      <c r="Q5292" s="44"/>
      <c r="R5292" s="44"/>
      <c r="S5292" s="44"/>
      <c r="T5292" s="44"/>
    </row>
    <row r="5293" spans="12:20" x14ac:dyDescent="0.2">
      <c r="L5293" s="43"/>
      <c r="M5293" s="43"/>
      <c r="N5293" s="43"/>
      <c r="O5293" s="43"/>
      <c r="Q5293" s="44"/>
      <c r="R5293" s="44"/>
      <c r="S5293" s="44"/>
      <c r="T5293" s="44"/>
    </row>
    <row r="5294" spans="12:20" x14ac:dyDescent="0.2">
      <c r="L5294" s="43"/>
      <c r="M5294" s="43"/>
      <c r="N5294" s="43"/>
      <c r="O5294" s="43"/>
      <c r="Q5294" s="44"/>
      <c r="R5294" s="44"/>
      <c r="S5294" s="44"/>
      <c r="T5294" s="44"/>
    </row>
    <row r="5295" spans="12:20" x14ac:dyDescent="0.2">
      <c r="L5295" s="43"/>
      <c r="M5295" s="43"/>
      <c r="N5295" s="43"/>
      <c r="O5295" s="43"/>
      <c r="Q5295" s="44"/>
      <c r="R5295" s="44"/>
      <c r="S5295" s="44"/>
      <c r="T5295" s="44"/>
    </row>
    <row r="5296" spans="12:20" x14ac:dyDescent="0.2">
      <c r="L5296" s="43"/>
      <c r="M5296" s="43"/>
      <c r="N5296" s="43"/>
      <c r="O5296" s="43"/>
      <c r="Q5296" s="44"/>
      <c r="R5296" s="44"/>
      <c r="S5296" s="44"/>
      <c r="T5296" s="44"/>
    </row>
    <row r="5297" spans="12:20" x14ac:dyDescent="0.2">
      <c r="L5297" s="43"/>
      <c r="M5297" s="43"/>
      <c r="N5297" s="43"/>
      <c r="O5297" s="43"/>
      <c r="Q5297" s="44"/>
      <c r="R5297" s="44"/>
      <c r="S5297" s="44"/>
      <c r="T5297" s="44"/>
    </row>
    <row r="5298" spans="12:20" x14ac:dyDescent="0.2">
      <c r="L5298" s="43"/>
      <c r="M5298" s="43"/>
      <c r="N5298" s="43"/>
      <c r="O5298" s="43"/>
      <c r="Q5298" s="44"/>
      <c r="R5298" s="44"/>
      <c r="S5298" s="44"/>
      <c r="T5298" s="44"/>
    </row>
    <row r="5299" spans="12:20" x14ac:dyDescent="0.2">
      <c r="L5299" s="43"/>
      <c r="M5299" s="43"/>
      <c r="N5299" s="43"/>
      <c r="O5299" s="43"/>
      <c r="Q5299" s="44"/>
      <c r="R5299" s="44"/>
      <c r="S5299" s="44"/>
      <c r="T5299" s="44"/>
    </row>
    <row r="5300" spans="12:20" x14ac:dyDescent="0.2">
      <c r="L5300" s="43"/>
      <c r="M5300" s="43"/>
      <c r="N5300" s="43"/>
      <c r="O5300" s="43"/>
      <c r="Q5300" s="44"/>
      <c r="R5300" s="44"/>
      <c r="S5300" s="44"/>
      <c r="T5300" s="44"/>
    </row>
    <row r="5301" spans="12:20" x14ac:dyDescent="0.2">
      <c r="L5301" s="43"/>
      <c r="M5301" s="43"/>
      <c r="N5301" s="43"/>
      <c r="O5301" s="43"/>
      <c r="Q5301" s="44"/>
      <c r="R5301" s="44"/>
      <c r="S5301" s="44"/>
      <c r="T5301" s="44"/>
    </row>
    <row r="5302" spans="12:20" x14ac:dyDescent="0.2">
      <c r="L5302" s="43"/>
      <c r="M5302" s="43"/>
      <c r="N5302" s="43"/>
      <c r="O5302" s="43"/>
      <c r="Q5302" s="44"/>
      <c r="R5302" s="44"/>
      <c r="S5302" s="44"/>
      <c r="T5302" s="44"/>
    </row>
    <row r="5303" spans="12:20" x14ac:dyDescent="0.2">
      <c r="L5303" s="43"/>
      <c r="M5303" s="43"/>
      <c r="N5303" s="43"/>
      <c r="O5303" s="43"/>
      <c r="Q5303" s="44"/>
      <c r="R5303" s="44"/>
      <c r="S5303" s="44"/>
      <c r="T5303" s="44"/>
    </row>
    <row r="5304" spans="12:20" x14ac:dyDescent="0.2">
      <c r="L5304" s="43"/>
      <c r="M5304" s="43"/>
      <c r="N5304" s="43"/>
      <c r="O5304" s="43"/>
      <c r="Q5304" s="44"/>
      <c r="R5304" s="44"/>
      <c r="S5304" s="44"/>
      <c r="T5304" s="44"/>
    </row>
    <row r="5305" spans="12:20" x14ac:dyDescent="0.2">
      <c r="L5305" s="43"/>
      <c r="M5305" s="43"/>
      <c r="N5305" s="43"/>
      <c r="O5305" s="43"/>
      <c r="Q5305" s="44"/>
      <c r="R5305" s="44"/>
      <c r="S5305" s="44"/>
      <c r="T5305" s="44"/>
    </row>
    <row r="5306" spans="12:20" x14ac:dyDescent="0.2">
      <c r="L5306" s="43"/>
      <c r="M5306" s="43"/>
      <c r="N5306" s="43"/>
      <c r="O5306" s="43"/>
      <c r="Q5306" s="44"/>
      <c r="R5306" s="44"/>
      <c r="S5306" s="44"/>
      <c r="T5306" s="44"/>
    </row>
    <row r="5307" spans="12:20" x14ac:dyDescent="0.2">
      <c r="L5307" s="43"/>
      <c r="M5307" s="43"/>
      <c r="N5307" s="43"/>
      <c r="O5307" s="43"/>
      <c r="Q5307" s="44"/>
      <c r="R5307" s="44"/>
      <c r="S5307" s="44"/>
      <c r="T5307" s="44"/>
    </row>
    <row r="5308" spans="12:20" x14ac:dyDescent="0.2">
      <c r="L5308" s="43"/>
      <c r="M5308" s="43"/>
      <c r="N5308" s="43"/>
      <c r="O5308" s="43"/>
      <c r="Q5308" s="44"/>
      <c r="R5308" s="44"/>
      <c r="S5308" s="44"/>
      <c r="T5308" s="44"/>
    </row>
    <row r="5309" spans="12:20" x14ac:dyDescent="0.2">
      <c r="L5309" s="43"/>
      <c r="M5309" s="43"/>
      <c r="N5309" s="43"/>
      <c r="O5309" s="43"/>
      <c r="Q5309" s="44"/>
      <c r="R5309" s="44"/>
      <c r="S5309" s="44"/>
      <c r="T5309" s="44"/>
    </row>
    <row r="5310" spans="12:20" x14ac:dyDescent="0.2">
      <c r="L5310" s="43"/>
      <c r="M5310" s="43"/>
      <c r="N5310" s="43"/>
      <c r="O5310" s="43"/>
      <c r="Q5310" s="44"/>
      <c r="R5310" s="44"/>
      <c r="S5310" s="44"/>
      <c r="T5310" s="44"/>
    </row>
    <row r="5311" spans="12:20" x14ac:dyDescent="0.2">
      <c r="L5311" s="43"/>
      <c r="M5311" s="43"/>
      <c r="N5311" s="43"/>
      <c r="O5311" s="43"/>
      <c r="Q5311" s="44"/>
      <c r="R5311" s="44"/>
      <c r="S5311" s="44"/>
      <c r="T5311" s="44"/>
    </row>
    <row r="5312" spans="12:20" x14ac:dyDescent="0.2">
      <c r="L5312" s="43"/>
      <c r="M5312" s="43"/>
      <c r="N5312" s="43"/>
      <c r="O5312" s="43"/>
      <c r="Q5312" s="44"/>
      <c r="R5312" s="44"/>
      <c r="S5312" s="44"/>
      <c r="T5312" s="44"/>
    </row>
    <row r="5313" spans="12:20" x14ac:dyDescent="0.2">
      <c r="L5313" s="43"/>
      <c r="M5313" s="43"/>
      <c r="N5313" s="43"/>
      <c r="O5313" s="43"/>
      <c r="Q5313" s="44"/>
      <c r="R5313" s="44"/>
      <c r="S5313" s="44"/>
      <c r="T5313" s="44"/>
    </row>
    <row r="5314" spans="12:20" x14ac:dyDescent="0.2">
      <c r="L5314" s="43"/>
      <c r="M5314" s="43"/>
      <c r="N5314" s="43"/>
      <c r="O5314" s="43"/>
      <c r="Q5314" s="44"/>
      <c r="R5314" s="44"/>
      <c r="S5314" s="44"/>
      <c r="T5314" s="44"/>
    </row>
    <row r="5315" spans="12:20" x14ac:dyDescent="0.2">
      <c r="L5315" s="43"/>
      <c r="M5315" s="43"/>
      <c r="N5315" s="43"/>
      <c r="O5315" s="43"/>
      <c r="Q5315" s="44"/>
      <c r="R5315" s="44"/>
      <c r="S5315" s="44"/>
      <c r="T5315" s="44"/>
    </row>
    <row r="5316" spans="12:20" x14ac:dyDescent="0.2">
      <c r="L5316" s="43"/>
      <c r="M5316" s="43"/>
      <c r="N5316" s="43"/>
      <c r="O5316" s="43"/>
      <c r="Q5316" s="44"/>
      <c r="R5316" s="44"/>
      <c r="S5316" s="44"/>
      <c r="T5316" s="44"/>
    </row>
    <row r="5317" spans="12:20" x14ac:dyDescent="0.2">
      <c r="L5317" s="43"/>
      <c r="M5317" s="43"/>
      <c r="N5317" s="43"/>
      <c r="O5317" s="43"/>
      <c r="Q5317" s="44"/>
      <c r="R5317" s="44"/>
      <c r="S5317" s="44"/>
      <c r="T5317" s="44"/>
    </row>
    <row r="5318" spans="12:20" x14ac:dyDescent="0.2">
      <c r="L5318" s="43"/>
      <c r="M5318" s="43"/>
      <c r="N5318" s="43"/>
      <c r="O5318" s="43"/>
      <c r="Q5318" s="44"/>
      <c r="R5318" s="44"/>
      <c r="S5318" s="44"/>
      <c r="T5318" s="44"/>
    </row>
    <row r="5319" spans="12:20" x14ac:dyDescent="0.2">
      <c r="L5319" s="43"/>
      <c r="M5319" s="43"/>
      <c r="N5319" s="43"/>
      <c r="O5319" s="43"/>
      <c r="Q5319" s="44"/>
      <c r="R5319" s="44"/>
      <c r="S5319" s="44"/>
      <c r="T5319" s="44"/>
    </row>
    <row r="5320" spans="12:20" x14ac:dyDescent="0.2">
      <c r="L5320" s="43"/>
      <c r="M5320" s="43"/>
      <c r="N5320" s="43"/>
      <c r="O5320" s="43"/>
      <c r="Q5320" s="44"/>
      <c r="R5320" s="44"/>
      <c r="S5320" s="44"/>
      <c r="T5320" s="44"/>
    </row>
    <row r="5321" spans="12:20" x14ac:dyDescent="0.2">
      <c r="L5321" s="43"/>
      <c r="M5321" s="43"/>
      <c r="N5321" s="43"/>
      <c r="O5321" s="43"/>
      <c r="Q5321" s="44"/>
      <c r="R5321" s="44"/>
      <c r="S5321" s="44"/>
      <c r="T5321" s="44"/>
    </row>
    <row r="5322" spans="12:20" x14ac:dyDescent="0.2">
      <c r="L5322" s="43"/>
      <c r="M5322" s="43"/>
      <c r="N5322" s="43"/>
      <c r="O5322" s="43"/>
      <c r="Q5322" s="44"/>
      <c r="R5322" s="44"/>
      <c r="S5322" s="44"/>
      <c r="T5322" s="44"/>
    </row>
    <row r="5323" spans="12:20" x14ac:dyDescent="0.2">
      <c r="L5323" s="43"/>
      <c r="M5323" s="43"/>
      <c r="N5323" s="43"/>
      <c r="O5323" s="43"/>
      <c r="Q5323" s="44"/>
      <c r="R5323" s="44"/>
      <c r="S5323" s="44"/>
      <c r="T5323" s="44"/>
    </row>
    <row r="5324" spans="12:20" x14ac:dyDescent="0.2">
      <c r="L5324" s="43"/>
      <c r="M5324" s="43"/>
      <c r="N5324" s="43"/>
      <c r="O5324" s="43"/>
      <c r="Q5324" s="44"/>
      <c r="R5324" s="44"/>
      <c r="S5324" s="44"/>
      <c r="T5324" s="44"/>
    </row>
    <row r="5325" spans="12:20" x14ac:dyDescent="0.2">
      <c r="L5325" s="43"/>
      <c r="M5325" s="43"/>
      <c r="N5325" s="43"/>
      <c r="O5325" s="43"/>
      <c r="Q5325" s="44"/>
      <c r="R5325" s="44"/>
      <c r="S5325" s="44"/>
      <c r="T5325" s="44"/>
    </row>
    <row r="5326" spans="12:20" x14ac:dyDescent="0.2">
      <c r="L5326" s="43"/>
      <c r="M5326" s="43"/>
      <c r="N5326" s="43"/>
      <c r="O5326" s="43"/>
      <c r="Q5326" s="44"/>
      <c r="R5326" s="44"/>
      <c r="S5326" s="44"/>
      <c r="T5326" s="44"/>
    </row>
    <row r="5327" spans="12:20" x14ac:dyDescent="0.2">
      <c r="L5327" s="43"/>
      <c r="M5327" s="43"/>
      <c r="N5327" s="43"/>
      <c r="O5327" s="43"/>
      <c r="Q5327" s="44"/>
      <c r="R5327" s="44"/>
      <c r="S5327" s="44"/>
      <c r="T5327" s="44"/>
    </row>
    <row r="5328" spans="12:20" x14ac:dyDescent="0.2">
      <c r="L5328" s="43"/>
      <c r="M5328" s="43"/>
      <c r="N5328" s="43"/>
      <c r="O5328" s="43"/>
      <c r="Q5328" s="44"/>
      <c r="R5328" s="44"/>
      <c r="S5328" s="44"/>
      <c r="T5328" s="44"/>
    </row>
    <row r="5329" spans="12:20" x14ac:dyDescent="0.2">
      <c r="L5329" s="43"/>
      <c r="M5329" s="43"/>
      <c r="N5329" s="43"/>
      <c r="O5329" s="43"/>
      <c r="Q5329" s="44"/>
      <c r="R5329" s="44"/>
      <c r="S5329" s="44"/>
      <c r="T5329" s="44"/>
    </row>
    <row r="5330" spans="12:20" x14ac:dyDescent="0.2">
      <c r="L5330" s="43"/>
      <c r="M5330" s="43"/>
      <c r="N5330" s="43"/>
      <c r="O5330" s="43"/>
      <c r="Q5330" s="44"/>
      <c r="R5330" s="44"/>
      <c r="S5330" s="44"/>
      <c r="T5330" s="44"/>
    </row>
    <row r="5331" spans="12:20" x14ac:dyDescent="0.2">
      <c r="L5331" s="43"/>
      <c r="M5331" s="43"/>
      <c r="N5331" s="43"/>
      <c r="O5331" s="43"/>
      <c r="Q5331" s="44"/>
      <c r="R5331" s="44"/>
      <c r="S5331" s="44"/>
      <c r="T5331" s="44"/>
    </row>
    <row r="5332" spans="12:20" x14ac:dyDescent="0.2">
      <c r="L5332" s="43"/>
      <c r="M5332" s="43"/>
      <c r="N5332" s="43"/>
      <c r="O5332" s="43"/>
      <c r="Q5332" s="44"/>
      <c r="R5332" s="44"/>
      <c r="S5332" s="44"/>
      <c r="T5332" s="44"/>
    </row>
    <row r="5333" spans="12:20" x14ac:dyDescent="0.2">
      <c r="L5333" s="43"/>
      <c r="M5333" s="43"/>
      <c r="N5333" s="43"/>
      <c r="O5333" s="43"/>
      <c r="Q5333" s="44"/>
      <c r="R5333" s="44"/>
      <c r="S5333" s="44"/>
      <c r="T5333" s="44"/>
    </row>
    <row r="5334" spans="12:20" x14ac:dyDescent="0.2">
      <c r="L5334" s="43"/>
      <c r="M5334" s="43"/>
      <c r="N5334" s="43"/>
      <c r="O5334" s="43"/>
      <c r="Q5334" s="44"/>
      <c r="R5334" s="44"/>
      <c r="S5334" s="44"/>
      <c r="T5334" s="44"/>
    </row>
    <row r="5335" spans="12:20" x14ac:dyDescent="0.2">
      <c r="L5335" s="43"/>
      <c r="M5335" s="43"/>
      <c r="N5335" s="43"/>
      <c r="O5335" s="43"/>
      <c r="Q5335" s="44"/>
      <c r="R5335" s="44"/>
      <c r="S5335" s="44"/>
      <c r="T5335" s="44"/>
    </row>
    <row r="5336" spans="12:20" x14ac:dyDescent="0.2">
      <c r="L5336" s="43"/>
      <c r="M5336" s="43"/>
      <c r="N5336" s="43"/>
      <c r="O5336" s="43"/>
      <c r="Q5336" s="44"/>
      <c r="R5336" s="44"/>
      <c r="S5336" s="44"/>
      <c r="T5336" s="44"/>
    </row>
    <row r="5337" spans="12:20" x14ac:dyDescent="0.2">
      <c r="L5337" s="43"/>
      <c r="M5337" s="43"/>
      <c r="N5337" s="43"/>
      <c r="O5337" s="43"/>
      <c r="Q5337" s="44"/>
      <c r="R5337" s="44"/>
      <c r="S5337" s="44"/>
      <c r="T5337" s="44"/>
    </row>
    <row r="5338" spans="12:20" x14ac:dyDescent="0.2">
      <c r="L5338" s="43"/>
      <c r="M5338" s="43"/>
      <c r="N5338" s="43"/>
      <c r="O5338" s="43"/>
      <c r="Q5338" s="44"/>
      <c r="R5338" s="44"/>
      <c r="S5338" s="44"/>
      <c r="T5338" s="44"/>
    </row>
    <row r="5339" spans="12:20" x14ac:dyDescent="0.2">
      <c r="L5339" s="43"/>
      <c r="M5339" s="43"/>
      <c r="N5339" s="43"/>
      <c r="O5339" s="43"/>
      <c r="Q5339" s="44"/>
      <c r="R5339" s="44"/>
      <c r="S5339" s="44"/>
      <c r="T5339" s="44"/>
    </row>
    <row r="5340" spans="12:20" x14ac:dyDescent="0.2">
      <c r="L5340" s="43"/>
      <c r="M5340" s="43"/>
      <c r="N5340" s="43"/>
      <c r="O5340" s="43"/>
      <c r="Q5340" s="44"/>
      <c r="R5340" s="44"/>
      <c r="S5340" s="44"/>
      <c r="T5340" s="44"/>
    </row>
    <row r="5341" spans="12:20" x14ac:dyDescent="0.2">
      <c r="L5341" s="43"/>
      <c r="M5341" s="43"/>
      <c r="N5341" s="43"/>
      <c r="O5341" s="43"/>
      <c r="Q5341" s="44"/>
      <c r="R5341" s="44"/>
      <c r="S5341" s="44"/>
      <c r="T5341" s="44"/>
    </row>
    <row r="5342" spans="12:20" x14ac:dyDescent="0.2">
      <c r="L5342" s="43"/>
      <c r="M5342" s="43"/>
      <c r="N5342" s="43"/>
      <c r="O5342" s="43"/>
      <c r="Q5342" s="44"/>
      <c r="R5342" s="44"/>
      <c r="S5342" s="44"/>
      <c r="T5342" s="44"/>
    </row>
    <row r="5343" spans="12:20" x14ac:dyDescent="0.2">
      <c r="L5343" s="43"/>
      <c r="M5343" s="43"/>
      <c r="N5343" s="43"/>
      <c r="O5343" s="43"/>
      <c r="Q5343" s="44"/>
      <c r="R5343" s="44"/>
      <c r="S5343" s="44"/>
      <c r="T5343" s="44"/>
    </row>
    <row r="5344" spans="12:20" x14ac:dyDescent="0.2">
      <c r="L5344" s="43"/>
      <c r="M5344" s="43"/>
      <c r="N5344" s="43"/>
      <c r="O5344" s="43"/>
      <c r="Q5344" s="44"/>
      <c r="R5344" s="44"/>
      <c r="S5344" s="44"/>
      <c r="T5344" s="44"/>
    </row>
    <row r="5345" spans="12:20" x14ac:dyDescent="0.2">
      <c r="L5345" s="43"/>
      <c r="M5345" s="43"/>
      <c r="N5345" s="43"/>
      <c r="O5345" s="43"/>
      <c r="Q5345" s="44"/>
      <c r="R5345" s="44"/>
      <c r="S5345" s="44"/>
      <c r="T5345" s="44"/>
    </row>
    <row r="5346" spans="12:20" x14ac:dyDescent="0.2">
      <c r="L5346" s="43"/>
      <c r="M5346" s="43"/>
      <c r="N5346" s="43"/>
      <c r="O5346" s="43"/>
      <c r="Q5346" s="44"/>
      <c r="R5346" s="44"/>
      <c r="S5346" s="44"/>
      <c r="T5346" s="44"/>
    </row>
    <row r="5347" spans="12:20" x14ac:dyDescent="0.2">
      <c r="L5347" s="43"/>
      <c r="M5347" s="43"/>
      <c r="N5347" s="43"/>
      <c r="O5347" s="43"/>
      <c r="Q5347" s="44"/>
      <c r="R5347" s="44"/>
      <c r="S5347" s="44"/>
      <c r="T5347" s="44"/>
    </row>
    <row r="5348" spans="12:20" x14ac:dyDescent="0.2">
      <c r="L5348" s="43"/>
      <c r="M5348" s="43"/>
      <c r="N5348" s="43"/>
      <c r="O5348" s="43"/>
      <c r="Q5348" s="44"/>
      <c r="R5348" s="44"/>
      <c r="S5348" s="44"/>
      <c r="T5348" s="44"/>
    </row>
    <row r="5349" spans="12:20" x14ac:dyDescent="0.2">
      <c r="L5349" s="43"/>
      <c r="M5349" s="43"/>
      <c r="N5349" s="43"/>
      <c r="O5349" s="43"/>
      <c r="Q5349" s="44"/>
      <c r="R5349" s="44"/>
      <c r="S5349" s="44"/>
      <c r="T5349" s="44"/>
    </row>
    <row r="5350" spans="12:20" x14ac:dyDescent="0.2">
      <c r="L5350" s="43"/>
      <c r="M5350" s="43"/>
      <c r="N5350" s="43"/>
      <c r="O5350" s="43"/>
      <c r="Q5350" s="44"/>
      <c r="R5350" s="44"/>
      <c r="S5350" s="44"/>
      <c r="T5350" s="44"/>
    </row>
    <row r="5351" spans="12:20" x14ac:dyDescent="0.2">
      <c r="L5351" s="43"/>
      <c r="M5351" s="43"/>
      <c r="N5351" s="43"/>
      <c r="O5351" s="43"/>
      <c r="Q5351" s="44"/>
      <c r="R5351" s="44"/>
      <c r="S5351" s="44"/>
      <c r="T5351" s="44"/>
    </row>
    <row r="5352" spans="12:20" x14ac:dyDescent="0.2">
      <c r="L5352" s="43"/>
      <c r="M5352" s="43"/>
      <c r="N5352" s="43"/>
      <c r="O5352" s="43"/>
      <c r="Q5352" s="44"/>
      <c r="R5352" s="44"/>
      <c r="S5352" s="44"/>
      <c r="T5352" s="44"/>
    </row>
    <row r="5353" spans="12:20" x14ac:dyDescent="0.2">
      <c r="L5353" s="43"/>
      <c r="M5353" s="43"/>
      <c r="N5353" s="43"/>
      <c r="O5353" s="43"/>
      <c r="Q5353" s="44"/>
      <c r="R5353" s="44"/>
      <c r="S5353" s="44"/>
      <c r="T5353" s="44"/>
    </row>
    <row r="5354" spans="12:20" x14ac:dyDescent="0.2">
      <c r="L5354" s="43"/>
      <c r="M5354" s="43"/>
      <c r="N5354" s="43"/>
      <c r="O5354" s="43"/>
      <c r="Q5354" s="44"/>
      <c r="R5354" s="44"/>
      <c r="S5354" s="44"/>
      <c r="T5354" s="44"/>
    </row>
    <row r="5355" spans="12:20" x14ac:dyDescent="0.2">
      <c r="L5355" s="43"/>
      <c r="M5355" s="43"/>
      <c r="N5355" s="43"/>
      <c r="O5355" s="43"/>
      <c r="Q5355" s="44"/>
      <c r="R5355" s="44"/>
      <c r="S5355" s="44"/>
      <c r="T5355" s="44"/>
    </row>
    <row r="5356" spans="12:20" x14ac:dyDescent="0.2">
      <c r="L5356" s="43"/>
      <c r="M5356" s="43"/>
      <c r="N5356" s="43"/>
      <c r="O5356" s="43"/>
      <c r="Q5356" s="44"/>
      <c r="R5356" s="44"/>
      <c r="S5356" s="44"/>
      <c r="T5356" s="44"/>
    </row>
    <row r="5357" spans="12:20" x14ac:dyDescent="0.2">
      <c r="L5357" s="43"/>
      <c r="M5357" s="43"/>
      <c r="N5357" s="43"/>
      <c r="O5357" s="43"/>
      <c r="Q5357" s="44"/>
      <c r="R5357" s="44"/>
      <c r="S5357" s="44"/>
      <c r="T5357" s="44"/>
    </row>
    <row r="5358" spans="12:20" x14ac:dyDescent="0.2">
      <c r="L5358" s="43"/>
      <c r="M5358" s="43"/>
      <c r="N5358" s="43"/>
      <c r="O5358" s="43"/>
      <c r="Q5358" s="44"/>
      <c r="R5358" s="44"/>
      <c r="S5358" s="44"/>
      <c r="T5358" s="44"/>
    </row>
    <row r="5359" spans="12:20" x14ac:dyDescent="0.2">
      <c r="L5359" s="43"/>
      <c r="M5359" s="43"/>
      <c r="N5359" s="43"/>
      <c r="O5359" s="43"/>
      <c r="Q5359" s="44"/>
      <c r="R5359" s="44"/>
      <c r="S5359" s="44"/>
      <c r="T5359" s="44"/>
    </row>
    <row r="5360" spans="12:20" x14ac:dyDescent="0.2">
      <c r="L5360" s="43"/>
      <c r="M5360" s="43"/>
      <c r="N5360" s="43"/>
      <c r="O5360" s="43"/>
      <c r="Q5360" s="44"/>
      <c r="R5360" s="44"/>
      <c r="S5360" s="44"/>
      <c r="T5360" s="44"/>
    </row>
    <row r="5361" spans="12:20" x14ac:dyDescent="0.2">
      <c r="L5361" s="43"/>
      <c r="M5361" s="43"/>
      <c r="N5361" s="43"/>
      <c r="O5361" s="43"/>
      <c r="Q5361" s="44"/>
      <c r="R5361" s="44"/>
      <c r="S5361" s="44"/>
      <c r="T5361" s="44"/>
    </row>
    <row r="5362" spans="12:20" x14ac:dyDescent="0.2">
      <c r="L5362" s="43"/>
      <c r="M5362" s="43"/>
      <c r="N5362" s="43"/>
      <c r="O5362" s="43"/>
      <c r="Q5362" s="44"/>
      <c r="R5362" s="44"/>
      <c r="S5362" s="44"/>
      <c r="T5362" s="44"/>
    </row>
    <row r="5363" spans="12:20" x14ac:dyDescent="0.2">
      <c r="L5363" s="43"/>
      <c r="M5363" s="43"/>
      <c r="N5363" s="43"/>
      <c r="O5363" s="43"/>
      <c r="Q5363" s="44"/>
      <c r="R5363" s="44"/>
      <c r="S5363" s="44"/>
      <c r="T5363" s="44"/>
    </row>
    <row r="5364" spans="12:20" x14ac:dyDescent="0.2">
      <c r="L5364" s="43"/>
      <c r="M5364" s="43"/>
      <c r="N5364" s="43"/>
      <c r="O5364" s="43"/>
      <c r="Q5364" s="44"/>
      <c r="R5364" s="44"/>
      <c r="S5364" s="44"/>
      <c r="T5364" s="44"/>
    </row>
    <row r="5365" spans="12:20" x14ac:dyDescent="0.2">
      <c r="L5365" s="43"/>
      <c r="M5365" s="43"/>
      <c r="N5365" s="43"/>
      <c r="O5365" s="43"/>
      <c r="Q5365" s="44"/>
      <c r="R5365" s="44"/>
      <c r="S5365" s="44"/>
      <c r="T5365" s="44"/>
    </row>
    <row r="5366" spans="12:20" x14ac:dyDescent="0.2">
      <c r="L5366" s="43"/>
      <c r="M5366" s="43"/>
      <c r="N5366" s="43"/>
      <c r="O5366" s="43"/>
      <c r="Q5366" s="44"/>
      <c r="R5366" s="44"/>
      <c r="S5366" s="44"/>
      <c r="T5366" s="44"/>
    </row>
    <row r="5367" spans="12:20" x14ac:dyDescent="0.2">
      <c r="L5367" s="43"/>
      <c r="M5367" s="43"/>
      <c r="N5367" s="43"/>
      <c r="O5367" s="43"/>
      <c r="Q5367" s="44"/>
      <c r="R5367" s="44"/>
      <c r="S5367" s="44"/>
      <c r="T5367" s="44"/>
    </row>
    <row r="5368" spans="12:20" x14ac:dyDescent="0.2">
      <c r="L5368" s="43"/>
      <c r="M5368" s="43"/>
      <c r="N5368" s="43"/>
      <c r="O5368" s="43"/>
      <c r="Q5368" s="44"/>
      <c r="R5368" s="44"/>
      <c r="S5368" s="44"/>
      <c r="T5368" s="44"/>
    </row>
    <row r="5369" spans="12:20" x14ac:dyDescent="0.2">
      <c r="L5369" s="43"/>
      <c r="M5369" s="43"/>
      <c r="N5369" s="43"/>
      <c r="O5369" s="43"/>
      <c r="Q5369" s="44"/>
      <c r="R5369" s="44"/>
      <c r="S5369" s="44"/>
      <c r="T5369" s="44"/>
    </row>
    <row r="5370" spans="12:20" x14ac:dyDescent="0.2">
      <c r="L5370" s="43"/>
      <c r="M5370" s="43"/>
      <c r="N5370" s="43"/>
      <c r="O5370" s="43"/>
      <c r="Q5370" s="44"/>
      <c r="R5370" s="44"/>
      <c r="S5370" s="44"/>
      <c r="T5370" s="44"/>
    </row>
    <row r="5371" spans="12:20" x14ac:dyDescent="0.2">
      <c r="L5371" s="43"/>
      <c r="M5371" s="43"/>
      <c r="N5371" s="43"/>
      <c r="O5371" s="43"/>
      <c r="Q5371" s="44"/>
      <c r="R5371" s="44"/>
      <c r="S5371" s="44"/>
      <c r="T5371" s="44"/>
    </row>
    <row r="5372" spans="12:20" x14ac:dyDescent="0.2">
      <c r="L5372" s="43"/>
      <c r="M5372" s="43"/>
      <c r="N5372" s="43"/>
      <c r="O5372" s="43"/>
      <c r="Q5372" s="44"/>
      <c r="R5372" s="44"/>
      <c r="S5372" s="44"/>
      <c r="T5372" s="44"/>
    </row>
    <row r="5373" spans="12:20" x14ac:dyDescent="0.2">
      <c r="L5373" s="43"/>
      <c r="M5373" s="43"/>
      <c r="N5373" s="43"/>
      <c r="O5373" s="43"/>
      <c r="Q5373" s="44"/>
      <c r="R5373" s="44"/>
      <c r="S5373" s="44"/>
      <c r="T5373" s="44"/>
    </row>
    <row r="5374" spans="12:20" x14ac:dyDescent="0.2">
      <c r="L5374" s="43"/>
      <c r="M5374" s="43"/>
      <c r="N5374" s="43"/>
      <c r="O5374" s="43"/>
      <c r="Q5374" s="44"/>
      <c r="R5374" s="44"/>
      <c r="S5374" s="44"/>
      <c r="T5374" s="44"/>
    </row>
    <row r="5375" spans="12:20" x14ac:dyDescent="0.2">
      <c r="L5375" s="43"/>
      <c r="M5375" s="43"/>
      <c r="N5375" s="43"/>
      <c r="O5375" s="43"/>
      <c r="Q5375" s="44"/>
      <c r="R5375" s="44"/>
      <c r="S5375" s="44"/>
      <c r="T5375" s="44"/>
    </row>
    <row r="5376" spans="12:20" x14ac:dyDescent="0.2">
      <c r="L5376" s="43"/>
      <c r="M5376" s="43"/>
      <c r="N5376" s="43"/>
      <c r="O5376" s="43"/>
      <c r="Q5376" s="44"/>
      <c r="R5376" s="44"/>
      <c r="S5376" s="44"/>
      <c r="T5376" s="44"/>
    </row>
    <row r="5377" spans="12:20" x14ac:dyDescent="0.2">
      <c r="L5377" s="43"/>
      <c r="M5377" s="43"/>
      <c r="N5377" s="43"/>
      <c r="O5377" s="43"/>
      <c r="Q5377" s="44"/>
      <c r="R5377" s="44"/>
      <c r="S5377" s="44"/>
      <c r="T5377" s="44"/>
    </row>
    <row r="5378" spans="12:20" x14ac:dyDescent="0.2">
      <c r="L5378" s="43"/>
      <c r="M5378" s="43"/>
      <c r="N5378" s="43"/>
      <c r="O5378" s="43"/>
      <c r="Q5378" s="44"/>
      <c r="R5378" s="44"/>
      <c r="S5378" s="44"/>
      <c r="T5378" s="44"/>
    </row>
    <row r="5379" spans="12:20" x14ac:dyDescent="0.2">
      <c r="L5379" s="43"/>
      <c r="M5379" s="43"/>
      <c r="N5379" s="43"/>
      <c r="O5379" s="43"/>
      <c r="Q5379" s="44"/>
      <c r="R5379" s="44"/>
      <c r="S5379" s="44"/>
      <c r="T5379" s="44"/>
    </row>
    <row r="5380" spans="12:20" x14ac:dyDescent="0.2">
      <c r="L5380" s="43"/>
      <c r="M5380" s="43"/>
      <c r="N5380" s="43"/>
      <c r="O5380" s="43"/>
      <c r="Q5380" s="44"/>
      <c r="R5380" s="44"/>
      <c r="S5380" s="44"/>
      <c r="T5380" s="44"/>
    </row>
    <row r="5381" spans="12:20" x14ac:dyDescent="0.2">
      <c r="L5381" s="43"/>
      <c r="M5381" s="43"/>
      <c r="N5381" s="43"/>
      <c r="O5381" s="43"/>
      <c r="Q5381" s="44"/>
      <c r="R5381" s="44"/>
      <c r="S5381" s="44"/>
      <c r="T5381" s="44"/>
    </row>
    <row r="5382" spans="12:20" x14ac:dyDescent="0.2">
      <c r="L5382" s="43"/>
      <c r="M5382" s="43"/>
      <c r="N5382" s="43"/>
      <c r="O5382" s="43"/>
      <c r="Q5382" s="44"/>
      <c r="R5382" s="44"/>
      <c r="S5382" s="44"/>
      <c r="T5382" s="44"/>
    </row>
    <row r="5383" spans="12:20" x14ac:dyDescent="0.2">
      <c r="L5383" s="43"/>
      <c r="M5383" s="43"/>
      <c r="N5383" s="43"/>
      <c r="O5383" s="43"/>
      <c r="Q5383" s="44"/>
      <c r="R5383" s="44"/>
      <c r="S5383" s="44"/>
      <c r="T5383" s="44"/>
    </row>
    <row r="5384" spans="12:20" x14ac:dyDescent="0.2">
      <c r="L5384" s="43"/>
      <c r="M5384" s="43"/>
      <c r="N5384" s="43"/>
      <c r="O5384" s="43"/>
      <c r="Q5384" s="44"/>
      <c r="R5384" s="44"/>
      <c r="S5384" s="44"/>
      <c r="T5384" s="44"/>
    </row>
    <row r="5385" spans="12:20" x14ac:dyDescent="0.2">
      <c r="L5385" s="43"/>
      <c r="M5385" s="43"/>
      <c r="N5385" s="43"/>
      <c r="O5385" s="43"/>
      <c r="Q5385" s="44"/>
      <c r="R5385" s="44"/>
      <c r="S5385" s="44"/>
      <c r="T5385" s="44"/>
    </row>
    <row r="5386" spans="12:20" x14ac:dyDescent="0.2">
      <c r="L5386" s="43"/>
      <c r="M5386" s="43"/>
      <c r="N5386" s="43"/>
      <c r="O5386" s="43"/>
      <c r="Q5386" s="44"/>
      <c r="R5386" s="44"/>
      <c r="S5386" s="44"/>
      <c r="T5386" s="44"/>
    </row>
    <row r="5387" spans="12:20" x14ac:dyDescent="0.2">
      <c r="L5387" s="43"/>
      <c r="M5387" s="43"/>
      <c r="N5387" s="43"/>
      <c r="O5387" s="43"/>
      <c r="Q5387" s="44"/>
      <c r="R5387" s="44"/>
      <c r="S5387" s="44"/>
      <c r="T5387" s="44"/>
    </row>
    <row r="5388" spans="12:20" x14ac:dyDescent="0.2">
      <c r="L5388" s="43"/>
      <c r="M5388" s="43"/>
      <c r="N5388" s="43"/>
      <c r="O5388" s="43"/>
      <c r="Q5388" s="44"/>
      <c r="R5388" s="44"/>
      <c r="S5388" s="44"/>
      <c r="T5388" s="44"/>
    </row>
    <row r="5389" spans="12:20" x14ac:dyDescent="0.2">
      <c r="L5389" s="43"/>
      <c r="M5389" s="43"/>
      <c r="N5389" s="43"/>
      <c r="O5389" s="43"/>
      <c r="Q5389" s="44"/>
      <c r="R5389" s="44"/>
      <c r="S5389" s="44"/>
      <c r="T5389" s="44"/>
    </row>
    <row r="5390" spans="12:20" x14ac:dyDescent="0.2">
      <c r="L5390" s="43"/>
      <c r="M5390" s="43"/>
      <c r="N5390" s="43"/>
      <c r="O5390" s="43"/>
      <c r="Q5390" s="44"/>
      <c r="R5390" s="44"/>
      <c r="S5390" s="44"/>
      <c r="T5390" s="44"/>
    </row>
    <row r="5391" spans="12:20" x14ac:dyDescent="0.2">
      <c r="L5391" s="43"/>
      <c r="M5391" s="43"/>
      <c r="N5391" s="43"/>
      <c r="O5391" s="43"/>
      <c r="Q5391" s="44"/>
      <c r="R5391" s="44"/>
      <c r="S5391" s="44"/>
      <c r="T5391" s="44"/>
    </row>
    <row r="5392" spans="12:20" x14ac:dyDescent="0.2">
      <c r="L5392" s="43"/>
      <c r="M5392" s="43"/>
      <c r="N5392" s="43"/>
      <c r="O5392" s="43"/>
      <c r="Q5392" s="44"/>
      <c r="R5392" s="44"/>
      <c r="S5392" s="44"/>
      <c r="T5392" s="44"/>
    </row>
    <row r="5393" spans="12:20" x14ac:dyDescent="0.2">
      <c r="L5393" s="43"/>
      <c r="M5393" s="43"/>
      <c r="N5393" s="43"/>
      <c r="O5393" s="43"/>
      <c r="Q5393" s="44"/>
      <c r="R5393" s="44"/>
      <c r="S5393" s="44"/>
      <c r="T5393" s="44"/>
    </row>
    <row r="5394" spans="12:20" x14ac:dyDescent="0.2">
      <c r="L5394" s="43"/>
      <c r="M5394" s="43"/>
      <c r="N5394" s="43"/>
      <c r="O5394" s="43"/>
      <c r="Q5394" s="44"/>
      <c r="R5394" s="44"/>
      <c r="S5394" s="44"/>
      <c r="T5394" s="44"/>
    </row>
    <row r="5395" spans="12:20" x14ac:dyDescent="0.2">
      <c r="L5395" s="43"/>
      <c r="M5395" s="43"/>
      <c r="N5395" s="43"/>
      <c r="O5395" s="43"/>
      <c r="Q5395" s="44"/>
      <c r="R5395" s="44"/>
      <c r="S5395" s="44"/>
      <c r="T5395" s="44"/>
    </row>
    <row r="5396" spans="12:20" x14ac:dyDescent="0.2">
      <c r="L5396" s="43"/>
      <c r="M5396" s="43"/>
      <c r="N5396" s="43"/>
      <c r="O5396" s="43"/>
      <c r="Q5396" s="44"/>
      <c r="R5396" s="44"/>
      <c r="S5396" s="44"/>
      <c r="T5396" s="44"/>
    </row>
    <row r="5397" spans="12:20" x14ac:dyDescent="0.2">
      <c r="L5397" s="43"/>
      <c r="M5397" s="43"/>
      <c r="N5397" s="43"/>
      <c r="O5397" s="43"/>
      <c r="Q5397" s="44"/>
      <c r="R5397" s="44"/>
      <c r="S5397" s="44"/>
      <c r="T5397" s="44"/>
    </row>
    <row r="5398" spans="12:20" x14ac:dyDescent="0.2">
      <c r="L5398" s="43"/>
      <c r="M5398" s="43"/>
      <c r="N5398" s="43"/>
      <c r="O5398" s="43"/>
      <c r="Q5398" s="44"/>
      <c r="R5398" s="44"/>
      <c r="S5398" s="44"/>
      <c r="T5398" s="44"/>
    </row>
    <row r="5399" spans="12:20" x14ac:dyDescent="0.2">
      <c r="L5399" s="43"/>
      <c r="M5399" s="43"/>
      <c r="N5399" s="43"/>
      <c r="O5399" s="43"/>
      <c r="Q5399" s="44"/>
      <c r="R5399" s="44"/>
      <c r="S5399" s="44"/>
      <c r="T5399" s="44"/>
    </row>
    <row r="5400" spans="12:20" x14ac:dyDescent="0.2">
      <c r="L5400" s="43"/>
      <c r="M5400" s="43"/>
      <c r="N5400" s="43"/>
      <c r="O5400" s="43"/>
      <c r="Q5400" s="44"/>
      <c r="R5400" s="44"/>
      <c r="S5400" s="44"/>
      <c r="T5400" s="44"/>
    </row>
    <row r="5401" spans="12:20" x14ac:dyDescent="0.2">
      <c r="L5401" s="43"/>
      <c r="M5401" s="43"/>
      <c r="N5401" s="43"/>
      <c r="O5401" s="43"/>
      <c r="Q5401" s="44"/>
      <c r="R5401" s="44"/>
      <c r="S5401" s="44"/>
      <c r="T5401" s="44"/>
    </row>
    <row r="5402" spans="12:20" x14ac:dyDescent="0.2">
      <c r="L5402" s="43"/>
      <c r="M5402" s="43"/>
      <c r="N5402" s="43"/>
      <c r="O5402" s="43"/>
      <c r="Q5402" s="44"/>
      <c r="R5402" s="44"/>
      <c r="S5402" s="44"/>
      <c r="T5402" s="44"/>
    </row>
    <row r="5403" spans="12:20" x14ac:dyDescent="0.2">
      <c r="L5403" s="43"/>
      <c r="M5403" s="43"/>
      <c r="N5403" s="43"/>
      <c r="O5403" s="43"/>
      <c r="Q5403" s="44"/>
      <c r="R5403" s="44"/>
      <c r="S5403" s="44"/>
      <c r="T5403" s="44"/>
    </row>
    <row r="5404" spans="12:20" x14ac:dyDescent="0.2">
      <c r="L5404" s="43"/>
      <c r="M5404" s="43"/>
      <c r="N5404" s="43"/>
      <c r="O5404" s="43"/>
      <c r="Q5404" s="44"/>
      <c r="R5404" s="44"/>
      <c r="S5404" s="44"/>
      <c r="T5404" s="44"/>
    </row>
    <row r="5405" spans="12:20" x14ac:dyDescent="0.2">
      <c r="L5405" s="43"/>
      <c r="M5405" s="43"/>
      <c r="N5405" s="43"/>
      <c r="O5405" s="43"/>
      <c r="Q5405" s="44"/>
      <c r="R5405" s="44"/>
      <c r="S5405" s="44"/>
      <c r="T5405" s="44"/>
    </row>
    <row r="5406" spans="12:20" x14ac:dyDescent="0.2">
      <c r="L5406" s="43"/>
      <c r="M5406" s="43"/>
      <c r="N5406" s="43"/>
      <c r="O5406" s="43"/>
      <c r="Q5406" s="44"/>
      <c r="R5406" s="44"/>
      <c r="S5406" s="44"/>
      <c r="T5406" s="44"/>
    </row>
    <row r="5407" spans="12:20" x14ac:dyDescent="0.2">
      <c r="L5407" s="43"/>
      <c r="M5407" s="43"/>
      <c r="N5407" s="43"/>
      <c r="O5407" s="43"/>
      <c r="Q5407" s="44"/>
      <c r="R5407" s="44"/>
      <c r="S5407" s="44"/>
      <c r="T5407" s="44"/>
    </row>
    <row r="5408" spans="12:20" x14ac:dyDescent="0.2">
      <c r="L5408" s="43"/>
      <c r="M5408" s="43"/>
      <c r="N5408" s="43"/>
      <c r="O5408" s="43"/>
      <c r="Q5408" s="44"/>
      <c r="R5408" s="44"/>
      <c r="S5408" s="44"/>
      <c r="T5408" s="44"/>
    </row>
    <row r="5409" spans="12:20" x14ac:dyDescent="0.2">
      <c r="L5409" s="43"/>
      <c r="M5409" s="43"/>
      <c r="N5409" s="43"/>
      <c r="O5409" s="43"/>
      <c r="Q5409" s="44"/>
      <c r="R5409" s="44"/>
      <c r="S5409" s="44"/>
      <c r="T5409" s="44"/>
    </row>
    <row r="5410" spans="12:20" x14ac:dyDescent="0.2">
      <c r="L5410" s="43"/>
      <c r="M5410" s="43"/>
      <c r="N5410" s="43"/>
      <c r="O5410" s="43"/>
      <c r="Q5410" s="44"/>
      <c r="R5410" s="44"/>
      <c r="S5410" s="44"/>
      <c r="T5410" s="44"/>
    </row>
    <row r="5411" spans="12:20" x14ac:dyDescent="0.2">
      <c r="L5411" s="43"/>
      <c r="M5411" s="43"/>
      <c r="N5411" s="43"/>
      <c r="O5411" s="43"/>
      <c r="Q5411" s="44"/>
      <c r="R5411" s="44"/>
      <c r="S5411" s="44"/>
      <c r="T5411" s="44"/>
    </row>
    <row r="5412" spans="12:20" x14ac:dyDescent="0.2">
      <c r="L5412" s="43"/>
      <c r="M5412" s="43"/>
      <c r="N5412" s="43"/>
      <c r="O5412" s="43"/>
      <c r="Q5412" s="44"/>
      <c r="R5412" s="44"/>
      <c r="S5412" s="44"/>
      <c r="T5412" s="44"/>
    </row>
    <row r="5413" spans="12:20" x14ac:dyDescent="0.2">
      <c r="L5413" s="43"/>
      <c r="M5413" s="43"/>
      <c r="N5413" s="43"/>
      <c r="O5413" s="43"/>
      <c r="Q5413" s="44"/>
      <c r="R5413" s="44"/>
      <c r="S5413" s="44"/>
      <c r="T5413" s="44"/>
    </row>
    <row r="5414" spans="12:20" x14ac:dyDescent="0.2">
      <c r="L5414" s="43"/>
      <c r="M5414" s="43"/>
      <c r="N5414" s="43"/>
      <c r="O5414" s="43"/>
      <c r="Q5414" s="44"/>
      <c r="R5414" s="44"/>
      <c r="S5414" s="44"/>
      <c r="T5414" s="44"/>
    </row>
    <row r="5415" spans="12:20" x14ac:dyDescent="0.2">
      <c r="L5415" s="43"/>
      <c r="M5415" s="43"/>
      <c r="N5415" s="43"/>
      <c r="O5415" s="43"/>
      <c r="Q5415" s="44"/>
      <c r="R5415" s="44"/>
      <c r="S5415" s="44"/>
      <c r="T5415" s="44"/>
    </row>
    <row r="5416" spans="12:20" x14ac:dyDescent="0.2">
      <c r="L5416" s="43"/>
      <c r="M5416" s="43"/>
      <c r="N5416" s="43"/>
      <c r="O5416" s="43"/>
      <c r="Q5416" s="44"/>
      <c r="R5416" s="44"/>
      <c r="S5416" s="44"/>
      <c r="T5416" s="44"/>
    </row>
    <row r="5417" spans="12:20" x14ac:dyDescent="0.2">
      <c r="L5417" s="43"/>
      <c r="M5417" s="43"/>
      <c r="N5417" s="43"/>
      <c r="O5417" s="43"/>
      <c r="Q5417" s="44"/>
      <c r="R5417" s="44"/>
      <c r="S5417" s="44"/>
      <c r="T5417" s="44"/>
    </row>
    <row r="5418" spans="12:20" x14ac:dyDescent="0.2">
      <c r="L5418" s="43"/>
      <c r="M5418" s="43"/>
      <c r="N5418" s="43"/>
      <c r="O5418" s="43"/>
      <c r="Q5418" s="44"/>
      <c r="R5418" s="44"/>
      <c r="S5418" s="44"/>
      <c r="T5418" s="44"/>
    </row>
    <row r="5419" spans="12:20" x14ac:dyDescent="0.2">
      <c r="L5419" s="43"/>
      <c r="M5419" s="43"/>
      <c r="N5419" s="43"/>
      <c r="O5419" s="43"/>
      <c r="Q5419" s="44"/>
      <c r="R5419" s="44"/>
      <c r="S5419" s="44"/>
      <c r="T5419" s="44"/>
    </row>
    <row r="5420" spans="12:20" x14ac:dyDescent="0.2">
      <c r="L5420" s="43"/>
      <c r="M5420" s="43"/>
      <c r="N5420" s="43"/>
      <c r="O5420" s="43"/>
      <c r="Q5420" s="44"/>
      <c r="R5420" s="44"/>
      <c r="S5420" s="44"/>
      <c r="T5420" s="44"/>
    </row>
    <row r="5421" spans="12:20" x14ac:dyDescent="0.2">
      <c r="L5421" s="43"/>
      <c r="M5421" s="43"/>
      <c r="N5421" s="43"/>
      <c r="O5421" s="43"/>
      <c r="Q5421" s="44"/>
      <c r="R5421" s="44"/>
      <c r="S5421" s="44"/>
      <c r="T5421" s="44"/>
    </row>
    <row r="5422" spans="12:20" x14ac:dyDescent="0.2">
      <c r="L5422" s="43"/>
      <c r="M5422" s="43"/>
      <c r="N5422" s="43"/>
      <c r="O5422" s="43"/>
      <c r="Q5422" s="44"/>
      <c r="R5422" s="44"/>
      <c r="S5422" s="44"/>
      <c r="T5422" s="44"/>
    </row>
    <row r="5423" spans="12:20" x14ac:dyDescent="0.2">
      <c r="L5423" s="43"/>
      <c r="M5423" s="43"/>
      <c r="N5423" s="43"/>
      <c r="O5423" s="43"/>
      <c r="Q5423" s="44"/>
      <c r="R5423" s="44"/>
      <c r="S5423" s="44"/>
      <c r="T5423" s="44"/>
    </row>
    <row r="5424" spans="12:20" x14ac:dyDescent="0.2">
      <c r="L5424" s="43"/>
      <c r="M5424" s="43"/>
      <c r="N5424" s="43"/>
      <c r="O5424" s="43"/>
      <c r="Q5424" s="44"/>
      <c r="R5424" s="44"/>
      <c r="S5424" s="44"/>
      <c r="T5424" s="44"/>
    </row>
    <row r="5425" spans="12:20" x14ac:dyDescent="0.2">
      <c r="L5425" s="43"/>
      <c r="M5425" s="43"/>
      <c r="N5425" s="43"/>
      <c r="O5425" s="43"/>
      <c r="Q5425" s="44"/>
      <c r="R5425" s="44"/>
      <c r="S5425" s="44"/>
      <c r="T5425" s="44"/>
    </row>
    <row r="5426" spans="12:20" x14ac:dyDescent="0.2">
      <c r="L5426" s="43"/>
      <c r="M5426" s="43"/>
      <c r="N5426" s="43"/>
      <c r="O5426" s="43"/>
      <c r="Q5426" s="44"/>
      <c r="R5426" s="44"/>
      <c r="S5426" s="44"/>
      <c r="T5426" s="44"/>
    </row>
    <row r="5427" spans="12:20" x14ac:dyDescent="0.2">
      <c r="L5427" s="43"/>
      <c r="M5427" s="43"/>
      <c r="N5427" s="43"/>
      <c r="O5427" s="43"/>
      <c r="Q5427" s="44"/>
      <c r="R5427" s="44"/>
      <c r="S5427" s="44"/>
      <c r="T5427" s="44"/>
    </row>
    <row r="5428" spans="12:20" x14ac:dyDescent="0.2">
      <c r="L5428" s="43"/>
      <c r="M5428" s="43"/>
      <c r="N5428" s="43"/>
      <c r="O5428" s="43"/>
      <c r="Q5428" s="44"/>
      <c r="R5428" s="44"/>
      <c r="S5428" s="44"/>
      <c r="T5428" s="44"/>
    </row>
    <row r="5429" spans="12:20" x14ac:dyDescent="0.2">
      <c r="L5429" s="43"/>
      <c r="M5429" s="43"/>
      <c r="N5429" s="43"/>
      <c r="O5429" s="43"/>
      <c r="Q5429" s="44"/>
      <c r="R5429" s="44"/>
      <c r="S5429" s="44"/>
      <c r="T5429" s="44"/>
    </row>
    <row r="5430" spans="12:20" x14ac:dyDescent="0.2">
      <c r="L5430" s="43"/>
      <c r="M5430" s="43"/>
      <c r="N5430" s="43"/>
      <c r="O5430" s="43"/>
      <c r="Q5430" s="44"/>
      <c r="R5430" s="44"/>
      <c r="S5430" s="44"/>
      <c r="T5430" s="44"/>
    </row>
    <row r="5431" spans="12:20" x14ac:dyDescent="0.2">
      <c r="L5431" s="43"/>
      <c r="M5431" s="43"/>
      <c r="N5431" s="43"/>
      <c r="O5431" s="43"/>
      <c r="Q5431" s="44"/>
      <c r="R5431" s="44"/>
      <c r="S5431" s="44"/>
      <c r="T5431" s="44"/>
    </row>
    <row r="5432" spans="12:20" x14ac:dyDescent="0.2">
      <c r="L5432" s="43"/>
      <c r="M5432" s="43"/>
      <c r="N5432" s="43"/>
      <c r="O5432" s="43"/>
      <c r="Q5432" s="44"/>
      <c r="R5432" s="44"/>
      <c r="S5432" s="44"/>
      <c r="T5432" s="44"/>
    </row>
    <row r="5433" spans="12:20" x14ac:dyDescent="0.2">
      <c r="L5433" s="43"/>
      <c r="M5433" s="43"/>
      <c r="N5433" s="43"/>
      <c r="O5433" s="43"/>
      <c r="Q5433" s="44"/>
      <c r="R5433" s="44"/>
      <c r="S5433" s="44"/>
      <c r="T5433" s="44"/>
    </row>
    <row r="5434" spans="12:20" x14ac:dyDescent="0.2">
      <c r="L5434" s="43"/>
      <c r="M5434" s="43"/>
      <c r="N5434" s="43"/>
      <c r="O5434" s="43"/>
      <c r="Q5434" s="44"/>
      <c r="R5434" s="44"/>
      <c r="S5434" s="44"/>
      <c r="T5434" s="44"/>
    </row>
    <row r="5435" spans="12:20" x14ac:dyDescent="0.2">
      <c r="L5435" s="43"/>
      <c r="M5435" s="43"/>
      <c r="N5435" s="43"/>
      <c r="O5435" s="43"/>
      <c r="Q5435" s="44"/>
      <c r="R5435" s="44"/>
      <c r="S5435" s="44"/>
      <c r="T5435" s="44"/>
    </row>
    <row r="5436" spans="12:20" x14ac:dyDescent="0.2">
      <c r="L5436" s="43"/>
      <c r="M5436" s="43"/>
      <c r="N5436" s="43"/>
      <c r="O5436" s="43"/>
      <c r="Q5436" s="44"/>
      <c r="R5436" s="44"/>
      <c r="S5436" s="44"/>
      <c r="T5436" s="44"/>
    </row>
    <row r="5437" spans="12:20" x14ac:dyDescent="0.2">
      <c r="L5437" s="43"/>
      <c r="M5437" s="43"/>
      <c r="N5437" s="43"/>
      <c r="O5437" s="43"/>
      <c r="Q5437" s="44"/>
      <c r="R5437" s="44"/>
      <c r="S5437" s="44"/>
      <c r="T5437" s="44"/>
    </row>
    <row r="5438" spans="12:20" x14ac:dyDescent="0.2">
      <c r="L5438" s="43"/>
      <c r="M5438" s="43"/>
      <c r="N5438" s="43"/>
      <c r="O5438" s="43"/>
      <c r="Q5438" s="44"/>
      <c r="R5438" s="44"/>
      <c r="S5438" s="44"/>
      <c r="T5438" s="44"/>
    </row>
    <row r="5439" spans="12:20" x14ac:dyDescent="0.2">
      <c r="L5439" s="43"/>
      <c r="M5439" s="43"/>
      <c r="N5439" s="43"/>
      <c r="O5439" s="43"/>
      <c r="Q5439" s="44"/>
      <c r="R5439" s="44"/>
      <c r="S5439" s="44"/>
      <c r="T5439" s="44"/>
    </row>
    <row r="5440" spans="12:20" x14ac:dyDescent="0.2">
      <c r="L5440" s="43"/>
      <c r="M5440" s="43"/>
      <c r="N5440" s="43"/>
      <c r="O5440" s="43"/>
      <c r="Q5440" s="44"/>
      <c r="R5440" s="44"/>
      <c r="S5440" s="44"/>
      <c r="T5440" s="44"/>
    </row>
    <row r="5441" spans="12:20" x14ac:dyDescent="0.2">
      <c r="L5441" s="43"/>
      <c r="M5441" s="43"/>
      <c r="N5441" s="43"/>
      <c r="O5441" s="43"/>
      <c r="Q5441" s="44"/>
      <c r="R5441" s="44"/>
      <c r="S5441" s="44"/>
      <c r="T5441" s="44"/>
    </row>
    <row r="5442" spans="12:20" x14ac:dyDescent="0.2">
      <c r="L5442" s="43"/>
      <c r="M5442" s="43"/>
      <c r="N5442" s="43"/>
      <c r="O5442" s="43"/>
      <c r="Q5442" s="44"/>
      <c r="R5442" s="44"/>
      <c r="S5442" s="44"/>
      <c r="T5442" s="44"/>
    </row>
    <row r="5443" spans="12:20" x14ac:dyDescent="0.2">
      <c r="L5443" s="43"/>
      <c r="M5443" s="43"/>
      <c r="N5443" s="43"/>
      <c r="O5443" s="43"/>
      <c r="Q5443" s="44"/>
      <c r="R5443" s="44"/>
      <c r="S5443" s="44"/>
      <c r="T5443" s="44"/>
    </row>
    <row r="5444" spans="12:20" x14ac:dyDescent="0.2">
      <c r="L5444" s="43"/>
      <c r="M5444" s="43"/>
      <c r="N5444" s="43"/>
      <c r="O5444" s="43"/>
      <c r="Q5444" s="44"/>
      <c r="R5444" s="44"/>
      <c r="S5444" s="44"/>
      <c r="T5444" s="44"/>
    </row>
    <row r="5445" spans="12:20" x14ac:dyDescent="0.2">
      <c r="L5445" s="43"/>
      <c r="M5445" s="43"/>
      <c r="N5445" s="43"/>
      <c r="O5445" s="43"/>
      <c r="Q5445" s="44"/>
      <c r="R5445" s="44"/>
      <c r="S5445" s="44"/>
      <c r="T5445" s="44"/>
    </row>
    <row r="5446" spans="12:20" x14ac:dyDescent="0.2">
      <c r="L5446" s="43"/>
      <c r="M5446" s="43"/>
      <c r="N5446" s="43"/>
      <c r="O5446" s="43"/>
      <c r="Q5446" s="44"/>
      <c r="R5446" s="44"/>
      <c r="S5446" s="44"/>
      <c r="T5446" s="44"/>
    </row>
    <row r="5447" spans="12:20" x14ac:dyDescent="0.2">
      <c r="L5447" s="43"/>
      <c r="M5447" s="43"/>
      <c r="N5447" s="43"/>
      <c r="O5447" s="43"/>
      <c r="Q5447" s="44"/>
      <c r="R5447" s="44"/>
      <c r="S5447" s="44"/>
      <c r="T5447" s="44"/>
    </row>
    <row r="5448" spans="12:20" x14ac:dyDescent="0.2">
      <c r="L5448" s="43"/>
      <c r="M5448" s="43"/>
      <c r="N5448" s="43"/>
      <c r="O5448" s="43"/>
      <c r="Q5448" s="44"/>
      <c r="R5448" s="44"/>
      <c r="S5448" s="44"/>
      <c r="T5448" s="44"/>
    </row>
    <row r="5449" spans="12:20" x14ac:dyDescent="0.2">
      <c r="L5449" s="43"/>
      <c r="M5449" s="43"/>
      <c r="N5449" s="43"/>
      <c r="O5449" s="43"/>
      <c r="Q5449" s="44"/>
      <c r="R5449" s="44"/>
      <c r="S5449" s="44"/>
      <c r="T5449" s="44"/>
    </row>
    <row r="5450" spans="12:20" x14ac:dyDescent="0.2">
      <c r="L5450" s="43"/>
      <c r="M5450" s="43"/>
      <c r="N5450" s="43"/>
      <c r="O5450" s="43"/>
      <c r="Q5450" s="44"/>
      <c r="R5450" s="44"/>
      <c r="S5450" s="44"/>
      <c r="T5450" s="44"/>
    </row>
    <row r="5451" spans="12:20" x14ac:dyDescent="0.2">
      <c r="L5451" s="43"/>
      <c r="M5451" s="43"/>
      <c r="N5451" s="43"/>
      <c r="O5451" s="43"/>
      <c r="Q5451" s="44"/>
      <c r="R5451" s="44"/>
      <c r="S5451" s="44"/>
      <c r="T5451" s="44"/>
    </row>
    <row r="5452" spans="12:20" x14ac:dyDescent="0.2">
      <c r="L5452" s="43"/>
      <c r="M5452" s="43"/>
      <c r="N5452" s="43"/>
      <c r="O5452" s="43"/>
      <c r="Q5452" s="44"/>
      <c r="R5452" s="44"/>
      <c r="S5452" s="44"/>
      <c r="T5452" s="44"/>
    </row>
    <row r="5453" spans="12:20" x14ac:dyDescent="0.2">
      <c r="L5453" s="43"/>
      <c r="M5453" s="43"/>
      <c r="N5453" s="43"/>
      <c r="O5453" s="43"/>
      <c r="Q5453" s="44"/>
      <c r="R5453" s="44"/>
      <c r="S5453" s="44"/>
      <c r="T5453" s="44"/>
    </row>
    <row r="5454" spans="12:20" x14ac:dyDescent="0.2">
      <c r="L5454" s="43"/>
      <c r="M5454" s="43"/>
      <c r="N5454" s="43"/>
      <c r="O5454" s="43"/>
      <c r="Q5454" s="44"/>
      <c r="R5454" s="44"/>
      <c r="S5454" s="44"/>
      <c r="T5454" s="44"/>
    </row>
    <row r="5455" spans="12:20" x14ac:dyDescent="0.2">
      <c r="L5455" s="43"/>
      <c r="M5455" s="43"/>
      <c r="N5455" s="43"/>
      <c r="O5455" s="43"/>
      <c r="Q5455" s="44"/>
      <c r="R5455" s="44"/>
      <c r="S5455" s="44"/>
      <c r="T5455" s="44"/>
    </row>
    <row r="5456" spans="12:20" x14ac:dyDescent="0.2">
      <c r="L5456" s="43"/>
      <c r="M5456" s="43"/>
      <c r="N5456" s="43"/>
      <c r="O5456" s="43"/>
      <c r="Q5456" s="44"/>
      <c r="R5456" s="44"/>
      <c r="S5456" s="44"/>
      <c r="T5456" s="44"/>
    </row>
    <row r="5457" spans="12:20" x14ac:dyDescent="0.2">
      <c r="L5457" s="43"/>
      <c r="M5457" s="43"/>
      <c r="N5457" s="43"/>
      <c r="O5457" s="43"/>
      <c r="Q5457" s="44"/>
      <c r="R5457" s="44"/>
      <c r="S5457" s="44"/>
      <c r="T5457" s="44"/>
    </row>
    <row r="5458" spans="12:20" x14ac:dyDescent="0.2">
      <c r="L5458" s="43"/>
      <c r="M5458" s="43"/>
      <c r="N5458" s="43"/>
      <c r="O5458" s="43"/>
      <c r="Q5458" s="44"/>
      <c r="R5458" s="44"/>
      <c r="S5458" s="44"/>
      <c r="T5458" s="44"/>
    </row>
    <row r="5459" spans="12:20" x14ac:dyDescent="0.2">
      <c r="L5459" s="43"/>
      <c r="M5459" s="43"/>
      <c r="N5459" s="43"/>
      <c r="O5459" s="43"/>
      <c r="Q5459" s="44"/>
      <c r="R5459" s="44"/>
      <c r="S5459" s="44"/>
      <c r="T5459" s="44"/>
    </row>
    <row r="5460" spans="12:20" x14ac:dyDescent="0.2">
      <c r="L5460" s="43"/>
      <c r="M5460" s="43"/>
      <c r="N5460" s="43"/>
      <c r="O5460" s="43"/>
      <c r="Q5460" s="44"/>
      <c r="R5460" s="44"/>
      <c r="S5460" s="44"/>
      <c r="T5460" s="44"/>
    </row>
    <row r="5461" spans="12:20" x14ac:dyDescent="0.2">
      <c r="L5461" s="43"/>
      <c r="M5461" s="43"/>
      <c r="N5461" s="43"/>
      <c r="O5461" s="43"/>
      <c r="Q5461" s="44"/>
      <c r="R5461" s="44"/>
      <c r="S5461" s="44"/>
      <c r="T5461" s="44"/>
    </row>
    <row r="5462" spans="12:20" x14ac:dyDescent="0.2">
      <c r="L5462" s="43"/>
      <c r="M5462" s="43"/>
      <c r="N5462" s="43"/>
      <c r="O5462" s="43"/>
      <c r="Q5462" s="44"/>
      <c r="R5462" s="44"/>
      <c r="S5462" s="44"/>
      <c r="T5462" s="44"/>
    </row>
    <row r="5463" spans="12:20" x14ac:dyDescent="0.2">
      <c r="L5463" s="43"/>
      <c r="M5463" s="43"/>
      <c r="N5463" s="43"/>
      <c r="O5463" s="43"/>
      <c r="Q5463" s="44"/>
      <c r="R5463" s="44"/>
      <c r="S5463" s="44"/>
      <c r="T5463" s="44"/>
    </row>
    <row r="5464" spans="12:20" x14ac:dyDescent="0.2">
      <c r="L5464" s="43"/>
      <c r="M5464" s="43"/>
      <c r="N5464" s="43"/>
      <c r="O5464" s="43"/>
      <c r="Q5464" s="44"/>
      <c r="R5464" s="44"/>
      <c r="S5464" s="44"/>
      <c r="T5464" s="44"/>
    </row>
    <row r="5465" spans="12:20" x14ac:dyDescent="0.2">
      <c r="L5465" s="43"/>
      <c r="M5465" s="43"/>
      <c r="N5465" s="43"/>
      <c r="O5465" s="43"/>
      <c r="Q5465" s="44"/>
      <c r="R5465" s="44"/>
      <c r="S5465" s="44"/>
      <c r="T5465" s="44"/>
    </row>
    <row r="5466" spans="12:20" x14ac:dyDescent="0.2">
      <c r="L5466" s="43"/>
      <c r="M5466" s="43"/>
      <c r="N5466" s="43"/>
      <c r="O5466" s="43"/>
      <c r="Q5466" s="44"/>
      <c r="R5466" s="44"/>
      <c r="S5466" s="44"/>
      <c r="T5466" s="44"/>
    </row>
    <row r="5467" spans="12:20" x14ac:dyDescent="0.2">
      <c r="L5467" s="43"/>
      <c r="M5467" s="43"/>
      <c r="N5467" s="43"/>
      <c r="O5467" s="43"/>
      <c r="Q5467" s="44"/>
      <c r="R5467" s="44"/>
      <c r="S5467" s="44"/>
      <c r="T5467" s="44"/>
    </row>
    <row r="5468" spans="12:20" x14ac:dyDescent="0.2">
      <c r="L5468" s="43"/>
      <c r="M5468" s="43"/>
      <c r="N5468" s="43"/>
      <c r="O5468" s="43"/>
      <c r="Q5468" s="44"/>
      <c r="R5468" s="44"/>
      <c r="S5468" s="44"/>
      <c r="T5468" s="44"/>
    </row>
    <row r="5469" spans="12:20" x14ac:dyDescent="0.2">
      <c r="L5469" s="43"/>
      <c r="M5469" s="43"/>
      <c r="N5469" s="43"/>
      <c r="O5469" s="43"/>
      <c r="Q5469" s="44"/>
      <c r="R5469" s="44"/>
      <c r="S5469" s="44"/>
      <c r="T5469" s="44"/>
    </row>
    <row r="5470" spans="12:20" x14ac:dyDescent="0.2">
      <c r="L5470" s="43"/>
      <c r="M5470" s="43"/>
      <c r="N5470" s="43"/>
      <c r="O5470" s="43"/>
      <c r="Q5470" s="44"/>
      <c r="R5470" s="44"/>
      <c r="S5470" s="44"/>
      <c r="T5470" s="44"/>
    </row>
    <row r="5471" spans="12:20" x14ac:dyDescent="0.2">
      <c r="L5471" s="43"/>
      <c r="M5471" s="43"/>
      <c r="N5471" s="43"/>
      <c r="O5471" s="43"/>
      <c r="Q5471" s="44"/>
      <c r="R5471" s="44"/>
      <c r="S5471" s="44"/>
      <c r="T5471" s="44"/>
    </row>
    <row r="5472" spans="12:20" x14ac:dyDescent="0.2">
      <c r="L5472" s="43"/>
      <c r="M5472" s="43"/>
      <c r="N5472" s="43"/>
      <c r="O5472" s="43"/>
      <c r="Q5472" s="44"/>
      <c r="R5472" s="44"/>
      <c r="S5472" s="44"/>
      <c r="T5472" s="44"/>
    </row>
    <row r="5473" spans="12:20" x14ac:dyDescent="0.2">
      <c r="L5473" s="43"/>
      <c r="M5473" s="43"/>
      <c r="N5473" s="43"/>
      <c r="O5473" s="43"/>
      <c r="Q5473" s="44"/>
      <c r="R5473" s="44"/>
      <c r="S5473" s="44"/>
      <c r="T5473" s="44"/>
    </row>
    <row r="5474" spans="12:20" x14ac:dyDescent="0.2">
      <c r="L5474" s="43"/>
      <c r="M5474" s="43"/>
      <c r="N5474" s="43"/>
      <c r="O5474" s="43"/>
      <c r="Q5474" s="44"/>
      <c r="R5474" s="44"/>
      <c r="S5474" s="44"/>
      <c r="T5474" s="44"/>
    </row>
    <row r="5475" spans="12:20" x14ac:dyDescent="0.2">
      <c r="L5475" s="43"/>
      <c r="M5475" s="43"/>
      <c r="N5475" s="43"/>
      <c r="O5475" s="43"/>
      <c r="Q5475" s="44"/>
      <c r="R5475" s="44"/>
      <c r="S5475" s="44"/>
      <c r="T5475" s="44"/>
    </row>
    <row r="5476" spans="12:20" x14ac:dyDescent="0.2">
      <c r="L5476" s="43"/>
      <c r="M5476" s="43"/>
      <c r="N5476" s="43"/>
      <c r="O5476" s="43"/>
      <c r="Q5476" s="44"/>
      <c r="R5476" s="44"/>
      <c r="S5476" s="44"/>
      <c r="T5476" s="44"/>
    </row>
    <row r="5477" spans="12:20" x14ac:dyDescent="0.2">
      <c r="L5477" s="43"/>
      <c r="M5477" s="43"/>
      <c r="N5477" s="43"/>
      <c r="O5477" s="43"/>
      <c r="Q5477" s="44"/>
      <c r="R5477" s="44"/>
      <c r="S5477" s="44"/>
      <c r="T5477" s="44"/>
    </row>
    <row r="5478" spans="12:20" x14ac:dyDescent="0.2">
      <c r="L5478" s="43"/>
      <c r="M5478" s="43"/>
      <c r="N5478" s="43"/>
      <c r="O5478" s="43"/>
      <c r="Q5478" s="44"/>
      <c r="R5478" s="44"/>
      <c r="S5478" s="44"/>
      <c r="T5478" s="44"/>
    </row>
    <row r="5479" spans="12:20" x14ac:dyDescent="0.2">
      <c r="L5479" s="43"/>
      <c r="M5479" s="43"/>
      <c r="N5479" s="43"/>
      <c r="O5479" s="43"/>
      <c r="Q5479" s="44"/>
      <c r="R5479" s="44"/>
      <c r="S5479" s="44"/>
      <c r="T5479" s="44"/>
    </row>
    <row r="5480" spans="12:20" x14ac:dyDescent="0.2">
      <c r="L5480" s="43"/>
      <c r="M5480" s="43"/>
      <c r="N5480" s="43"/>
      <c r="O5480" s="43"/>
      <c r="Q5480" s="44"/>
      <c r="R5480" s="44"/>
      <c r="S5480" s="44"/>
      <c r="T5480" s="44"/>
    </row>
    <row r="5481" spans="12:20" x14ac:dyDescent="0.2">
      <c r="L5481" s="43"/>
      <c r="M5481" s="43"/>
      <c r="N5481" s="43"/>
      <c r="O5481" s="43"/>
      <c r="Q5481" s="44"/>
      <c r="R5481" s="44"/>
      <c r="S5481" s="44"/>
      <c r="T5481" s="44"/>
    </row>
    <row r="5482" spans="12:20" x14ac:dyDescent="0.2">
      <c r="L5482" s="43"/>
      <c r="M5482" s="43"/>
      <c r="N5482" s="43"/>
      <c r="O5482" s="43"/>
      <c r="Q5482" s="44"/>
      <c r="R5482" s="44"/>
      <c r="S5482" s="44"/>
      <c r="T5482" s="44"/>
    </row>
    <row r="5483" spans="12:20" x14ac:dyDescent="0.2">
      <c r="L5483" s="43"/>
      <c r="M5483" s="43"/>
      <c r="N5483" s="43"/>
      <c r="O5483" s="43"/>
      <c r="Q5483" s="44"/>
      <c r="R5483" s="44"/>
      <c r="S5483" s="44"/>
      <c r="T5483" s="44"/>
    </row>
    <row r="5484" spans="12:20" x14ac:dyDescent="0.2">
      <c r="L5484" s="43"/>
      <c r="M5484" s="43"/>
      <c r="N5484" s="43"/>
      <c r="O5484" s="43"/>
      <c r="Q5484" s="44"/>
      <c r="R5484" s="44"/>
      <c r="S5484" s="44"/>
      <c r="T5484" s="44"/>
    </row>
    <row r="5485" spans="12:20" x14ac:dyDescent="0.2">
      <c r="L5485" s="43"/>
      <c r="M5485" s="43"/>
      <c r="N5485" s="43"/>
      <c r="O5485" s="43"/>
      <c r="Q5485" s="44"/>
      <c r="R5485" s="44"/>
      <c r="S5485" s="44"/>
      <c r="T5485" s="44"/>
    </row>
    <row r="5486" spans="12:20" x14ac:dyDescent="0.2">
      <c r="L5486" s="43"/>
      <c r="M5486" s="43"/>
      <c r="N5486" s="43"/>
      <c r="O5486" s="43"/>
      <c r="Q5486" s="44"/>
      <c r="R5486" s="44"/>
      <c r="S5486" s="44"/>
      <c r="T5486" s="44"/>
    </row>
    <row r="5487" spans="12:20" x14ac:dyDescent="0.2">
      <c r="L5487" s="43"/>
      <c r="M5487" s="43"/>
      <c r="N5487" s="43"/>
      <c r="O5487" s="43"/>
      <c r="Q5487" s="44"/>
      <c r="R5487" s="44"/>
      <c r="S5487" s="44"/>
      <c r="T5487" s="44"/>
    </row>
    <row r="5488" spans="12:20" x14ac:dyDescent="0.2">
      <c r="L5488" s="43"/>
      <c r="M5488" s="43"/>
      <c r="N5488" s="43"/>
      <c r="O5488" s="43"/>
      <c r="Q5488" s="44"/>
      <c r="R5488" s="44"/>
      <c r="S5488" s="44"/>
      <c r="T5488" s="44"/>
    </row>
    <row r="5489" spans="12:20" x14ac:dyDescent="0.2">
      <c r="L5489" s="43"/>
      <c r="M5489" s="43"/>
      <c r="N5489" s="43"/>
      <c r="O5489" s="43"/>
      <c r="Q5489" s="44"/>
      <c r="R5489" s="44"/>
      <c r="S5489" s="44"/>
      <c r="T5489" s="44"/>
    </row>
    <row r="5490" spans="12:20" x14ac:dyDescent="0.2">
      <c r="L5490" s="43"/>
      <c r="M5490" s="43"/>
      <c r="N5490" s="43"/>
      <c r="O5490" s="43"/>
      <c r="Q5490" s="44"/>
      <c r="R5490" s="44"/>
      <c r="S5490" s="44"/>
      <c r="T5490" s="44"/>
    </row>
    <row r="5491" spans="12:20" x14ac:dyDescent="0.2">
      <c r="L5491" s="43"/>
      <c r="M5491" s="43"/>
      <c r="N5491" s="43"/>
      <c r="O5491" s="43"/>
      <c r="Q5491" s="44"/>
      <c r="R5491" s="44"/>
      <c r="S5491" s="44"/>
      <c r="T5491" s="44"/>
    </row>
    <row r="5492" spans="12:20" x14ac:dyDescent="0.2">
      <c r="L5492" s="43"/>
      <c r="M5492" s="43"/>
      <c r="N5492" s="43"/>
      <c r="O5492" s="43"/>
      <c r="Q5492" s="44"/>
      <c r="R5492" s="44"/>
      <c r="S5492" s="44"/>
      <c r="T5492" s="44"/>
    </row>
    <row r="5493" spans="12:20" x14ac:dyDescent="0.2">
      <c r="L5493" s="43"/>
      <c r="M5493" s="43"/>
      <c r="N5493" s="43"/>
      <c r="O5493" s="43"/>
      <c r="Q5493" s="44"/>
      <c r="R5493" s="44"/>
      <c r="S5493" s="44"/>
      <c r="T5493" s="44"/>
    </row>
    <row r="5494" spans="12:20" x14ac:dyDescent="0.2">
      <c r="L5494" s="43"/>
      <c r="M5494" s="43"/>
      <c r="N5494" s="43"/>
      <c r="O5494" s="43"/>
      <c r="Q5494" s="44"/>
      <c r="R5494" s="44"/>
      <c r="S5494" s="44"/>
      <c r="T5494" s="44"/>
    </row>
    <row r="5495" spans="12:20" x14ac:dyDescent="0.2">
      <c r="L5495" s="43"/>
      <c r="M5495" s="43"/>
      <c r="N5495" s="43"/>
      <c r="O5495" s="43"/>
      <c r="Q5495" s="44"/>
      <c r="R5495" s="44"/>
      <c r="S5495" s="44"/>
      <c r="T5495" s="44"/>
    </row>
    <row r="5496" spans="12:20" x14ac:dyDescent="0.2">
      <c r="L5496" s="43"/>
      <c r="M5496" s="43"/>
      <c r="N5496" s="43"/>
      <c r="O5496" s="43"/>
      <c r="Q5496" s="44"/>
      <c r="R5496" s="44"/>
      <c r="S5496" s="44"/>
      <c r="T5496" s="44"/>
    </row>
    <row r="5497" spans="12:20" x14ac:dyDescent="0.2">
      <c r="L5497" s="43"/>
      <c r="M5497" s="43"/>
      <c r="N5497" s="43"/>
      <c r="O5497" s="43"/>
      <c r="Q5497" s="44"/>
      <c r="R5497" s="44"/>
      <c r="S5497" s="44"/>
      <c r="T5497" s="44"/>
    </row>
    <row r="5498" spans="12:20" x14ac:dyDescent="0.2">
      <c r="L5498" s="43"/>
      <c r="M5498" s="43"/>
      <c r="N5498" s="43"/>
      <c r="O5498" s="43"/>
      <c r="Q5498" s="44"/>
      <c r="R5498" s="44"/>
      <c r="S5498" s="44"/>
      <c r="T5498" s="44"/>
    </row>
    <row r="5499" spans="12:20" x14ac:dyDescent="0.2">
      <c r="L5499" s="43"/>
      <c r="M5499" s="43"/>
      <c r="N5499" s="43"/>
      <c r="O5499" s="43"/>
      <c r="Q5499" s="44"/>
      <c r="R5499" s="44"/>
      <c r="S5499" s="44"/>
      <c r="T5499" s="44"/>
    </row>
    <row r="5500" spans="12:20" x14ac:dyDescent="0.2">
      <c r="L5500" s="43"/>
      <c r="M5500" s="43"/>
      <c r="N5500" s="43"/>
      <c r="O5500" s="43"/>
      <c r="Q5500" s="44"/>
      <c r="R5500" s="44"/>
      <c r="S5500" s="44"/>
      <c r="T5500" s="44"/>
    </row>
    <row r="5501" spans="12:20" x14ac:dyDescent="0.2">
      <c r="L5501" s="43"/>
      <c r="M5501" s="43"/>
      <c r="N5501" s="43"/>
      <c r="O5501" s="43"/>
      <c r="Q5501" s="44"/>
      <c r="R5501" s="44"/>
      <c r="S5501" s="44"/>
      <c r="T5501" s="44"/>
    </row>
    <row r="5502" spans="12:20" x14ac:dyDescent="0.2">
      <c r="L5502" s="43"/>
      <c r="M5502" s="43"/>
      <c r="N5502" s="43"/>
      <c r="O5502" s="43"/>
      <c r="Q5502" s="44"/>
      <c r="R5502" s="44"/>
      <c r="S5502" s="44"/>
      <c r="T5502" s="44"/>
    </row>
    <row r="5503" spans="12:20" x14ac:dyDescent="0.2">
      <c r="L5503" s="43"/>
      <c r="M5503" s="43"/>
      <c r="N5503" s="43"/>
      <c r="O5503" s="43"/>
      <c r="Q5503" s="44"/>
      <c r="R5503" s="44"/>
      <c r="S5503" s="44"/>
      <c r="T5503" s="44"/>
    </row>
    <row r="5504" spans="12:20" x14ac:dyDescent="0.2">
      <c r="L5504" s="43"/>
      <c r="M5504" s="43"/>
      <c r="N5504" s="43"/>
      <c r="O5504" s="43"/>
      <c r="Q5504" s="44"/>
      <c r="R5504" s="44"/>
      <c r="S5504" s="44"/>
      <c r="T5504" s="44"/>
    </row>
    <row r="5505" spans="12:20" x14ac:dyDescent="0.2">
      <c r="L5505" s="43"/>
      <c r="M5505" s="43"/>
      <c r="N5505" s="43"/>
      <c r="O5505" s="43"/>
      <c r="Q5505" s="44"/>
      <c r="R5505" s="44"/>
      <c r="S5505" s="44"/>
      <c r="T5505" s="44"/>
    </row>
    <row r="5506" spans="12:20" x14ac:dyDescent="0.2">
      <c r="L5506" s="43"/>
      <c r="M5506" s="43"/>
      <c r="N5506" s="43"/>
      <c r="O5506" s="43"/>
      <c r="Q5506" s="44"/>
      <c r="R5506" s="44"/>
      <c r="S5506" s="44"/>
      <c r="T5506" s="44"/>
    </row>
    <row r="5507" spans="12:20" x14ac:dyDescent="0.2">
      <c r="L5507" s="43"/>
      <c r="M5507" s="43"/>
      <c r="N5507" s="43"/>
      <c r="O5507" s="43"/>
      <c r="Q5507" s="44"/>
      <c r="R5507" s="44"/>
      <c r="S5507" s="44"/>
      <c r="T5507" s="44"/>
    </row>
    <row r="5508" spans="12:20" x14ac:dyDescent="0.2">
      <c r="L5508" s="43"/>
      <c r="M5508" s="43"/>
      <c r="N5508" s="43"/>
      <c r="O5508" s="43"/>
      <c r="Q5508" s="44"/>
      <c r="R5508" s="44"/>
      <c r="S5508" s="44"/>
      <c r="T5508" s="44"/>
    </row>
    <row r="5509" spans="12:20" x14ac:dyDescent="0.2">
      <c r="L5509" s="43"/>
      <c r="M5509" s="43"/>
      <c r="N5509" s="43"/>
      <c r="O5509" s="43"/>
      <c r="Q5509" s="44"/>
      <c r="R5509" s="44"/>
      <c r="S5509" s="44"/>
      <c r="T5509" s="44"/>
    </row>
    <row r="5510" spans="12:20" x14ac:dyDescent="0.2">
      <c r="L5510" s="43"/>
      <c r="M5510" s="43"/>
      <c r="N5510" s="43"/>
      <c r="O5510" s="43"/>
      <c r="Q5510" s="44"/>
      <c r="R5510" s="44"/>
      <c r="S5510" s="44"/>
      <c r="T5510" s="44"/>
    </row>
    <row r="5511" spans="12:20" x14ac:dyDescent="0.2">
      <c r="L5511" s="43"/>
      <c r="M5511" s="43"/>
      <c r="N5511" s="43"/>
      <c r="O5511" s="43"/>
      <c r="Q5511" s="44"/>
      <c r="R5511" s="44"/>
      <c r="S5511" s="44"/>
      <c r="T5511" s="44"/>
    </row>
    <row r="5512" spans="12:20" x14ac:dyDescent="0.2">
      <c r="L5512" s="43"/>
      <c r="M5512" s="43"/>
      <c r="N5512" s="43"/>
      <c r="O5512" s="43"/>
      <c r="Q5512" s="44"/>
      <c r="R5512" s="44"/>
      <c r="S5512" s="44"/>
      <c r="T5512" s="44"/>
    </row>
    <row r="5513" spans="12:20" x14ac:dyDescent="0.2">
      <c r="L5513" s="43"/>
      <c r="M5513" s="43"/>
      <c r="N5513" s="43"/>
      <c r="O5513" s="43"/>
      <c r="Q5513" s="44"/>
      <c r="R5513" s="44"/>
      <c r="S5513" s="44"/>
      <c r="T5513" s="44"/>
    </row>
    <row r="5514" spans="12:20" x14ac:dyDescent="0.2">
      <c r="L5514" s="43"/>
      <c r="M5514" s="43"/>
      <c r="N5514" s="43"/>
      <c r="O5514" s="43"/>
      <c r="Q5514" s="44"/>
      <c r="R5514" s="44"/>
      <c r="S5514" s="44"/>
      <c r="T5514" s="44"/>
    </row>
    <row r="5515" spans="12:20" x14ac:dyDescent="0.2">
      <c r="L5515" s="43"/>
      <c r="M5515" s="43"/>
      <c r="N5515" s="43"/>
      <c r="O5515" s="43"/>
      <c r="Q5515" s="44"/>
      <c r="R5515" s="44"/>
      <c r="S5515" s="44"/>
      <c r="T5515" s="44"/>
    </row>
    <row r="5516" spans="12:20" x14ac:dyDescent="0.2">
      <c r="L5516" s="43"/>
      <c r="M5516" s="43"/>
      <c r="N5516" s="43"/>
      <c r="O5516" s="43"/>
      <c r="Q5516" s="44"/>
      <c r="R5516" s="44"/>
      <c r="S5516" s="44"/>
      <c r="T5516" s="44"/>
    </row>
    <row r="5517" spans="12:20" x14ac:dyDescent="0.2">
      <c r="L5517" s="43"/>
      <c r="M5517" s="43"/>
      <c r="N5517" s="43"/>
      <c r="O5517" s="43"/>
      <c r="Q5517" s="44"/>
      <c r="R5517" s="44"/>
      <c r="S5517" s="44"/>
      <c r="T5517" s="44"/>
    </row>
    <row r="5518" spans="12:20" x14ac:dyDescent="0.2">
      <c r="L5518" s="43"/>
      <c r="M5518" s="43"/>
      <c r="N5518" s="43"/>
      <c r="O5518" s="43"/>
      <c r="Q5518" s="44"/>
      <c r="R5518" s="44"/>
      <c r="S5518" s="44"/>
      <c r="T5518" s="44"/>
    </row>
    <row r="5519" spans="12:20" x14ac:dyDescent="0.2">
      <c r="L5519" s="43"/>
      <c r="M5519" s="43"/>
      <c r="N5519" s="43"/>
      <c r="O5519" s="43"/>
      <c r="Q5519" s="44"/>
      <c r="R5519" s="44"/>
      <c r="S5519" s="44"/>
      <c r="T5519" s="44"/>
    </row>
    <row r="5520" spans="12:20" x14ac:dyDescent="0.2">
      <c r="L5520" s="43"/>
      <c r="M5520" s="43"/>
      <c r="N5520" s="43"/>
      <c r="O5520" s="43"/>
      <c r="Q5520" s="44"/>
      <c r="R5520" s="44"/>
      <c r="S5520" s="44"/>
      <c r="T5520" s="44"/>
    </row>
    <row r="5521" spans="12:20" x14ac:dyDescent="0.2">
      <c r="L5521" s="43"/>
      <c r="M5521" s="43"/>
      <c r="N5521" s="43"/>
      <c r="O5521" s="43"/>
      <c r="Q5521" s="44"/>
      <c r="R5521" s="44"/>
      <c r="S5521" s="44"/>
      <c r="T5521" s="44"/>
    </row>
    <row r="5522" spans="12:20" x14ac:dyDescent="0.2">
      <c r="L5522" s="43"/>
      <c r="M5522" s="43"/>
      <c r="N5522" s="43"/>
      <c r="O5522" s="43"/>
      <c r="Q5522" s="44"/>
      <c r="R5522" s="44"/>
      <c r="S5522" s="44"/>
      <c r="T5522" s="44"/>
    </row>
    <row r="5523" spans="12:20" x14ac:dyDescent="0.2">
      <c r="L5523" s="43"/>
      <c r="M5523" s="43"/>
      <c r="N5523" s="43"/>
      <c r="O5523" s="43"/>
      <c r="Q5523" s="44"/>
      <c r="R5523" s="44"/>
      <c r="S5523" s="44"/>
      <c r="T5523" s="44"/>
    </row>
    <row r="5524" spans="12:20" x14ac:dyDescent="0.2">
      <c r="L5524" s="43"/>
      <c r="M5524" s="43"/>
      <c r="N5524" s="43"/>
      <c r="O5524" s="43"/>
      <c r="Q5524" s="44"/>
      <c r="R5524" s="44"/>
      <c r="S5524" s="44"/>
      <c r="T5524" s="44"/>
    </row>
    <row r="5525" spans="12:20" x14ac:dyDescent="0.2">
      <c r="L5525" s="43"/>
      <c r="M5525" s="43"/>
      <c r="N5525" s="43"/>
      <c r="O5525" s="43"/>
      <c r="Q5525" s="44"/>
      <c r="R5525" s="44"/>
      <c r="S5525" s="44"/>
      <c r="T5525" s="44"/>
    </row>
    <row r="5526" spans="12:20" x14ac:dyDescent="0.2">
      <c r="L5526" s="43"/>
      <c r="M5526" s="43"/>
      <c r="N5526" s="43"/>
      <c r="O5526" s="43"/>
      <c r="Q5526" s="44"/>
      <c r="R5526" s="44"/>
      <c r="S5526" s="44"/>
      <c r="T5526" s="44"/>
    </row>
    <row r="5527" spans="12:20" x14ac:dyDescent="0.2">
      <c r="L5527" s="43"/>
      <c r="M5527" s="43"/>
      <c r="N5527" s="43"/>
      <c r="O5527" s="43"/>
      <c r="Q5527" s="44"/>
      <c r="R5527" s="44"/>
      <c r="S5527" s="44"/>
      <c r="T5527" s="44"/>
    </row>
    <row r="5528" spans="12:20" x14ac:dyDescent="0.2">
      <c r="L5528" s="43"/>
      <c r="M5528" s="43"/>
      <c r="N5528" s="43"/>
      <c r="O5528" s="43"/>
      <c r="Q5528" s="44"/>
      <c r="R5528" s="44"/>
      <c r="S5528" s="44"/>
      <c r="T5528" s="44"/>
    </row>
    <row r="5529" spans="12:20" x14ac:dyDescent="0.2">
      <c r="L5529" s="43"/>
      <c r="M5529" s="43"/>
      <c r="N5529" s="43"/>
      <c r="O5529" s="43"/>
      <c r="Q5529" s="44"/>
      <c r="R5529" s="44"/>
      <c r="S5529" s="44"/>
      <c r="T5529" s="44"/>
    </row>
    <row r="5530" spans="12:20" x14ac:dyDescent="0.2">
      <c r="L5530" s="43"/>
      <c r="M5530" s="43"/>
      <c r="N5530" s="43"/>
      <c r="O5530" s="43"/>
      <c r="Q5530" s="44"/>
      <c r="R5530" s="44"/>
      <c r="S5530" s="44"/>
      <c r="T5530" s="44"/>
    </row>
    <row r="5531" spans="12:20" x14ac:dyDescent="0.2">
      <c r="L5531" s="43"/>
      <c r="M5531" s="43"/>
      <c r="N5531" s="43"/>
      <c r="O5531" s="43"/>
      <c r="Q5531" s="44"/>
      <c r="R5531" s="44"/>
      <c r="S5531" s="44"/>
      <c r="T5531" s="44"/>
    </row>
    <row r="5532" spans="12:20" x14ac:dyDescent="0.2">
      <c r="L5532" s="43"/>
      <c r="M5532" s="43"/>
      <c r="N5532" s="43"/>
      <c r="O5532" s="43"/>
      <c r="Q5532" s="44"/>
      <c r="R5532" s="44"/>
      <c r="S5532" s="44"/>
      <c r="T5532" s="44"/>
    </row>
    <row r="5533" spans="12:20" x14ac:dyDescent="0.2">
      <c r="L5533" s="43"/>
      <c r="M5533" s="43"/>
      <c r="N5533" s="43"/>
      <c r="O5533" s="43"/>
      <c r="Q5533" s="44"/>
      <c r="R5533" s="44"/>
      <c r="S5533" s="44"/>
      <c r="T5533" s="44"/>
    </row>
    <row r="5534" spans="12:20" x14ac:dyDescent="0.2">
      <c r="L5534" s="43"/>
      <c r="M5534" s="43"/>
      <c r="N5534" s="43"/>
      <c r="O5534" s="43"/>
      <c r="Q5534" s="44"/>
      <c r="R5534" s="44"/>
      <c r="S5534" s="44"/>
      <c r="T5534" s="44"/>
    </row>
    <row r="5535" spans="12:20" x14ac:dyDescent="0.2">
      <c r="L5535" s="43"/>
      <c r="M5535" s="43"/>
      <c r="N5535" s="43"/>
      <c r="O5535" s="43"/>
      <c r="Q5535" s="44"/>
      <c r="R5535" s="44"/>
      <c r="S5535" s="44"/>
      <c r="T5535" s="44"/>
    </row>
    <row r="5536" spans="12:20" x14ac:dyDescent="0.2">
      <c r="L5536" s="43"/>
      <c r="M5536" s="43"/>
      <c r="N5536" s="43"/>
      <c r="O5536" s="43"/>
      <c r="Q5536" s="44"/>
      <c r="R5536" s="44"/>
      <c r="S5536" s="44"/>
      <c r="T5536" s="44"/>
    </row>
    <row r="5537" spans="12:20" x14ac:dyDescent="0.2">
      <c r="L5537" s="43"/>
      <c r="M5537" s="43"/>
      <c r="N5537" s="43"/>
      <c r="O5537" s="43"/>
      <c r="Q5537" s="44"/>
      <c r="R5537" s="44"/>
      <c r="S5537" s="44"/>
      <c r="T5537" s="44"/>
    </row>
    <row r="5538" spans="12:20" x14ac:dyDescent="0.2">
      <c r="L5538" s="43"/>
      <c r="M5538" s="43"/>
      <c r="N5538" s="43"/>
      <c r="O5538" s="43"/>
      <c r="Q5538" s="44"/>
      <c r="R5538" s="44"/>
      <c r="S5538" s="44"/>
      <c r="T5538" s="44"/>
    </row>
    <row r="5539" spans="12:20" x14ac:dyDescent="0.2">
      <c r="L5539" s="43"/>
      <c r="M5539" s="43"/>
      <c r="N5539" s="43"/>
      <c r="O5539" s="43"/>
      <c r="Q5539" s="44"/>
      <c r="R5539" s="44"/>
      <c r="S5539" s="44"/>
      <c r="T5539" s="44"/>
    </row>
    <row r="5540" spans="12:20" x14ac:dyDescent="0.2">
      <c r="L5540" s="43"/>
      <c r="M5540" s="43"/>
      <c r="N5540" s="43"/>
      <c r="O5540" s="43"/>
      <c r="Q5540" s="44"/>
      <c r="R5540" s="44"/>
      <c r="S5540" s="44"/>
      <c r="T5540" s="44"/>
    </row>
    <row r="5541" spans="12:20" x14ac:dyDescent="0.2">
      <c r="L5541" s="43"/>
      <c r="M5541" s="43"/>
      <c r="N5541" s="43"/>
      <c r="O5541" s="43"/>
      <c r="Q5541" s="44"/>
      <c r="R5541" s="44"/>
      <c r="S5541" s="44"/>
      <c r="T5541" s="44"/>
    </row>
    <row r="5542" spans="12:20" x14ac:dyDescent="0.2">
      <c r="L5542" s="43"/>
      <c r="M5542" s="43"/>
      <c r="N5542" s="43"/>
      <c r="O5542" s="43"/>
      <c r="Q5542" s="44"/>
      <c r="R5542" s="44"/>
      <c r="S5542" s="44"/>
      <c r="T5542" s="44"/>
    </row>
    <row r="5543" spans="12:20" x14ac:dyDescent="0.2">
      <c r="L5543" s="43"/>
      <c r="M5543" s="43"/>
      <c r="N5543" s="43"/>
      <c r="O5543" s="43"/>
      <c r="Q5543" s="44"/>
      <c r="R5543" s="44"/>
      <c r="S5543" s="44"/>
      <c r="T5543" s="44"/>
    </row>
    <row r="5544" spans="12:20" x14ac:dyDescent="0.2">
      <c r="L5544" s="43"/>
      <c r="M5544" s="43"/>
      <c r="N5544" s="43"/>
      <c r="O5544" s="43"/>
      <c r="Q5544" s="44"/>
      <c r="R5544" s="44"/>
      <c r="S5544" s="44"/>
      <c r="T5544" s="44"/>
    </row>
    <row r="5545" spans="12:20" x14ac:dyDescent="0.2">
      <c r="L5545" s="43"/>
      <c r="M5545" s="43"/>
      <c r="N5545" s="43"/>
      <c r="O5545" s="43"/>
      <c r="Q5545" s="44"/>
      <c r="R5545" s="44"/>
      <c r="S5545" s="44"/>
      <c r="T5545" s="44"/>
    </row>
    <row r="5546" spans="12:20" x14ac:dyDescent="0.2">
      <c r="L5546" s="43"/>
      <c r="M5546" s="43"/>
      <c r="N5546" s="43"/>
      <c r="O5546" s="43"/>
      <c r="Q5546" s="44"/>
      <c r="R5546" s="44"/>
      <c r="S5546" s="44"/>
      <c r="T5546" s="44"/>
    </row>
    <row r="5547" spans="12:20" x14ac:dyDescent="0.2">
      <c r="L5547" s="43"/>
      <c r="M5547" s="43"/>
      <c r="N5547" s="43"/>
      <c r="O5547" s="43"/>
      <c r="Q5547" s="44"/>
      <c r="R5547" s="44"/>
      <c r="S5547" s="44"/>
      <c r="T5547" s="44"/>
    </row>
    <row r="5548" spans="12:20" x14ac:dyDescent="0.2">
      <c r="L5548" s="43"/>
      <c r="M5548" s="43"/>
      <c r="N5548" s="43"/>
      <c r="O5548" s="43"/>
      <c r="Q5548" s="44"/>
      <c r="R5548" s="44"/>
      <c r="S5548" s="44"/>
      <c r="T5548" s="44"/>
    </row>
    <row r="5549" spans="12:20" x14ac:dyDescent="0.2">
      <c r="L5549" s="43"/>
      <c r="M5549" s="43"/>
      <c r="N5549" s="43"/>
      <c r="O5549" s="43"/>
      <c r="Q5549" s="44"/>
      <c r="R5549" s="44"/>
      <c r="S5549" s="44"/>
      <c r="T5549" s="44"/>
    </row>
    <row r="5550" spans="12:20" x14ac:dyDescent="0.2">
      <c r="L5550" s="43"/>
      <c r="M5550" s="43"/>
      <c r="N5550" s="43"/>
      <c r="O5550" s="43"/>
      <c r="Q5550" s="44"/>
      <c r="R5550" s="44"/>
      <c r="S5550" s="44"/>
      <c r="T5550" s="44"/>
    </row>
    <row r="5551" spans="12:20" x14ac:dyDescent="0.2">
      <c r="L5551" s="43"/>
      <c r="M5551" s="43"/>
      <c r="N5551" s="43"/>
      <c r="O5551" s="43"/>
      <c r="Q5551" s="44"/>
      <c r="R5551" s="44"/>
      <c r="S5551" s="44"/>
      <c r="T5551" s="44"/>
    </row>
    <row r="5552" spans="12:20" x14ac:dyDescent="0.2">
      <c r="L5552" s="43"/>
      <c r="M5552" s="43"/>
      <c r="N5552" s="43"/>
      <c r="O5552" s="43"/>
      <c r="Q5552" s="44"/>
      <c r="R5552" s="44"/>
      <c r="S5552" s="44"/>
      <c r="T5552" s="44"/>
    </row>
    <row r="5553" spans="12:20" x14ac:dyDescent="0.2">
      <c r="L5553" s="43"/>
      <c r="M5553" s="43"/>
      <c r="N5553" s="43"/>
      <c r="O5553" s="43"/>
      <c r="Q5553" s="44"/>
      <c r="R5553" s="44"/>
      <c r="S5553" s="44"/>
      <c r="T5553" s="44"/>
    </row>
    <row r="5554" spans="12:20" x14ac:dyDescent="0.2">
      <c r="L5554" s="43"/>
      <c r="M5554" s="43"/>
      <c r="N5554" s="43"/>
      <c r="O5554" s="43"/>
      <c r="Q5554" s="44"/>
      <c r="R5554" s="44"/>
      <c r="S5554" s="44"/>
      <c r="T5554" s="44"/>
    </row>
    <row r="5555" spans="12:20" x14ac:dyDescent="0.2">
      <c r="L5555" s="43"/>
      <c r="M5555" s="43"/>
      <c r="N5555" s="43"/>
      <c r="O5555" s="43"/>
      <c r="Q5555" s="44"/>
      <c r="R5555" s="44"/>
      <c r="S5555" s="44"/>
      <c r="T5555" s="44"/>
    </row>
    <row r="5556" spans="12:20" x14ac:dyDescent="0.2">
      <c r="L5556" s="43"/>
      <c r="M5556" s="43"/>
      <c r="N5556" s="43"/>
      <c r="O5556" s="43"/>
      <c r="Q5556" s="44"/>
      <c r="R5556" s="44"/>
      <c r="S5556" s="44"/>
      <c r="T5556" s="44"/>
    </row>
    <row r="5557" spans="12:20" x14ac:dyDescent="0.2">
      <c r="L5557" s="43"/>
      <c r="M5557" s="43"/>
      <c r="N5557" s="43"/>
      <c r="O5557" s="43"/>
      <c r="Q5557" s="44"/>
      <c r="R5557" s="44"/>
      <c r="S5557" s="44"/>
      <c r="T5557" s="44"/>
    </row>
    <row r="5558" spans="12:20" x14ac:dyDescent="0.2">
      <c r="L5558" s="43"/>
      <c r="M5558" s="43"/>
      <c r="N5558" s="43"/>
      <c r="O5558" s="43"/>
      <c r="Q5558" s="44"/>
      <c r="R5558" s="44"/>
      <c r="S5558" s="44"/>
      <c r="T5558" s="44"/>
    </row>
    <row r="5559" spans="12:20" x14ac:dyDescent="0.2">
      <c r="L5559" s="43"/>
      <c r="M5559" s="43"/>
      <c r="N5559" s="43"/>
      <c r="O5559" s="43"/>
      <c r="Q5559" s="44"/>
      <c r="R5559" s="44"/>
      <c r="S5559" s="44"/>
      <c r="T5559" s="44"/>
    </row>
    <row r="5560" spans="12:20" x14ac:dyDescent="0.2">
      <c r="L5560" s="43"/>
      <c r="M5560" s="43"/>
      <c r="N5560" s="43"/>
      <c r="O5560" s="43"/>
      <c r="Q5560" s="44"/>
      <c r="R5560" s="44"/>
      <c r="S5560" s="44"/>
      <c r="T5560" s="44"/>
    </row>
    <row r="5561" spans="12:20" x14ac:dyDescent="0.2">
      <c r="L5561" s="43"/>
      <c r="M5561" s="43"/>
      <c r="N5561" s="43"/>
      <c r="O5561" s="43"/>
      <c r="Q5561" s="44"/>
      <c r="R5561" s="44"/>
      <c r="S5561" s="44"/>
      <c r="T5561" s="44"/>
    </row>
    <row r="5562" spans="12:20" x14ac:dyDescent="0.2">
      <c r="L5562" s="43"/>
      <c r="M5562" s="43"/>
      <c r="N5562" s="43"/>
      <c r="O5562" s="43"/>
      <c r="Q5562" s="44"/>
      <c r="R5562" s="44"/>
      <c r="S5562" s="44"/>
      <c r="T5562" s="44"/>
    </row>
    <row r="5563" spans="12:20" x14ac:dyDescent="0.2">
      <c r="L5563" s="43"/>
      <c r="M5563" s="43"/>
      <c r="N5563" s="43"/>
      <c r="O5563" s="43"/>
      <c r="Q5563" s="44"/>
      <c r="R5563" s="44"/>
      <c r="S5563" s="44"/>
      <c r="T5563" s="44"/>
    </row>
    <row r="5564" spans="12:20" x14ac:dyDescent="0.2">
      <c r="L5564" s="43"/>
      <c r="M5564" s="43"/>
      <c r="N5564" s="43"/>
      <c r="O5564" s="43"/>
      <c r="Q5564" s="44"/>
      <c r="R5564" s="44"/>
      <c r="S5564" s="44"/>
      <c r="T5564" s="44"/>
    </row>
    <row r="5565" spans="12:20" x14ac:dyDescent="0.2">
      <c r="L5565" s="43"/>
      <c r="M5565" s="43"/>
      <c r="N5565" s="43"/>
      <c r="O5565" s="43"/>
      <c r="Q5565" s="44"/>
      <c r="R5565" s="44"/>
      <c r="S5565" s="44"/>
      <c r="T5565" s="44"/>
    </row>
    <row r="5566" spans="12:20" x14ac:dyDescent="0.2">
      <c r="L5566" s="43"/>
      <c r="M5566" s="43"/>
      <c r="N5566" s="43"/>
      <c r="O5566" s="43"/>
      <c r="Q5566" s="44"/>
      <c r="R5566" s="44"/>
      <c r="S5566" s="44"/>
      <c r="T5566" s="44"/>
    </row>
    <row r="5567" spans="12:20" x14ac:dyDescent="0.2">
      <c r="L5567" s="43"/>
      <c r="M5567" s="43"/>
      <c r="N5567" s="43"/>
      <c r="O5567" s="43"/>
      <c r="Q5567" s="44"/>
      <c r="R5567" s="44"/>
      <c r="S5567" s="44"/>
      <c r="T5567" s="44"/>
    </row>
    <row r="5568" spans="12:20" x14ac:dyDescent="0.2">
      <c r="L5568" s="43"/>
      <c r="M5568" s="43"/>
      <c r="N5568" s="43"/>
      <c r="O5568" s="43"/>
      <c r="Q5568" s="44"/>
      <c r="R5568" s="44"/>
      <c r="S5568" s="44"/>
      <c r="T5568" s="44"/>
    </row>
    <row r="5569" spans="12:20" x14ac:dyDescent="0.2">
      <c r="L5569" s="43"/>
      <c r="M5569" s="43"/>
      <c r="N5569" s="43"/>
      <c r="O5569" s="43"/>
      <c r="Q5569" s="44"/>
      <c r="R5569" s="44"/>
      <c r="S5569" s="44"/>
      <c r="T5569" s="44"/>
    </row>
    <row r="5570" spans="12:20" x14ac:dyDescent="0.2">
      <c r="L5570" s="43"/>
      <c r="M5570" s="43"/>
      <c r="N5570" s="43"/>
      <c r="O5570" s="43"/>
      <c r="Q5570" s="44"/>
      <c r="R5570" s="44"/>
      <c r="S5570" s="44"/>
      <c r="T5570" s="44"/>
    </row>
    <row r="5571" spans="12:20" x14ac:dyDescent="0.2">
      <c r="L5571" s="43"/>
      <c r="M5571" s="43"/>
      <c r="N5571" s="43"/>
      <c r="O5571" s="43"/>
      <c r="Q5571" s="44"/>
      <c r="R5571" s="44"/>
      <c r="S5571" s="44"/>
      <c r="T5571" s="44"/>
    </row>
    <row r="5572" spans="12:20" x14ac:dyDescent="0.2">
      <c r="L5572" s="43"/>
      <c r="M5572" s="43"/>
      <c r="N5572" s="43"/>
      <c r="O5572" s="43"/>
      <c r="Q5572" s="44"/>
      <c r="R5572" s="44"/>
      <c r="S5572" s="44"/>
      <c r="T5572" s="44"/>
    </row>
    <row r="5573" spans="12:20" x14ac:dyDescent="0.2">
      <c r="L5573" s="43"/>
      <c r="M5573" s="43"/>
      <c r="N5573" s="43"/>
      <c r="O5573" s="43"/>
      <c r="Q5573" s="44"/>
      <c r="R5573" s="44"/>
      <c r="S5573" s="44"/>
      <c r="T5573" s="44"/>
    </row>
    <row r="5574" spans="12:20" x14ac:dyDescent="0.2">
      <c r="L5574" s="43"/>
      <c r="M5574" s="43"/>
      <c r="N5574" s="43"/>
      <c r="O5574" s="43"/>
      <c r="Q5574" s="44"/>
      <c r="R5574" s="44"/>
      <c r="S5574" s="44"/>
      <c r="T5574" s="44"/>
    </row>
    <row r="5575" spans="12:20" x14ac:dyDescent="0.2">
      <c r="L5575" s="43"/>
      <c r="M5575" s="43"/>
      <c r="N5575" s="43"/>
      <c r="O5575" s="43"/>
      <c r="Q5575" s="44"/>
      <c r="R5575" s="44"/>
      <c r="S5575" s="44"/>
      <c r="T5575" s="44"/>
    </row>
    <row r="5576" spans="12:20" x14ac:dyDescent="0.2">
      <c r="L5576" s="43"/>
      <c r="M5576" s="43"/>
      <c r="N5576" s="43"/>
      <c r="O5576" s="43"/>
      <c r="Q5576" s="44"/>
      <c r="R5576" s="44"/>
      <c r="S5576" s="44"/>
      <c r="T5576" s="44"/>
    </row>
    <row r="5577" spans="12:20" x14ac:dyDescent="0.2">
      <c r="L5577" s="43"/>
      <c r="M5577" s="43"/>
      <c r="N5577" s="43"/>
      <c r="O5577" s="43"/>
      <c r="Q5577" s="44"/>
      <c r="R5577" s="44"/>
      <c r="S5577" s="44"/>
      <c r="T5577" s="44"/>
    </row>
    <row r="5578" spans="12:20" x14ac:dyDescent="0.2">
      <c r="L5578" s="43"/>
      <c r="M5578" s="43"/>
      <c r="N5578" s="43"/>
      <c r="O5578" s="43"/>
      <c r="Q5578" s="44"/>
      <c r="R5578" s="44"/>
      <c r="S5578" s="44"/>
      <c r="T5578" s="44"/>
    </row>
    <row r="5579" spans="12:20" x14ac:dyDescent="0.2">
      <c r="L5579" s="43"/>
      <c r="M5579" s="43"/>
      <c r="N5579" s="43"/>
      <c r="O5579" s="43"/>
      <c r="Q5579" s="44"/>
      <c r="R5579" s="44"/>
      <c r="S5579" s="44"/>
      <c r="T5579" s="44"/>
    </row>
    <row r="5580" spans="12:20" x14ac:dyDescent="0.2">
      <c r="L5580" s="43"/>
      <c r="M5580" s="43"/>
      <c r="N5580" s="43"/>
      <c r="O5580" s="43"/>
      <c r="Q5580" s="44"/>
      <c r="R5580" s="44"/>
      <c r="S5580" s="44"/>
      <c r="T5580" s="44"/>
    </row>
    <row r="5581" spans="12:20" x14ac:dyDescent="0.2">
      <c r="L5581" s="43"/>
      <c r="M5581" s="43"/>
      <c r="N5581" s="43"/>
      <c r="O5581" s="43"/>
      <c r="Q5581" s="44"/>
      <c r="R5581" s="44"/>
      <c r="S5581" s="44"/>
      <c r="T5581" s="44"/>
    </row>
    <row r="5582" spans="12:20" x14ac:dyDescent="0.2">
      <c r="L5582" s="43"/>
      <c r="M5582" s="43"/>
      <c r="N5582" s="43"/>
      <c r="O5582" s="43"/>
      <c r="Q5582" s="44"/>
      <c r="R5582" s="44"/>
      <c r="S5582" s="44"/>
      <c r="T5582" s="44"/>
    </row>
    <row r="5583" spans="12:20" x14ac:dyDescent="0.2">
      <c r="L5583" s="43"/>
      <c r="M5583" s="43"/>
      <c r="N5583" s="43"/>
      <c r="O5583" s="43"/>
      <c r="Q5583" s="44"/>
      <c r="R5583" s="44"/>
      <c r="S5583" s="44"/>
      <c r="T5583" s="44"/>
    </row>
    <row r="5584" spans="12:20" x14ac:dyDescent="0.2">
      <c r="L5584" s="43"/>
      <c r="M5584" s="43"/>
      <c r="N5584" s="43"/>
      <c r="O5584" s="43"/>
      <c r="Q5584" s="44"/>
      <c r="R5584" s="44"/>
      <c r="S5584" s="44"/>
      <c r="T5584" s="44"/>
    </row>
    <row r="5585" spans="12:20" x14ac:dyDescent="0.2">
      <c r="L5585" s="43"/>
      <c r="M5585" s="43"/>
      <c r="N5585" s="43"/>
      <c r="O5585" s="43"/>
      <c r="Q5585" s="44"/>
      <c r="R5585" s="44"/>
      <c r="S5585" s="44"/>
      <c r="T5585" s="44"/>
    </row>
    <row r="5586" spans="12:20" x14ac:dyDescent="0.2">
      <c r="L5586" s="43"/>
      <c r="M5586" s="43"/>
      <c r="N5586" s="43"/>
      <c r="O5586" s="43"/>
      <c r="Q5586" s="44"/>
      <c r="R5586" s="44"/>
      <c r="S5586" s="44"/>
      <c r="T5586" s="44"/>
    </row>
    <row r="5587" spans="12:20" x14ac:dyDescent="0.2">
      <c r="L5587" s="43"/>
      <c r="M5587" s="43"/>
      <c r="N5587" s="43"/>
      <c r="O5587" s="43"/>
      <c r="Q5587" s="44"/>
      <c r="R5587" s="44"/>
      <c r="S5587" s="44"/>
      <c r="T5587" s="44"/>
    </row>
    <row r="5588" spans="12:20" x14ac:dyDescent="0.2">
      <c r="L5588" s="43"/>
      <c r="M5588" s="43"/>
      <c r="N5588" s="43"/>
      <c r="O5588" s="43"/>
      <c r="Q5588" s="44"/>
      <c r="R5588" s="44"/>
      <c r="S5588" s="44"/>
      <c r="T5588" s="44"/>
    </row>
    <row r="5589" spans="12:20" x14ac:dyDescent="0.2">
      <c r="L5589" s="43"/>
      <c r="M5589" s="43"/>
      <c r="N5589" s="43"/>
      <c r="O5589" s="43"/>
      <c r="Q5589" s="44"/>
      <c r="R5589" s="44"/>
      <c r="S5589" s="44"/>
      <c r="T5589" s="44"/>
    </row>
    <row r="5590" spans="12:20" x14ac:dyDescent="0.2">
      <c r="L5590" s="43"/>
      <c r="M5590" s="43"/>
      <c r="N5590" s="43"/>
      <c r="O5590" s="43"/>
      <c r="Q5590" s="44"/>
      <c r="R5590" s="44"/>
      <c r="S5590" s="44"/>
      <c r="T5590" s="44"/>
    </row>
    <row r="5591" spans="12:20" x14ac:dyDescent="0.2">
      <c r="L5591" s="43"/>
      <c r="M5591" s="43"/>
      <c r="N5591" s="43"/>
      <c r="O5591" s="43"/>
      <c r="Q5591" s="44"/>
      <c r="R5591" s="44"/>
      <c r="S5591" s="44"/>
      <c r="T5591" s="44"/>
    </row>
    <row r="5592" spans="12:20" x14ac:dyDescent="0.2">
      <c r="L5592" s="43"/>
      <c r="M5592" s="43"/>
      <c r="N5592" s="43"/>
      <c r="O5592" s="43"/>
      <c r="Q5592" s="44"/>
      <c r="R5592" s="44"/>
      <c r="S5592" s="44"/>
      <c r="T5592" s="44"/>
    </row>
    <row r="5593" spans="12:20" x14ac:dyDescent="0.2">
      <c r="L5593" s="43"/>
      <c r="M5593" s="43"/>
      <c r="N5593" s="43"/>
      <c r="O5593" s="43"/>
      <c r="Q5593" s="44"/>
      <c r="R5593" s="44"/>
      <c r="S5593" s="44"/>
      <c r="T5593" s="44"/>
    </row>
    <row r="5594" spans="12:20" x14ac:dyDescent="0.2">
      <c r="L5594" s="43"/>
      <c r="M5594" s="43"/>
      <c r="N5594" s="43"/>
      <c r="O5594" s="43"/>
      <c r="Q5594" s="44"/>
      <c r="R5594" s="44"/>
      <c r="S5594" s="44"/>
      <c r="T5594" s="44"/>
    </row>
    <row r="5595" spans="12:20" x14ac:dyDescent="0.2">
      <c r="L5595" s="43"/>
      <c r="M5595" s="43"/>
      <c r="N5595" s="43"/>
      <c r="O5595" s="43"/>
      <c r="Q5595" s="44"/>
      <c r="R5595" s="44"/>
      <c r="S5595" s="44"/>
      <c r="T5595" s="44"/>
    </row>
    <row r="5596" spans="12:20" x14ac:dyDescent="0.2">
      <c r="L5596" s="43"/>
      <c r="M5596" s="43"/>
      <c r="N5596" s="43"/>
      <c r="O5596" s="43"/>
      <c r="Q5596" s="44"/>
      <c r="R5596" s="44"/>
      <c r="S5596" s="44"/>
      <c r="T5596" s="44"/>
    </row>
    <row r="5597" spans="12:20" x14ac:dyDescent="0.2">
      <c r="L5597" s="43"/>
      <c r="M5597" s="43"/>
      <c r="N5597" s="43"/>
      <c r="O5597" s="43"/>
      <c r="Q5597" s="44"/>
      <c r="R5597" s="44"/>
      <c r="S5597" s="44"/>
      <c r="T5597" s="44"/>
    </row>
    <row r="5598" spans="12:20" x14ac:dyDescent="0.2">
      <c r="L5598" s="43"/>
      <c r="M5598" s="43"/>
      <c r="N5598" s="43"/>
      <c r="O5598" s="43"/>
      <c r="Q5598" s="44"/>
      <c r="R5598" s="44"/>
      <c r="S5598" s="44"/>
      <c r="T5598" s="44"/>
    </row>
    <row r="5599" spans="12:20" x14ac:dyDescent="0.2">
      <c r="L5599" s="43"/>
      <c r="M5599" s="43"/>
      <c r="N5599" s="43"/>
      <c r="O5599" s="43"/>
      <c r="Q5599" s="44"/>
      <c r="R5599" s="44"/>
      <c r="S5599" s="44"/>
      <c r="T5599" s="44"/>
    </row>
    <row r="5600" spans="12:20" x14ac:dyDescent="0.2">
      <c r="L5600" s="43"/>
      <c r="M5600" s="43"/>
      <c r="N5600" s="43"/>
      <c r="O5600" s="43"/>
      <c r="Q5600" s="44"/>
      <c r="R5600" s="44"/>
      <c r="S5600" s="44"/>
      <c r="T5600" s="44"/>
    </row>
    <row r="5601" spans="12:20" x14ac:dyDescent="0.2">
      <c r="L5601" s="43"/>
      <c r="M5601" s="43"/>
      <c r="N5601" s="43"/>
      <c r="O5601" s="43"/>
      <c r="Q5601" s="44"/>
      <c r="R5601" s="44"/>
      <c r="S5601" s="44"/>
      <c r="T5601" s="44"/>
    </row>
    <row r="5602" spans="12:20" x14ac:dyDescent="0.2">
      <c r="L5602" s="43"/>
      <c r="M5602" s="43"/>
      <c r="N5602" s="43"/>
      <c r="O5602" s="43"/>
      <c r="Q5602" s="44"/>
      <c r="R5602" s="44"/>
      <c r="S5602" s="44"/>
      <c r="T5602" s="44"/>
    </row>
    <row r="5603" spans="12:20" x14ac:dyDescent="0.2">
      <c r="L5603" s="43"/>
      <c r="M5603" s="43"/>
      <c r="N5603" s="43"/>
      <c r="O5603" s="43"/>
      <c r="Q5603" s="44"/>
      <c r="R5603" s="44"/>
      <c r="S5603" s="44"/>
      <c r="T5603" s="44"/>
    </row>
    <row r="5604" spans="12:20" x14ac:dyDescent="0.2">
      <c r="L5604" s="43"/>
      <c r="M5604" s="43"/>
      <c r="N5604" s="43"/>
      <c r="O5604" s="43"/>
      <c r="Q5604" s="44"/>
      <c r="R5604" s="44"/>
      <c r="S5604" s="44"/>
      <c r="T5604" s="44"/>
    </row>
    <row r="5605" spans="12:20" x14ac:dyDescent="0.2">
      <c r="L5605" s="43"/>
      <c r="M5605" s="43"/>
      <c r="N5605" s="43"/>
      <c r="O5605" s="43"/>
      <c r="Q5605" s="44"/>
      <c r="R5605" s="44"/>
      <c r="S5605" s="44"/>
      <c r="T5605" s="44"/>
    </row>
    <row r="5606" spans="12:20" x14ac:dyDescent="0.2">
      <c r="L5606" s="43"/>
      <c r="M5606" s="43"/>
      <c r="N5606" s="43"/>
      <c r="O5606" s="43"/>
      <c r="Q5606" s="44"/>
      <c r="R5606" s="44"/>
      <c r="S5606" s="44"/>
      <c r="T5606" s="44"/>
    </row>
    <row r="5607" spans="12:20" x14ac:dyDescent="0.2">
      <c r="L5607" s="43"/>
      <c r="M5607" s="43"/>
      <c r="N5607" s="43"/>
      <c r="O5607" s="43"/>
      <c r="Q5607" s="44"/>
      <c r="R5607" s="44"/>
      <c r="S5607" s="44"/>
      <c r="T5607" s="44"/>
    </row>
    <row r="5608" spans="12:20" x14ac:dyDescent="0.2">
      <c r="L5608" s="43"/>
      <c r="M5608" s="43"/>
      <c r="N5608" s="43"/>
      <c r="O5608" s="43"/>
      <c r="Q5608" s="44"/>
      <c r="R5608" s="44"/>
      <c r="S5608" s="44"/>
      <c r="T5608" s="44"/>
    </row>
    <row r="5609" spans="12:20" x14ac:dyDescent="0.2">
      <c r="L5609" s="43"/>
      <c r="M5609" s="43"/>
      <c r="N5609" s="43"/>
      <c r="O5609" s="43"/>
      <c r="Q5609" s="44"/>
      <c r="R5609" s="44"/>
      <c r="S5609" s="44"/>
      <c r="T5609" s="44"/>
    </row>
    <row r="5610" spans="12:20" x14ac:dyDescent="0.2">
      <c r="L5610" s="43"/>
      <c r="M5610" s="43"/>
      <c r="N5610" s="43"/>
      <c r="O5610" s="43"/>
      <c r="Q5610" s="44"/>
      <c r="R5610" s="44"/>
      <c r="S5610" s="44"/>
      <c r="T5610" s="44"/>
    </row>
    <row r="5611" spans="12:20" x14ac:dyDescent="0.2">
      <c r="L5611" s="43"/>
      <c r="M5611" s="43"/>
      <c r="N5611" s="43"/>
      <c r="O5611" s="43"/>
      <c r="Q5611" s="44"/>
      <c r="R5611" s="44"/>
      <c r="S5611" s="44"/>
      <c r="T5611" s="44"/>
    </row>
    <row r="5612" spans="12:20" x14ac:dyDescent="0.2">
      <c r="L5612" s="43"/>
      <c r="M5612" s="43"/>
      <c r="N5612" s="43"/>
      <c r="O5612" s="43"/>
      <c r="Q5612" s="44"/>
      <c r="R5612" s="44"/>
      <c r="S5612" s="44"/>
      <c r="T5612" s="44"/>
    </row>
    <row r="5613" spans="12:20" x14ac:dyDescent="0.2">
      <c r="L5613" s="43"/>
      <c r="M5613" s="43"/>
      <c r="N5613" s="43"/>
      <c r="O5613" s="43"/>
      <c r="Q5613" s="44"/>
      <c r="R5613" s="44"/>
      <c r="S5613" s="44"/>
      <c r="T5613" s="44"/>
    </row>
    <row r="5614" spans="12:20" x14ac:dyDescent="0.2">
      <c r="L5614" s="43"/>
      <c r="M5614" s="43"/>
      <c r="N5614" s="43"/>
      <c r="O5614" s="43"/>
      <c r="Q5614" s="44"/>
      <c r="R5614" s="44"/>
      <c r="S5614" s="44"/>
      <c r="T5614" s="44"/>
    </row>
    <row r="5615" spans="12:20" x14ac:dyDescent="0.2">
      <c r="L5615" s="43"/>
      <c r="M5615" s="43"/>
      <c r="N5615" s="43"/>
      <c r="O5615" s="43"/>
      <c r="Q5615" s="44"/>
      <c r="R5615" s="44"/>
      <c r="S5615" s="44"/>
      <c r="T5615" s="44"/>
    </row>
    <row r="5616" spans="12:20" x14ac:dyDescent="0.2">
      <c r="L5616" s="43"/>
      <c r="M5616" s="43"/>
      <c r="N5616" s="43"/>
      <c r="O5616" s="43"/>
      <c r="Q5616" s="44"/>
      <c r="R5616" s="44"/>
      <c r="S5616" s="44"/>
      <c r="T5616" s="44"/>
    </row>
    <row r="5617" spans="12:20" x14ac:dyDescent="0.2">
      <c r="L5617" s="43"/>
      <c r="M5617" s="43"/>
      <c r="N5617" s="43"/>
      <c r="O5617" s="43"/>
      <c r="Q5617" s="44"/>
      <c r="R5617" s="44"/>
      <c r="S5617" s="44"/>
      <c r="T5617" s="44"/>
    </row>
    <row r="5618" spans="12:20" x14ac:dyDescent="0.2">
      <c r="L5618" s="43"/>
      <c r="M5618" s="43"/>
      <c r="N5618" s="43"/>
      <c r="O5618" s="43"/>
      <c r="Q5618" s="44"/>
      <c r="R5618" s="44"/>
      <c r="S5618" s="44"/>
      <c r="T5618" s="44"/>
    </row>
    <row r="5619" spans="12:20" x14ac:dyDescent="0.2">
      <c r="L5619" s="43"/>
      <c r="M5619" s="43"/>
      <c r="N5619" s="43"/>
      <c r="O5619" s="43"/>
      <c r="Q5619" s="44"/>
      <c r="R5619" s="44"/>
      <c r="S5619" s="44"/>
      <c r="T5619" s="44"/>
    </row>
    <row r="5620" spans="12:20" x14ac:dyDescent="0.2">
      <c r="L5620" s="43"/>
      <c r="M5620" s="43"/>
      <c r="N5620" s="43"/>
      <c r="O5620" s="43"/>
      <c r="Q5620" s="44"/>
      <c r="R5620" s="44"/>
      <c r="S5620" s="44"/>
      <c r="T5620" s="44"/>
    </row>
    <row r="5621" spans="12:20" x14ac:dyDescent="0.2">
      <c r="L5621" s="43"/>
      <c r="M5621" s="43"/>
      <c r="N5621" s="43"/>
      <c r="O5621" s="43"/>
      <c r="Q5621" s="44"/>
      <c r="R5621" s="44"/>
      <c r="S5621" s="44"/>
      <c r="T5621" s="44"/>
    </row>
    <row r="5622" spans="12:20" x14ac:dyDescent="0.2">
      <c r="L5622" s="43"/>
      <c r="M5622" s="43"/>
      <c r="N5622" s="43"/>
      <c r="O5622" s="43"/>
      <c r="Q5622" s="44"/>
      <c r="R5622" s="44"/>
      <c r="S5622" s="44"/>
      <c r="T5622" s="44"/>
    </row>
    <row r="5623" spans="12:20" x14ac:dyDescent="0.2">
      <c r="L5623" s="43"/>
      <c r="M5623" s="43"/>
      <c r="N5623" s="43"/>
      <c r="O5623" s="43"/>
      <c r="Q5623" s="44"/>
      <c r="R5623" s="44"/>
      <c r="S5623" s="44"/>
      <c r="T5623" s="44"/>
    </row>
    <row r="5624" spans="12:20" x14ac:dyDescent="0.2">
      <c r="L5624" s="43"/>
      <c r="M5624" s="43"/>
      <c r="N5624" s="43"/>
      <c r="O5624" s="43"/>
      <c r="Q5624" s="44"/>
      <c r="R5624" s="44"/>
      <c r="S5624" s="44"/>
      <c r="T5624" s="44"/>
    </row>
    <row r="5625" spans="12:20" x14ac:dyDescent="0.2">
      <c r="L5625" s="43"/>
      <c r="M5625" s="43"/>
      <c r="N5625" s="43"/>
      <c r="O5625" s="43"/>
      <c r="Q5625" s="44"/>
      <c r="R5625" s="44"/>
      <c r="S5625" s="44"/>
      <c r="T5625" s="44"/>
    </row>
    <row r="5626" spans="12:20" x14ac:dyDescent="0.2">
      <c r="L5626" s="43"/>
      <c r="M5626" s="43"/>
      <c r="N5626" s="43"/>
      <c r="O5626" s="43"/>
      <c r="Q5626" s="44"/>
      <c r="R5626" s="44"/>
      <c r="S5626" s="44"/>
      <c r="T5626" s="44"/>
    </row>
    <row r="5627" spans="12:20" x14ac:dyDescent="0.2">
      <c r="L5627" s="43"/>
      <c r="M5627" s="43"/>
      <c r="N5627" s="43"/>
      <c r="O5627" s="43"/>
      <c r="Q5627" s="44"/>
      <c r="R5627" s="44"/>
      <c r="S5627" s="44"/>
      <c r="T5627" s="44"/>
    </row>
    <row r="5628" spans="12:20" x14ac:dyDescent="0.2">
      <c r="L5628" s="43"/>
      <c r="M5628" s="43"/>
      <c r="N5628" s="43"/>
      <c r="O5628" s="43"/>
      <c r="Q5628" s="44"/>
      <c r="R5628" s="44"/>
      <c r="S5628" s="44"/>
      <c r="T5628" s="44"/>
    </row>
    <row r="5629" spans="12:20" x14ac:dyDescent="0.2">
      <c r="L5629" s="43"/>
      <c r="M5629" s="43"/>
      <c r="N5629" s="43"/>
      <c r="O5629" s="43"/>
      <c r="Q5629" s="44"/>
      <c r="R5629" s="44"/>
      <c r="S5629" s="44"/>
      <c r="T5629" s="44"/>
    </row>
    <row r="5630" spans="12:20" x14ac:dyDescent="0.2">
      <c r="L5630" s="43"/>
      <c r="M5630" s="43"/>
      <c r="N5630" s="43"/>
      <c r="O5630" s="43"/>
      <c r="Q5630" s="44"/>
      <c r="R5630" s="44"/>
      <c r="S5630" s="44"/>
      <c r="T5630" s="44"/>
    </row>
    <row r="5631" spans="12:20" x14ac:dyDescent="0.2">
      <c r="L5631" s="43"/>
      <c r="M5631" s="43"/>
      <c r="N5631" s="43"/>
      <c r="O5631" s="43"/>
      <c r="Q5631" s="44"/>
      <c r="R5631" s="44"/>
      <c r="S5631" s="44"/>
      <c r="T5631" s="44"/>
    </row>
    <row r="5632" spans="12:20" x14ac:dyDescent="0.2">
      <c r="L5632" s="43"/>
      <c r="M5632" s="43"/>
      <c r="N5632" s="43"/>
      <c r="O5632" s="43"/>
      <c r="Q5632" s="44"/>
      <c r="R5632" s="44"/>
      <c r="S5632" s="44"/>
      <c r="T5632" s="44"/>
    </row>
    <row r="5633" spans="12:20" x14ac:dyDescent="0.2">
      <c r="L5633" s="43"/>
      <c r="M5633" s="43"/>
      <c r="N5633" s="43"/>
      <c r="O5633" s="43"/>
      <c r="Q5633" s="44"/>
      <c r="R5633" s="44"/>
      <c r="S5633" s="44"/>
      <c r="T5633" s="44"/>
    </row>
    <row r="5634" spans="12:20" x14ac:dyDescent="0.2">
      <c r="L5634" s="43"/>
      <c r="M5634" s="43"/>
      <c r="N5634" s="43"/>
      <c r="O5634" s="43"/>
      <c r="Q5634" s="44"/>
      <c r="R5634" s="44"/>
      <c r="S5634" s="44"/>
      <c r="T5634" s="44"/>
    </row>
    <row r="5635" spans="12:20" x14ac:dyDescent="0.2">
      <c r="L5635" s="43"/>
      <c r="M5635" s="43"/>
      <c r="N5635" s="43"/>
      <c r="O5635" s="43"/>
      <c r="Q5635" s="44"/>
      <c r="R5635" s="44"/>
      <c r="S5635" s="44"/>
      <c r="T5635" s="44"/>
    </row>
    <row r="5636" spans="12:20" x14ac:dyDescent="0.2">
      <c r="L5636" s="43"/>
      <c r="M5636" s="43"/>
      <c r="N5636" s="43"/>
      <c r="O5636" s="43"/>
      <c r="Q5636" s="44"/>
      <c r="R5636" s="44"/>
      <c r="S5636" s="44"/>
      <c r="T5636" s="44"/>
    </row>
    <row r="5637" spans="12:20" x14ac:dyDescent="0.2">
      <c r="L5637" s="43"/>
      <c r="M5637" s="43"/>
      <c r="N5637" s="43"/>
      <c r="O5637" s="43"/>
      <c r="Q5637" s="44"/>
      <c r="R5637" s="44"/>
      <c r="S5637" s="44"/>
      <c r="T5637" s="44"/>
    </row>
    <row r="5638" spans="12:20" x14ac:dyDescent="0.2">
      <c r="L5638" s="43"/>
      <c r="M5638" s="43"/>
      <c r="N5638" s="43"/>
      <c r="O5638" s="43"/>
      <c r="Q5638" s="44"/>
      <c r="R5638" s="44"/>
      <c r="S5638" s="44"/>
      <c r="T5638" s="44"/>
    </row>
    <row r="5639" spans="12:20" x14ac:dyDescent="0.2">
      <c r="L5639" s="43"/>
      <c r="M5639" s="43"/>
      <c r="N5639" s="43"/>
      <c r="O5639" s="43"/>
      <c r="Q5639" s="44"/>
      <c r="R5639" s="44"/>
      <c r="S5639" s="44"/>
      <c r="T5639" s="44"/>
    </row>
    <row r="5640" spans="12:20" x14ac:dyDescent="0.2">
      <c r="L5640" s="43"/>
      <c r="M5640" s="43"/>
      <c r="N5640" s="43"/>
      <c r="O5640" s="43"/>
      <c r="Q5640" s="44"/>
      <c r="R5640" s="44"/>
      <c r="S5640" s="44"/>
      <c r="T5640" s="44"/>
    </row>
    <row r="5641" spans="12:20" x14ac:dyDescent="0.2">
      <c r="L5641" s="43"/>
      <c r="M5641" s="43"/>
      <c r="N5641" s="43"/>
      <c r="O5641" s="43"/>
      <c r="Q5641" s="44"/>
      <c r="R5641" s="44"/>
      <c r="S5641" s="44"/>
      <c r="T5641" s="44"/>
    </row>
    <row r="5642" spans="12:20" x14ac:dyDescent="0.2">
      <c r="L5642" s="43"/>
      <c r="M5642" s="43"/>
      <c r="N5642" s="43"/>
      <c r="O5642" s="43"/>
      <c r="Q5642" s="44"/>
      <c r="R5642" s="44"/>
      <c r="S5642" s="44"/>
      <c r="T5642" s="44"/>
    </row>
    <row r="5643" spans="12:20" x14ac:dyDescent="0.2">
      <c r="L5643" s="43"/>
      <c r="M5643" s="43"/>
      <c r="N5643" s="43"/>
      <c r="O5643" s="43"/>
      <c r="Q5643" s="44"/>
      <c r="R5643" s="44"/>
      <c r="S5643" s="44"/>
      <c r="T5643" s="44"/>
    </row>
    <row r="5644" spans="12:20" x14ac:dyDescent="0.2">
      <c r="L5644" s="43"/>
      <c r="M5644" s="43"/>
      <c r="N5644" s="43"/>
      <c r="O5644" s="43"/>
      <c r="Q5644" s="44"/>
      <c r="R5644" s="44"/>
      <c r="S5644" s="44"/>
      <c r="T5644" s="44"/>
    </row>
    <row r="5645" spans="12:20" x14ac:dyDescent="0.2">
      <c r="L5645" s="43"/>
      <c r="M5645" s="43"/>
      <c r="N5645" s="43"/>
      <c r="O5645" s="43"/>
      <c r="Q5645" s="44"/>
      <c r="R5645" s="44"/>
      <c r="S5645" s="44"/>
      <c r="T5645" s="44"/>
    </row>
    <row r="5646" spans="12:20" x14ac:dyDescent="0.2">
      <c r="L5646" s="43"/>
      <c r="M5646" s="43"/>
      <c r="N5646" s="43"/>
      <c r="O5646" s="43"/>
      <c r="Q5646" s="44"/>
      <c r="R5646" s="44"/>
      <c r="S5646" s="44"/>
      <c r="T5646" s="44"/>
    </row>
    <row r="5647" spans="12:20" x14ac:dyDescent="0.2">
      <c r="L5647" s="43"/>
      <c r="M5647" s="43"/>
      <c r="N5647" s="43"/>
      <c r="O5647" s="43"/>
      <c r="Q5647" s="44"/>
      <c r="R5647" s="44"/>
      <c r="S5647" s="44"/>
      <c r="T5647" s="44"/>
    </row>
    <row r="5648" spans="12:20" x14ac:dyDescent="0.2">
      <c r="L5648" s="43"/>
      <c r="M5648" s="43"/>
      <c r="N5648" s="43"/>
      <c r="O5648" s="43"/>
      <c r="Q5648" s="44"/>
      <c r="R5648" s="44"/>
      <c r="S5648" s="44"/>
      <c r="T5648" s="44"/>
    </row>
    <row r="5649" spans="12:20" x14ac:dyDescent="0.2">
      <c r="L5649" s="43"/>
      <c r="M5649" s="43"/>
      <c r="N5649" s="43"/>
      <c r="O5649" s="43"/>
      <c r="Q5649" s="44"/>
      <c r="R5649" s="44"/>
      <c r="S5649" s="44"/>
      <c r="T5649" s="44"/>
    </row>
    <row r="5650" spans="12:20" x14ac:dyDescent="0.2">
      <c r="L5650" s="43"/>
      <c r="M5650" s="43"/>
      <c r="N5650" s="43"/>
      <c r="O5650" s="43"/>
      <c r="Q5650" s="44"/>
      <c r="R5650" s="44"/>
      <c r="S5650" s="44"/>
      <c r="T5650" s="44"/>
    </row>
    <row r="5651" spans="12:20" x14ac:dyDescent="0.2">
      <c r="L5651" s="43"/>
      <c r="M5651" s="43"/>
      <c r="N5651" s="43"/>
      <c r="O5651" s="43"/>
      <c r="Q5651" s="44"/>
      <c r="R5651" s="44"/>
      <c r="S5651" s="44"/>
      <c r="T5651" s="44"/>
    </row>
    <row r="5652" spans="12:20" x14ac:dyDescent="0.2">
      <c r="L5652" s="43"/>
      <c r="M5652" s="43"/>
      <c r="N5652" s="43"/>
      <c r="O5652" s="43"/>
      <c r="Q5652" s="44"/>
      <c r="R5652" s="44"/>
      <c r="S5652" s="44"/>
      <c r="T5652" s="44"/>
    </row>
    <row r="5653" spans="12:20" x14ac:dyDescent="0.2">
      <c r="L5653" s="43"/>
      <c r="M5653" s="43"/>
      <c r="N5653" s="43"/>
      <c r="O5653" s="43"/>
      <c r="Q5653" s="44"/>
      <c r="R5653" s="44"/>
      <c r="S5653" s="44"/>
      <c r="T5653" s="44"/>
    </row>
    <row r="5654" spans="12:20" x14ac:dyDescent="0.2">
      <c r="L5654" s="43"/>
      <c r="M5654" s="43"/>
      <c r="N5654" s="43"/>
      <c r="O5654" s="43"/>
      <c r="Q5654" s="44"/>
      <c r="R5654" s="44"/>
      <c r="S5654" s="44"/>
      <c r="T5654" s="44"/>
    </row>
    <row r="5655" spans="12:20" x14ac:dyDescent="0.2">
      <c r="L5655" s="43"/>
      <c r="M5655" s="43"/>
      <c r="N5655" s="43"/>
      <c r="O5655" s="43"/>
      <c r="Q5655" s="44"/>
      <c r="R5655" s="44"/>
      <c r="S5655" s="44"/>
      <c r="T5655" s="44"/>
    </row>
    <row r="5656" spans="12:20" x14ac:dyDescent="0.2">
      <c r="L5656" s="43"/>
      <c r="M5656" s="43"/>
      <c r="N5656" s="43"/>
      <c r="O5656" s="43"/>
      <c r="Q5656" s="44"/>
      <c r="R5656" s="44"/>
      <c r="S5656" s="44"/>
      <c r="T5656" s="44"/>
    </row>
    <row r="5657" spans="12:20" x14ac:dyDescent="0.2">
      <c r="L5657" s="43"/>
      <c r="M5657" s="43"/>
      <c r="N5657" s="43"/>
      <c r="O5657" s="43"/>
      <c r="Q5657" s="44"/>
      <c r="R5657" s="44"/>
      <c r="S5657" s="44"/>
      <c r="T5657" s="44"/>
    </row>
    <row r="5658" spans="12:20" x14ac:dyDescent="0.2">
      <c r="L5658" s="43"/>
      <c r="M5658" s="43"/>
      <c r="N5658" s="43"/>
      <c r="O5658" s="43"/>
      <c r="Q5658" s="44"/>
      <c r="R5658" s="44"/>
      <c r="S5658" s="44"/>
      <c r="T5658" s="44"/>
    </row>
    <row r="5659" spans="12:20" x14ac:dyDescent="0.2">
      <c r="L5659" s="43"/>
      <c r="M5659" s="43"/>
      <c r="N5659" s="43"/>
      <c r="O5659" s="43"/>
      <c r="Q5659" s="44"/>
      <c r="R5659" s="44"/>
      <c r="S5659" s="44"/>
      <c r="T5659" s="44"/>
    </row>
    <row r="5660" spans="12:20" x14ac:dyDescent="0.2">
      <c r="L5660" s="43"/>
      <c r="M5660" s="43"/>
      <c r="N5660" s="43"/>
      <c r="O5660" s="43"/>
      <c r="Q5660" s="44"/>
      <c r="R5660" s="44"/>
      <c r="S5660" s="44"/>
      <c r="T5660" s="44"/>
    </row>
    <row r="5661" spans="12:20" x14ac:dyDescent="0.2">
      <c r="L5661" s="43"/>
      <c r="M5661" s="43"/>
      <c r="N5661" s="43"/>
      <c r="O5661" s="43"/>
      <c r="Q5661" s="44"/>
      <c r="R5661" s="44"/>
      <c r="S5661" s="44"/>
      <c r="T5661" s="44"/>
    </row>
    <row r="5662" spans="12:20" x14ac:dyDescent="0.2">
      <c r="L5662" s="43"/>
      <c r="M5662" s="43"/>
      <c r="N5662" s="43"/>
      <c r="O5662" s="43"/>
      <c r="Q5662" s="44"/>
      <c r="R5662" s="44"/>
      <c r="S5662" s="44"/>
      <c r="T5662" s="44"/>
    </row>
    <row r="5663" spans="12:20" x14ac:dyDescent="0.2">
      <c r="L5663" s="43"/>
      <c r="M5663" s="43"/>
      <c r="N5663" s="43"/>
      <c r="O5663" s="43"/>
      <c r="Q5663" s="44"/>
      <c r="R5663" s="44"/>
      <c r="S5663" s="44"/>
      <c r="T5663" s="44"/>
    </row>
    <row r="5664" spans="12:20" x14ac:dyDescent="0.2">
      <c r="L5664" s="43"/>
      <c r="M5664" s="43"/>
      <c r="N5664" s="43"/>
      <c r="O5664" s="43"/>
      <c r="Q5664" s="44"/>
      <c r="R5664" s="44"/>
      <c r="S5664" s="44"/>
      <c r="T5664" s="44"/>
    </row>
    <row r="5665" spans="12:20" x14ac:dyDescent="0.2">
      <c r="L5665" s="43"/>
      <c r="M5665" s="43"/>
      <c r="N5665" s="43"/>
      <c r="O5665" s="43"/>
      <c r="Q5665" s="44"/>
      <c r="R5665" s="44"/>
      <c r="S5665" s="44"/>
      <c r="T5665" s="44"/>
    </row>
    <row r="5666" spans="12:20" x14ac:dyDescent="0.2">
      <c r="L5666" s="43"/>
      <c r="M5666" s="43"/>
      <c r="N5666" s="43"/>
      <c r="O5666" s="43"/>
      <c r="Q5666" s="44"/>
      <c r="R5666" s="44"/>
      <c r="S5666" s="44"/>
      <c r="T5666" s="44"/>
    </row>
    <row r="5667" spans="12:20" x14ac:dyDescent="0.2">
      <c r="L5667" s="43"/>
      <c r="M5667" s="43"/>
      <c r="N5667" s="43"/>
      <c r="O5667" s="43"/>
      <c r="Q5667" s="44"/>
      <c r="R5667" s="44"/>
      <c r="S5667" s="44"/>
      <c r="T5667" s="44"/>
    </row>
    <row r="5668" spans="12:20" x14ac:dyDescent="0.2">
      <c r="L5668" s="43"/>
      <c r="M5668" s="43"/>
      <c r="N5668" s="43"/>
      <c r="O5668" s="43"/>
      <c r="Q5668" s="44"/>
      <c r="R5668" s="44"/>
      <c r="S5668" s="44"/>
      <c r="T5668" s="44"/>
    </row>
    <row r="5669" spans="12:20" x14ac:dyDescent="0.2">
      <c r="L5669" s="43"/>
      <c r="M5669" s="43"/>
      <c r="N5669" s="43"/>
      <c r="O5669" s="43"/>
      <c r="Q5669" s="44"/>
      <c r="R5669" s="44"/>
      <c r="S5669" s="44"/>
      <c r="T5669" s="44"/>
    </row>
    <row r="5670" spans="12:20" x14ac:dyDescent="0.2">
      <c r="L5670" s="43"/>
      <c r="M5670" s="43"/>
      <c r="N5670" s="43"/>
      <c r="O5670" s="43"/>
      <c r="Q5670" s="44"/>
      <c r="R5670" s="44"/>
      <c r="S5670" s="44"/>
      <c r="T5670" s="44"/>
    </row>
    <row r="5671" spans="12:20" x14ac:dyDescent="0.2">
      <c r="L5671" s="43"/>
      <c r="M5671" s="43"/>
      <c r="N5671" s="43"/>
      <c r="O5671" s="43"/>
      <c r="Q5671" s="44"/>
      <c r="R5671" s="44"/>
      <c r="S5671" s="44"/>
      <c r="T5671" s="44"/>
    </row>
    <row r="5672" spans="12:20" x14ac:dyDescent="0.2">
      <c r="L5672" s="43"/>
      <c r="M5672" s="43"/>
      <c r="N5672" s="43"/>
      <c r="O5672" s="43"/>
      <c r="Q5672" s="44"/>
      <c r="R5672" s="44"/>
      <c r="S5672" s="44"/>
      <c r="T5672" s="44"/>
    </row>
    <row r="5673" spans="12:20" x14ac:dyDescent="0.2">
      <c r="L5673" s="43"/>
      <c r="M5673" s="43"/>
      <c r="N5673" s="43"/>
      <c r="O5673" s="43"/>
      <c r="Q5673" s="44"/>
      <c r="R5673" s="44"/>
      <c r="S5673" s="44"/>
      <c r="T5673" s="44"/>
    </row>
    <row r="5674" spans="12:20" x14ac:dyDescent="0.2">
      <c r="L5674" s="43"/>
      <c r="M5674" s="43"/>
      <c r="N5674" s="43"/>
      <c r="O5674" s="43"/>
      <c r="Q5674" s="44"/>
      <c r="R5674" s="44"/>
      <c r="S5674" s="44"/>
      <c r="T5674" s="44"/>
    </row>
    <row r="5675" spans="12:20" x14ac:dyDescent="0.2">
      <c r="L5675" s="43"/>
      <c r="M5675" s="43"/>
      <c r="N5675" s="43"/>
      <c r="O5675" s="43"/>
      <c r="Q5675" s="44"/>
      <c r="R5675" s="44"/>
      <c r="S5675" s="44"/>
      <c r="T5675" s="44"/>
    </row>
    <row r="5676" spans="12:20" x14ac:dyDescent="0.2">
      <c r="L5676" s="43"/>
      <c r="M5676" s="43"/>
      <c r="N5676" s="43"/>
      <c r="O5676" s="43"/>
      <c r="Q5676" s="44"/>
      <c r="R5676" s="44"/>
      <c r="S5676" s="44"/>
      <c r="T5676" s="44"/>
    </row>
    <row r="5677" spans="12:20" x14ac:dyDescent="0.2">
      <c r="L5677" s="43"/>
      <c r="M5677" s="43"/>
      <c r="N5677" s="43"/>
      <c r="O5677" s="43"/>
      <c r="Q5677" s="44"/>
      <c r="R5677" s="44"/>
      <c r="S5677" s="44"/>
      <c r="T5677" s="44"/>
    </row>
    <row r="5678" spans="12:20" x14ac:dyDescent="0.2">
      <c r="L5678" s="43"/>
      <c r="M5678" s="43"/>
      <c r="N5678" s="43"/>
      <c r="O5678" s="43"/>
      <c r="Q5678" s="44"/>
      <c r="R5678" s="44"/>
      <c r="S5678" s="44"/>
      <c r="T5678" s="44"/>
    </row>
    <row r="5679" spans="12:20" x14ac:dyDescent="0.2">
      <c r="L5679" s="43"/>
      <c r="M5679" s="43"/>
      <c r="N5679" s="43"/>
      <c r="O5679" s="43"/>
      <c r="Q5679" s="44"/>
      <c r="R5679" s="44"/>
      <c r="S5679" s="44"/>
      <c r="T5679" s="44"/>
    </row>
    <row r="5680" spans="12:20" x14ac:dyDescent="0.2">
      <c r="L5680" s="43"/>
      <c r="M5680" s="43"/>
      <c r="N5680" s="43"/>
      <c r="O5680" s="43"/>
      <c r="Q5680" s="44"/>
      <c r="R5680" s="44"/>
      <c r="S5680" s="44"/>
      <c r="T5680" s="44"/>
    </row>
    <row r="5681" spans="12:20" x14ac:dyDescent="0.2">
      <c r="L5681" s="43"/>
      <c r="M5681" s="43"/>
      <c r="N5681" s="43"/>
      <c r="O5681" s="43"/>
      <c r="Q5681" s="44"/>
      <c r="R5681" s="44"/>
      <c r="S5681" s="44"/>
      <c r="T5681" s="44"/>
    </row>
    <row r="5682" spans="12:20" x14ac:dyDescent="0.2">
      <c r="L5682" s="43"/>
      <c r="M5682" s="43"/>
      <c r="N5682" s="43"/>
      <c r="O5682" s="43"/>
      <c r="Q5682" s="44"/>
      <c r="R5682" s="44"/>
      <c r="S5682" s="44"/>
      <c r="T5682" s="44"/>
    </row>
    <row r="5683" spans="12:20" x14ac:dyDescent="0.2">
      <c r="L5683" s="43"/>
      <c r="M5683" s="43"/>
      <c r="N5683" s="43"/>
      <c r="O5683" s="43"/>
      <c r="Q5683" s="44"/>
      <c r="R5683" s="44"/>
      <c r="S5683" s="44"/>
      <c r="T5683" s="44"/>
    </row>
    <row r="5684" spans="12:20" x14ac:dyDescent="0.2">
      <c r="L5684" s="43"/>
      <c r="M5684" s="43"/>
      <c r="N5684" s="43"/>
      <c r="O5684" s="43"/>
      <c r="Q5684" s="44"/>
      <c r="R5684" s="44"/>
      <c r="S5684" s="44"/>
      <c r="T5684" s="44"/>
    </row>
    <row r="5685" spans="12:20" x14ac:dyDescent="0.2">
      <c r="L5685" s="43"/>
      <c r="M5685" s="43"/>
      <c r="N5685" s="43"/>
      <c r="O5685" s="43"/>
      <c r="Q5685" s="44"/>
      <c r="R5685" s="44"/>
      <c r="S5685" s="44"/>
      <c r="T5685" s="44"/>
    </row>
    <row r="5686" spans="12:20" x14ac:dyDescent="0.2">
      <c r="L5686" s="43"/>
      <c r="M5686" s="43"/>
      <c r="N5686" s="43"/>
      <c r="O5686" s="43"/>
      <c r="Q5686" s="44"/>
      <c r="R5686" s="44"/>
      <c r="S5686" s="44"/>
      <c r="T5686" s="44"/>
    </row>
    <row r="5687" spans="12:20" x14ac:dyDescent="0.2">
      <c r="L5687" s="43"/>
      <c r="M5687" s="43"/>
      <c r="N5687" s="43"/>
      <c r="O5687" s="43"/>
      <c r="Q5687" s="44"/>
      <c r="R5687" s="44"/>
      <c r="S5687" s="44"/>
      <c r="T5687" s="44"/>
    </row>
    <row r="5688" spans="12:20" x14ac:dyDescent="0.2">
      <c r="L5688" s="43"/>
      <c r="M5688" s="43"/>
      <c r="N5688" s="43"/>
      <c r="O5688" s="43"/>
      <c r="Q5688" s="44"/>
      <c r="R5688" s="44"/>
      <c r="S5688" s="44"/>
      <c r="T5688" s="44"/>
    </row>
    <row r="5689" spans="12:20" x14ac:dyDescent="0.2">
      <c r="L5689" s="43"/>
      <c r="M5689" s="43"/>
      <c r="N5689" s="43"/>
      <c r="O5689" s="43"/>
      <c r="Q5689" s="44"/>
      <c r="R5689" s="44"/>
      <c r="S5689" s="44"/>
      <c r="T5689" s="44"/>
    </row>
    <row r="5690" spans="12:20" x14ac:dyDescent="0.2">
      <c r="L5690" s="43"/>
      <c r="M5690" s="43"/>
      <c r="N5690" s="43"/>
      <c r="O5690" s="43"/>
      <c r="Q5690" s="44"/>
      <c r="R5690" s="44"/>
      <c r="S5690" s="44"/>
      <c r="T5690" s="44"/>
    </row>
    <row r="5691" spans="12:20" x14ac:dyDescent="0.2">
      <c r="L5691" s="43"/>
      <c r="M5691" s="43"/>
      <c r="N5691" s="43"/>
      <c r="O5691" s="43"/>
      <c r="Q5691" s="44"/>
      <c r="R5691" s="44"/>
      <c r="S5691" s="44"/>
      <c r="T5691" s="44"/>
    </row>
    <row r="5692" spans="12:20" x14ac:dyDescent="0.2">
      <c r="L5692" s="43"/>
      <c r="M5692" s="43"/>
      <c r="N5692" s="43"/>
      <c r="O5692" s="43"/>
      <c r="Q5692" s="44"/>
      <c r="R5692" s="44"/>
      <c r="S5692" s="44"/>
      <c r="T5692" s="44"/>
    </row>
    <row r="5693" spans="12:20" x14ac:dyDescent="0.2">
      <c r="L5693" s="43"/>
      <c r="M5693" s="43"/>
      <c r="N5693" s="43"/>
      <c r="O5693" s="43"/>
      <c r="Q5693" s="44"/>
      <c r="R5693" s="44"/>
      <c r="S5693" s="44"/>
      <c r="T5693" s="44"/>
    </row>
    <row r="5694" spans="12:20" x14ac:dyDescent="0.2">
      <c r="L5694" s="43"/>
      <c r="M5694" s="43"/>
      <c r="N5694" s="43"/>
      <c r="O5694" s="43"/>
      <c r="Q5694" s="44"/>
      <c r="R5694" s="44"/>
      <c r="S5694" s="44"/>
      <c r="T5694" s="44"/>
    </row>
    <row r="5695" spans="12:20" x14ac:dyDescent="0.2">
      <c r="L5695" s="43"/>
      <c r="M5695" s="43"/>
      <c r="N5695" s="43"/>
      <c r="O5695" s="43"/>
      <c r="Q5695" s="44"/>
      <c r="R5695" s="44"/>
      <c r="S5695" s="44"/>
      <c r="T5695" s="44"/>
    </row>
    <row r="5696" spans="12:20" x14ac:dyDescent="0.2">
      <c r="L5696" s="43"/>
      <c r="M5696" s="43"/>
      <c r="N5696" s="43"/>
      <c r="O5696" s="43"/>
      <c r="Q5696" s="44"/>
      <c r="R5696" s="44"/>
      <c r="S5696" s="44"/>
      <c r="T5696" s="44"/>
    </row>
    <row r="5697" spans="12:20" x14ac:dyDescent="0.2">
      <c r="L5697" s="43"/>
      <c r="M5697" s="43"/>
      <c r="N5697" s="43"/>
      <c r="O5697" s="43"/>
      <c r="Q5697" s="44"/>
      <c r="R5697" s="44"/>
      <c r="S5697" s="44"/>
      <c r="T5697" s="44"/>
    </row>
    <row r="5698" spans="12:20" x14ac:dyDescent="0.2">
      <c r="L5698" s="43"/>
      <c r="M5698" s="43"/>
      <c r="N5698" s="43"/>
      <c r="O5698" s="43"/>
      <c r="Q5698" s="44"/>
      <c r="R5698" s="44"/>
      <c r="S5698" s="44"/>
      <c r="T5698" s="44"/>
    </row>
    <row r="5699" spans="12:20" x14ac:dyDescent="0.2">
      <c r="L5699" s="43"/>
      <c r="M5699" s="43"/>
      <c r="N5699" s="43"/>
      <c r="O5699" s="43"/>
      <c r="Q5699" s="44"/>
      <c r="R5699" s="44"/>
      <c r="S5699" s="44"/>
      <c r="T5699" s="44"/>
    </row>
    <row r="5700" spans="12:20" x14ac:dyDescent="0.2">
      <c r="L5700" s="43"/>
      <c r="M5700" s="43"/>
      <c r="N5700" s="43"/>
      <c r="O5700" s="43"/>
      <c r="Q5700" s="44"/>
      <c r="R5700" s="44"/>
      <c r="S5700" s="44"/>
      <c r="T5700" s="44"/>
    </row>
    <row r="5701" spans="12:20" x14ac:dyDescent="0.2">
      <c r="L5701" s="43"/>
      <c r="M5701" s="43"/>
      <c r="N5701" s="43"/>
      <c r="O5701" s="43"/>
      <c r="Q5701" s="44"/>
      <c r="R5701" s="44"/>
      <c r="S5701" s="44"/>
      <c r="T5701" s="44"/>
    </row>
    <row r="5702" spans="12:20" x14ac:dyDescent="0.2">
      <c r="L5702" s="43"/>
      <c r="M5702" s="43"/>
      <c r="N5702" s="43"/>
      <c r="O5702" s="43"/>
      <c r="Q5702" s="44"/>
      <c r="R5702" s="44"/>
      <c r="S5702" s="44"/>
      <c r="T5702" s="44"/>
    </row>
    <row r="5703" spans="12:20" x14ac:dyDescent="0.2">
      <c r="L5703" s="43"/>
      <c r="M5703" s="43"/>
      <c r="N5703" s="43"/>
      <c r="O5703" s="43"/>
      <c r="Q5703" s="44"/>
      <c r="R5703" s="44"/>
      <c r="S5703" s="44"/>
      <c r="T5703" s="44"/>
    </row>
    <row r="5704" spans="12:20" x14ac:dyDescent="0.2">
      <c r="L5704" s="43"/>
      <c r="M5704" s="43"/>
      <c r="N5704" s="43"/>
      <c r="O5704" s="43"/>
      <c r="Q5704" s="44"/>
      <c r="R5704" s="44"/>
      <c r="S5704" s="44"/>
      <c r="T5704" s="44"/>
    </row>
    <row r="5705" spans="12:20" x14ac:dyDescent="0.2">
      <c r="L5705" s="43"/>
      <c r="M5705" s="43"/>
      <c r="N5705" s="43"/>
      <c r="O5705" s="43"/>
      <c r="Q5705" s="44"/>
      <c r="R5705" s="44"/>
      <c r="S5705" s="44"/>
      <c r="T5705" s="44"/>
    </row>
    <row r="5706" spans="12:20" x14ac:dyDescent="0.2">
      <c r="L5706" s="43"/>
      <c r="M5706" s="43"/>
      <c r="N5706" s="43"/>
      <c r="O5706" s="43"/>
      <c r="Q5706" s="44"/>
      <c r="R5706" s="44"/>
      <c r="S5706" s="44"/>
      <c r="T5706" s="44"/>
    </row>
    <row r="5707" spans="12:20" x14ac:dyDescent="0.2">
      <c r="L5707" s="43"/>
      <c r="M5707" s="43"/>
      <c r="N5707" s="43"/>
      <c r="O5707" s="43"/>
      <c r="Q5707" s="44"/>
      <c r="R5707" s="44"/>
      <c r="S5707" s="44"/>
      <c r="T5707" s="44"/>
    </row>
    <row r="5708" spans="12:20" x14ac:dyDescent="0.2">
      <c r="L5708" s="43"/>
      <c r="M5708" s="43"/>
      <c r="N5708" s="43"/>
      <c r="O5708" s="43"/>
      <c r="Q5708" s="44"/>
      <c r="R5708" s="44"/>
      <c r="S5708" s="44"/>
      <c r="T5708" s="44"/>
    </row>
    <row r="5709" spans="12:20" x14ac:dyDescent="0.2">
      <c r="L5709" s="43"/>
      <c r="M5709" s="43"/>
      <c r="N5709" s="43"/>
      <c r="O5709" s="43"/>
      <c r="Q5709" s="44"/>
      <c r="R5709" s="44"/>
      <c r="S5709" s="44"/>
      <c r="T5709" s="44"/>
    </row>
    <row r="5710" spans="12:20" x14ac:dyDescent="0.2">
      <c r="L5710" s="43"/>
      <c r="M5710" s="43"/>
      <c r="N5710" s="43"/>
      <c r="O5710" s="43"/>
      <c r="Q5710" s="44"/>
      <c r="R5710" s="44"/>
      <c r="S5710" s="44"/>
      <c r="T5710" s="44"/>
    </row>
    <row r="5711" spans="12:20" x14ac:dyDescent="0.2">
      <c r="L5711" s="43"/>
      <c r="M5711" s="43"/>
      <c r="N5711" s="43"/>
      <c r="O5711" s="43"/>
      <c r="Q5711" s="44"/>
      <c r="R5711" s="44"/>
      <c r="S5711" s="44"/>
      <c r="T5711" s="44"/>
    </row>
    <row r="5712" spans="12:20" x14ac:dyDescent="0.2">
      <c r="L5712" s="43"/>
      <c r="M5712" s="43"/>
      <c r="N5712" s="43"/>
      <c r="O5712" s="43"/>
      <c r="Q5712" s="44"/>
      <c r="R5712" s="44"/>
      <c r="S5712" s="44"/>
      <c r="T5712" s="44"/>
    </row>
    <row r="5713" spans="12:20" x14ac:dyDescent="0.2">
      <c r="L5713" s="43"/>
      <c r="M5713" s="43"/>
      <c r="N5713" s="43"/>
      <c r="O5713" s="43"/>
      <c r="Q5713" s="44"/>
      <c r="R5713" s="44"/>
      <c r="S5713" s="44"/>
      <c r="T5713" s="44"/>
    </row>
    <row r="5714" spans="12:20" x14ac:dyDescent="0.2">
      <c r="L5714" s="43"/>
      <c r="M5714" s="43"/>
      <c r="N5714" s="43"/>
      <c r="O5714" s="43"/>
      <c r="Q5714" s="44"/>
      <c r="R5714" s="44"/>
      <c r="S5714" s="44"/>
      <c r="T5714" s="44"/>
    </row>
    <row r="5715" spans="12:20" x14ac:dyDescent="0.2">
      <c r="L5715" s="43"/>
      <c r="M5715" s="43"/>
      <c r="N5715" s="43"/>
      <c r="O5715" s="43"/>
      <c r="Q5715" s="44"/>
      <c r="R5715" s="44"/>
      <c r="S5715" s="44"/>
      <c r="T5715" s="44"/>
    </row>
    <row r="5716" spans="12:20" x14ac:dyDescent="0.2">
      <c r="L5716" s="43"/>
      <c r="M5716" s="43"/>
      <c r="N5716" s="43"/>
      <c r="O5716" s="43"/>
      <c r="Q5716" s="44"/>
      <c r="R5716" s="44"/>
      <c r="S5716" s="44"/>
      <c r="T5716" s="44"/>
    </row>
    <row r="5717" spans="12:20" x14ac:dyDescent="0.2">
      <c r="L5717" s="43"/>
      <c r="M5717" s="43"/>
      <c r="N5717" s="43"/>
      <c r="O5717" s="43"/>
      <c r="Q5717" s="44"/>
      <c r="R5717" s="44"/>
      <c r="S5717" s="44"/>
      <c r="T5717" s="44"/>
    </row>
    <row r="5718" spans="12:20" x14ac:dyDescent="0.2">
      <c r="L5718" s="43"/>
      <c r="M5718" s="43"/>
      <c r="N5718" s="43"/>
      <c r="O5718" s="43"/>
      <c r="Q5718" s="44"/>
      <c r="R5718" s="44"/>
      <c r="S5718" s="44"/>
      <c r="T5718" s="44"/>
    </row>
    <row r="5719" spans="12:20" x14ac:dyDescent="0.2">
      <c r="L5719" s="43"/>
      <c r="M5719" s="43"/>
      <c r="N5719" s="43"/>
      <c r="O5719" s="43"/>
      <c r="Q5719" s="44"/>
      <c r="R5719" s="44"/>
      <c r="S5719" s="44"/>
      <c r="T5719" s="44"/>
    </row>
    <row r="5720" spans="12:20" x14ac:dyDescent="0.2">
      <c r="L5720" s="43"/>
      <c r="M5720" s="43"/>
      <c r="N5720" s="43"/>
      <c r="O5720" s="43"/>
      <c r="Q5720" s="44"/>
      <c r="R5720" s="44"/>
      <c r="S5720" s="44"/>
      <c r="T5720" s="44"/>
    </row>
    <row r="5721" spans="12:20" x14ac:dyDescent="0.2">
      <c r="L5721" s="43"/>
      <c r="M5721" s="43"/>
      <c r="N5721" s="43"/>
      <c r="O5721" s="43"/>
      <c r="Q5721" s="44"/>
      <c r="R5721" s="44"/>
      <c r="S5721" s="44"/>
      <c r="T5721" s="44"/>
    </row>
    <row r="5722" spans="12:20" x14ac:dyDescent="0.2">
      <c r="L5722" s="43"/>
      <c r="M5722" s="43"/>
      <c r="N5722" s="43"/>
      <c r="O5722" s="43"/>
      <c r="Q5722" s="44"/>
      <c r="R5722" s="44"/>
      <c r="S5722" s="44"/>
      <c r="T5722" s="44"/>
    </row>
    <row r="5723" spans="12:20" x14ac:dyDescent="0.2">
      <c r="L5723" s="43"/>
      <c r="M5723" s="43"/>
      <c r="N5723" s="43"/>
      <c r="O5723" s="43"/>
      <c r="Q5723" s="44"/>
      <c r="R5723" s="44"/>
      <c r="S5723" s="44"/>
      <c r="T5723" s="44"/>
    </row>
    <row r="5724" spans="12:20" x14ac:dyDescent="0.2">
      <c r="L5724" s="43"/>
      <c r="M5724" s="43"/>
      <c r="N5724" s="43"/>
      <c r="O5724" s="43"/>
      <c r="Q5724" s="44"/>
      <c r="R5724" s="44"/>
      <c r="S5724" s="44"/>
      <c r="T5724" s="44"/>
    </row>
    <row r="5725" spans="12:20" x14ac:dyDescent="0.2">
      <c r="L5725" s="43"/>
      <c r="M5725" s="43"/>
      <c r="N5725" s="43"/>
      <c r="O5725" s="43"/>
      <c r="Q5725" s="44"/>
      <c r="R5725" s="44"/>
      <c r="S5725" s="44"/>
      <c r="T5725" s="44"/>
    </row>
    <row r="5726" spans="12:20" x14ac:dyDescent="0.2">
      <c r="L5726" s="43"/>
      <c r="M5726" s="43"/>
      <c r="N5726" s="43"/>
      <c r="O5726" s="43"/>
      <c r="Q5726" s="44"/>
      <c r="R5726" s="44"/>
      <c r="S5726" s="44"/>
      <c r="T5726" s="44"/>
    </row>
    <row r="5727" spans="12:20" x14ac:dyDescent="0.2">
      <c r="L5727" s="43"/>
      <c r="M5727" s="43"/>
      <c r="N5727" s="43"/>
      <c r="O5727" s="43"/>
      <c r="Q5727" s="44"/>
      <c r="R5727" s="44"/>
      <c r="S5727" s="44"/>
      <c r="T5727" s="44"/>
    </row>
    <row r="5728" spans="12:20" x14ac:dyDescent="0.2">
      <c r="L5728" s="43"/>
      <c r="M5728" s="43"/>
      <c r="N5728" s="43"/>
      <c r="O5728" s="43"/>
      <c r="Q5728" s="44"/>
      <c r="R5728" s="44"/>
      <c r="S5728" s="44"/>
      <c r="T5728" s="44"/>
    </row>
    <row r="5729" spans="12:20" x14ac:dyDescent="0.2">
      <c r="L5729" s="43"/>
      <c r="M5729" s="43"/>
      <c r="N5729" s="43"/>
      <c r="O5729" s="43"/>
      <c r="Q5729" s="44"/>
      <c r="R5729" s="44"/>
      <c r="S5729" s="44"/>
      <c r="T5729" s="44"/>
    </row>
    <row r="5730" spans="12:20" x14ac:dyDescent="0.2">
      <c r="L5730" s="43"/>
      <c r="M5730" s="43"/>
      <c r="N5730" s="43"/>
      <c r="O5730" s="43"/>
      <c r="Q5730" s="44"/>
      <c r="R5730" s="44"/>
      <c r="S5730" s="44"/>
      <c r="T5730" s="44"/>
    </row>
    <row r="5731" spans="12:20" x14ac:dyDescent="0.2">
      <c r="L5731" s="43"/>
      <c r="M5731" s="43"/>
      <c r="N5731" s="43"/>
      <c r="O5731" s="43"/>
      <c r="Q5731" s="44"/>
      <c r="R5731" s="44"/>
      <c r="S5731" s="44"/>
      <c r="T5731" s="44"/>
    </row>
    <row r="5732" spans="12:20" x14ac:dyDescent="0.2">
      <c r="L5732" s="43"/>
      <c r="M5732" s="43"/>
      <c r="N5732" s="43"/>
      <c r="O5732" s="43"/>
      <c r="Q5732" s="44"/>
      <c r="R5732" s="44"/>
      <c r="S5732" s="44"/>
      <c r="T5732" s="44"/>
    </row>
    <row r="5733" spans="12:20" x14ac:dyDescent="0.2">
      <c r="L5733" s="43"/>
      <c r="M5733" s="43"/>
      <c r="N5733" s="43"/>
      <c r="O5733" s="43"/>
      <c r="Q5733" s="44"/>
      <c r="R5733" s="44"/>
      <c r="S5733" s="44"/>
      <c r="T5733" s="44"/>
    </row>
    <row r="5734" spans="12:20" x14ac:dyDescent="0.2">
      <c r="L5734" s="43"/>
      <c r="M5734" s="43"/>
      <c r="N5734" s="43"/>
      <c r="O5734" s="43"/>
      <c r="Q5734" s="44"/>
      <c r="R5734" s="44"/>
      <c r="S5734" s="44"/>
      <c r="T5734" s="44"/>
    </row>
    <row r="5735" spans="12:20" x14ac:dyDescent="0.2">
      <c r="L5735" s="43"/>
      <c r="M5735" s="43"/>
      <c r="N5735" s="43"/>
      <c r="O5735" s="43"/>
      <c r="Q5735" s="44"/>
      <c r="R5735" s="44"/>
      <c r="S5735" s="44"/>
      <c r="T5735" s="44"/>
    </row>
    <row r="5736" spans="12:20" x14ac:dyDescent="0.2">
      <c r="L5736" s="43"/>
      <c r="M5736" s="43"/>
      <c r="N5736" s="43"/>
      <c r="O5736" s="43"/>
      <c r="Q5736" s="44"/>
      <c r="R5736" s="44"/>
      <c r="S5736" s="44"/>
      <c r="T5736" s="44"/>
    </row>
    <row r="5737" spans="12:20" x14ac:dyDescent="0.2">
      <c r="L5737" s="43"/>
      <c r="M5737" s="43"/>
      <c r="N5737" s="43"/>
      <c r="O5737" s="43"/>
      <c r="Q5737" s="44"/>
      <c r="R5737" s="44"/>
      <c r="S5737" s="44"/>
      <c r="T5737" s="44"/>
    </row>
    <row r="5738" spans="12:20" x14ac:dyDescent="0.2">
      <c r="L5738" s="43"/>
      <c r="M5738" s="43"/>
      <c r="N5738" s="43"/>
      <c r="O5738" s="43"/>
      <c r="Q5738" s="44"/>
      <c r="R5738" s="44"/>
      <c r="S5738" s="44"/>
      <c r="T5738" s="44"/>
    </row>
    <row r="5739" spans="12:20" x14ac:dyDescent="0.2">
      <c r="L5739" s="43"/>
      <c r="M5739" s="43"/>
      <c r="N5739" s="43"/>
      <c r="O5739" s="43"/>
      <c r="Q5739" s="44"/>
      <c r="R5739" s="44"/>
      <c r="S5739" s="44"/>
      <c r="T5739" s="44"/>
    </row>
    <row r="5740" spans="12:20" x14ac:dyDescent="0.2">
      <c r="L5740" s="43"/>
      <c r="M5740" s="43"/>
      <c r="N5740" s="43"/>
      <c r="O5740" s="43"/>
      <c r="Q5740" s="44"/>
      <c r="R5740" s="44"/>
      <c r="S5740" s="44"/>
      <c r="T5740" s="44"/>
    </row>
    <row r="5741" spans="12:20" x14ac:dyDescent="0.2">
      <c r="L5741" s="43"/>
      <c r="M5741" s="43"/>
      <c r="N5741" s="43"/>
      <c r="O5741" s="43"/>
      <c r="Q5741" s="44"/>
      <c r="R5741" s="44"/>
      <c r="S5741" s="44"/>
      <c r="T5741" s="44"/>
    </row>
    <row r="5742" spans="12:20" x14ac:dyDescent="0.2">
      <c r="L5742" s="43"/>
      <c r="M5742" s="43"/>
      <c r="N5742" s="43"/>
      <c r="O5742" s="43"/>
      <c r="Q5742" s="44"/>
      <c r="R5742" s="44"/>
      <c r="S5742" s="44"/>
      <c r="T5742" s="44"/>
    </row>
    <row r="5743" spans="12:20" x14ac:dyDescent="0.2">
      <c r="L5743" s="43"/>
      <c r="M5743" s="43"/>
      <c r="N5743" s="43"/>
      <c r="O5743" s="43"/>
      <c r="Q5743" s="44"/>
      <c r="R5743" s="44"/>
      <c r="S5743" s="44"/>
      <c r="T5743" s="44"/>
    </row>
    <row r="5744" spans="12:20" x14ac:dyDescent="0.2">
      <c r="L5744" s="43"/>
      <c r="M5744" s="43"/>
      <c r="N5744" s="43"/>
      <c r="O5744" s="43"/>
      <c r="Q5744" s="44"/>
      <c r="R5744" s="44"/>
      <c r="S5744" s="44"/>
      <c r="T5744" s="44"/>
    </row>
    <row r="5745" spans="12:20" x14ac:dyDescent="0.2">
      <c r="L5745" s="43"/>
      <c r="M5745" s="43"/>
      <c r="N5745" s="43"/>
      <c r="O5745" s="43"/>
      <c r="Q5745" s="44"/>
      <c r="R5745" s="44"/>
      <c r="S5745" s="44"/>
      <c r="T5745" s="44"/>
    </row>
    <row r="5746" spans="12:20" x14ac:dyDescent="0.2">
      <c r="L5746" s="43"/>
      <c r="M5746" s="43"/>
      <c r="N5746" s="43"/>
      <c r="O5746" s="43"/>
      <c r="Q5746" s="44"/>
      <c r="R5746" s="44"/>
      <c r="S5746" s="44"/>
      <c r="T5746" s="44"/>
    </row>
    <row r="5747" spans="12:20" x14ac:dyDescent="0.2">
      <c r="L5747" s="43"/>
      <c r="M5747" s="43"/>
      <c r="N5747" s="43"/>
      <c r="O5747" s="43"/>
      <c r="Q5747" s="44"/>
      <c r="R5747" s="44"/>
      <c r="S5747" s="44"/>
      <c r="T5747" s="44"/>
    </row>
    <row r="5748" spans="12:20" x14ac:dyDescent="0.2">
      <c r="L5748" s="43"/>
      <c r="M5748" s="43"/>
      <c r="N5748" s="43"/>
      <c r="O5748" s="43"/>
      <c r="Q5748" s="44"/>
      <c r="R5748" s="44"/>
      <c r="S5748" s="44"/>
      <c r="T5748" s="44"/>
    </row>
    <row r="5749" spans="12:20" x14ac:dyDescent="0.2">
      <c r="L5749" s="43"/>
      <c r="M5749" s="43"/>
      <c r="N5749" s="43"/>
      <c r="O5749" s="43"/>
      <c r="Q5749" s="44"/>
      <c r="R5749" s="44"/>
      <c r="S5749" s="44"/>
      <c r="T5749" s="44"/>
    </row>
    <row r="5750" spans="12:20" x14ac:dyDescent="0.2">
      <c r="L5750" s="43"/>
      <c r="M5750" s="43"/>
      <c r="N5750" s="43"/>
      <c r="O5750" s="43"/>
      <c r="Q5750" s="44"/>
      <c r="R5750" s="44"/>
      <c r="S5750" s="44"/>
      <c r="T5750" s="44"/>
    </row>
    <row r="5751" spans="12:20" x14ac:dyDescent="0.2">
      <c r="L5751" s="43"/>
      <c r="M5751" s="43"/>
      <c r="N5751" s="43"/>
      <c r="O5751" s="43"/>
      <c r="Q5751" s="44"/>
      <c r="R5751" s="44"/>
      <c r="S5751" s="44"/>
      <c r="T5751" s="44"/>
    </row>
    <row r="5752" spans="12:20" x14ac:dyDescent="0.2">
      <c r="L5752" s="43"/>
      <c r="M5752" s="43"/>
      <c r="N5752" s="43"/>
      <c r="O5752" s="43"/>
      <c r="Q5752" s="44"/>
      <c r="R5752" s="44"/>
      <c r="S5752" s="44"/>
      <c r="T5752" s="44"/>
    </row>
    <row r="5753" spans="12:20" x14ac:dyDescent="0.2">
      <c r="L5753" s="43"/>
      <c r="M5753" s="43"/>
      <c r="N5753" s="43"/>
      <c r="O5753" s="43"/>
      <c r="Q5753" s="44"/>
      <c r="R5753" s="44"/>
      <c r="S5753" s="44"/>
      <c r="T5753" s="44"/>
    </row>
    <row r="5754" spans="12:20" x14ac:dyDescent="0.2">
      <c r="L5754" s="43"/>
      <c r="M5754" s="43"/>
      <c r="N5754" s="43"/>
      <c r="O5754" s="43"/>
      <c r="Q5754" s="44"/>
      <c r="R5754" s="44"/>
      <c r="S5754" s="44"/>
      <c r="T5754" s="44"/>
    </row>
    <row r="5755" spans="12:20" x14ac:dyDescent="0.2">
      <c r="L5755" s="43"/>
      <c r="M5755" s="43"/>
      <c r="N5755" s="43"/>
      <c r="O5755" s="43"/>
      <c r="Q5755" s="44"/>
      <c r="R5755" s="44"/>
      <c r="S5755" s="44"/>
      <c r="T5755" s="44"/>
    </row>
    <row r="5756" spans="12:20" x14ac:dyDescent="0.2">
      <c r="L5756" s="43"/>
      <c r="M5756" s="43"/>
      <c r="N5756" s="43"/>
      <c r="O5756" s="43"/>
      <c r="Q5756" s="44"/>
      <c r="R5756" s="44"/>
      <c r="S5756" s="44"/>
      <c r="T5756" s="44"/>
    </row>
    <row r="5757" spans="12:20" x14ac:dyDescent="0.2">
      <c r="L5757" s="43"/>
      <c r="M5757" s="43"/>
      <c r="N5757" s="43"/>
      <c r="O5757" s="43"/>
      <c r="Q5757" s="44"/>
      <c r="R5757" s="44"/>
      <c r="S5757" s="44"/>
      <c r="T5757" s="44"/>
    </row>
    <row r="5758" spans="12:20" x14ac:dyDescent="0.2">
      <c r="L5758" s="43"/>
      <c r="M5758" s="43"/>
      <c r="N5758" s="43"/>
      <c r="O5758" s="43"/>
      <c r="Q5758" s="44"/>
      <c r="R5758" s="44"/>
      <c r="S5758" s="44"/>
      <c r="T5758" s="44"/>
    </row>
    <row r="5759" spans="12:20" x14ac:dyDescent="0.2">
      <c r="L5759" s="43"/>
      <c r="M5759" s="43"/>
      <c r="N5759" s="43"/>
      <c r="O5759" s="43"/>
      <c r="Q5759" s="44"/>
      <c r="R5759" s="44"/>
      <c r="S5759" s="44"/>
      <c r="T5759" s="44"/>
    </row>
    <row r="5760" spans="12:20" x14ac:dyDescent="0.2">
      <c r="L5760" s="43"/>
      <c r="M5760" s="43"/>
      <c r="N5760" s="43"/>
      <c r="O5760" s="43"/>
      <c r="Q5760" s="44"/>
      <c r="R5760" s="44"/>
      <c r="S5760" s="44"/>
      <c r="T5760" s="44"/>
    </row>
    <row r="5761" spans="12:20" x14ac:dyDescent="0.2">
      <c r="L5761" s="43"/>
      <c r="M5761" s="43"/>
      <c r="N5761" s="43"/>
      <c r="O5761" s="43"/>
      <c r="Q5761" s="44"/>
      <c r="R5761" s="44"/>
      <c r="S5761" s="44"/>
      <c r="T5761" s="44"/>
    </row>
    <row r="5762" spans="12:20" x14ac:dyDescent="0.2">
      <c r="L5762" s="43"/>
      <c r="M5762" s="43"/>
      <c r="N5762" s="43"/>
      <c r="O5762" s="43"/>
      <c r="Q5762" s="44"/>
      <c r="R5762" s="44"/>
      <c r="S5762" s="44"/>
      <c r="T5762" s="44"/>
    </row>
    <row r="5763" spans="12:20" x14ac:dyDescent="0.2">
      <c r="L5763" s="43"/>
      <c r="M5763" s="43"/>
      <c r="N5763" s="43"/>
      <c r="O5763" s="43"/>
      <c r="Q5763" s="44"/>
      <c r="R5763" s="44"/>
      <c r="S5763" s="44"/>
      <c r="T5763" s="44"/>
    </row>
    <row r="5764" spans="12:20" x14ac:dyDescent="0.2">
      <c r="L5764" s="43"/>
      <c r="M5764" s="43"/>
      <c r="N5764" s="43"/>
      <c r="O5764" s="43"/>
      <c r="Q5764" s="44"/>
      <c r="R5764" s="44"/>
      <c r="S5764" s="44"/>
      <c r="T5764" s="44"/>
    </row>
    <row r="5765" spans="12:20" x14ac:dyDescent="0.2">
      <c r="L5765" s="43"/>
      <c r="M5765" s="43"/>
      <c r="N5765" s="43"/>
      <c r="O5765" s="43"/>
      <c r="Q5765" s="44"/>
      <c r="R5765" s="44"/>
      <c r="S5765" s="44"/>
      <c r="T5765" s="44"/>
    </row>
    <row r="5766" spans="12:20" x14ac:dyDescent="0.2">
      <c r="L5766" s="43"/>
      <c r="M5766" s="43"/>
      <c r="N5766" s="43"/>
      <c r="O5766" s="43"/>
      <c r="Q5766" s="44"/>
      <c r="R5766" s="44"/>
      <c r="S5766" s="44"/>
      <c r="T5766" s="44"/>
    </row>
    <row r="5767" spans="12:20" x14ac:dyDescent="0.2">
      <c r="L5767" s="43"/>
      <c r="M5767" s="43"/>
      <c r="N5767" s="43"/>
      <c r="O5767" s="43"/>
      <c r="Q5767" s="44"/>
      <c r="R5767" s="44"/>
      <c r="S5767" s="44"/>
      <c r="T5767" s="44"/>
    </row>
    <row r="5768" spans="12:20" x14ac:dyDescent="0.2">
      <c r="L5768" s="43"/>
      <c r="M5768" s="43"/>
      <c r="N5768" s="43"/>
      <c r="O5768" s="43"/>
      <c r="Q5768" s="44"/>
      <c r="R5768" s="44"/>
      <c r="S5768" s="44"/>
      <c r="T5768" s="44"/>
    </row>
    <row r="5769" spans="12:20" x14ac:dyDescent="0.2">
      <c r="L5769" s="43"/>
      <c r="M5769" s="43"/>
      <c r="N5769" s="43"/>
      <c r="O5769" s="43"/>
      <c r="Q5769" s="44"/>
      <c r="R5769" s="44"/>
      <c r="S5769" s="44"/>
      <c r="T5769" s="44"/>
    </row>
    <row r="5770" spans="12:20" x14ac:dyDescent="0.2">
      <c r="L5770" s="43"/>
      <c r="M5770" s="43"/>
      <c r="N5770" s="43"/>
      <c r="O5770" s="43"/>
      <c r="Q5770" s="44"/>
      <c r="R5770" s="44"/>
      <c r="S5770" s="44"/>
      <c r="T5770" s="44"/>
    </row>
    <row r="5771" spans="12:20" x14ac:dyDescent="0.2">
      <c r="L5771" s="43"/>
      <c r="M5771" s="43"/>
      <c r="N5771" s="43"/>
      <c r="O5771" s="43"/>
      <c r="Q5771" s="44"/>
      <c r="R5771" s="44"/>
      <c r="S5771" s="44"/>
      <c r="T5771" s="44"/>
    </row>
    <row r="5772" spans="12:20" x14ac:dyDescent="0.2">
      <c r="L5772" s="43"/>
      <c r="M5772" s="43"/>
      <c r="N5772" s="43"/>
      <c r="O5772" s="43"/>
      <c r="Q5772" s="44"/>
      <c r="R5772" s="44"/>
      <c r="S5772" s="44"/>
      <c r="T5772" s="44"/>
    </row>
    <row r="5773" spans="12:20" x14ac:dyDescent="0.2">
      <c r="L5773" s="43"/>
      <c r="M5773" s="43"/>
      <c r="N5773" s="43"/>
      <c r="O5773" s="43"/>
      <c r="Q5773" s="44"/>
      <c r="R5773" s="44"/>
      <c r="S5773" s="44"/>
      <c r="T5773" s="44"/>
    </row>
    <row r="5774" spans="12:20" x14ac:dyDescent="0.2">
      <c r="L5774" s="43"/>
      <c r="M5774" s="43"/>
      <c r="N5774" s="43"/>
      <c r="O5774" s="43"/>
      <c r="Q5774" s="44"/>
      <c r="R5774" s="44"/>
      <c r="S5774" s="44"/>
      <c r="T5774" s="44"/>
    </row>
    <row r="5775" spans="12:20" x14ac:dyDescent="0.2">
      <c r="L5775" s="43"/>
      <c r="M5775" s="43"/>
      <c r="N5775" s="43"/>
      <c r="O5775" s="43"/>
      <c r="Q5775" s="44"/>
      <c r="R5775" s="44"/>
      <c r="S5775" s="44"/>
      <c r="T5775" s="44"/>
    </row>
    <row r="5776" spans="12:20" x14ac:dyDescent="0.2">
      <c r="L5776" s="43"/>
      <c r="M5776" s="43"/>
      <c r="N5776" s="43"/>
      <c r="O5776" s="43"/>
      <c r="Q5776" s="44"/>
      <c r="R5776" s="44"/>
      <c r="S5776" s="44"/>
      <c r="T5776" s="44"/>
    </row>
    <row r="5777" spans="12:20" x14ac:dyDescent="0.2">
      <c r="L5777" s="43"/>
      <c r="M5777" s="43"/>
      <c r="N5777" s="43"/>
      <c r="O5777" s="43"/>
      <c r="Q5777" s="44"/>
      <c r="R5777" s="44"/>
      <c r="S5777" s="44"/>
      <c r="T5777" s="44"/>
    </row>
    <row r="5778" spans="12:20" x14ac:dyDescent="0.2">
      <c r="L5778" s="43"/>
      <c r="M5778" s="43"/>
      <c r="N5778" s="43"/>
      <c r="O5778" s="43"/>
      <c r="Q5778" s="44"/>
      <c r="R5778" s="44"/>
      <c r="S5778" s="44"/>
      <c r="T5778" s="44"/>
    </row>
    <row r="5779" spans="12:20" x14ac:dyDescent="0.2">
      <c r="L5779" s="43"/>
      <c r="M5779" s="43"/>
      <c r="N5779" s="43"/>
      <c r="O5779" s="43"/>
      <c r="Q5779" s="44"/>
      <c r="R5779" s="44"/>
      <c r="S5779" s="44"/>
      <c r="T5779" s="44"/>
    </row>
    <row r="5780" spans="12:20" x14ac:dyDescent="0.2">
      <c r="L5780" s="43"/>
      <c r="M5780" s="43"/>
      <c r="N5780" s="43"/>
      <c r="O5780" s="43"/>
      <c r="Q5780" s="44"/>
      <c r="R5780" s="44"/>
      <c r="S5780" s="44"/>
      <c r="T5780" s="44"/>
    </row>
    <row r="5781" spans="12:20" x14ac:dyDescent="0.2">
      <c r="L5781" s="43"/>
      <c r="M5781" s="43"/>
      <c r="N5781" s="43"/>
      <c r="O5781" s="43"/>
      <c r="Q5781" s="44"/>
      <c r="R5781" s="44"/>
      <c r="S5781" s="44"/>
      <c r="T5781" s="44"/>
    </row>
    <row r="5782" spans="12:20" x14ac:dyDescent="0.2">
      <c r="L5782" s="43"/>
      <c r="M5782" s="43"/>
      <c r="N5782" s="43"/>
      <c r="O5782" s="43"/>
      <c r="Q5782" s="44"/>
      <c r="R5782" s="44"/>
      <c r="S5782" s="44"/>
      <c r="T5782" s="44"/>
    </row>
    <row r="5783" spans="12:20" x14ac:dyDescent="0.2">
      <c r="L5783" s="43"/>
      <c r="M5783" s="43"/>
      <c r="N5783" s="43"/>
      <c r="O5783" s="43"/>
      <c r="Q5783" s="44"/>
      <c r="R5783" s="44"/>
      <c r="S5783" s="44"/>
      <c r="T5783" s="44"/>
    </row>
    <row r="5784" spans="12:20" x14ac:dyDescent="0.2">
      <c r="L5784" s="43"/>
      <c r="M5784" s="43"/>
      <c r="N5784" s="43"/>
      <c r="O5784" s="43"/>
      <c r="Q5784" s="44"/>
      <c r="R5784" s="44"/>
      <c r="S5784" s="44"/>
      <c r="T5784" s="44"/>
    </row>
    <row r="5785" spans="12:20" x14ac:dyDescent="0.2">
      <c r="L5785" s="43"/>
      <c r="M5785" s="43"/>
      <c r="N5785" s="43"/>
      <c r="O5785" s="43"/>
      <c r="Q5785" s="44"/>
      <c r="R5785" s="44"/>
      <c r="S5785" s="44"/>
      <c r="T5785" s="44"/>
    </row>
    <row r="5786" spans="12:20" x14ac:dyDescent="0.2">
      <c r="L5786" s="43"/>
      <c r="M5786" s="43"/>
      <c r="N5786" s="43"/>
      <c r="O5786" s="43"/>
      <c r="Q5786" s="44"/>
      <c r="R5786" s="44"/>
      <c r="S5786" s="44"/>
      <c r="T5786" s="44"/>
    </row>
    <row r="5787" spans="12:20" x14ac:dyDescent="0.2">
      <c r="L5787" s="43"/>
      <c r="M5787" s="43"/>
      <c r="N5787" s="43"/>
      <c r="O5787" s="43"/>
      <c r="Q5787" s="44"/>
      <c r="R5787" s="44"/>
      <c r="S5787" s="44"/>
      <c r="T5787" s="44"/>
    </row>
    <row r="5788" spans="12:20" x14ac:dyDescent="0.2">
      <c r="L5788" s="43"/>
      <c r="M5788" s="43"/>
      <c r="N5788" s="43"/>
      <c r="O5788" s="43"/>
      <c r="Q5788" s="44"/>
      <c r="R5788" s="44"/>
      <c r="S5788" s="44"/>
      <c r="T5788" s="44"/>
    </row>
    <row r="5789" spans="12:20" x14ac:dyDescent="0.2">
      <c r="L5789" s="43"/>
      <c r="M5789" s="43"/>
      <c r="N5789" s="43"/>
      <c r="O5789" s="43"/>
      <c r="Q5789" s="44"/>
      <c r="R5789" s="44"/>
      <c r="S5789" s="44"/>
      <c r="T5789" s="44"/>
    </row>
    <row r="5790" spans="12:20" x14ac:dyDescent="0.2">
      <c r="L5790" s="43"/>
      <c r="M5790" s="43"/>
      <c r="N5790" s="43"/>
      <c r="O5790" s="43"/>
      <c r="Q5790" s="44"/>
      <c r="R5790" s="44"/>
      <c r="S5790" s="44"/>
      <c r="T5790" s="44"/>
    </row>
    <row r="5791" spans="12:20" x14ac:dyDescent="0.2">
      <c r="L5791" s="43"/>
      <c r="M5791" s="43"/>
      <c r="N5791" s="43"/>
      <c r="O5791" s="43"/>
      <c r="Q5791" s="44"/>
      <c r="R5791" s="44"/>
      <c r="S5791" s="44"/>
      <c r="T5791" s="44"/>
    </row>
    <row r="5792" spans="12:20" x14ac:dyDescent="0.2">
      <c r="L5792" s="43"/>
      <c r="M5792" s="43"/>
      <c r="N5792" s="43"/>
      <c r="O5792" s="43"/>
      <c r="Q5792" s="44"/>
      <c r="R5792" s="44"/>
      <c r="S5792" s="44"/>
      <c r="T5792" s="44"/>
    </row>
    <row r="5793" spans="12:20" x14ac:dyDescent="0.2">
      <c r="L5793" s="43"/>
      <c r="M5793" s="43"/>
      <c r="N5793" s="43"/>
      <c r="O5793" s="43"/>
      <c r="Q5793" s="44"/>
      <c r="R5793" s="44"/>
      <c r="S5793" s="44"/>
      <c r="T5793" s="44"/>
    </row>
    <row r="5794" spans="12:20" x14ac:dyDescent="0.2">
      <c r="L5794" s="43"/>
      <c r="M5794" s="43"/>
      <c r="N5794" s="43"/>
      <c r="O5794" s="43"/>
      <c r="Q5794" s="44"/>
      <c r="R5794" s="44"/>
      <c r="S5794" s="44"/>
      <c r="T5794" s="44"/>
    </row>
    <row r="5795" spans="12:20" x14ac:dyDescent="0.2">
      <c r="L5795" s="43"/>
      <c r="M5795" s="43"/>
      <c r="N5795" s="43"/>
      <c r="O5795" s="43"/>
      <c r="Q5795" s="44"/>
      <c r="R5795" s="44"/>
      <c r="S5795" s="44"/>
      <c r="T5795" s="44"/>
    </row>
    <row r="5796" spans="12:20" x14ac:dyDescent="0.2">
      <c r="L5796" s="43"/>
      <c r="M5796" s="43"/>
      <c r="N5796" s="43"/>
      <c r="O5796" s="43"/>
      <c r="Q5796" s="44"/>
      <c r="R5796" s="44"/>
      <c r="S5796" s="44"/>
      <c r="T5796" s="44"/>
    </row>
    <row r="5797" spans="12:20" x14ac:dyDescent="0.2">
      <c r="L5797" s="43"/>
      <c r="M5797" s="43"/>
      <c r="N5797" s="43"/>
      <c r="O5797" s="43"/>
      <c r="Q5797" s="44"/>
      <c r="R5797" s="44"/>
      <c r="S5797" s="44"/>
      <c r="T5797" s="44"/>
    </row>
    <row r="5798" spans="12:20" x14ac:dyDescent="0.2">
      <c r="L5798" s="43"/>
      <c r="M5798" s="43"/>
      <c r="N5798" s="43"/>
      <c r="O5798" s="43"/>
      <c r="Q5798" s="44"/>
      <c r="R5798" s="44"/>
      <c r="S5798" s="44"/>
      <c r="T5798" s="44"/>
    </row>
    <row r="5799" spans="12:20" x14ac:dyDescent="0.2">
      <c r="L5799" s="43"/>
      <c r="M5799" s="43"/>
      <c r="N5799" s="43"/>
      <c r="O5799" s="43"/>
      <c r="Q5799" s="44"/>
      <c r="R5799" s="44"/>
      <c r="S5799" s="44"/>
      <c r="T5799" s="44"/>
    </row>
    <row r="5800" spans="12:20" x14ac:dyDescent="0.2">
      <c r="L5800" s="43"/>
      <c r="M5800" s="43"/>
      <c r="N5800" s="43"/>
      <c r="O5800" s="43"/>
      <c r="Q5800" s="44"/>
      <c r="R5800" s="44"/>
      <c r="S5800" s="44"/>
      <c r="T5800" s="44"/>
    </row>
    <row r="5801" spans="12:20" x14ac:dyDescent="0.2">
      <c r="L5801" s="43"/>
      <c r="M5801" s="43"/>
      <c r="N5801" s="43"/>
      <c r="O5801" s="43"/>
      <c r="Q5801" s="44"/>
      <c r="R5801" s="44"/>
      <c r="S5801" s="44"/>
      <c r="T5801" s="44"/>
    </row>
    <row r="5802" spans="12:20" x14ac:dyDescent="0.2">
      <c r="L5802" s="43"/>
      <c r="M5802" s="43"/>
      <c r="N5802" s="43"/>
      <c r="O5802" s="43"/>
      <c r="Q5802" s="44"/>
      <c r="R5802" s="44"/>
      <c r="S5802" s="44"/>
      <c r="T5802" s="44"/>
    </row>
    <row r="5803" spans="12:20" x14ac:dyDescent="0.2">
      <c r="L5803" s="43"/>
      <c r="M5803" s="43"/>
      <c r="N5803" s="43"/>
      <c r="O5803" s="43"/>
      <c r="Q5803" s="44"/>
      <c r="R5803" s="44"/>
      <c r="S5803" s="44"/>
      <c r="T5803" s="44"/>
    </row>
    <row r="5804" spans="12:20" x14ac:dyDescent="0.2">
      <c r="L5804" s="43"/>
      <c r="M5804" s="43"/>
      <c r="N5804" s="43"/>
      <c r="O5804" s="43"/>
      <c r="Q5804" s="44"/>
      <c r="R5804" s="44"/>
      <c r="S5804" s="44"/>
      <c r="T5804" s="44"/>
    </row>
    <row r="5805" spans="12:20" x14ac:dyDescent="0.2">
      <c r="L5805" s="43"/>
      <c r="M5805" s="43"/>
      <c r="N5805" s="43"/>
      <c r="O5805" s="43"/>
      <c r="Q5805" s="44"/>
      <c r="R5805" s="44"/>
      <c r="S5805" s="44"/>
      <c r="T5805" s="44"/>
    </row>
    <row r="5806" spans="12:20" x14ac:dyDescent="0.2">
      <c r="L5806" s="43"/>
      <c r="M5806" s="43"/>
      <c r="N5806" s="43"/>
      <c r="O5806" s="43"/>
      <c r="Q5806" s="44"/>
      <c r="R5806" s="44"/>
      <c r="S5806" s="44"/>
      <c r="T5806" s="44"/>
    </row>
    <row r="5807" spans="12:20" x14ac:dyDescent="0.2">
      <c r="L5807" s="43"/>
      <c r="M5807" s="43"/>
      <c r="N5807" s="43"/>
      <c r="O5807" s="43"/>
      <c r="Q5807" s="44"/>
      <c r="R5807" s="44"/>
      <c r="S5807" s="44"/>
      <c r="T5807" s="44"/>
    </row>
    <row r="5808" spans="12:20" x14ac:dyDescent="0.2">
      <c r="L5808" s="43"/>
      <c r="M5808" s="43"/>
      <c r="N5808" s="43"/>
      <c r="O5808" s="43"/>
      <c r="Q5808" s="44"/>
      <c r="R5808" s="44"/>
      <c r="S5808" s="44"/>
      <c r="T5808" s="44"/>
    </row>
    <row r="5809" spans="12:20" x14ac:dyDescent="0.2">
      <c r="L5809" s="43"/>
      <c r="M5809" s="43"/>
      <c r="N5809" s="43"/>
      <c r="O5809" s="43"/>
      <c r="Q5809" s="44"/>
      <c r="R5809" s="44"/>
      <c r="S5809" s="44"/>
      <c r="T5809" s="44"/>
    </row>
    <row r="5810" spans="12:20" x14ac:dyDescent="0.2">
      <c r="L5810" s="43"/>
      <c r="M5810" s="43"/>
      <c r="N5810" s="43"/>
      <c r="O5810" s="43"/>
      <c r="Q5810" s="44"/>
      <c r="R5810" s="44"/>
      <c r="S5810" s="44"/>
      <c r="T5810" s="44"/>
    </row>
    <row r="5811" spans="12:20" x14ac:dyDescent="0.2">
      <c r="L5811" s="43"/>
      <c r="M5811" s="43"/>
      <c r="N5811" s="43"/>
      <c r="O5811" s="43"/>
      <c r="Q5811" s="44"/>
      <c r="R5811" s="44"/>
      <c r="S5811" s="44"/>
      <c r="T5811" s="44"/>
    </row>
    <row r="5812" spans="12:20" x14ac:dyDescent="0.2">
      <c r="L5812" s="43"/>
      <c r="M5812" s="43"/>
      <c r="N5812" s="43"/>
      <c r="O5812" s="43"/>
      <c r="Q5812" s="44"/>
      <c r="R5812" s="44"/>
      <c r="S5812" s="44"/>
      <c r="T5812" s="44"/>
    </row>
    <row r="5813" spans="12:20" x14ac:dyDescent="0.2">
      <c r="L5813" s="43"/>
      <c r="M5813" s="43"/>
      <c r="N5813" s="43"/>
      <c r="O5813" s="43"/>
      <c r="Q5813" s="44"/>
      <c r="R5813" s="44"/>
      <c r="S5813" s="44"/>
      <c r="T5813" s="44"/>
    </row>
    <row r="5814" spans="12:20" x14ac:dyDescent="0.2">
      <c r="L5814" s="43"/>
      <c r="M5814" s="43"/>
      <c r="N5814" s="43"/>
      <c r="O5814" s="43"/>
      <c r="Q5814" s="44"/>
      <c r="R5814" s="44"/>
      <c r="S5814" s="44"/>
      <c r="T5814" s="44"/>
    </row>
    <row r="5815" spans="12:20" x14ac:dyDescent="0.2">
      <c r="L5815" s="43"/>
      <c r="M5815" s="43"/>
      <c r="N5815" s="43"/>
      <c r="O5815" s="43"/>
      <c r="Q5815" s="44"/>
      <c r="R5815" s="44"/>
      <c r="S5815" s="44"/>
      <c r="T5815" s="44"/>
    </row>
    <row r="5816" spans="12:20" x14ac:dyDescent="0.2">
      <c r="L5816" s="43"/>
      <c r="M5816" s="43"/>
      <c r="N5816" s="43"/>
      <c r="O5816" s="43"/>
      <c r="Q5816" s="44"/>
      <c r="R5816" s="44"/>
      <c r="S5816" s="44"/>
      <c r="T5816" s="44"/>
    </row>
    <row r="5817" spans="12:20" x14ac:dyDescent="0.2">
      <c r="L5817" s="43"/>
      <c r="M5817" s="43"/>
      <c r="N5817" s="43"/>
      <c r="O5817" s="43"/>
      <c r="Q5817" s="44"/>
      <c r="R5817" s="44"/>
      <c r="S5817" s="44"/>
      <c r="T5817" s="44"/>
    </row>
    <row r="5818" spans="12:20" x14ac:dyDescent="0.2">
      <c r="L5818" s="43"/>
      <c r="M5818" s="43"/>
      <c r="N5818" s="43"/>
      <c r="O5818" s="43"/>
      <c r="Q5818" s="44"/>
      <c r="R5818" s="44"/>
      <c r="S5818" s="44"/>
      <c r="T5818" s="44"/>
    </row>
    <row r="5819" spans="12:20" x14ac:dyDescent="0.2">
      <c r="L5819" s="43"/>
      <c r="M5819" s="43"/>
      <c r="N5819" s="43"/>
      <c r="O5819" s="43"/>
      <c r="Q5819" s="44"/>
      <c r="R5819" s="44"/>
      <c r="S5819" s="44"/>
      <c r="T5819" s="44"/>
    </row>
    <row r="5820" spans="12:20" x14ac:dyDescent="0.2">
      <c r="L5820" s="43"/>
      <c r="M5820" s="43"/>
      <c r="N5820" s="43"/>
      <c r="O5820" s="43"/>
      <c r="Q5820" s="44"/>
      <c r="R5820" s="44"/>
      <c r="S5820" s="44"/>
      <c r="T5820" s="44"/>
    </row>
    <row r="5821" spans="12:20" x14ac:dyDescent="0.2">
      <c r="L5821" s="43"/>
      <c r="M5821" s="43"/>
      <c r="N5821" s="43"/>
      <c r="O5821" s="43"/>
      <c r="Q5821" s="44"/>
      <c r="R5821" s="44"/>
      <c r="S5821" s="44"/>
      <c r="T5821" s="44"/>
    </row>
    <row r="5822" spans="12:20" x14ac:dyDescent="0.2">
      <c r="L5822" s="43"/>
      <c r="M5822" s="43"/>
      <c r="N5822" s="43"/>
      <c r="O5822" s="43"/>
      <c r="Q5822" s="44"/>
      <c r="R5822" s="44"/>
      <c r="S5822" s="44"/>
      <c r="T5822" s="44"/>
    </row>
    <row r="5823" spans="12:20" x14ac:dyDescent="0.2">
      <c r="L5823" s="43"/>
      <c r="M5823" s="43"/>
      <c r="N5823" s="43"/>
      <c r="O5823" s="43"/>
      <c r="Q5823" s="44"/>
      <c r="R5823" s="44"/>
      <c r="S5823" s="44"/>
      <c r="T5823" s="44"/>
    </row>
    <row r="5824" spans="12:20" x14ac:dyDescent="0.2">
      <c r="L5824" s="43"/>
      <c r="M5824" s="43"/>
      <c r="N5824" s="43"/>
      <c r="O5824" s="43"/>
      <c r="Q5824" s="44"/>
      <c r="R5824" s="44"/>
      <c r="S5824" s="44"/>
      <c r="T5824" s="44"/>
    </row>
    <row r="5825" spans="12:20" x14ac:dyDescent="0.2">
      <c r="L5825" s="43"/>
      <c r="M5825" s="43"/>
      <c r="N5825" s="43"/>
      <c r="O5825" s="43"/>
      <c r="Q5825" s="44"/>
      <c r="R5825" s="44"/>
      <c r="S5825" s="44"/>
      <c r="T5825" s="44"/>
    </row>
    <row r="5826" spans="12:20" x14ac:dyDescent="0.2">
      <c r="L5826" s="43"/>
      <c r="M5826" s="43"/>
      <c r="N5826" s="43"/>
      <c r="O5826" s="43"/>
      <c r="Q5826" s="44"/>
      <c r="R5826" s="44"/>
      <c r="S5826" s="44"/>
      <c r="T5826" s="44"/>
    </row>
    <row r="5827" spans="12:20" x14ac:dyDescent="0.2">
      <c r="L5827" s="43"/>
      <c r="M5827" s="43"/>
      <c r="N5827" s="43"/>
      <c r="O5827" s="43"/>
      <c r="Q5827" s="44"/>
      <c r="R5827" s="44"/>
      <c r="S5827" s="44"/>
      <c r="T5827" s="44"/>
    </row>
    <row r="5828" spans="12:20" x14ac:dyDescent="0.2">
      <c r="L5828" s="43"/>
      <c r="M5828" s="43"/>
      <c r="N5828" s="43"/>
      <c r="O5828" s="43"/>
      <c r="Q5828" s="44"/>
      <c r="R5828" s="44"/>
      <c r="S5828" s="44"/>
      <c r="T5828" s="44"/>
    </row>
    <row r="5829" spans="12:20" x14ac:dyDescent="0.2">
      <c r="L5829" s="43"/>
      <c r="M5829" s="43"/>
      <c r="N5829" s="43"/>
      <c r="O5829" s="43"/>
      <c r="Q5829" s="44"/>
      <c r="R5829" s="44"/>
      <c r="S5829" s="44"/>
      <c r="T5829" s="44"/>
    </row>
    <row r="5830" spans="12:20" x14ac:dyDescent="0.2">
      <c r="L5830" s="43"/>
      <c r="M5830" s="43"/>
      <c r="N5830" s="43"/>
      <c r="O5830" s="43"/>
      <c r="Q5830" s="44"/>
      <c r="R5830" s="44"/>
      <c r="S5830" s="44"/>
      <c r="T5830" s="44"/>
    </row>
    <row r="5831" spans="12:20" x14ac:dyDescent="0.2">
      <c r="L5831" s="43"/>
      <c r="M5831" s="43"/>
      <c r="N5831" s="43"/>
      <c r="O5831" s="43"/>
      <c r="Q5831" s="44"/>
      <c r="R5831" s="44"/>
      <c r="S5831" s="44"/>
      <c r="T5831" s="44"/>
    </row>
    <row r="5832" spans="12:20" x14ac:dyDescent="0.2">
      <c r="L5832" s="43"/>
      <c r="M5832" s="43"/>
      <c r="N5832" s="43"/>
      <c r="O5832" s="43"/>
      <c r="Q5832" s="44"/>
      <c r="R5832" s="44"/>
      <c r="S5832" s="44"/>
      <c r="T5832" s="44"/>
    </row>
    <row r="5833" spans="12:20" x14ac:dyDescent="0.2">
      <c r="L5833" s="43"/>
      <c r="M5833" s="43"/>
      <c r="N5833" s="43"/>
      <c r="O5833" s="43"/>
      <c r="Q5833" s="44"/>
      <c r="R5833" s="44"/>
      <c r="S5833" s="44"/>
      <c r="T5833" s="44"/>
    </row>
    <row r="5834" spans="12:20" x14ac:dyDescent="0.2">
      <c r="L5834" s="43"/>
      <c r="M5834" s="43"/>
      <c r="N5834" s="43"/>
      <c r="O5834" s="43"/>
      <c r="Q5834" s="44"/>
      <c r="R5834" s="44"/>
      <c r="S5834" s="44"/>
      <c r="T5834" s="44"/>
    </row>
    <row r="5835" spans="12:20" x14ac:dyDescent="0.2">
      <c r="L5835" s="43"/>
      <c r="M5835" s="43"/>
      <c r="N5835" s="43"/>
      <c r="O5835" s="43"/>
      <c r="Q5835" s="44"/>
      <c r="R5835" s="44"/>
      <c r="S5835" s="44"/>
      <c r="T5835" s="44"/>
    </row>
    <row r="5836" spans="12:20" x14ac:dyDescent="0.2">
      <c r="L5836" s="43"/>
      <c r="M5836" s="43"/>
      <c r="N5836" s="43"/>
      <c r="O5836" s="43"/>
      <c r="Q5836" s="44"/>
      <c r="R5836" s="44"/>
      <c r="S5836" s="44"/>
      <c r="T5836" s="44"/>
    </row>
    <row r="5837" spans="12:20" x14ac:dyDescent="0.2">
      <c r="L5837" s="43"/>
      <c r="M5837" s="43"/>
      <c r="N5837" s="43"/>
      <c r="O5837" s="43"/>
      <c r="Q5837" s="44"/>
      <c r="R5837" s="44"/>
      <c r="S5837" s="44"/>
      <c r="T5837" s="44"/>
    </row>
    <row r="5838" spans="12:20" x14ac:dyDescent="0.2">
      <c r="L5838" s="43"/>
      <c r="M5838" s="43"/>
      <c r="N5838" s="43"/>
      <c r="O5838" s="43"/>
      <c r="Q5838" s="44"/>
      <c r="R5838" s="44"/>
      <c r="S5838" s="44"/>
      <c r="T5838" s="44"/>
    </row>
    <row r="5839" spans="12:20" x14ac:dyDescent="0.2">
      <c r="L5839" s="43"/>
      <c r="M5839" s="43"/>
      <c r="N5839" s="43"/>
      <c r="O5839" s="43"/>
      <c r="Q5839" s="44"/>
      <c r="R5839" s="44"/>
      <c r="S5839" s="44"/>
      <c r="T5839" s="44"/>
    </row>
    <row r="5840" spans="12:20" x14ac:dyDescent="0.2">
      <c r="L5840" s="43"/>
      <c r="M5840" s="43"/>
      <c r="N5840" s="43"/>
      <c r="O5840" s="43"/>
      <c r="Q5840" s="44"/>
      <c r="R5840" s="44"/>
      <c r="S5840" s="44"/>
      <c r="T5840" s="44"/>
    </row>
    <row r="5841" spans="12:20" x14ac:dyDescent="0.2">
      <c r="L5841" s="43"/>
      <c r="M5841" s="43"/>
      <c r="N5841" s="43"/>
      <c r="O5841" s="43"/>
      <c r="Q5841" s="44"/>
      <c r="R5841" s="44"/>
      <c r="S5841" s="44"/>
      <c r="T5841" s="44"/>
    </row>
    <row r="5842" spans="12:20" x14ac:dyDescent="0.2">
      <c r="L5842" s="43"/>
      <c r="M5842" s="43"/>
      <c r="N5842" s="43"/>
      <c r="O5842" s="43"/>
      <c r="Q5842" s="44"/>
      <c r="R5842" s="44"/>
      <c r="S5842" s="44"/>
      <c r="T5842" s="44"/>
    </row>
    <row r="5843" spans="12:20" x14ac:dyDescent="0.2">
      <c r="L5843" s="43"/>
      <c r="M5843" s="43"/>
      <c r="N5843" s="43"/>
      <c r="O5843" s="43"/>
      <c r="Q5843" s="44"/>
      <c r="R5843" s="44"/>
      <c r="S5843" s="44"/>
      <c r="T5843" s="44"/>
    </row>
    <row r="5844" spans="12:20" x14ac:dyDescent="0.2">
      <c r="L5844" s="43"/>
      <c r="M5844" s="43"/>
      <c r="N5844" s="43"/>
      <c r="O5844" s="43"/>
      <c r="Q5844" s="44"/>
      <c r="R5844" s="44"/>
      <c r="S5844" s="44"/>
      <c r="T5844" s="44"/>
    </row>
    <row r="5845" spans="12:20" x14ac:dyDescent="0.2">
      <c r="L5845" s="43"/>
      <c r="M5845" s="43"/>
      <c r="N5845" s="43"/>
      <c r="O5845" s="43"/>
      <c r="Q5845" s="44"/>
      <c r="R5845" s="44"/>
      <c r="S5845" s="44"/>
      <c r="T5845" s="44"/>
    </row>
    <row r="5846" spans="12:20" x14ac:dyDescent="0.2">
      <c r="L5846" s="43"/>
      <c r="M5846" s="43"/>
      <c r="N5846" s="43"/>
      <c r="O5846" s="43"/>
      <c r="Q5846" s="44"/>
      <c r="R5846" s="44"/>
      <c r="S5846" s="44"/>
      <c r="T5846" s="44"/>
    </row>
    <row r="5847" spans="12:20" x14ac:dyDescent="0.2">
      <c r="L5847" s="43"/>
      <c r="M5847" s="43"/>
      <c r="N5847" s="43"/>
      <c r="O5847" s="43"/>
      <c r="Q5847" s="44"/>
      <c r="R5847" s="44"/>
      <c r="S5847" s="44"/>
      <c r="T5847" s="44"/>
    </row>
    <row r="5848" spans="12:20" x14ac:dyDescent="0.2">
      <c r="L5848" s="43"/>
      <c r="M5848" s="43"/>
      <c r="N5848" s="43"/>
      <c r="O5848" s="43"/>
      <c r="Q5848" s="44"/>
      <c r="R5848" s="44"/>
      <c r="S5848" s="44"/>
      <c r="T5848" s="44"/>
    </row>
    <row r="5849" spans="12:20" x14ac:dyDescent="0.2">
      <c r="L5849" s="43"/>
      <c r="M5849" s="43"/>
      <c r="N5849" s="43"/>
      <c r="O5849" s="43"/>
      <c r="Q5849" s="44"/>
      <c r="R5849" s="44"/>
      <c r="S5849" s="44"/>
      <c r="T5849" s="44"/>
    </row>
    <row r="5850" spans="12:20" x14ac:dyDescent="0.2">
      <c r="L5850" s="43"/>
      <c r="M5850" s="43"/>
      <c r="N5850" s="43"/>
      <c r="O5850" s="43"/>
      <c r="Q5850" s="44"/>
      <c r="R5850" s="44"/>
      <c r="S5850" s="44"/>
      <c r="T5850" s="44"/>
    </row>
    <row r="5851" spans="12:20" x14ac:dyDescent="0.2">
      <c r="L5851" s="43"/>
      <c r="M5851" s="43"/>
      <c r="N5851" s="43"/>
      <c r="O5851" s="43"/>
      <c r="Q5851" s="44"/>
      <c r="R5851" s="44"/>
      <c r="S5851" s="44"/>
      <c r="T5851" s="44"/>
    </row>
    <row r="5852" spans="12:20" x14ac:dyDescent="0.2">
      <c r="L5852" s="43"/>
      <c r="M5852" s="43"/>
      <c r="N5852" s="43"/>
      <c r="O5852" s="43"/>
      <c r="Q5852" s="44"/>
      <c r="R5852" s="44"/>
      <c r="S5852" s="44"/>
      <c r="T5852" s="44"/>
    </row>
    <row r="5853" spans="12:20" x14ac:dyDescent="0.2">
      <c r="L5853" s="43"/>
      <c r="M5853" s="43"/>
      <c r="N5853" s="43"/>
      <c r="O5853" s="43"/>
      <c r="Q5853" s="44"/>
      <c r="R5853" s="44"/>
      <c r="S5853" s="44"/>
      <c r="T5853" s="44"/>
    </row>
    <row r="5854" spans="12:20" x14ac:dyDescent="0.2">
      <c r="L5854" s="43"/>
      <c r="M5854" s="43"/>
      <c r="N5854" s="43"/>
      <c r="O5854" s="43"/>
      <c r="Q5854" s="44"/>
      <c r="R5854" s="44"/>
      <c r="S5854" s="44"/>
      <c r="T5854" s="44"/>
    </row>
    <row r="5855" spans="12:20" x14ac:dyDescent="0.2">
      <c r="L5855" s="43"/>
      <c r="M5855" s="43"/>
      <c r="N5855" s="43"/>
      <c r="O5855" s="43"/>
      <c r="Q5855" s="44"/>
      <c r="R5855" s="44"/>
      <c r="S5855" s="44"/>
      <c r="T5855" s="44"/>
    </row>
    <row r="5856" spans="12:20" x14ac:dyDescent="0.2">
      <c r="L5856" s="43"/>
      <c r="M5856" s="43"/>
      <c r="N5856" s="43"/>
      <c r="O5856" s="43"/>
      <c r="Q5856" s="44"/>
      <c r="R5856" s="44"/>
      <c r="S5856" s="44"/>
      <c r="T5856" s="44"/>
    </row>
    <row r="5857" spans="12:20" x14ac:dyDescent="0.2">
      <c r="L5857" s="43"/>
      <c r="M5857" s="43"/>
      <c r="N5857" s="43"/>
      <c r="O5857" s="43"/>
      <c r="Q5857" s="44"/>
      <c r="R5857" s="44"/>
      <c r="S5857" s="44"/>
      <c r="T5857" s="44"/>
    </row>
    <row r="5858" spans="12:20" x14ac:dyDescent="0.2">
      <c r="L5858" s="43"/>
      <c r="M5858" s="43"/>
      <c r="N5858" s="43"/>
      <c r="O5858" s="43"/>
      <c r="Q5858" s="44"/>
      <c r="R5858" s="44"/>
      <c r="S5858" s="44"/>
      <c r="T5858" s="44"/>
    </row>
    <row r="5859" spans="12:20" x14ac:dyDescent="0.2">
      <c r="L5859" s="43"/>
      <c r="M5859" s="43"/>
      <c r="N5859" s="43"/>
      <c r="O5859" s="43"/>
      <c r="Q5859" s="44"/>
      <c r="R5859" s="44"/>
      <c r="S5859" s="44"/>
      <c r="T5859" s="44"/>
    </row>
    <row r="5860" spans="12:20" x14ac:dyDescent="0.2">
      <c r="L5860" s="43"/>
      <c r="M5860" s="43"/>
      <c r="N5860" s="43"/>
      <c r="O5860" s="43"/>
      <c r="Q5860" s="44"/>
      <c r="R5860" s="44"/>
      <c r="S5860" s="44"/>
      <c r="T5860" s="44"/>
    </row>
    <row r="5861" spans="12:20" x14ac:dyDescent="0.2">
      <c r="L5861" s="43"/>
      <c r="M5861" s="43"/>
      <c r="N5861" s="43"/>
      <c r="O5861" s="43"/>
      <c r="Q5861" s="44"/>
      <c r="R5861" s="44"/>
      <c r="S5861" s="44"/>
      <c r="T5861" s="44"/>
    </row>
    <row r="5862" spans="12:20" x14ac:dyDescent="0.2">
      <c r="L5862" s="43"/>
      <c r="M5862" s="43"/>
      <c r="N5862" s="43"/>
      <c r="O5862" s="43"/>
      <c r="Q5862" s="44"/>
      <c r="R5862" s="44"/>
      <c r="S5862" s="44"/>
      <c r="T5862" s="44"/>
    </row>
    <row r="5863" spans="12:20" x14ac:dyDescent="0.2">
      <c r="L5863" s="43"/>
      <c r="M5863" s="43"/>
      <c r="N5863" s="43"/>
      <c r="O5863" s="43"/>
      <c r="Q5863" s="44"/>
      <c r="R5863" s="44"/>
      <c r="S5863" s="44"/>
      <c r="T5863" s="44"/>
    </row>
    <row r="5864" spans="12:20" x14ac:dyDescent="0.2">
      <c r="L5864" s="43"/>
      <c r="M5864" s="43"/>
      <c r="N5864" s="43"/>
      <c r="O5864" s="43"/>
      <c r="Q5864" s="44"/>
      <c r="R5864" s="44"/>
      <c r="S5864" s="44"/>
      <c r="T5864" s="44"/>
    </row>
    <row r="5865" spans="12:20" x14ac:dyDescent="0.2">
      <c r="L5865" s="43"/>
      <c r="M5865" s="43"/>
      <c r="N5865" s="43"/>
      <c r="O5865" s="43"/>
      <c r="Q5865" s="44"/>
      <c r="R5865" s="44"/>
      <c r="S5865" s="44"/>
      <c r="T5865" s="44"/>
    </row>
    <row r="5866" spans="12:20" x14ac:dyDescent="0.2">
      <c r="L5866" s="43"/>
      <c r="M5866" s="43"/>
      <c r="N5866" s="43"/>
      <c r="O5866" s="43"/>
      <c r="Q5866" s="44"/>
      <c r="R5866" s="44"/>
      <c r="S5866" s="44"/>
      <c r="T5866" s="44"/>
    </row>
    <row r="5867" spans="12:20" x14ac:dyDescent="0.2">
      <c r="L5867" s="43"/>
      <c r="M5867" s="43"/>
      <c r="N5867" s="43"/>
      <c r="O5867" s="43"/>
      <c r="Q5867" s="44"/>
      <c r="R5867" s="44"/>
      <c r="S5867" s="44"/>
      <c r="T5867" s="44"/>
    </row>
    <row r="5868" spans="12:20" x14ac:dyDescent="0.2">
      <c r="L5868" s="43"/>
      <c r="M5868" s="43"/>
      <c r="N5868" s="43"/>
      <c r="O5868" s="43"/>
      <c r="Q5868" s="44"/>
      <c r="R5868" s="44"/>
      <c r="S5868" s="44"/>
      <c r="T5868" s="44"/>
    </row>
    <row r="5869" spans="12:20" x14ac:dyDescent="0.2">
      <c r="L5869" s="43"/>
      <c r="M5869" s="43"/>
      <c r="N5869" s="43"/>
      <c r="O5869" s="43"/>
      <c r="Q5869" s="44"/>
      <c r="R5869" s="44"/>
      <c r="S5869" s="44"/>
      <c r="T5869" s="44"/>
    </row>
    <row r="5870" spans="12:20" x14ac:dyDescent="0.2">
      <c r="L5870" s="43"/>
      <c r="M5870" s="43"/>
      <c r="N5870" s="43"/>
      <c r="O5870" s="43"/>
      <c r="Q5870" s="44"/>
      <c r="R5870" s="44"/>
      <c r="S5870" s="44"/>
      <c r="T5870" s="44"/>
    </row>
    <row r="5871" spans="12:20" x14ac:dyDescent="0.2">
      <c r="L5871" s="43"/>
      <c r="M5871" s="43"/>
      <c r="N5871" s="43"/>
      <c r="O5871" s="43"/>
      <c r="Q5871" s="44"/>
      <c r="R5871" s="44"/>
      <c r="S5871" s="44"/>
      <c r="T5871" s="44"/>
    </row>
    <row r="5872" spans="12:20" x14ac:dyDescent="0.2">
      <c r="L5872" s="43"/>
      <c r="M5872" s="43"/>
      <c r="N5872" s="43"/>
      <c r="O5872" s="43"/>
      <c r="Q5872" s="44"/>
      <c r="R5872" s="44"/>
      <c r="S5872" s="44"/>
      <c r="T5872" s="44"/>
    </row>
    <row r="5873" spans="12:20" x14ac:dyDescent="0.2">
      <c r="L5873" s="43"/>
      <c r="M5873" s="43"/>
      <c r="N5873" s="43"/>
      <c r="O5873" s="43"/>
      <c r="Q5873" s="44"/>
      <c r="R5873" s="44"/>
      <c r="S5873" s="44"/>
      <c r="T5873" s="44"/>
    </row>
    <row r="5874" spans="12:20" x14ac:dyDescent="0.2">
      <c r="L5874" s="43"/>
      <c r="M5874" s="43"/>
      <c r="N5874" s="43"/>
      <c r="O5874" s="43"/>
      <c r="Q5874" s="44"/>
      <c r="R5874" s="44"/>
      <c r="S5874" s="44"/>
      <c r="T5874" s="44"/>
    </row>
    <row r="5875" spans="12:20" x14ac:dyDescent="0.2">
      <c r="L5875" s="43"/>
      <c r="M5875" s="43"/>
      <c r="N5875" s="43"/>
      <c r="O5875" s="43"/>
      <c r="Q5875" s="44"/>
      <c r="R5875" s="44"/>
      <c r="S5875" s="44"/>
      <c r="T5875" s="44"/>
    </row>
    <row r="5876" spans="12:20" x14ac:dyDescent="0.2">
      <c r="L5876" s="43"/>
      <c r="M5876" s="43"/>
      <c r="N5876" s="43"/>
      <c r="O5876" s="43"/>
      <c r="Q5876" s="44"/>
      <c r="R5876" s="44"/>
      <c r="S5876" s="44"/>
      <c r="T5876" s="44"/>
    </row>
    <row r="5877" spans="12:20" x14ac:dyDescent="0.2">
      <c r="L5877" s="43"/>
      <c r="M5877" s="43"/>
      <c r="N5877" s="43"/>
      <c r="O5877" s="43"/>
      <c r="Q5877" s="44"/>
      <c r="R5877" s="44"/>
      <c r="S5877" s="44"/>
      <c r="T5877" s="44"/>
    </row>
    <row r="5878" spans="12:20" x14ac:dyDescent="0.2">
      <c r="L5878" s="43"/>
      <c r="M5878" s="43"/>
      <c r="N5878" s="43"/>
      <c r="O5878" s="43"/>
      <c r="Q5878" s="44"/>
      <c r="R5878" s="44"/>
      <c r="S5878" s="44"/>
      <c r="T5878" s="44"/>
    </row>
    <row r="5879" spans="12:20" x14ac:dyDescent="0.2">
      <c r="L5879" s="43"/>
      <c r="M5879" s="43"/>
      <c r="N5879" s="43"/>
      <c r="O5879" s="43"/>
      <c r="Q5879" s="44"/>
      <c r="R5879" s="44"/>
      <c r="S5879" s="44"/>
      <c r="T5879" s="44"/>
    </row>
    <row r="5880" spans="12:20" x14ac:dyDescent="0.2">
      <c r="L5880" s="43"/>
      <c r="M5880" s="43"/>
      <c r="N5880" s="43"/>
      <c r="O5880" s="43"/>
      <c r="Q5880" s="44"/>
      <c r="R5880" s="44"/>
      <c r="S5880" s="44"/>
      <c r="T5880" s="44"/>
    </row>
    <row r="5881" spans="12:20" x14ac:dyDescent="0.2">
      <c r="L5881" s="43"/>
      <c r="M5881" s="43"/>
      <c r="N5881" s="43"/>
      <c r="O5881" s="43"/>
      <c r="Q5881" s="44"/>
      <c r="R5881" s="44"/>
      <c r="S5881" s="44"/>
      <c r="T5881" s="44"/>
    </row>
    <row r="5882" spans="12:20" x14ac:dyDescent="0.2">
      <c r="L5882" s="43"/>
      <c r="M5882" s="43"/>
      <c r="N5882" s="43"/>
      <c r="O5882" s="43"/>
      <c r="Q5882" s="44"/>
      <c r="R5882" s="44"/>
      <c r="S5882" s="44"/>
      <c r="T5882" s="44"/>
    </row>
    <row r="5883" spans="12:20" x14ac:dyDescent="0.2">
      <c r="L5883" s="43"/>
      <c r="M5883" s="43"/>
      <c r="N5883" s="43"/>
      <c r="O5883" s="43"/>
      <c r="Q5883" s="44"/>
      <c r="R5883" s="44"/>
      <c r="S5883" s="44"/>
      <c r="T5883" s="44"/>
    </row>
    <row r="5884" spans="12:20" x14ac:dyDescent="0.2">
      <c r="L5884" s="43"/>
      <c r="M5884" s="43"/>
      <c r="N5884" s="43"/>
      <c r="O5884" s="43"/>
      <c r="Q5884" s="44"/>
      <c r="R5884" s="44"/>
      <c r="S5884" s="44"/>
      <c r="T5884" s="44"/>
    </row>
    <row r="5885" spans="12:20" x14ac:dyDescent="0.2">
      <c r="L5885" s="43"/>
      <c r="M5885" s="43"/>
      <c r="N5885" s="43"/>
      <c r="O5885" s="43"/>
      <c r="Q5885" s="44"/>
      <c r="R5885" s="44"/>
      <c r="S5885" s="44"/>
      <c r="T5885" s="44"/>
    </row>
    <row r="5886" spans="12:20" x14ac:dyDescent="0.2">
      <c r="L5886" s="43"/>
      <c r="M5886" s="43"/>
      <c r="N5886" s="43"/>
      <c r="O5886" s="43"/>
      <c r="Q5886" s="44"/>
      <c r="R5886" s="44"/>
      <c r="S5886" s="44"/>
      <c r="T5886" s="44"/>
    </row>
    <row r="5887" spans="12:20" x14ac:dyDescent="0.2">
      <c r="L5887" s="43"/>
      <c r="M5887" s="43"/>
      <c r="N5887" s="43"/>
      <c r="O5887" s="43"/>
      <c r="Q5887" s="44"/>
      <c r="R5887" s="44"/>
      <c r="S5887" s="44"/>
      <c r="T5887" s="44"/>
    </row>
    <row r="5888" spans="12:20" x14ac:dyDescent="0.2">
      <c r="L5888" s="43"/>
      <c r="M5888" s="43"/>
      <c r="N5888" s="43"/>
      <c r="O5888" s="43"/>
      <c r="Q5888" s="44"/>
      <c r="R5888" s="44"/>
      <c r="S5888" s="44"/>
      <c r="T5888" s="44"/>
    </row>
    <row r="5889" spans="12:20" x14ac:dyDescent="0.2">
      <c r="L5889" s="43"/>
      <c r="M5889" s="43"/>
      <c r="N5889" s="43"/>
      <c r="O5889" s="43"/>
      <c r="Q5889" s="44"/>
      <c r="R5889" s="44"/>
      <c r="S5889" s="44"/>
      <c r="T5889" s="44"/>
    </row>
    <row r="5890" spans="12:20" x14ac:dyDescent="0.2">
      <c r="L5890" s="43"/>
      <c r="M5890" s="43"/>
      <c r="N5890" s="43"/>
      <c r="O5890" s="43"/>
      <c r="Q5890" s="44"/>
      <c r="R5890" s="44"/>
      <c r="S5890" s="44"/>
      <c r="T5890" s="44"/>
    </row>
    <row r="5891" spans="12:20" x14ac:dyDescent="0.2">
      <c r="L5891" s="43"/>
      <c r="M5891" s="43"/>
      <c r="N5891" s="43"/>
      <c r="O5891" s="43"/>
      <c r="Q5891" s="44"/>
      <c r="R5891" s="44"/>
      <c r="S5891" s="44"/>
      <c r="T5891" s="44"/>
    </row>
    <row r="5892" spans="12:20" x14ac:dyDescent="0.2">
      <c r="L5892" s="43"/>
      <c r="M5892" s="43"/>
      <c r="N5892" s="43"/>
      <c r="O5892" s="43"/>
      <c r="Q5892" s="44"/>
      <c r="R5892" s="44"/>
      <c r="S5892" s="44"/>
      <c r="T5892" s="44"/>
    </row>
    <row r="5893" spans="12:20" x14ac:dyDescent="0.2">
      <c r="L5893" s="43"/>
      <c r="M5893" s="43"/>
      <c r="N5893" s="43"/>
      <c r="O5893" s="43"/>
      <c r="Q5893" s="44"/>
      <c r="R5893" s="44"/>
      <c r="S5893" s="44"/>
      <c r="T5893" s="44"/>
    </row>
    <row r="5894" spans="12:20" x14ac:dyDescent="0.2">
      <c r="L5894" s="43"/>
      <c r="M5894" s="43"/>
      <c r="N5894" s="43"/>
      <c r="O5894" s="43"/>
      <c r="Q5894" s="44"/>
      <c r="R5894" s="44"/>
      <c r="S5894" s="44"/>
      <c r="T5894" s="44"/>
    </row>
    <row r="5895" spans="12:20" x14ac:dyDescent="0.2">
      <c r="L5895" s="43"/>
      <c r="M5895" s="43"/>
      <c r="N5895" s="43"/>
      <c r="O5895" s="43"/>
      <c r="Q5895" s="44"/>
      <c r="R5895" s="44"/>
      <c r="S5895" s="44"/>
      <c r="T5895" s="44"/>
    </row>
    <row r="5896" spans="12:20" x14ac:dyDescent="0.2">
      <c r="L5896" s="43"/>
      <c r="M5896" s="43"/>
      <c r="N5896" s="43"/>
      <c r="O5896" s="43"/>
      <c r="Q5896" s="44"/>
      <c r="R5896" s="44"/>
      <c r="S5896" s="44"/>
      <c r="T5896" s="44"/>
    </row>
    <row r="5897" spans="12:20" x14ac:dyDescent="0.2">
      <c r="L5897" s="43"/>
      <c r="M5897" s="43"/>
      <c r="N5897" s="43"/>
      <c r="O5897" s="43"/>
      <c r="Q5897" s="44"/>
      <c r="R5897" s="44"/>
      <c r="S5897" s="44"/>
      <c r="T5897" s="44"/>
    </row>
    <row r="5898" spans="12:20" x14ac:dyDescent="0.2">
      <c r="L5898" s="43"/>
      <c r="M5898" s="43"/>
      <c r="N5898" s="43"/>
      <c r="O5898" s="43"/>
      <c r="Q5898" s="44"/>
      <c r="R5898" s="44"/>
      <c r="S5898" s="44"/>
      <c r="T5898" s="44"/>
    </row>
    <row r="5899" spans="12:20" x14ac:dyDescent="0.2">
      <c r="L5899" s="43"/>
      <c r="M5899" s="43"/>
      <c r="N5899" s="43"/>
      <c r="O5899" s="43"/>
      <c r="Q5899" s="44"/>
      <c r="R5899" s="44"/>
      <c r="S5899" s="44"/>
      <c r="T5899" s="44"/>
    </row>
    <row r="5900" spans="12:20" x14ac:dyDescent="0.2">
      <c r="L5900" s="43"/>
      <c r="M5900" s="43"/>
      <c r="N5900" s="43"/>
      <c r="O5900" s="43"/>
      <c r="Q5900" s="44"/>
      <c r="R5900" s="44"/>
      <c r="S5900" s="44"/>
      <c r="T5900" s="44"/>
    </row>
    <row r="5901" spans="12:20" x14ac:dyDescent="0.2">
      <c r="L5901" s="43"/>
      <c r="M5901" s="43"/>
      <c r="N5901" s="43"/>
      <c r="O5901" s="43"/>
      <c r="Q5901" s="44"/>
      <c r="R5901" s="44"/>
      <c r="S5901" s="44"/>
      <c r="T5901" s="44"/>
    </row>
    <row r="5902" spans="12:20" x14ac:dyDescent="0.2">
      <c r="L5902" s="43"/>
      <c r="M5902" s="43"/>
      <c r="N5902" s="43"/>
      <c r="O5902" s="43"/>
      <c r="Q5902" s="44"/>
      <c r="R5902" s="44"/>
      <c r="S5902" s="44"/>
      <c r="T5902" s="44"/>
    </row>
    <row r="5903" spans="12:20" x14ac:dyDescent="0.2">
      <c r="L5903" s="43"/>
      <c r="M5903" s="43"/>
      <c r="N5903" s="43"/>
      <c r="O5903" s="43"/>
      <c r="Q5903" s="44"/>
      <c r="R5903" s="44"/>
      <c r="S5903" s="44"/>
      <c r="T5903" s="44"/>
    </row>
    <row r="5904" spans="12:20" x14ac:dyDescent="0.2">
      <c r="L5904" s="43"/>
      <c r="M5904" s="43"/>
      <c r="N5904" s="43"/>
      <c r="O5904" s="43"/>
      <c r="Q5904" s="44"/>
      <c r="R5904" s="44"/>
      <c r="S5904" s="44"/>
      <c r="T5904" s="44"/>
    </row>
    <row r="5905" spans="12:20" x14ac:dyDescent="0.2">
      <c r="L5905" s="43"/>
      <c r="M5905" s="43"/>
      <c r="N5905" s="43"/>
      <c r="O5905" s="43"/>
      <c r="Q5905" s="44"/>
      <c r="R5905" s="44"/>
      <c r="S5905" s="44"/>
      <c r="T5905" s="44"/>
    </row>
    <row r="5906" spans="12:20" x14ac:dyDescent="0.2">
      <c r="L5906" s="43"/>
      <c r="M5906" s="43"/>
      <c r="N5906" s="43"/>
      <c r="O5906" s="43"/>
      <c r="Q5906" s="44"/>
      <c r="R5906" s="44"/>
      <c r="S5906" s="44"/>
      <c r="T5906" s="44"/>
    </row>
    <row r="5907" spans="12:20" x14ac:dyDescent="0.2">
      <c r="L5907" s="43"/>
      <c r="M5907" s="43"/>
      <c r="N5907" s="43"/>
      <c r="O5907" s="43"/>
      <c r="Q5907" s="44"/>
      <c r="R5907" s="44"/>
      <c r="S5907" s="44"/>
      <c r="T5907" s="44"/>
    </row>
    <row r="5908" spans="12:20" x14ac:dyDescent="0.2">
      <c r="L5908" s="43"/>
      <c r="M5908" s="43"/>
      <c r="N5908" s="43"/>
      <c r="O5908" s="43"/>
      <c r="Q5908" s="44"/>
      <c r="R5908" s="44"/>
      <c r="S5908" s="44"/>
      <c r="T5908" s="44"/>
    </row>
    <row r="5909" spans="12:20" x14ac:dyDescent="0.2">
      <c r="L5909" s="43"/>
      <c r="M5909" s="43"/>
      <c r="N5909" s="43"/>
      <c r="O5909" s="43"/>
      <c r="Q5909" s="44"/>
      <c r="R5909" s="44"/>
      <c r="S5909" s="44"/>
      <c r="T5909" s="44"/>
    </row>
    <row r="5910" spans="12:20" x14ac:dyDescent="0.2">
      <c r="L5910" s="43"/>
      <c r="M5910" s="43"/>
      <c r="N5910" s="43"/>
      <c r="O5910" s="43"/>
      <c r="Q5910" s="44"/>
      <c r="R5910" s="44"/>
      <c r="S5910" s="44"/>
      <c r="T5910" s="44"/>
    </row>
    <row r="5911" spans="12:20" x14ac:dyDescent="0.2">
      <c r="L5911" s="43"/>
      <c r="M5911" s="43"/>
      <c r="N5911" s="43"/>
      <c r="O5911" s="43"/>
      <c r="Q5911" s="44"/>
      <c r="R5911" s="44"/>
      <c r="S5911" s="44"/>
      <c r="T5911" s="44"/>
    </row>
    <row r="5912" spans="12:20" x14ac:dyDescent="0.2">
      <c r="L5912" s="43"/>
      <c r="M5912" s="43"/>
      <c r="N5912" s="43"/>
      <c r="O5912" s="43"/>
      <c r="Q5912" s="44"/>
      <c r="R5912" s="44"/>
      <c r="S5912" s="44"/>
      <c r="T5912" s="44"/>
    </row>
    <row r="5913" spans="12:20" x14ac:dyDescent="0.2">
      <c r="L5913" s="43"/>
      <c r="M5913" s="43"/>
      <c r="N5913" s="43"/>
      <c r="O5913" s="43"/>
      <c r="Q5913" s="44"/>
      <c r="R5913" s="44"/>
      <c r="S5913" s="44"/>
      <c r="T5913" s="44"/>
    </row>
    <row r="5914" spans="12:20" x14ac:dyDescent="0.2">
      <c r="L5914" s="43"/>
      <c r="M5914" s="43"/>
      <c r="N5914" s="43"/>
      <c r="O5914" s="43"/>
      <c r="Q5914" s="44"/>
      <c r="R5914" s="44"/>
      <c r="S5914" s="44"/>
      <c r="T5914" s="44"/>
    </row>
    <row r="5915" spans="12:20" x14ac:dyDescent="0.2">
      <c r="L5915" s="43"/>
      <c r="M5915" s="43"/>
      <c r="N5915" s="43"/>
      <c r="O5915" s="43"/>
      <c r="Q5915" s="44"/>
      <c r="R5915" s="44"/>
      <c r="S5915" s="44"/>
      <c r="T5915" s="44"/>
    </row>
    <row r="5916" spans="12:20" x14ac:dyDescent="0.2">
      <c r="L5916" s="43"/>
      <c r="M5916" s="43"/>
      <c r="N5916" s="43"/>
      <c r="O5916" s="43"/>
      <c r="Q5916" s="44"/>
      <c r="R5916" s="44"/>
      <c r="S5916" s="44"/>
      <c r="T5916" s="44"/>
    </row>
    <row r="5917" spans="12:20" x14ac:dyDescent="0.2">
      <c r="L5917" s="43"/>
      <c r="M5917" s="43"/>
      <c r="N5917" s="43"/>
      <c r="O5917" s="43"/>
      <c r="Q5917" s="44"/>
      <c r="R5917" s="44"/>
      <c r="S5917" s="44"/>
      <c r="T5917" s="44"/>
    </row>
    <row r="5918" spans="12:20" x14ac:dyDescent="0.2">
      <c r="L5918" s="43"/>
      <c r="M5918" s="43"/>
      <c r="N5918" s="43"/>
      <c r="O5918" s="43"/>
      <c r="Q5918" s="44"/>
      <c r="R5918" s="44"/>
      <c r="S5918" s="44"/>
      <c r="T5918" s="44"/>
    </row>
    <row r="5919" spans="12:20" x14ac:dyDescent="0.2">
      <c r="L5919" s="43"/>
      <c r="M5919" s="43"/>
      <c r="N5919" s="43"/>
      <c r="O5919" s="43"/>
      <c r="Q5919" s="44"/>
      <c r="R5919" s="44"/>
      <c r="S5919" s="44"/>
      <c r="T5919" s="44"/>
    </row>
    <row r="5920" spans="12:20" x14ac:dyDescent="0.2">
      <c r="L5920" s="43"/>
      <c r="M5920" s="43"/>
      <c r="N5920" s="43"/>
      <c r="O5920" s="43"/>
      <c r="Q5920" s="44"/>
      <c r="R5920" s="44"/>
      <c r="S5920" s="44"/>
      <c r="T5920" s="44"/>
    </row>
    <row r="5921" spans="12:20" x14ac:dyDescent="0.2">
      <c r="L5921" s="43"/>
      <c r="M5921" s="43"/>
      <c r="N5921" s="43"/>
      <c r="O5921" s="43"/>
      <c r="Q5921" s="44"/>
      <c r="R5921" s="44"/>
      <c r="S5921" s="44"/>
      <c r="T5921" s="44"/>
    </row>
    <row r="5922" spans="12:20" x14ac:dyDescent="0.2">
      <c r="L5922" s="43"/>
      <c r="M5922" s="43"/>
      <c r="N5922" s="43"/>
      <c r="O5922" s="43"/>
      <c r="Q5922" s="44"/>
      <c r="R5922" s="44"/>
      <c r="S5922" s="44"/>
      <c r="T5922" s="44"/>
    </row>
    <row r="5923" spans="12:20" x14ac:dyDescent="0.2">
      <c r="L5923" s="43"/>
      <c r="M5923" s="43"/>
      <c r="N5923" s="43"/>
      <c r="O5923" s="43"/>
      <c r="Q5923" s="44"/>
      <c r="R5923" s="44"/>
      <c r="S5923" s="44"/>
      <c r="T5923" s="44"/>
    </row>
    <row r="5924" spans="12:20" x14ac:dyDescent="0.2">
      <c r="L5924" s="43"/>
      <c r="M5924" s="43"/>
      <c r="N5924" s="43"/>
      <c r="O5924" s="43"/>
      <c r="Q5924" s="44"/>
      <c r="R5924" s="44"/>
      <c r="S5924" s="44"/>
      <c r="T5924" s="44"/>
    </row>
    <row r="5925" spans="12:20" x14ac:dyDescent="0.2">
      <c r="L5925" s="43"/>
      <c r="M5925" s="43"/>
      <c r="N5925" s="43"/>
      <c r="O5925" s="43"/>
      <c r="Q5925" s="44"/>
      <c r="R5925" s="44"/>
      <c r="S5925" s="44"/>
      <c r="T5925" s="44"/>
    </row>
    <row r="5926" spans="12:20" x14ac:dyDescent="0.2">
      <c r="L5926" s="43"/>
      <c r="M5926" s="43"/>
      <c r="N5926" s="43"/>
      <c r="O5926" s="43"/>
      <c r="Q5926" s="44"/>
      <c r="R5926" s="44"/>
      <c r="S5926" s="44"/>
      <c r="T5926" s="44"/>
    </row>
    <row r="5927" spans="12:20" x14ac:dyDescent="0.2">
      <c r="L5927" s="43"/>
      <c r="M5927" s="43"/>
      <c r="N5927" s="43"/>
      <c r="O5927" s="43"/>
      <c r="Q5927" s="44"/>
      <c r="R5927" s="44"/>
      <c r="S5927" s="44"/>
      <c r="T5927" s="44"/>
    </row>
    <row r="5928" spans="12:20" x14ac:dyDescent="0.2">
      <c r="L5928" s="43"/>
      <c r="M5928" s="43"/>
      <c r="N5928" s="43"/>
      <c r="O5928" s="43"/>
      <c r="Q5928" s="44"/>
      <c r="R5928" s="44"/>
      <c r="S5928" s="44"/>
      <c r="T5928" s="44"/>
    </row>
    <row r="5929" spans="12:20" x14ac:dyDescent="0.2">
      <c r="L5929" s="43"/>
      <c r="M5929" s="43"/>
      <c r="N5929" s="43"/>
      <c r="O5929" s="43"/>
      <c r="Q5929" s="44"/>
      <c r="R5929" s="44"/>
      <c r="S5929" s="44"/>
      <c r="T5929" s="44"/>
    </row>
    <row r="5930" spans="12:20" x14ac:dyDescent="0.2">
      <c r="L5930" s="43"/>
      <c r="M5930" s="43"/>
      <c r="N5930" s="43"/>
      <c r="O5930" s="43"/>
      <c r="Q5930" s="44"/>
      <c r="R5930" s="44"/>
      <c r="S5930" s="44"/>
      <c r="T5930" s="44"/>
    </row>
    <row r="5931" spans="12:20" x14ac:dyDescent="0.2">
      <c r="L5931" s="43"/>
      <c r="M5931" s="43"/>
      <c r="N5931" s="43"/>
      <c r="O5931" s="43"/>
      <c r="Q5931" s="44"/>
      <c r="R5931" s="44"/>
      <c r="S5931" s="44"/>
      <c r="T5931" s="44"/>
    </row>
    <row r="5932" spans="12:20" x14ac:dyDescent="0.2">
      <c r="L5932" s="43"/>
      <c r="M5932" s="43"/>
      <c r="N5932" s="43"/>
      <c r="O5932" s="43"/>
      <c r="Q5932" s="44"/>
      <c r="R5932" s="44"/>
      <c r="S5932" s="44"/>
      <c r="T5932" s="44"/>
    </row>
    <row r="5933" spans="12:20" x14ac:dyDescent="0.2">
      <c r="L5933" s="43"/>
      <c r="M5933" s="43"/>
      <c r="N5933" s="43"/>
      <c r="O5933" s="43"/>
      <c r="Q5933" s="44"/>
      <c r="R5933" s="44"/>
      <c r="S5933" s="44"/>
      <c r="T5933" s="44"/>
    </row>
    <row r="5934" spans="12:20" x14ac:dyDescent="0.2">
      <c r="L5934" s="43"/>
      <c r="M5934" s="43"/>
      <c r="N5934" s="43"/>
      <c r="O5934" s="43"/>
      <c r="Q5934" s="44"/>
      <c r="R5934" s="44"/>
      <c r="S5934" s="44"/>
      <c r="T5934" s="44"/>
    </row>
    <row r="5935" spans="12:20" x14ac:dyDescent="0.2">
      <c r="L5935" s="43"/>
      <c r="M5935" s="43"/>
      <c r="N5935" s="43"/>
      <c r="O5935" s="43"/>
      <c r="Q5935" s="44"/>
      <c r="R5935" s="44"/>
      <c r="S5935" s="44"/>
      <c r="T5935" s="44"/>
    </row>
    <row r="5936" spans="12:20" x14ac:dyDescent="0.2">
      <c r="L5936" s="43"/>
      <c r="M5936" s="43"/>
      <c r="N5936" s="43"/>
      <c r="O5936" s="43"/>
      <c r="Q5936" s="44"/>
      <c r="R5936" s="44"/>
      <c r="S5936" s="44"/>
      <c r="T5936" s="44"/>
    </row>
    <row r="5937" spans="12:20" x14ac:dyDescent="0.2">
      <c r="L5937" s="43"/>
      <c r="M5937" s="43"/>
      <c r="N5937" s="43"/>
      <c r="O5937" s="43"/>
      <c r="Q5937" s="44"/>
      <c r="R5937" s="44"/>
      <c r="S5937" s="44"/>
      <c r="T5937" s="44"/>
    </row>
    <row r="5938" spans="12:20" x14ac:dyDescent="0.2">
      <c r="L5938" s="43"/>
      <c r="M5938" s="43"/>
      <c r="N5938" s="43"/>
      <c r="O5938" s="43"/>
      <c r="Q5938" s="44"/>
      <c r="R5938" s="44"/>
      <c r="S5938" s="44"/>
      <c r="T5938" s="44"/>
    </row>
    <row r="5939" spans="12:20" x14ac:dyDescent="0.2">
      <c r="L5939" s="43"/>
      <c r="M5939" s="43"/>
      <c r="N5939" s="43"/>
      <c r="O5939" s="43"/>
      <c r="Q5939" s="44"/>
      <c r="R5939" s="44"/>
      <c r="S5939" s="44"/>
      <c r="T5939" s="44"/>
    </row>
    <row r="5940" spans="12:20" x14ac:dyDescent="0.2">
      <c r="L5940" s="43"/>
      <c r="M5940" s="43"/>
      <c r="N5940" s="43"/>
      <c r="O5940" s="43"/>
      <c r="Q5940" s="44"/>
      <c r="R5940" s="44"/>
      <c r="S5940" s="44"/>
      <c r="T5940" s="44"/>
    </row>
    <row r="5941" spans="12:20" x14ac:dyDescent="0.2">
      <c r="L5941" s="43"/>
      <c r="M5941" s="43"/>
      <c r="N5941" s="43"/>
      <c r="O5941" s="43"/>
      <c r="Q5941" s="44"/>
      <c r="R5941" s="44"/>
      <c r="S5941" s="44"/>
      <c r="T5941" s="44"/>
    </row>
    <row r="5942" spans="12:20" x14ac:dyDescent="0.2">
      <c r="L5942" s="43"/>
      <c r="M5942" s="43"/>
      <c r="N5942" s="43"/>
      <c r="O5942" s="43"/>
      <c r="Q5942" s="44"/>
      <c r="R5942" s="44"/>
      <c r="S5942" s="44"/>
      <c r="T5942" s="44"/>
    </row>
    <row r="5943" spans="12:20" x14ac:dyDescent="0.2">
      <c r="L5943" s="43"/>
      <c r="M5943" s="43"/>
      <c r="N5943" s="43"/>
      <c r="O5943" s="43"/>
      <c r="Q5943" s="44"/>
      <c r="R5943" s="44"/>
      <c r="S5943" s="44"/>
      <c r="T5943" s="44"/>
    </row>
    <row r="5944" spans="12:20" x14ac:dyDescent="0.2">
      <c r="L5944" s="43"/>
      <c r="M5944" s="43"/>
      <c r="N5944" s="43"/>
      <c r="O5944" s="43"/>
      <c r="Q5944" s="44"/>
      <c r="R5944" s="44"/>
      <c r="S5944" s="44"/>
      <c r="T5944" s="44"/>
    </row>
    <row r="5945" spans="12:20" x14ac:dyDescent="0.2">
      <c r="L5945" s="43"/>
      <c r="M5945" s="43"/>
      <c r="N5945" s="43"/>
      <c r="O5945" s="43"/>
      <c r="Q5945" s="44"/>
      <c r="R5945" s="44"/>
      <c r="S5945" s="44"/>
      <c r="T5945" s="44"/>
    </row>
    <row r="5946" spans="12:20" x14ac:dyDescent="0.2">
      <c r="L5946" s="43"/>
      <c r="M5946" s="43"/>
      <c r="N5946" s="43"/>
      <c r="O5946" s="43"/>
      <c r="Q5946" s="44"/>
      <c r="R5946" s="44"/>
      <c r="S5946" s="44"/>
      <c r="T5946" s="44"/>
    </row>
    <row r="5947" spans="12:20" x14ac:dyDescent="0.2">
      <c r="L5947" s="43"/>
      <c r="M5947" s="43"/>
      <c r="N5947" s="43"/>
      <c r="O5947" s="43"/>
      <c r="Q5947" s="44"/>
      <c r="R5947" s="44"/>
      <c r="S5947" s="44"/>
      <c r="T5947" s="44"/>
    </row>
    <row r="5948" spans="12:20" x14ac:dyDescent="0.2">
      <c r="L5948" s="43"/>
      <c r="M5948" s="43"/>
      <c r="N5948" s="43"/>
      <c r="O5948" s="43"/>
      <c r="Q5948" s="44"/>
      <c r="R5948" s="44"/>
      <c r="S5948" s="44"/>
      <c r="T5948" s="44"/>
    </row>
    <row r="5949" spans="12:20" x14ac:dyDescent="0.2">
      <c r="L5949" s="43"/>
      <c r="M5949" s="43"/>
      <c r="N5949" s="43"/>
      <c r="O5949" s="43"/>
      <c r="Q5949" s="44"/>
      <c r="R5949" s="44"/>
      <c r="S5949" s="44"/>
      <c r="T5949" s="44"/>
    </row>
    <row r="5950" spans="12:20" x14ac:dyDescent="0.2">
      <c r="L5950" s="43"/>
      <c r="M5950" s="43"/>
      <c r="N5950" s="43"/>
      <c r="O5950" s="43"/>
      <c r="Q5950" s="44"/>
      <c r="R5950" s="44"/>
      <c r="S5950" s="44"/>
      <c r="T5950" s="44"/>
    </row>
    <row r="5951" spans="12:20" x14ac:dyDescent="0.2">
      <c r="L5951" s="43"/>
      <c r="M5951" s="43"/>
      <c r="N5951" s="43"/>
      <c r="O5951" s="43"/>
      <c r="Q5951" s="44"/>
      <c r="R5951" s="44"/>
      <c r="S5951" s="44"/>
      <c r="T5951" s="44"/>
    </row>
    <row r="5952" spans="12:20" x14ac:dyDescent="0.2">
      <c r="L5952" s="43"/>
      <c r="M5952" s="43"/>
      <c r="N5952" s="43"/>
      <c r="O5952" s="43"/>
      <c r="Q5952" s="44"/>
      <c r="R5952" s="44"/>
      <c r="S5952" s="44"/>
      <c r="T5952" s="44"/>
    </row>
    <row r="5953" spans="12:20" x14ac:dyDescent="0.2">
      <c r="L5953" s="43"/>
      <c r="M5953" s="43"/>
      <c r="N5953" s="43"/>
      <c r="O5953" s="43"/>
      <c r="Q5953" s="44"/>
      <c r="R5953" s="44"/>
      <c r="S5953" s="44"/>
      <c r="T5953" s="44"/>
    </row>
    <row r="5954" spans="12:20" x14ac:dyDescent="0.2">
      <c r="L5954" s="43"/>
      <c r="M5954" s="43"/>
      <c r="N5954" s="43"/>
      <c r="O5954" s="43"/>
      <c r="Q5954" s="44"/>
      <c r="R5954" s="44"/>
      <c r="S5954" s="44"/>
      <c r="T5954" s="44"/>
    </row>
    <row r="5955" spans="12:20" x14ac:dyDescent="0.2">
      <c r="L5955" s="43"/>
      <c r="M5955" s="43"/>
      <c r="N5955" s="43"/>
      <c r="O5955" s="43"/>
      <c r="Q5955" s="44"/>
      <c r="R5955" s="44"/>
      <c r="S5955" s="44"/>
      <c r="T5955" s="44"/>
    </row>
    <row r="5956" spans="12:20" x14ac:dyDescent="0.2">
      <c r="L5956" s="43"/>
      <c r="M5956" s="43"/>
      <c r="N5956" s="43"/>
      <c r="O5956" s="43"/>
      <c r="Q5956" s="44"/>
      <c r="R5956" s="44"/>
      <c r="S5956" s="44"/>
      <c r="T5956" s="44"/>
    </row>
    <row r="5957" spans="12:20" x14ac:dyDescent="0.2">
      <c r="L5957" s="43"/>
      <c r="M5957" s="43"/>
      <c r="N5957" s="43"/>
      <c r="O5957" s="43"/>
      <c r="Q5957" s="44"/>
      <c r="R5957" s="44"/>
      <c r="S5957" s="44"/>
      <c r="T5957" s="44"/>
    </row>
    <row r="5958" spans="12:20" x14ac:dyDescent="0.2">
      <c r="L5958" s="43"/>
      <c r="M5958" s="43"/>
      <c r="N5958" s="43"/>
      <c r="O5958" s="43"/>
      <c r="Q5958" s="44"/>
      <c r="R5958" s="44"/>
      <c r="S5958" s="44"/>
      <c r="T5958" s="44"/>
    </row>
    <row r="5959" spans="12:20" x14ac:dyDescent="0.2">
      <c r="L5959" s="43"/>
      <c r="M5959" s="43"/>
      <c r="N5959" s="43"/>
      <c r="O5959" s="43"/>
      <c r="Q5959" s="44"/>
      <c r="R5959" s="44"/>
      <c r="S5959" s="44"/>
      <c r="T5959" s="44"/>
    </row>
    <row r="5960" spans="12:20" x14ac:dyDescent="0.2">
      <c r="L5960" s="43"/>
      <c r="M5960" s="43"/>
      <c r="N5960" s="43"/>
      <c r="O5960" s="43"/>
      <c r="Q5960" s="44"/>
      <c r="R5960" s="44"/>
      <c r="S5960" s="44"/>
      <c r="T5960" s="44"/>
    </row>
    <row r="5961" spans="12:20" x14ac:dyDescent="0.2">
      <c r="L5961" s="43"/>
      <c r="M5961" s="43"/>
      <c r="N5961" s="43"/>
      <c r="O5961" s="43"/>
      <c r="Q5961" s="44"/>
      <c r="R5961" s="44"/>
      <c r="S5961" s="44"/>
      <c r="T5961" s="44"/>
    </row>
    <row r="5962" spans="12:20" x14ac:dyDescent="0.2">
      <c r="L5962" s="43"/>
      <c r="M5962" s="43"/>
      <c r="N5962" s="43"/>
      <c r="O5962" s="43"/>
      <c r="Q5962" s="44"/>
      <c r="R5962" s="44"/>
      <c r="S5962" s="44"/>
      <c r="T5962" s="44"/>
    </row>
    <row r="5963" spans="12:20" x14ac:dyDescent="0.2">
      <c r="L5963" s="43"/>
      <c r="M5963" s="43"/>
      <c r="N5963" s="43"/>
      <c r="O5963" s="43"/>
      <c r="Q5963" s="44"/>
      <c r="R5963" s="44"/>
      <c r="S5963" s="44"/>
      <c r="T5963" s="44"/>
    </row>
    <row r="5964" spans="12:20" x14ac:dyDescent="0.2">
      <c r="L5964" s="43"/>
      <c r="M5964" s="43"/>
      <c r="N5964" s="43"/>
      <c r="O5964" s="43"/>
      <c r="Q5964" s="44"/>
      <c r="R5964" s="44"/>
      <c r="S5964" s="44"/>
      <c r="T5964" s="44"/>
    </row>
    <row r="5965" spans="12:20" x14ac:dyDescent="0.2">
      <c r="L5965" s="43"/>
      <c r="M5965" s="43"/>
      <c r="N5965" s="43"/>
      <c r="O5965" s="43"/>
      <c r="Q5965" s="44"/>
      <c r="R5965" s="44"/>
      <c r="S5965" s="44"/>
      <c r="T5965" s="44"/>
    </row>
    <row r="5966" spans="12:20" x14ac:dyDescent="0.2">
      <c r="L5966" s="43"/>
      <c r="M5966" s="43"/>
      <c r="N5966" s="43"/>
      <c r="O5966" s="43"/>
      <c r="Q5966" s="44"/>
      <c r="R5966" s="44"/>
      <c r="S5966" s="44"/>
      <c r="T5966" s="44"/>
    </row>
    <row r="5967" spans="12:20" x14ac:dyDescent="0.2">
      <c r="L5967" s="43"/>
      <c r="M5967" s="43"/>
      <c r="N5967" s="43"/>
      <c r="O5967" s="43"/>
      <c r="Q5967" s="44"/>
      <c r="R5967" s="44"/>
      <c r="S5967" s="44"/>
      <c r="T5967" s="44"/>
    </row>
    <row r="5968" spans="12:20" x14ac:dyDescent="0.2">
      <c r="L5968" s="43"/>
      <c r="M5968" s="43"/>
      <c r="N5968" s="43"/>
      <c r="O5968" s="43"/>
      <c r="Q5968" s="44"/>
      <c r="R5968" s="44"/>
      <c r="S5968" s="44"/>
      <c r="T5968" s="44"/>
    </row>
    <row r="5969" spans="12:20" x14ac:dyDescent="0.2">
      <c r="L5969" s="43"/>
      <c r="M5969" s="43"/>
      <c r="N5969" s="43"/>
      <c r="O5969" s="43"/>
      <c r="Q5969" s="44"/>
      <c r="R5969" s="44"/>
      <c r="S5969" s="44"/>
      <c r="T5969" s="44"/>
    </row>
    <row r="5970" spans="12:20" x14ac:dyDescent="0.2">
      <c r="L5970" s="43"/>
      <c r="M5970" s="43"/>
      <c r="N5970" s="43"/>
      <c r="O5970" s="43"/>
      <c r="Q5970" s="44"/>
      <c r="R5970" s="44"/>
      <c r="S5970" s="44"/>
      <c r="T5970" s="44"/>
    </row>
    <row r="5971" spans="12:20" x14ac:dyDescent="0.2">
      <c r="L5971" s="43"/>
      <c r="M5971" s="43"/>
      <c r="N5971" s="43"/>
      <c r="O5971" s="43"/>
      <c r="Q5971" s="44"/>
      <c r="R5971" s="44"/>
      <c r="S5971" s="44"/>
      <c r="T5971" s="44"/>
    </row>
    <row r="5972" spans="12:20" x14ac:dyDescent="0.2">
      <c r="L5972" s="43"/>
      <c r="M5972" s="43"/>
      <c r="N5972" s="43"/>
      <c r="O5972" s="43"/>
      <c r="Q5972" s="44"/>
      <c r="R5972" s="44"/>
      <c r="S5972" s="44"/>
      <c r="T5972" s="44"/>
    </row>
    <row r="5973" spans="12:20" x14ac:dyDescent="0.2">
      <c r="L5973" s="43"/>
      <c r="M5973" s="43"/>
      <c r="N5973" s="43"/>
      <c r="O5973" s="43"/>
      <c r="Q5973" s="44"/>
      <c r="R5973" s="44"/>
      <c r="S5973" s="44"/>
      <c r="T5973" s="44"/>
    </row>
    <row r="5974" spans="12:20" x14ac:dyDescent="0.2">
      <c r="L5974" s="43"/>
      <c r="M5974" s="43"/>
      <c r="N5974" s="43"/>
      <c r="O5974" s="43"/>
      <c r="Q5974" s="44"/>
      <c r="R5974" s="44"/>
      <c r="S5974" s="44"/>
      <c r="T5974" s="44"/>
    </row>
    <row r="5975" spans="12:20" x14ac:dyDescent="0.2">
      <c r="L5975" s="43"/>
      <c r="M5975" s="43"/>
      <c r="N5975" s="43"/>
      <c r="O5975" s="43"/>
      <c r="Q5975" s="44"/>
      <c r="R5975" s="44"/>
      <c r="S5975" s="44"/>
      <c r="T5975" s="44"/>
    </row>
    <row r="5976" spans="12:20" x14ac:dyDescent="0.2">
      <c r="L5976" s="43"/>
      <c r="M5976" s="43"/>
      <c r="N5976" s="43"/>
      <c r="O5976" s="43"/>
      <c r="Q5976" s="44"/>
      <c r="R5976" s="44"/>
      <c r="S5976" s="44"/>
      <c r="T5976" s="44"/>
    </row>
    <row r="5977" spans="12:20" x14ac:dyDescent="0.2">
      <c r="L5977" s="43"/>
      <c r="M5977" s="43"/>
      <c r="N5977" s="43"/>
      <c r="O5977" s="43"/>
      <c r="Q5977" s="44"/>
      <c r="R5977" s="44"/>
      <c r="S5977" s="44"/>
      <c r="T5977" s="44"/>
    </row>
    <row r="5978" spans="12:20" x14ac:dyDescent="0.2">
      <c r="L5978" s="43"/>
      <c r="M5978" s="43"/>
      <c r="N5978" s="43"/>
      <c r="O5978" s="43"/>
      <c r="Q5978" s="44"/>
      <c r="R5978" s="44"/>
      <c r="S5978" s="44"/>
      <c r="T5978" s="44"/>
    </row>
    <row r="5979" spans="12:20" x14ac:dyDescent="0.2">
      <c r="L5979" s="43"/>
      <c r="M5979" s="43"/>
      <c r="N5979" s="43"/>
      <c r="O5979" s="43"/>
      <c r="Q5979" s="44"/>
      <c r="R5979" s="44"/>
      <c r="S5979" s="44"/>
      <c r="T5979" s="44"/>
    </row>
    <row r="5980" spans="12:20" x14ac:dyDescent="0.2">
      <c r="L5980" s="43"/>
      <c r="M5980" s="43"/>
      <c r="N5980" s="43"/>
      <c r="O5980" s="43"/>
      <c r="Q5980" s="44"/>
      <c r="R5980" s="44"/>
      <c r="S5980" s="44"/>
      <c r="T5980" s="44"/>
    </row>
    <row r="5981" spans="12:20" x14ac:dyDescent="0.2">
      <c r="L5981" s="43"/>
      <c r="M5981" s="43"/>
      <c r="N5981" s="43"/>
      <c r="O5981" s="43"/>
      <c r="Q5981" s="44"/>
      <c r="R5981" s="44"/>
      <c r="S5981" s="44"/>
      <c r="T5981" s="44"/>
    </row>
    <row r="5982" spans="12:20" x14ac:dyDescent="0.2">
      <c r="L5982" s="43"/>
      <c r="M5982" s="43"/>
      <c r="N5982" s="43"/>
      <c r="O5982" s="43"/>
      <c r="Q5982" s="44"/>
      <c r="R5982" s="44"/>
      <c r="S5982" s="44"/>
      <c r="T5982" s="44"/>
    </row>
    <row r="5983" spans="12:20" x14ac:dyDescent="0.2">
      <c r="L5983" s="43"/>
      <c r="M5983" s="43"/>
      <c r="N5983" s="43"/>
      <c r="O5983" s="43"/>
      <c r="Q5983" s="44"/>
      <c r="R5983" s="44"/>
      <c r="S5983" s="44"/>
      <c r="T5983" s="44"/>
    </row>
    <row r="5984" spans="12:20" x14ac:dyDescent="0.2">
      <c r="L5984" s="43"/>
      <c r="M5984" s="43"/>
      <c r="N5984" s="43"/>
      <c r="O5984" s="43"/>
      <c r="Q5984" s="44"/>
      <c r="R5984" s="44"/>
      <c r="S5984" s="44"/>
      <c r="T5984" s="44"/>
    </row>
    <row r="5985" spans="12:20" x14ac:dyDescent="0.2">
      <c r="L5985" s="43"/>
      <c r="M5985" s="43"/>
      <c r="N5985" s="43"/>
      <c r="O5985" s="43"/>
      <c r="Q5985" s="44"/>
      <c r="R5985" s="44"/>
      <c r="S5985" s="44"/>
      <c r="T5985" s="44"/>
    </row>
    <row r="5986" spans="12:20" x14ac:dyDescent="0.2">
      <c r="L5986" s="43"/>
      <c r="M5986" s="43"/>
      <c r="N5986" s="43"/>
      <c r="O5986" s="43"/>
      <c r="Q5986" s="44"/>
      <c r="R5986" s="44"/>
      <c r="S5986" s="44"/>
      <c r="T5986" s="44"/>
    </row>
    <row r="5987" spans="12:20" x14ac:dyDescent="0.2">
      <c r="L5987" s="43"/>
      <c r="M5987" s="43"/>
      <c r="N5987" s="43"/>
      <c r="O5987" s="43"/>
      <c r="Q5987" s="44"/>
      <c r="R5987" s="44"/>
      <c r="S5987" s="44"/>
      <c r="T5987" s="44"/>
    </row>
    <row r="5988" spans="12:20" x14ac:dyDescent="0.2">
      <c r="L5988" s="43"/>
      <c r="M5988" s="43"/>
      <c r="N5988" s="43"/>
      <c r="O5988" s="43"/>
      <c r="Q5988" s="44"/>
      <c r="R5988" s="44"/>
      <c r="S5988" s="44"/>
      <c r="T5988" s="44"/>
    </row>
    <row r="5989" spans="12:20" x14ac:dyDescent="0.2">
      <c r="L5989" s="43"/>
      <c r="M5989" s="43"/>
      <c r="N5989" s="43"/>
      <c r="O5989" s="43"/>
      <c r="Q5989" s="44"/>
      <c r="R5989" s="44"/>
      <c r="S5989" s="44"/>
      <c r="T5989" s="44"/>
    </row>
    <row r="5990" spans="12:20" x14ac:dyDescent="0.2">
      <c r="L5990" s="43"/>
      <c r="M5990" s="43"/>
      <c r="N5990" s="43"/>
      <c r="O5990" s="43"/>
      <c r="Q5990" s="44"/>
      <c r="R5990" s="44"/>
      <c r="S5990" s="44"/>
      <c r="T5990" s="44"/>
    </row>
    <row r="5991" spans="12:20" x14ac:dyDescent="0.2">
      <c r="L5991" s="43"/>
      <c r="M5991" s="43"/>
      <c r="N5991" s="43"/>
      <c r="O5991" s="43"/>
      <c r="Q5991" s="44"/>
      <c r="R5991" s="44"/>
      <c r="S5991" s="44"/>
      <c r="T5991" s="44"/>
    </row>
    <row r="5992" spans="12:20" x14ac:dyDescent="0.2">
      <c r="L5992" s="43"/>
      <c r="M5992" s="43"/>
      <c r="N5992" s="43"/>
      <c r="O5992" s="43"/>
      <c r="Q5992" s="44"/>
      <c r="R5992" s="44"/>
      <c r="S5992" s="44"/>
      <c r="T5992" s="44"/>
    </row>
    <row r="5993" spans="12:20" x14ac:dyDescent="0.2">
      <c r="L5993" s="43"/>
      <c r="M5993" s="43"/>
      <c r="N5993" s="43"/>
      <c r="O5993" s="43"/>
      <c r="Q5993" s="44"/>
      <c r="R5993" s="44"/>
      <c r="S5993" s="44"/>
      <c r="T5993" s="44"/>
    </row>
    <row r="5994" spans="12:20" x14ac:dyDescent="0.2">
      <c r="L5994" s="43"/>
      <c r="M5994" s="43"/>
      <c r="N5994" s="43"/>
      <c r="O5994" s="43"/>
      <c r="Q5994" s="44"/>
      <c r="R5994" s="44"/>
      <c r="S5994" s="44"/>
      <c r="T5994" s="44"/>
    </row>
    <row r="5995" spans="12:20" x14ac:dyDescent="0.2">
      <c r="L5995" s="43"/>
      <c r="M5995" s="43"/>
      <c r="N5995" s="43"/>
      <c r="O5995" s="43"/>
      <c r="Q5995" s="44"/>
      <c r="R5995" s="44"/>
      <c r="S5995" s="44"/>
      <c r="T5995" s="44"/>
    </row>
    <row r="5996" spans="12:20" x14ac:dyDescent="0.2">
      <c r="L5996" s="43"/>
      <c r="M5996" s="43"/>
      <c r="N5996" s="43"/>
      <c r="O5996" s="43"/>
      <c r="Q5996" s="44"/>
      <c r="R5996" s="44"/>
      <c r="S5996" s="44"/>
      <c r="T5996" s="44"/>
    </row>
    <row r="5997" spans="12:20" x14ac:dyDescent="0.2">
      <c r="L5997" s="43"/>
      <c r="M5997" s="43"/>
      <c r="N5997" s="43"/>
      <c r="O5997" s="43"/>
      <c r="Q5997" s="44"/>
      <c r="R5997" s="44"/>
      <c r="S5997" s="44"/>
      <c r="T5997" s="44"/>
    </row>
    <row r="5998" spans="12:20" x14ac:dyDescent="0.2">
      <c r="L5998" s="43"/>
      <c r="M5998" s="43"/>
      <c r="N5998" s="43"/>
      <c r="O5998" s="43"/>
      <c r="Q5998" s="44"/>
      <c r="R5998" s="44"/>
      <c r="S5998" s="44"/>
      <c r="T5998" s="44"/>
    </row>
    <row r="5999" spans="12:20" x14ac:dyDescent="0.2">
      <c r="L5999" s="43"/>
      <c r="M5999" s="43"/>
      <c r="N5999" s="43"/>
      <c r="O5999" s="43"/>
      <c r="Q5999" s="44"/>
      <c r="R5999" s="44"/>
      <c r="S5999" s="44"/>
      <c r="T5999" s="44"/>
    </row>
    <row r="6000" spans="12:20" x14ac:dyDescent="0.2">
      <c r="L6000" s="43"/>
      <c r="M6000" s="43"/>
      <c r="N6000" s="43"/>
      <c r="O6000" s="43"/>
      <c r="Q6000" s="44"/>
      <c r="R6000" s="44"/>
      <c r="S6000" s="44"/>
      <c r="T6000" s="44"/>
    </row>
    <row r="6001" spans="12:20" x14ac:dyDescent="0.2">
      <c r="L6001" s="43"/>
      <c r="M6001" s="43"/>
      <c r="N6001" s="43"/>
      <c r="O6001" s="43"/>
      <c r="Q6001" s="44"/>
      <c r="R6001" s="44"/>
      <c r="S6001" s="44"/>
      <c r="T6001" s="44"/>
    </row>
    <row r="6002" spans="12:20" x14ac:dyDescent="0.2">
      <c r="L6002" s="43"/>
      <c r="M6002" s="43"/>
      <c r="N6002" s="43"/>
      <c r="O6002" s="43"/>
      <c r="Q6002" s="44"/>
      <c r="R6002" s="44"/>
      <c r="S6002" s="44"/>
      <c r="T6002" s="44"/>
    </row>
    <row r="6003" spans="12:20" x14ac:dyDescent="0.2">
      <c r="L6003" s="43"/>
      <c r="M6003" s="43"/>
      <c r="N6003" s="43"/>
      <c r="O6003" s="43"/>
      <c r="Q6003" s="44"/>
      <c r="R6003" s="44"/>
      <c r="S6003" s="44"/>
      <c r="T6003" s="44"/>
    </row>
    <row r="6004" spans="12:20" x14ac:dyDescent="0.2">
      <c r="L6004" s="43"/>
      <c r="M6004" s="43"/>
      <c r="N6004" s="43"/>
      <c r="O6004" s="43"/>
      <c r="Q6004" s="44"/>
      <c r="R6004" s="44"/>
      <c r="S6004" s="44"/>
      <c r="T6004" s="44"/>
    </row>
    <row r="6005" spans="12:20" x14ac:dyDescent="0.2">
      <c r="L6005" s="43"/>
      <c r="M6005" s="43"/>
      <c r="N6005" s="43"/>
      <c r="O6005" s="43"/>
      <c r="Q6005" s="44"/>
      <c r="R6005" s="44"/>
      <c r="S6005" s="44"/>
      <c r="T6005" s="44"/>
    </row>
    <row r="6006" spans="12:20" x14ac:dyDescent="0.2">
      <c r="L6006" s="43"/>
      <c r="M6006" s="43"/>
      <c r="N6006" s="43"/>
      <c r="O6006" s="43"/>
      <c r="Q6006" s="44"/>
      <c r="R6006" s="44"/>
      <c r="S6006" s="44"/>
      <c r="T6006" s="44"/>
    </row>
    <row r="6007" spans="12:20" x14ac:dyDescent="0.2">
      <c r="L6007" s="43"/>
      <c r="M6007" s="43"/>
      <c r="N6007" s="43"/>
      <c r="O6007" s="43"/>
      <c r="Q6007" s="44"/>
      <c r="R6007" s="44"/>
      <c r="S6007" s="44"/>
      <c r="T6007" s="44"/>
    </row>
    <row r="6008" spans="12:20" x14ac:dyDescent="0.2">
      <c r="L6008" s="43"/>
      <c r="M6008" s="43"/>
      <c r="N6008" s="43"/>
      <c r="O6008" s="43"/>
      <c r="Q6008" s="44"/>
      <c r="R6008" s="44"/>
      <c r="S6008" s="44"/>
      <c r="T6008" s="44"/>
    </row>
    <row r="6009" spans="12:20" x14ac:dyDescent="0.2">
      <c r="L6009" s="43"/>
      <c r="M6009" s="43"/>
      <c r="N6009" s="43"/>
      <c r="O6009" s="43"/>
      <c r="Q6009" s="44"/>
      <c r="R6009" s="44"/>
      <c r="S6009" s="44"/>
      <c r="T6009" s="44"/>
    </row>
    <row r="6010" spans="12:20" x14ac:dyDescent="0.2">
      <c r="L6010" s="43"/>
      <c r="M6010" s="43"/>
      <c r="N6010" s="43"/>
      <c r="O6010" s="43"/>
      <c r="Q6010" s="44"/>
      <c r="R6010" s="44"/>
      <c r="S6010" s="44"/>
      <c r="T6010" s="44"/>
    </row>
    <row r="6011" spans="12:20" x14ac:dyDescent="0.2">
      <c r="L6011" s="43"/>
      <c r="M6011" s="43"/>
      <c r="N6011" s="43"/>
      <c r="O6011" s="43"/>
      <c r="Q6011" s="44"/>
      <c r="R6011" s="44"/>
      <c r="S6011" s="44"/>
      <c r="T6011" s="44"/>
    </row>
    <row r="6012" spans="12:20" x14ac:dyDescent="0.2">
      <c r="L6012" s="43"/>
      <c r="M6012" s="43"/>
      <c r="N6012" s="43"/>
      <c r="O6012" s="43"/>
      <c r="Q6012" s="44"/>
      <c r="R6012" s="44"/>
      <c r="S6012" s="44"/>
      <c r="T6012" s="44"/>
    </row>
    <row r="6013" spans="12:20" x14ac:dyDescent="0.2">
      <c r="L6013" s="43"/>
      <c r="M6013" s="43"/>
      <c r="N6013" s="43"/>
      <c r="O6013" s="43"/>
      <c r="Q6013" s="44"/>
      <c r="R6013" s="44"/>
      <c r="S6013" s="44"/>
      <c r="T6013" s="44"/>
    </row>
    <row r="6014" spans="12:20" x14ac:dyDescent="0.2">
      <c r="L6014" s="43"/>
      <c r="M6014" s="43"/>
      <c r="N6014" s="43"/>
      <c r="O6014" s="43"/>
      <c r="Q6014" s="44"/>
      <c r="R6014" s="44"/>
      <c r="S6014" s="44"/>
      <c r="T6014" s="44"/>
    </row>
    <row r="6015" spans="12:20" x14ac:dyDescent="0.2">
      <c r="L6015" s="43"/>
      <c r="M6015" s="43"/>
      <c r="N6015" s="43"/>
      <c r="O6015" s="43"/>
      <c r="Q6015" s="44"/>
      <c r="R6015" s="44"/>
      <c r="S6015" s="44"/>
      <c r="T6015" s="44"/>
    </row>
    <row r="6016" spans="12:20" x14ac:dyDescent="0.2">
      <c r="L6016" s="43"/>
      <c r="M6016" s="43"/>
      <c r="N6016" s="43"/>
      <c r="O6016" s="43"/>
      <c r="Q6016" s="44"/>
      <c r="R6016" s="44"/>
      <c r="S6016" s="44"/>
      <c r="T6016" s="44"/>
    </row>
    <row r="6017" spans="12:20" x14ac:dyDescent="0.2">
      <c r="L6017" s="43"/>
      <c r="M6017" s="43"/>
      <c r="N6017" s="43"/>
      <c r="O6017" s="43"/>
      <c r="Q6017" s="44"/>
      <c r="R6017" s="44"/>
      <c r="S6017" s="44"/>
      <c r="T6017" s="44"/>
    </row>
    <row r="6018" spans="12:20" x14ac:dyDescent="0.2">
      <c r="L6018" s="43"/>
      <c r="M6018" s="43"/>
      <c r="N6018" s="43"/>
      <c r="O6018" s="43"/>
      <c r="Q6018" s="44"/>
      <c r="R6018" s="44"/>
      <c r="S6018" s="44"/>
      <c r="T6018" s="44"/>
    </row>
    <row r="6019" spans="12:20" x14ac:dyDescent="0.2">
      <c r="L6019" s="43"/>
      <c r="M6019" s="43"/>
      <c r="N6019" s="43"/>
      <c r="O6019" s="43"/>
      <c r="Q6019" s="44"/>
      <c r="R6019" s="44"/>
      <c r="S6019" s="44"/>
      <c r="T6019" s="44"/>
    </row>
    <row r="6020" spans="12:20" x14ac:dyDescent="0.2">
      <c r="L6020" s="43"/>
      <c r="M6020" s="43"/>
      <c r="N6020" s="43"/>
      <c r="O6020" s="43"/>
      <c r="Q6020" s="44"/>
      <c r="R6020" s="44"/>
      <c r="S6020" s="44"/>
      <c r="T6020" s="44"/>
    </row>
    <row r="6021" spans="12:20" x14ac:dyDescent="0.2">
      <c r="L6021" s="43"/>
      <c r="M6021" s="43"/>
      <c r="N6021" s="43"/>
      <c r="O6021" s="43"/>
      <c r="Q6021" s="44"/>
      <c r="R6021" s="44"/>
      <c r="S6021" s="44"/>
      <c r="T6021" s="44"/>
    </row>
    <row r="6022" spans="12:20" x14ac:dyDescent="0.2">
      <c r="L6022" s="43"/>
      <c r="M6022" s="43"/>
      <c r="N6022" s="43"/>
      <c r="O6022" s="43"/>
      <c r="Q6022" s="44"/>
      <c r="R6022" s="44"/>
      <c r="S6022" s="44"/>
      <c r="T6022" s="44"/>
    </row>
    <row r="6023" spans="12:20" x14ac:dyDescent="0.2">
      <c r="L6023" s="43"/>
      <c r="M6023" s="43"/>
      <c r="N6023" s="43"/>
      <c r="O6023" s="43"/>
      <c r="Q6023" s="44"/>
      <c r="R6023" s="44"/>
      <c r="S6023" s="44"/>
      <c r="T6023" s="44"/>
    </row>
    <row r="6024" spans="12:20" x14ac:dyDescent="0.2">
      <c r="L6024" s="43"/>
      <c r="M6024" s="43"/>
      <c r="N6024" s="43"/>
      <c r="O6024" s="43"/>
      <c r="Q6024" s="44"/>
      <c r="R6024" s="44"/>
      <c r="S6024" s="44"/>
      <c r="T6024" s="44"/>
    </row>
    <row r="6025" spans="12:20" x14ac:dyDescent="0.2">
      <c r="L6025" s="43"/>
      <c r="M6025" s="43"/>
      <c r="N6025" s="43"/>
      <c r="O6025" s="43"/>
      <c r="Q6025" s="44"/>
      <c r="R6025" s="44"/>
      <c r="S6025" s="44"/>
      <c r="T6025" s="44"/>
    </row>
    <row r="6026" spans="12:20" x14ac:dyDescent="0.2">
      <c r="L6026" s="43"/>
      <c r="M6026" s="43"/>
      <c r="N6026" s="43"/>
      <c r="O6026" s="43"/>
      <c r="Q6026" s="44"/>
      <c r="R6026" s="44"/>
      <c r="S6026" s="44"/>
      <c r="T6026" s="44"/>
    </row>
    <row r="6027" spans="12:20" x14ac:dyDescent="0.2">
      <c r="L6027" s="43"/>
      <c r="M6027" s="43"/>
      <c r="N6027" s="43"/>
      <c r="O6027" s="43"/>
      <c r="Q6027" s="44"/>
      <c r="R6027" s="44"/>
      <c r="S6027" s="44"/>
      <c r="T6027" s="44"/>
    </row>
    <row r="6028" spans="12:20" x14ac:dyDescent="0.2">
      <c r="L6028" s="43"/>
      <c r="M6028" s="43"/>
      <c r="N6028" s="43"/>
      <c r="O6028" s="43"/>
      <c r="Q6028" s="44"/>
      <c r="R6028" s="44"/>
      <c r="S6028" s="44"/>
      <c r="T6028" s="44"/>
    </row>
    <row r="6029" spans="12:20" x14ac:dyDescent="0.2">
      <c r="L6029" s="43"/>
      <c r="M6029" s="43"/>
      <c r="N6029" s="43"/>
      <c r="O6029" s="43"/>
      <c r="Q6029" s="44"/>
      <c r="R6029" s="44"/>
      <c r="S6029" s="44"/>
      <c r="T6029" s="44"/>
    </row>
    <row r="6030" spans="12:20" x14ac:dyDescent="0.2">
      <c r="L6030" s="43"/>
      <c r="M6030" s="43"/>
      <c r="N6030" s="43"/>
      <c r="O6030" s="43"/>
      <c r="Q6030" s="44"/>
      <c r="R6030" s="44"/>
      <c r="S6030" s="44"/>
      <c r="T6030" s="44"/>
    </row>
    <row r="6031" spans="12:20" x14ac:dyDescent="0.2">
      <c r="L6031" s="43"/>
      <c r="M6031" s="43"/>
      <c r="N6031" s="43"/>
      <c r="O6031" s="43"/>
      <c r="Q6031" s="44"/>
      <c r="R6031" s="44"/>
      <c r="S6031" s="44"/>
      <c r="T6031" s="44"/>
    </row>
    <row r="6032" spans="12:20" x14ac:dyDescent="0.2">
      <c r="L6032" s="43"/>
      <c r="M6032" s="43"/>
      <c r="N6032" s="43"/>
      <c r="O6032" s="43"/>
      <c r="Q6032" s="44"/>
      <c r="R6032" s="44"/>
      <c r="S6032" s="44"/>
      <c r="T6032" s="44"/>
    </row>
    <row r="6033" spans="12:20" x14ac:dyDescent="0.2">
      <c r="L6033" s="43"/>
      <c r="M6033" s="43"/>
      <c r="N6033" s="43"/>
      <c r="O6033" s="43"/>
      <c r="Q6033" s="44"/>
      <c r="R6033" s="44"/>
      <c r="S6033" s="44"/>
      <c r="T6033" s="44"/>
    </row>
    <row r="6034" spans="12:20" x14ac:dyDescent="0.2">
      <c r="L6034" s="43"/>
      <c r="M6034" s="43"/>
      <c r="N6034" s="43"/>
      <c r="O6034" s="43"/>
      <c r="Q6034" s="44"/>
      <c r="R6034" s="44"/>
      <c r="S6034" s="44"/>
      <c r="T6034" s="44"/>
    </row>
    <row r="6035" spans="12:20" x14ac:dyDescent="0.2">
      <c r="L6035" s="43"/>
      <c r="M6035" s="43"/>
      <c r="N6035" s="43"/>
      <c r="O6035" s="43"/>
      <c r="Q6035" s="44"/>
      <c r="R6035" s="44"/>
      <c r="S6035" s="44"/>
      <c r="T6035" s="44"/>
    </row>
    <row r="6036" spans="12:20" x14ac:dyDescent="0.2">
      <c r="L6036" s="43"/>
      <c r="M6036" s="43"/>
      <c r="N6036" s="43"/>
      <c r="O6036" s="43"/>
      <c r="Q6036" s="44"/>
      <c r="R6036" s="44"/>
      <c r="S6036" s="44"/>
      <c r="T6036" s="44"/>
    </row>
    <row r="6037" spans="12:20" x14ac:dyDescent="0.2">
      <c r="L6037" s="43"/>
      <c r="M6037" s="43"/>
      <c r="N6037" s="43"/>
      <c r="O6037" s="43"/>
      <c r="Q6037" s="44"/>
      <c r="R6037" s="44"/>
      <c r="S6037" s="44"/>
      <c r="T6037" s="44"/>
    </row>
    <row r="6038" spans="12:20" x14ac:dyDescent="0.2">
      <c r="L6038" s="43"/>
      <c r="M6038" s="43"/>
      <c r="N6038" s="43"/>
      <c r="O6038" s="43"/>
      <c r="Q6038" s="44"/>
      <c r="R6038" s="44"/>
      <c r="S6038" s="44"/>
      <c r="T6038" s="44"/>
    </row>
    <row r="6039" spans="12:20" x14ac:dyDescent="0.2">
      <c r="L6039" s="43"/>
      <c r="M6039" s="43"/>
      <c r="N6039" s="43"/>
      <c r="O6039" s="43"/>
      <c r="Q6039" s="44"/>
      <c r="R6039" s="44"/>
      <c r="S6039" s="44"/>
      <c r="T6039" s="44"/>
    </row>
    <row r="6040" spans="12:20" x14ac:dyDescent="0.2">
      <c r="L6040" s="43"/>
      <c r="M6040" s="43"/>
      <c r="N6040" s="43"/>
      <c r="O6040" s="43"/>
      <c r="Q6040" s="44"/>
      <c r="R6040" s="44"/>
      <c r="S6040" s="44"/>
      <c r="T6040" s="44"/>
    </row>
    <row r="6041" spans="12:20" x14ac:dyDescent="0.2">
      <c r="L6041" s="43"/>
      <c r="M6041" s="43"/>
      <c r="N6041" s="43"/>
      <c r="O6041" s="43"/>
      <c r="Q6041" s="44"/>
      <c r="R6041" s="44"/>
      <c r="S6041" s="44"/>
      <c r="T6041" s="44"/>
    </row>
    <row r="6042" spans="12:20" x14ac:dyDescent="0.2">
      <c r="L6042" s="43"/>
      <c r="M6042" s="43"/>
      <c r="N6042" s="43"/>
      <c r="O6042" s="43"/>
      <c r="Q6042" s="44"/>
      <c r="R6042" s="44"/>
      <c r="S6042" s="44"/>
      <c r="T6042" s="44"/>
    </row>
    <row r="6043" spans="12:20" x14ac:dyDescent="0.2">
      <c r="L6043" s="43"/>
      <c r="M6043" s="43"/>
      <c r="N6043" s="43"/>
      <c r="O6043" s="43"/>
      <c r="Q6043" s="44"/>
      <c r="R6043" s="44"/>
      <c r="S6043" s="44"/>
      <c r="T6043" s="44"/>
    </row>
    <row r="6044" spans="12:20" x14ac:dyDescent="0.2">
      <c r="L6044" s="43"/>
      <c r="M6044" s="43"/>
      <c r="N6044" s="43"/>
      <c r="O6044" s="43"/>
      <c r="Q6044" s="44"/>
      <c r="R6044" s="44"/>
      <c r="S6044" s="44"/>
      <c r="T6044" s="44"/>
    </row>
    <row r="6045" spans="12:20" x14ac:dyDescent="0.2">
      <c r="L6045" s="43"/>
      <c r="M6045" s="43"/>
      <c r="N6045" s="43"/>
      <c r="O6045" s="43"/>
      <c r="Q6045" s="44"/>
      <c r="R6045" s="44"/>
      <c r="S6045" s="44"/>
      <c r="T6045" s="44"/>
    </row>
    <row r="6046" spans="12:20" x14ac:dyDescent="0.2">
      <c r="L6046" s="43"/>
      <c r="M6046" s="43"/>
      <c r="N6046" s="43"/>
      <c r="O6046" s="43"/>
      <c r="Q6046" s="44"/>
      <c r="R6046" s="44"/>
      <c r="S6046" s="44"/>
      <c r="T6046" s="44"/>
    </row>
    <row r="6047" spans="12:20" x14ac:dyDescent="0.2">
      <c r="L6047" s="43"/>
      <c r="M6047" s="43"/>
      <c r="N6047" s="43"/>
      <c r="O6047" s="43"/>
      <c r="Q6047" s="44"/>
      <c r="R6047" s="44"/>
      <c r="S6047" s="44"/>
      <c r="T6047" s="44"/>
    </row>
    <row r="6048" spans="12:20" x14ac:dyDescent="0.2">
      <c r="L6048" s="43"/>
      <c r="M6048" s="43"/>
      <c r="N6048" s="43"/>
      <c r="O6048" s="43"/>
      <c r="Q6048" s="44"/>
      <c r="R6048" s="44"/>
      <c r="S6048" s="44"/>
      <c r="T6048" s="44"/>
    </row>
    <row r="6049" spans="12:20" x14ac:dyDescent="0.2">
      <c r="L6049" s="43"/>
      <c r="M6049" s="43"/>
      <c r="N6049" s="43"/>
      <c r="O6049" s="43"/>
      <c r="Q6049" s="44"/>
      <c r="R6049" s="44"/>
      <c r="S6049" s="44"/>
      <c r="T6049" s="44"/>
    </row>
    <row r="6050" spans="12:20" x14ac:dyDescent="0.2">
      <c r="L6050" s="43"/>
      <c r="M6050" s="43"/>
      <c r="N6050" s="43"/>
      <c r="O6050" s="43"/>
      <c r="Q6050" s="44"/>
      <c r="R6050" s="44"/>
      <c r="S6050" s="44"/>
      <c r="T6050" s="44"/>
    </row>
    <row r="6051" spans="12:20" x14ac:dyDescent="0.2">
      <c r="L6051" s="43"/>
      <c r="M6051" s="43"/>
      <c r="N6051" s="43"/>
      <c r="O6051" s="43"/>
      <c r="Q6051" s="44"/>
      <c r="R6051" s="44"/>
      <c r="S6051" s="44"/>
      <c r="T6051" s="44"/>
    </row>
    <row r="6052" spans="12:20" x14ac:dyDescent="0.2">
      <c r="L6052" s="43"/>
      <c r="M6052" s="43"/>
      <c r="N6052" s="43"/>
      <c r="O6052" s="43"/>
      <c r="Q6052" s="44"/>
      <c r="R6052" s="44"/>
      <c r="S6052" s="44"/>
      <c r="T6052" s="44"/>
    </row>
    <row r="6053" spans="12:20" x14ac:dyDescent="0.2">
      <c r="L6053" s="43"/>
      <c r="M6053" s="43"/>
      <c r="N6053" s="43"/>
      <c r="O6053" s="43"/>
      <c r="Q6053" s="44"/>
      <c r="R6053" s="44"/>
      <c r="S6053" s="44"/>
      <c r="T6053" s="44"/>
    </row>
    <row r="6054" spans="12:20" x14ac:dyDescent="0.2">
      <c r="L6054" s="43"/>
      <c r="M6054" s="43"/>
      <c r="N6054" s="43"/>
      <c r="O6054" s="43"/>
      <c r="Q6054" s="44"/>
      <c r="R6054" s="44"/>
      <c r="S6054" s="44"/>
      <c r="T6054" s="44"/>
    </row>
    <row r="6055" spans="12:20" x14ac:dyDescent="0.2">
      <c r="L6055" s="43"/>
      <c r="M6055" s="43"/>
      <c r="N6055" s="43"/>
      <c r="O6055" s="43"/>
      <c r="Q6055" s="44"/>
      <c r="R6055" s="44"/>
      <c r="S6055" s="44"/>
      <c r="T6055" s="44"/>
    </row>
    <row r="6056" spans="12:20" x14ac:dyDescent="0.2">
      <c r="L6056" s="43"/>
      <c r="M6056" s="43"/>
      <c r="N6056" s="43"/>
      <c r="O6056" s="43"/>
      <c r="Q6056" s="44"/>
      <c r="R6056" s="44"/>
      <c r="S6056" s="44"/>
      <c r="T6056" s="44"/>
    </row>
    <row r="6057" spans="12:20" x14ac:dyDescent="0.2">
      <c r="L6057" s="43"/>
      <c r="M6057" s="43"/>
      <c r="N6057" s="43"/>
      <c r="O6057" s="43"/>
      <c r="Q6057" s="44"/>
      <c r="R6057" s="44"/>
      <c r="S6057" s="44"/>
      <c r="T6057" s="44"/>
    </row>
    <row r="6058" spans="12:20" x14ac:dyDescent="0.2">
      <c r="L6058" s="43"/>
      <c r="M6058" s="43"/>
      <c r="N6058" s="43"/>
      <c r="O6058" s="43"/>
      <c r="Q6058" s="44"/>
      <c r="R6058" s="44"/>
      <c r="S6058" s="44"/>
      <c r="T6058" s="44"/>
    </row>
    <row r="6059" spans="12:20" x14ac:dyDescent="0.2">
      <c r="L6059" s="43"/>
      <c r="M6059" s="43"/>
      <c r="N6059" s="43"/>
      <c r="O6059" s="43"/>
      <c r="Q6059" s="44"/>
      <c r="R6059" s="44"/>
      <c r="S6059" s="44"/>
      <c r="T6059" s="44"/>
    </row>
    <row r="6060" spans="12:20" x14ac:dyDescent="0.2">
      <c r="L6060" s="43"/>
      <c r="M6060" s="43"/>
      <c r="N6060" s="43"/>
      <c r="O6060" s="43"/>
      <c r="Q6060" s="44"/>
      <c r="R6060" s="44"/>
      <c r="S6060" s="44"/>
      <c r="T6060" s="44"/>
    </row>
    <row r="6061" spans="12:20" x14ac:dyDescent="0.2">
      <c r="L6061" s="43"/>
      <c r="M6061" s="43"/>
      <c r="N6061" s="43"/>
      <c r="O6061" s="43"/>
      <c r="Q6061" s="44"/>
      <c r="R6061" s="44"/>
      <c r="S6061" s="44"/>
      <c r="T6061" s="44"/>
    </row>
    <row r="6062" spans="12:20" x14ac:dyDescent="0.2">
      <c r="L6062" s="43"/>
      <c r="M6062" s="43"/>
      <c r="N6062" s="43"/>
      <c r="O6062" s="43"/>
      <c r="Q6062" s="44"/>
      <c r="R6062" s="44"/>
      <c r="S6062" s="44"/>
      <c r="T6062" s="44"/>
    </row>
    <row r="6063" spans="12:20" x14ac:dyDescent="0.2">
      <c r="L6063" s="43"/>
      <c r="M6063" s="43"/>
      <c r="N6063" s="43"/>
      <c r="O6063" s="43"/>
      <c r="Q6063" s="44"/>
      <c r="R6063" s="44"/>
      <c r="S6063" s="44"/>
      <c r="T6063" s="44"/>
    </row>
    <row r="6064" spans="12:20" x14ac:dyDescent="0.2">
      <c r="L6064" s="43"/>
      <c r="M6064" s="43"/>
      <c r="N6064" s="43"/>
      <c r="O6064" s="43"/>
      <c r="Q6064" s="44"/>
      <c r="R6064" s="44"/>
      <c r="S6064" s="44"/>
      <c r="T6064" s="44"/>
    </row>
    <row r="6065" spans="12:20" x14ac:dyDescent="0.2">
      <c r="L6065" s="43"/>
      <c r="M6065" s="43"/>
      <c r="N6065" s="43"/>
      <c r="O6065" s="43"/>
      <c r="Q6065" s="44"/>
      <c r="R6065" s="44"/>
      <c r="S6065" s="44"/>
      <c r="T6065" s="44"/>
    </row>
    <row r="6066" spans="12:20" x14ac:dyDescent="0.2">
      <c r="L6066" s="43"/>
      <c r="M6066" s="43"/>
      <c r="N6066" s="43"/>
      <c r="O6066" s="43"/>
      <c r="Q6066" s="44"/>
      <c r="R6066" s="44"/>
      <c r="S6066" s="44"/>
      <c r="T6066" s="44"/>
    </row>
    <row r="6067" spans="12:20" x14ac:dyDescent="0.2">
      <c r="L6067" s="43"/>
      <c r="M6067" s="43"/>
      <c r="N6067" s="43"/>
      <c r="O6067" s="43"/>
      <c r="Q6067" s="44"/>
      <c r="R6067" s="44"/>
      <c r="S6067" s="44"/>
      <c r="T6067" s="44"/>
    </row>
    <row r="6068" spans="12:20" x14ac:dyDescent="0.2">
      <c r="L6068" s="43"/>
      <c r="M6068" s="43"/>
      <c r="N6068" s="43"/>
      <c r="O6068" s="43"/>
      <c r="Q6068" s="44"/>
      <c r="R6068" s="44"/>
      <c r="S6068" s="44"/>
      <c r="T6068" s="44"/>
    </row>
    <row r="6069" spans="12:20" x14ac:dyDescent="0.2">
      <c r="L6069" s="43"/>
      <c r="M6069" s="43"/>
      <c r="N6069" s="43"/>
      <c r="O6069" s="43"/>
      <c r="Q6069" s="44"/>
      <c r="R6069" s="44"/>
      <c r="S6069" s="44"/>
      <c r="T6069" s="44"/>
    </row>
    <row r="6070" spans="12:20" x14ac:dyDescent="0.2">
      <c r="L6070" s="43"/>
      <c r="M6070" s="43"/>
      <c r="N6070" s="43"/>
      <c r="O6070" s="43"/>
      <c r="Q6070" s="44"/>
      <c r="R6070" s="44"/>
      <c r="S6070" s="44"/>
      <c r="T6070" s="44"/>
    </row>
    <row r="6071" spans="12:20" x14ac:dyDescent="0.2">
      <c r="L6071" s="43"/>
      <c r="M6071" s="43"/>
      <c r="N6071" s="43"/>
      <c r="O6071" s="43"/>
      <c r="Q6071" s="44"/>
      <c r="R6071" s="44"/>
      <c r="S6071" s="44"/>
      <c r="T6071" s="44"/>
    </row>
    <row r="6072" spans="12:20" x14ac:dyDescent="0.2">
      <c r="L6072" s="43"/>
      <c r="M6072" s="43"/>
      <c r="N6072" s="43"/>
      <c r="O6072" s="43"/>
      <c r="Q6072" s="44"/>
      <c r="R6072" s="44"/>
      <c r="S6072" s="44"/>
      <c r="T6072" s="44"/>
    </row>
    <row r="6073" spans="12:20" x14ac:dyDescent="0.2">
      <c r="L6073" s="43"/>
      <c r="M6073" s="43"/>
      <c r="N6073" s="43"/>
      <c r="O6073" s="43"/>
      <c r="Q6073" s="44"/>
      <c r="R6073" s="44"/>
      <c r="S6073" s="44"/>
      <c r="T6073" s="44"/>
    </row>
    <row r="6074" spans="12:20" x14ac:dyDescent="0.2">
      <c r="L6074" s="43"/>
      <c r="M6074" s="43"/>
      <c r="N6074" s="43"/>
      <c r="O6074" s="43"/>
      <c r="Q6074" s="44"/>
      <c r="R6074" s="44"/>
      <c r="S6074" s="44"/>
      <c r="T6074" s="44"/>
    </row>
    <row r="6075" spans="12:20" x14ac:dyDescent="0.2">
      <c r="L6075" s="43"/>
      <c r="M6075" s="43"/>
      <c r="N6075" s="43"/>
      <c r="O6075" s="43"/>
      <c r="Q6075" s="44"/>
      <c r="R6075" s="44"/>
      <c r="S6075" s="44"/>
      <c r="T6075" s="44"/>
    </row>
    <row r="6076" spans="12:20" x14ac:dyDescent="0.2">
      <c r="L6076" s="43"/>
      <c r="M6076" s="43"/>
      <c r="N6076" s="43"/>
      <c r="O6076" s="43"/>
      <c r="Q6076" s="44"/>
      <c r="R6076" s="44"/>
      <c r="S6076" s="44"/>
      <c r="T6076" s="44"/>
    </row>
    <row r="6077" spans="12:20" x14ac:dyDescent="0.2">
      <c r="L6077" s="43"/>
      <c r="M6077" s="43"/>
      <c r="N6077" s="43"/>
      <c r="O6077" s="43"/>
      <c r="Q6077" s="44"/>
      <c r="R6077" s="44"/>
      <c r="S6077" s="44"/>
      <c r="T6077" s="44"/>
    </row>
    <row r="6078" spans="12:20" x14ac:dyDescent="0.2">
      <c r="L6078" s="43"/>
      <c r="M6078" s="43"/>
      <c r="N6078" s="43"/>
      <c r="O6078" s="43"/>
      <c r="Q6078" s="44"/>
      <c r="R6078" s="44"/>
      <c r="S6078" s="44"/>
      <c r="T6078" s="44"/>
    </row>
    <row r="6079" spans="12:20" x14ac:dyDescent="0.2">
      <c r="L6079" s="43"/>
      <c r="M6079" s="43"/>
      <c r="N6079" s="43"/>
      <c r="O6079" s="43"/>
      <c r="Q6079" s="44"/>
      <c r="R6079" s="44"/>
      <c r="S6079" s="44"/>
      <c r="T6079" s="44"/>
    </row>
    <row r="6080" spans="12:20" x14ac:dyDescent="0.2">
      <c r="L6080" s="43"/>
      <c r="M6080" s="43"/>
      <c r="N6080" s="43"/>
      <c r="O6080" s="43"/>
      <c r="Q6080" s="44"/>
      <c r="R6080" s="44"/>
      <c r="S6080" s="44"/>
      <c r="T6080" s="44"/>
    </row>
    <row r="6081" spans="12:20" x14ac:dyDescent="0.2">
      <c r="L6081" s="43"/>
      <c r="M6081" s="43"/>
      <c r="N6081" s="43"/>
      <c r="O6081" s="43"/>
      <c r="Q6081" s="44"/>
      <c r="R6081" s="44"/>
      <c r="S6081" s="44"/>
      <c r="T6081" s="44"/>
    </row>
    <row r="6082" spans="12:20" x14ac:dyDescent="0.2">
      <c r="L6082" s="43"/>
      <c r="M6082" s="43"/>
      <c r="N6082" s="43"/>
      <c r="O6082" s="43"/>
      <c r="Q6082" s="44"/>
      <c r="R6082" s="44"/>
      <c r="S6082" s="44"/>
      <c r="T6082" s="44"/>
    </row>
    <row r="6083" spans="12:20" x14ac:dyDescent="0.2">
      <c r="L6083" s="43"/>
      <c r="M6083" s="43"/>
      <c r="N6083" s="43"/>
      <c r="O6083" s="43"/>
      <c r="Q6083" s="44"/>
      <c r="R6083" s="44"/>
      <c r="S6083" s="44"/>
      <c r="T6083" s="44"/>
    </row>
    <row r="6084" spans="12:20" x14ac:dyDescent="0.2">
      <c r="L6084" s="43"/>
      <c r="M6084" s="43"/>
      <c r="N6084" s="43"/>
      <c r="O6084" s="43"/>
      <c r="Q6084" s="44"/>
      <c r="R6084" s="44"/>
      <c r="S6084" s="44"/>
      <c r="T6084" s="44"/>
    </row>
    <row r="6085" spans="12:20" x14ac:dyDescent="0.2">
      <c r="L6085" s="43"/>
      <c r="M6085" s="43"/>
      <c r="N6085" s="43"/>
      <c r="O6085" s="43"/>
      <c r="Q6085" s="44"/>
      <c r="R6085" s="44"/>
      <c r="S6085" s="44"/>
      <c r="T6085" s="44"/>
    </row>
    <row r="6086" spans="12:20" x14ac:dyDescent="0.2">
      <c r="L6086" s="43"/>
      <c r="M6086" s="43"/>
      <c r="N6086" s="43"/>
      <c r="O6086" s="43"/>
      <c r="Q6086" s="44"/>
      <c r="R6086" s="44"/>
      <c r="S6086" s="44"/>
      <c r="T6086" s="44"/>
    </row>
    <row r="6087" spans="12:20" x14ac:dyDescent="0.2">
      <c r="L6087" s="43"/>
      <c r="M6087" s="43"/>
      <c r="N6087" s="43"/>
      <c r="O6087" s="43"/>
      <c r="Q6087" s="44"/>
      <c r="R6087" s="44"/>
      <c r="S6087" s="44"/>
      <c r="T6087" s="44"/>
    </row>
    <row r="6088" spans="12:20" x14ac:dyDescent="0.2">
      <c r="L6088" s="43"/>
      <c r="M6088" s="43"/>
      <c r="N6088" s="43"/>
      <c r="O6088" s="43"/>
      <c r="Q6088" s="44"/>
      <c r="R6088" s="44"/>
      <c r="S6088" s="44"/>
      <c r="T6088" s="44"/>
    </row>
    <row r="6089" spans="12:20" x14ac:dyDescent="0.2">
      <c r="L6089" s="43"/>
      <c r="M6089" s="43"/>
      <c r="N6089" s="43"/>
      <c r="O6089" s="43"/>
      <c r="Q6089" s="44"/>
      <c r="R6089" s="44"/>
      <c r="S6089" s="44"/>
      <c r="T6089" s="44"/>
    </row>
    <row r="6090" spans="12:20" x14ac:dyDescent="0.2">
      <c r="L6090" s="43"/>
      <c r="M6090" s="43"/>
      <c r="N6090" s="43"/>
      <c r="O6090" s="43"/>
      <c r="Q6090" s="44"/>
      <c r="R6090" s="44"/>
      <c r="S6090" s="44"/>
      <c r="T6090" s="44"/>
    </row>
    <row r="6091" spans="12:20" x14ac:dyDescent="0.2">
      <c r="L6091" s="43"/>
      <c r="M6091" s="43"/>
      <c r="N6091" s="43"/>
      <c r="O6091" s="43"/>
      <c r="Q6091" s="44"/>
      <c r="R6091" s="44"/>
      <c r="S6091" s="44"/>
      <c r="T6091" s="44"/>
    </row>
    <row r="6092" spans="12:20" x14ac:dyDescent="0.2">
      <c r="L6092" s="43"/>
      <c r="M6092" s="43"/>
      <c r="N6092" s="43"/>
      <c r="O6092" s="43"/>
      <c r="Q6092" s="44"/>
      <c r="R6092" s="44"/>
      <c r="S6092" s="44"/>
      <c r="T6092" s="44"/>
    </row>
    <row r="6093" spans="12:20" x14ac:dyDescent="0.2">
      <c r="L6093" s="43"/>
      <c r="M6093" s="43"/>
      <c r="N6093" s="43"/>
      <c r="O6093" s="43"/>
      <c r="Q6093" s="44"/>
      <c r="R6093" s="44"/>
      <c r="S6093" s="44"/>
      <c r="T6093" s="44"/>
    </row>
    <row r="6094" spans="12:20" x14ac:dyDescent="0.2">
      <c r="L6094" s="43"/>
      <c r="M6094" s="43"/>
      <c r="N6094" s="43"/>
      <c r="O6094" s="43"/>
      <c r="Q6094" s="44"/>
      <c r="R6094" s="44"/>
      <c r="S6094" s="44"/>
      <c r="T6094" s="44"/>
    </row>
    <row r="6095" spans="12:20" x14ac:dyDescent="0.2">
      <c r="L6095" s="43"/>
      <c r="M6095" s="43"/>
      <c r="N6095" s="43"/>
      <c r="O6095" s="43"/>
      <c r="Q6095" s="44"/>
      <c r="R6095" s="44"/>
      <c r="S6095" s="44"/>
      <c r="T6095" s="44"/>
    </row>
    <row r="6096" spans="12:20" x14ac:dyDescent="0.2">
      <c r="L6096" s="43"/>
      <c r="M6096" s="43"/>
      <c r="N6096" s="43"/>
      <c r="O6096" s="43"/>
      <c r="Q6096" s="44"/>
      <c r="R6096" s="44"/>
      <c r="S6096" s="44"/>
      <c r="T6096" s="44"/>
    </row>
    <row r="6097" spans="12:20" x14ac:dyDescent="0.2">
      <c r="L6097" s="43"/>
      <c r="M6097" s="43"/>
      <c r="N6097" s="43"/>
      <c r="O6097" s="43"/>
      <c r="Q6097" s="44"/>
      <c r="R6097" s="44"/>
      <c r="S6097" s="44"/>
      <c r="T6097" s="44"/>
    </row>
    <row r="6098" spans="12:20" x14ac:dyDescent="0.2">
      <c r="L6098" s="43"/>
      <c r="M6098" s="43"/>
      <c r="N6098" s="43"/>
      <c r="O6098" s="43"/>
      <c r="Q6098" s="44"/>
      <c r="R6098" s="44"/>
      <c r="S6098" s="44"/>
      <c r="T6098" s="44"/>
    </row>
    <row r="6099" spans="12:20" x14ac:dyDescent="0.2">
      <c r="L6099" s="43"/>
      <c r="M6099" s="43"/>
      <c r="N6099" s="43"/>
      <c r="O6099" s="43"/>
      <c r="Q6099" s="44"/>
      <c r="R6099" s="44"/>
      <c r="S6099" s="44"/>
      <c r="T6099" s="44"/>
    </row>
    <row r="6100" spans="12:20" x14ac:dyDescent="0.2">
      <c r="L6100" s="43"/>
      <c r="M6100" s="43"/>
      <c r="N6100" s="43"/>
      <c r="O6100" s="43"/>
      <c r="Q6100" s="44"/>
      <c r="R6100" s="44"/>
      <c r="S6100" s="44"/>
      <c r="T6100" s="44"/>
    </row>
    <row r="6101" spans="12:20" x14ac:dyDescent="0.2">
      <c r="L6101" s="43"/>
      <c r="M6101" s="43"/>
      <c r="N6101" s="43"/>
      <c r="O6101" s="43"/>
      <c r="Q6101" s="44"/>
      <c r="R6101" s="44"/>
      <c r="S6101" s="44"/>
      <c r="T6101" s="44"/>
    </row>
    <row r="6102" spans="12:20" x14ac:dyDescent="0.2">
      <c r="L6102" s="43"/>
      <c r="M6102" s="43"/>
      <c r="N6102" s="43"/>
      <c r="O6102" s="43"/>
      <c r="Q6102" s="44"/>
      <c r="R6102" s="44"/>
      <c r="S6102" s="44"/>
      <c r="T6102" s="44"/>
    </row>
    <row r="6103" spans="12:20" x14ac:dyDescent="0.2">
      <c r="L6103" s="43"/>
      <c r="M6103" s="43"/>
      <c r="N6103" s="43"/>
      <c r="O6103" s="43"/>
      <c r="Q6103" s="44"/>
      <c r="R6103" s="44"/>
      <c r="S6103" s="44"/>
      <c r="T6103" s="44"/>
    </row>
    <row r="6104" spans="12:20" x14ac:dyDescent="0.2">
      <c r="L6104" s="43"/>
      <c r="M6104" s="43"/>
      <c r="N6104" s="43"/>
      <c r="O6104" s="43"/>
      <c r="Q6104" s="44"/>
      <c r="R6104" s="44"/>
      <c r="S6104" s="44"/>
      <c r="T6104" s="44"/>
    </row>
    <row r="6105" spans="12:20" x14ac:dyDescent="0.2">
      <c r="L6105" s="43"/>
      <c r="M6105" s="43"/>
      <c r="N6105" s="43"/>
      <c r="O6105" s="43"/>
      <c r="Q6105" s="44"/>
      <c r="R6105" s="44"/>
      <c r="S6105" s="44"/>
      <c r="T6105" s="44"/>
    </row>
    <row r="6106" spans="12:20" x14ac:dyDescent="0.2">
      <c r="L6106" s="43"/>
      <c r="M6106" s="43"/>
      <c r="N6106" s="43"/>
      <c r="O6106" s="43"/>
      <c r="Q6106" s="44"/>
      <c r="R6106" s="44"/>
      <c r="S6106" s="44"/>
      <c r="T6106" s="44"/>
    </row>
    <row r="6107" spans="12:20" x14ac:dyDescent="0.2">
      <c r="L6107" s="43"/>
      <c r="M6107" s="43"/>
      <c r="N6107" s="43"/>
      <c r="O6107" s="43"/>
      <c r="Q6107" s="44"/>
      <c r="R6107" s="44"/>
      <c r="S6107" s="44"/>
      <c r="T6107" s="44"/>
    </row>
    <row r="6108" spans="12:20" x14ac:dyDescent="0.2">
      <c r="L6108" s="43"/>
      <c r="M6108" s="43"/>
      <c r="N6108" s="43"/>
      <c r="O6108" s="43"/>
      <c r="Q6108" s="44"/>
      <c r="R6108" s="44"/>
      <c r="S6108" s="44"/>
      <c r="T6108" s="44"/>
    </row>
    <row r="6109" spans="12:20" x14ac:dyDescent="0.2">
      <c r="L6109" s="43"/>
      <c r="M6109" s="43"/>
      <c r="N6109" s="43"/>
      <c r="O6109" s="43"/>
      <c r="Q6109" s="44"/>
      <c r="R6109" s="44"/>
      <c r="S6109" s="44"/>
      <c r="T6109" s="44"/>
    </row>
    <row r="6110" spans="12:20" x14ac:dyDescent="0.2">
      <c r="L6110" s="43"/>
      <c r="M6110" s="43"/>
      <c r="N6110" s="43"/>
      <c r="O6110" s="43"/>
      <c r="Q6110" s="44"/>
      <c r="R6110" s="44"/>
      <c r="S6110" s="44"/>
      <c r="T6110" s="44"/>
    </row>
    <row r="6111" spans="12:20" x14ac:dyDescent="0.2">
      <c r="L6111" s="43"/>
      <c r="M6111" s="43"/>
      <c r="N6111" s="43"/>
      <c r="O6111" s="43"/>
      <c r="Q6111" s="44"/>
      <c r="R6111" s="44"/>
      <c r="S6111" s="44"/>
      <c r="T6111" s="44"/>
    </row>
    <row r="6112" spans="12:20" x14ac:dyDescent="0.2">
      <c r="L6112" s="43"/>
      <c r="M6112" s="43"/>
      <c r="N6112" s="43"/>
      <c r="O6112" s="43"/>
      <c r="Q6112" s="44"/>
      <c r="R6112" s="44"/>
      <c r="S6112" s="44"/>
      <c r="T6112" s="44"/>
    </row>
    <row r="6113" spans="12:20" x14ac:dyDescent="0.2">
      <c r="L6113" s="43"/>
      <c r="M6113" s="43"/>
      <c r="N6113" s="43"/>
      <c r="O6113" s="43"/>
      <c r="Q6113" s="44"/>
      <c r="R6113" s="44"/>
      <c r="S6113" s="44"/>
      <c r="T6113" s="44"/>
    </row>
    <row r="6114" spans="12:20" x14ac:dyDescent="0.2">
      <c r="L6114" s="43"/>
      <c r="M6114" s="43"/>
      <c r="N6114" s="43"/>
      <c r="O6114" s="43"/>
      <c r="Q6114" s="44"/>
      <c r="R6114" s="44"/>
      <c r="S6114" s="44"/>
      <c r="T6114" s="44"/>
    </row>
    <row r="6115" spans="12:20" x14ac:dyDescent="0.2">
      <c r="L6115" s="43"/>
      <c r="M6115" s="43"/>
      <c r="N6115" s="43"/>
      <c r="O6115" s="43"/>
      <c r="Q6115" s="44"/>
      <c r="R6115" s="44"/>
      <c r="S6115" s="44"/>
      <c r="T6115" s="44"/>
    </row>
    <row r="6116" spans="12:20" x14ac:dyDescent="0.2">
      <c r="L6116" s="43"/>
      <c r="M6116" s="43"/>
      <c r="N6116" s="43"/>
      <c r="O6116" s="43"/>
      <c r="Q6116" s="44"/>
      <c r="R6116" s="44"/>
      <c r="S6116" s="44"/>
      <c r="T6116" s="44"/>
    </row>
    <row r="6117" spans="12:20" x14ac:dyDescent="0.2">
      <c r="L6117" s="43"/>
      <c r="M6117" s="43"/>
      <c r="N6117" s="43"/>
      <c r="O6117" s="43"/>
      <c r="Q6117" s="44"/>
      <c r="R6117" s="44"/>
      <c r="S6117" s="44"/>
      <c r="T6117" s="44"/>
    </row>
    <row r="6118" spans="12:20" x14ac:dyDescent="0.2">
      <c r="L6118" s="43"/>
      <c r="M6118" s="43"/>
      <c r="N6118" s="43"/>
      <c r="O6118" s="43"/>
      <c r="Q6118" s="44"/>
      <c r="R6118" s="44"/>
      <c r="S6118" s="44"/>
      <c r="T6118" s="44"/>
    </row>
    <row r="6119" spans="12:20" x14ac:dyDescent="0.2">
      <c r="L6119" s="43"/>
      <c r="M6119" s="43"/>
      <c r="N6119" s="43"/>
      <c r="O6119" s="43"/>
      <c r="Q6119" s="44"/>
      <c r="R6119" s="44"/>
      <c r="S6119" s="44"/>
      <c r="T6119" s="44"/>
    </row>
    <row r="6120" spans="12:20" x14ac:dyDescent="0.2">
      <c r="L6120" s="43"/>
      <c r="M6120" s="43"/>
      <c r="N6120" s="43"/>
      <c r="O6120" s="43"/>
      <c r="Q6120" s="44"/>
      <c r="R6120" s="44"/>
      <c r="S6120" s="44"/>
      <c r="T6120" s="44"/>
    </row>
    <row r="6121" spans="12:20" x14ac:dyDescent="0.2">
      <c r="L6121" s="43"/>
      <c r="M6121" s="43"/>
      <c r="N6121" s="43"/>
      <c r="O6121" s="43"/>
      <c r="Q6121" s="44"/>
      <c r="R6121" s="44"/>
      <c r="S6121" s="44"/>
      <c r="T6121" s="44"/>
    </row>
    <row r="6122" spans="12:20" x14ac:dyDescent="0.2">
      <c r="L6122" s="43"/>
      <c r="M6122" s="43"/>
      <c r="N6122" s="43"/>
      <c r="O6122" s="43"/>
      <c r="Q6122" s="44"/>
      <c r="R6122" s="44"/>
      <c r="S6122" s="44"/>
      <c r="T6122" s="44"/>
    </row>
    <row r="6123" spans="12:20" x14ac:dyDescent="0.2">
      <c r="L6123" s="43"/>
      <c r="M6123" s="43"/>
      <c r="N6123" s="43"/>
      <c r="O6123" s="43"/>
      <c r="Q6123" s="44"/>
      <c r="R6123" s="44"/>
      <c r="S6123" s="44"/>
      <c r="T6123" s="44"/>
    </row>
    <row r="6124" spans="12:20" x14ac:dyDescent="0.2">
      <c r="L6124" s="43"/>
      <c r="M6124" s="43"/>
      <c r="N6124" s="43"/>
      <c r="O6124" s="43"/>
      <c r="Q6124" s="44"/>
      <c r="R6124" s="44"/>
      <c r="S6124" s="44"/>
      <c r="T6124" s="44"/>
    </row>
    <row r="6125" spans="12:20" x14ac:dyDescent="0.2">
      <c r="L6125" s="43"/>
      <c r="M6125" s="43"/>
      <c r="N6125" s="43"/>
      <c r="O6125" s="43"/>
      <c r="Q6125" s="44"/>
      <c r="R6125" s="44"/>
      <c r="S6125" s="44"/>
      <c r="T6125" s="44"/>
    </row>
    <row r="6126" spans="12:20" x14ac:dyDescent="0.2">
      <c r="L6126" s="43"/>
      <c r="M6126" s="43"/>
      <c r="N6126" s="43"/>
      <c r="O6126" s="43"/>
      <c r="Q6126" s="44"/>
      <c r="R6126" s="44"/>
      <c r="S6126" s="44"/>
      <c r="T6126" s="44"/>
    </row>
    <row r="6127" spans="12:20" x14ac:dyDescent="0.2">
      <c r="L6127" s="43"/>
      <c r="M6127" s="43"/>
      <c r="N6127" s="43"/>
      <c r="O6127" s="43"/>
      <c r="Q6127" s="44"/>
      <c r="R6127" s="44"/>
      <c r="S6127" s="44"/>
      <c r="T6127" s="44"/>
    </row>
    <row r="6128" spans="12:20" x14ac:dyDescent="0.2">
      <c r="L6128" s="43"/>
      <c r="M6128" s="43"/>
      <c r="N6128" s="43"/>
      <c r="O6128" s="43"/>
      <c r="Q6128" s="44"/>
      <c r="R6128" s="44"/>
      <c r="S6128" s="44"/>
      <c r="T6128" s="44"/>
    </row>
    <row r="6129" spans="12:20" x14ac:dyDescent="0.2">
      <c r="L6129" s="43"/>
      <c r="M6129" s="43"/>
      <c r="N6129" s="43"/>
      <c r="O6129" s="43"/>
      <c r="Q6129" s="44"/>
      <c r="R6129" s="44"/>
      <c r="S6129" s="44"/>
      <c r="T6129" s="44"/>
    </row>
    <row r="6130" spans="12:20" x14ac:dyDescent="0.2">
      <c r="L6130" s="43"/>
      <c r="M6130" s="43"/>
      <c r="N6130" s="43"/>
      <c r="O6130" s="43"/>
      <c r="Q6130" s="44"/>
      <c r="R6130" s="44"/>
      <c r="S6130" s="44"/>
      <c r="T6130" s="44"/>
    </row>
    <row r="6131" spans="12:20" x14ac:dyDescent="0.2">
      <c r="L6131" s="43"/>
      <c r="M6131" s="43"/>
      <c r="N6131" s="43"/>
      <c r="O6131" s="43"/>
      <c r="Q6131" s="44"/>
      <c r="R6131" s="44"/>
      <c r="S6131" s="44"/>
      <c r="T6131" s="44"/>
    </row>
    <row r="6132" spans="12:20" x14ac:dyDescent="0.2">
      <c r="L6132" s="43"/>
      <c r="M6132" s="43"/>
      <c r="N6132" s="43"/>
      <c r="O6132" s="43"/>
      <c r="Q6132" s="44"/>
      <c r="R6132" s="44"/>
      <c r="S6132" s="44"/>
      <c r="T6132" s="44"/>
    </row>
    <row r="6133" spans="12:20" x14ac:dyDescent="0.2">
      <c r="L6133" s="43"/>
      <c r="M6133" s="43"/>
      <c r="N6133" s="43"/>
      <c r="O6133" s="43"/>
      <c r="Q6133" s="44"/>
      <c r="R6133" s="44"/>
      <c r="S6133" s="44"/>
      <c r="T6133" s="44"/>
    </row>
    <row r="6134" spans="12:20" x14ac:dyDescent="0.2">
      <c r="L6134" s="43"/>
      <c r="M6134" s="43"/>
      <c r="N6134" s="43"/>
      <c r="O6134" s="43"/>
      <c r="Q6134" s="44"/>
      <c r="R6134" s="44"/>
      <c r="S6134" s="44"/>
      <c r="T6134" s="44"/>
    </row>
    <row r="6135" spans="12:20" x14ac:dyDescent="0.2">
      <c r="L6135" s="43"/>
      <c r="M6135" s="43"/>
      <c r="N6135" s="43"/>
      <c r="O6135" s="43"/>
      <c r="Q6135" s="44"/>
      <c r="R6135" s="44"/>
      <c r="S6135" s="44"/>
      <c r="T6135" s="44"/>
    </row>
    <row r="6136" spans="12:20" x14ac:dyDescent="0.2">
      <c r="L6136" s="43"/>
      <c r="M6136" s="43"/>
      <c r="N6136" s="43"/>
      <c r="O6136" s="43"/>
      <c r="Q6136" s="44"/>
      <c r="R6136" s="44"/>
      <c r="S6136" s="44"/>
      <c r="T6136" s="44"/>
    </row>
    <row r="6137" spans="12:20" x14ac:dyDescent="0.2">
      <c r="L6137" s="43"/>
      <c r="M6137" s="43"/>
      <c r="N6137" s="43"/>
      <c r="O6137" s="43"/>
      <c r="Q6137" s="44"/>
      <c r="R6137" s="44"/>
      <c r="S6137" s="44"/>
      <c r="T6137" s="44"/>
    </row>
    <row r="6138" spans="12:20" x14ac:dyDescent="0.2">
      <c r="L6138" s="43"/>
      <c r="M6138" s="43"/>
      <c r="N6138" s="43"/>
      <c r="O6138" s="43"/>
      <c r="Q6138" s="44"/>
      <c r="R6138" s="44"/>
      <c r="S6138" s="44"/>
      <c r="T6138" s="44"/>
    </row>
    <row r="6139" spans="12:20" x14ac:dyDescent="0.2">
      <c r="L6139" s="43"/>
      <c r="M6139" s="43"/>
      <c r="N6139" s="43"/>
      <c r="O6139" s="43"/>
      <c r="Q6139" s="44"/>
      <c r="R6139" s="44"/>
      <c r="S6139" s="44"/>
      <c r="T6139" s="44"/>
    </row>
    <row r="6140" spans="12:20" x14ac:dyDescent="0.2">
      <c r="L6140" s="43"/>
      <c r="M6140" s="43"/>
      <c r="N6140" s="43"/>
      <c r="O6140" s="43"/>
      <c r="Q6140" s="44"/>
      <c r="R6140" s="44"/>
      <c r="S6140" s="44"/>
      <c r="T6140" s="44"/>
    </row>
    <row r="6141" spans="12:20" x14ac:dyDescent="0.2">
      <c r="L6141" s="43"/>
      <c r="M6141" s="43"/>
      <c r="N6141" s="43"/>
      <c r="O6141" s="43"/>
      <c r="Q6141" s="44"/>
      <c r="R6141" s="44"/>
      <c r="S6141" s="44"/>
      <c r="T6141" s="44"/>
    </row>
    <row r="6142" spans="12:20" x14ac:dyDescent="0.2">
      <c r="L6142" s="43"/>
      <c r="M6142" s="43"/>
      <c r="N6142" s="43"/>
      <c r="O6142" s="43"/>
      <c r="Q6142" s="44"/>
      <c r="R6142" s="44"/>
      <c r="S6142" s="44"/>
      <c r="T6142" s="44"/>
    </row>
    <row r="6143" spans="12:20" x14ac:dyDescent="0.2">
      <c r="L6143" s="43"/>
      <c r="M6143" s="43"/>
      <c r="N6143" s="43"/>
      <c r="O6143" s="43"/>
      <c r="Q6143" s="44"/>
      <c r="R6143" s="44"/>
      <c r="S6143" s="44"/>
      <c r="T6143" s="44"/>
    </row>
    <row r="6144" spans="12:20" x14ac:dyDescent="0.2">
      <c r="L6144" s="43"/>
      <c r="M6144" s="43"/>
      <c r="N6144" s="43"/>
      <c r="O6144" s="43"/>
      <c r="Q6144" s="44"/>
      <c r="R6144" s="44"/>
      <c r="S6144" s="44"/>
      <c r="T6144" s="44"/>
    </row>
    <row r="6145" spans="12:20" x14ac:dyDescent="0.2">
      <c r="L6145" s="43"/>
      <c r="M6145" s="43"/>
      <c r="N6145" s="43"/>
      <c r="O6145" s="43"/>
      <c r="Q6145" s="44"/>
      <c r="R6145" s="44"/>
      <c r="S6145" s="44"/>
      <c r="T6145" s="44"/>
    </row>
    <row r="6146" spans="12:20" x14ac:dyDescent="0.2">
      <c r="L6146" s="43"/>
      <c r="M6146" s="43"/>
      <c r="N6146" s="43"/>
      <c r="O6146" s="43"/>
      <c r="Q6146" s="44"/>
      <c r="R6146" s="44"/>
      <c r="S6146" s="44"/>
      <c r="T6146" s="44"/>
    </row>
    <row r="6147" spans="12:20" x14ac:dyDescent="0.2">
      <c r="L6147" s="43"/>
      <c r="M6147" s="43"/>
      <c r="N6147" s="43"/>
      <c r="O6147" s="43"/>
      <c r="Q6147" s="44"/>
      <c r="R6147" s="44"/>
      <c r="S6147" s="44"/>
      <c r="T6147" s="44"/>
    </row>
    <row r="6148" spans="12:20" x14ac:dyDescent="0.2">
      <c r="L6148" s="43"/>
      <c r="M6148" s="43"/>
      <c r="N6148" s="43"/>
      <c r="O6148" s="43"/>
      <c r="Q6148" s="44"/>
      <c r="R6148" s="44"/>
      <c r="S6148" s="44"/>
      <c r="T6148" s="44"/>
    </row>
    <row r="6149" spans="12:20" x14ac:dyDescent="0.2">
      <c r="L6149" s="43"/>
      <c r="M6149" s="43"/>
      <c r="N6149" s="43"/>
      <c r="O6149" s="43"/>
      <c r="Q6149" s="44"/>
      <c r="R6149" s="44"/>
      <c r="S6149" s="44"/>
      <c r="T6149" s="44"/>
    </row>
    <row r="6150" spans="12:20" x14ac:dyDescent="0.2">
      <c r="L6150" s="43"/>
      <c r="M6150" s="43"/>
      <c r="N6150" s="43"/>
      <c r="O6150" s="43"/>
      <c r="Q6150" s="44"/>
      <c r="R6150" s="44"/>
      <c r="S6150" s="44"/>
      <c r="T6150" s="44"/>
    </row>
    <row r="6151" spans="12:20" x14ac:dyDescent="0.2">
      <c r="L6151" s="43"/>
      <c r="M6151" s="43"/>
      <c r="N6151" s="43"/>
      <c r="O6151" s="43"/>
      <c r="Q6151" s="44"/>
      <c r="R6151" s="44"/>
      <c r="S6151" s="44"/>
      <c r="T6151" s="44"/>
    </row>
    <row r="6152" spans="12:20" x14ac:dyDescent="0.2">
      <c r="L6152" s="43"/>
      <c r="M6152" s="43"/>
      <c r="N6152" s="43"/>
      <c r="O6152" s="43"/>
      <c r="Q6152" s="44"/>
      <c r="R6152" s="44"/>
      <c r="S6152" s="44"/>
      <c r="T6152" s="44"/>
    </row>
    <row r="6153" spans="12:20" x14ac:dyDescent="0.2">
      <c r="L6153" s="43"/>
      <c r="M6153" s="43"/>
      <c r="N6153" s="43"/>
      <c r="O6153" s="43"/>
      <c r="Q6153" s="44"/>
      <c r="R6153" s="44"/>
      <c r="S6153" s="44"/>
      <c r="T6153" s="44"/>
    </row>
    <row r="6154" spans="12:20" x14ac:dyDescent="0.2">
      <c r="L6154" s="43"/>
      <c r="M6154" s="43"/>
      <c r="N6154" s="43"/>
      <c r="O6154" s="43"/>
      <c r="Q6154" s="44"/>
      <c r="R6154" s="44"/>
      <c r="S6154" s="44"/>
      <c r="T6154" s="44"/>
    </row>
    <row r="6155" spans="12:20" x14ac:dyDescent="0.2">
      <c r="L6155" s="43"/>
      <c r="M6155" s="43"/>
      <c r="N6155" s="43"/>
      <c r="O6155" s="43"/>
      <c r="Q6155" s="44"/>
      <c r="R6155" s="44"/>
      <c r="S6155" s="44"/>
      <c r="T6155" s="44"/>
    </row>
    <row r="6156" spans="12:20" x14ac:dyDescent="0.2">
      <c r="L6156" s="43"/>
      <c r="M6156" s="43"/>
      <c r="N6156" s="43"/>
      <c r="O6156" s="43"/>
      <c r="Q6156" s="44"/>
      <c r="R6156" s="44"/>
      <c r="S6156" s="44"/>
      <c r="T6156" s="44"/>
    </row>
    <row r="6157" spans="12:20" x14ac:dyDescent="0.2">
      <c r="L6157" s="43"/>
      <c r="M6157" s="43"/>
      <c r="N6157" s="43"/>
      <c r="O6157" s="43"/>
      <c r="Q6157" s="44"/>
      <c r="R6157" s="44"/>
      <c r="S6157" s="44"/>
      <c r="T6157" s="44"/>
    </row>
    <row r="6158" spans="12:20" x14ac:dyDescent="0.2">
      <c r="L6158" s="43"/>
      <c r="M6158" s="43"/>
      <c r="N6158" s="43"/>
      <c r="O6158" s="43"/>
      <c r="Q6158" s="44"/>
      <c r="R6158" s="44"/>
      <c r="S6158" s="44"/>
      <c r="T6158" s="44"/>
    </row>
    <row r="6159" spans="12:20" x14ac:dyDescent="0.2">
      <c r="L6159" s="43"/>
      <c r="M6159" s="43"/>
      <c r="N6159" s="43"/>
      <c r="O6159" s="43"/>
      <c r="Q6159" s="44"/>
      <c r="R6159" s="44"/>
      <c r="S6159" s="44"/>
      <c r="T6159" s="44"/>
    </row>
    <row r="6160" spans="12:20" x14ac:dyDescent="0.2">
      <c r="L6160" s="43"/>
      <c r="M6160" s="43"/>
      <c r="N6160" s="43"/>
      <c r="O6160" s="43"/>
      <c r="Q6160" s="44"/>
      <c r="R6160" s="44"/>
      <c r="S6160" s="44"/>
      <c r="T6160" s="44"/>
    </row>
    <row r="6161" spans="12:20" x14ac:dyDescent="0.2">
      <c r="L6161" s="43"/>
      <c r="M6161" s="43"/>
      <c r="N6161" s="43"/>
      <c r="O6161" s="43"/>
      <c r="Q6161" s="44"/>
      <c r="R6161" s="44"/>
      <c r="S6161" s="44"/>
      <c r="T6161" s="44"/>
    </row>
    <row r="6162" spans="12:20" x14ac:dyDescent="0.2">
      <c r="L6162" s="43"/>
      <c r="M6162" s="43"/>
      <c r="N6162" s="43"/>
      <c r="O6162" s="43"/>
      <c r="Q6162" s="44"/>
      <c r="R6162" s="44"/>
      <c r="S6162" s="44"/>
      <c r="T6162" s="44"/>
    </row>
    <row r="6163" spans="12:20" x14ac:dyDescent="0.2">
      <c r="L6163" s="43"/>
      <c r="M6163" s="43"/>
      <c r="N6163" s="43"/>
      <c r="O6163" s="43"/>
      <c r="Q6163" s="44"/>
      <c r="R6163" s="44"/>
      <c r="S6163" s="44"/>
      <c r="T6163" s="44"/>
    </row>
    <row r="6164" spans="12:20" x14ac:dyDescent="0.2">
      <c r="L6164" s="43"/>
      <c r="M6164" s="43"/>
      <c r="N6164" s="43"/>
      <c r="O6164" s="43"/>
      <c r="Q6164" s="44"/>
      <c r="R6164" s="44"/>
      <c r="S6164" s="44"/>
      <c r="T6164" s="44"/>
    </row>
    <row r="6165" spans="12:20" x14ac:dyDescent="0.2">
      <c r="L6165" s="43"/>
      <c r="M6165" s="43"/>
      <c r="N6165" s="43"/>
      <c r="O6165" s="43"/>
      <c r="Q6165" s="44"/>
      <c r="R6165" s="44"/>
      <c r="S6165" s="44"/>
      <c r="T6165" s="44"/>
    </row>
    <row r="6166" spans="12:20" x14ac:dyDescent="0.2">
      <c r="L6166" s="43"/>
      <c r="M6166" s="43"/>
      <c r="N6166" s="43"/>
      <c r="O6166" s="43"/>
      <c r="Q6166" s="44"/>
      <c r="R6166" s="44"/>
      <c r="S6166" s="44"/>
      <c r="T6166" s="44"/>
    </row>
    <row r="6167" spans="12:20" x14ac:dyDescent="0.2">
      <c r="L6167" s="43"/>
      <c r="M6167" s="43"/>
      <c r="N6167" s="43"/>
      <c r="O6167" s="43"/>
      <c r="Q6167" s="44"/>
      <c r="R6167" s="44"/>
      <c r="S6167" s="44"/>
      <c r="T6167" s="44"/>
    </row>
    <row r="6168" spans="12:20" x14ac:dyDescent="0.2">
      <c r="L6168" s="43"/>
      <c r="M6168" s="43"/>
      <c r="N6168" s="43"/>
      <c r="O6168" s="43"/>
      <c r="Q6168" s="44"/>
      <c r="R6168" s="44"/>
      <c r="S6168" s="44"/>
      <c r="T6168" s="44"/>
    </row>
    <row r="6169" spans="12:20" x14ac:dyDescent="0.2">
      <c r="L6169" s="43"/>
      <c r="M6169" s="43"/>
      <c r="N6169" s="43"/>
      <c r="O6169" s="43"/>
      <c r="Q6169" s="44"/>
      <c r="R6169" s="44"/>
      <c r="S6169" s="44"/>
      <c r="T6169" s="44"/>
    </row>
    <row r="6170" spans="12:20" x14ac:dyDescent="0.2">
      <c r="L6170" s="43"/>
      <c r="M6170" s="43"/>
      <c r="N6170" s="43"/>
      <c r="O6170" s="43"/>
      <c r="Q6170" s="44"/>
      <c r="R6170" s="44"/>
      <c r="S6170" s="44"/>
      <c r="T6170" s="44"/>
    </row>
    <row r="6171" spans="12:20" x14ac:dyDescent="0.2">
      <c r="L6171" s="43"/>
      <c r="M6171" s="43"/>
      <c r="N6171" s="43"/>
      <c r="O6171" s="43"/>
      <c r="Q6171" s="44"/>
      <c r="R6171" s="44"/>
      <c r="S6171" s="44"/>
      <c r="T6171" s="44"/>
    </row>
    <row r="6172" spans="12:20" x14ac:dyDescent="0.2">
      <c r="L6172" s="43"/>
      <c r="M6172" s="43"/>
      <c r="N6172" s="43"/>
      <c r="O6172" s="43"/>
      <c r="Q6172" s="44"/>
      <c r="R6172" s="44"/>
      <c r="S6172" s="44"/>
      <c r="T6172" s="44"/>
    </row>
    <row r="6173" spans="12:20" x14ac:dyDescent="0.2">
      <c r="L6173" s="43"/>
      <c r="M6173" s="43"/>
      <c r="N6173" s="43"/>
      <c r="O6173" s="43"/>
      <c r="Q6173" s="44"/>
      <c r="R6173" s="44"/>
      <c r="S6173" s="44"/>
      <c r="T6173" s="44"/>
    </row>
    <row r="6174" spans="12:20" x14ac:dyDescent="0.2">
      <c r="L6174" s="43"/>
      <c r="M6174" s="43"/>
      <c r="N6174" s="43"/>
      <c r="O6174" s="43"/>
      <c r="Q6174" s="44"/>
      <c r="R6174" s="44"/>
      <c r="S6174" s="44"/>
      <c r="T6174" s="44"/>
    </row>
    <row r="6175" spans="12:20" x14ac:dyDescent="0.2">
      <c r="L6175" s="43"/>
      <c r="M6175" s="43"/>
      <c r="N6175" s="43"/>
      <c r="O6175" s="43"/>
      <c r="Q6175" s="44"/>
      <c r="R6175" s="44"/>
      <c r="S6175" s="44"/>
      <c r="T6175" s="44"/>
    </row>
    <row r="6176" spans="12:20" x14ac:dyDescent="0.2">
      <c r="L6176" s="43"/>
      <c r="M6176" s="43"/>
      <c r="N6176" s="43"/>
      <c r="O6176" s="43"/>
      <c r="Q6176" s="44"/>
      <c r="R6176" s="44"/>
      <c r="S6176" s="44"/>
      <c r="T6176" s="44"/>
    </row>
    <row r="6177" spans="12:20" x14ac:dyDescent="0.2">
      <c r="L6177" s="43"/>
      <c r="M6177" s="43"/>
      <c r="N6177" s="43"/>
      <c r="O6177" s="43"/>
      <c r="Q6177" s="44"/>
      <c r="R6177" s="44"/>
      <c r="S6177" s="44"/>
      <c r="T6177" s="44"/>
    </row>
    <row r="6178" spans="12:20" x14ac:dyDescent="0.2">
      <c r="L6178" s="43"/>
      <c r="M6178" s="43"/>
      <c r="N6178" s="43"/>
      <c r="O6178" s="43"/>
      <c r="Q6178" s="44"/>
      <c r="R6178" s="44"/>
      <c r="S6178" s="44"/>
      <c r="T6178" s="44"/>
    </row>
    <row r="6179" spans="12:20" x14ac:dyDescent="0.2">
      <c r="L6179" s="43"/>
      <c r="M6179" s="43"/>
      <c r="N6179" s="43"/>
      <c r="O6179" s="43"/>
      <c r="Q6179" s="44"/>
      <c r="R6179" s="44"/>
      <c r="S6179" s="44"/>
      <c r="T6179" s="44"/>
    </row>
    <row r="6180" spans="12:20" x14ac:dyDescent="0.2">
      <c r="L6180" s="43"/>
      <c r="M6180" s="43"/>
      <c r="N6180" s="43"/>
      <c r="O6180" s="43"/>
      <c r="Q6180" s="44"/>
      <c r="R6180" s="44"/>
      <c r="S6180" s="44"/>
      <c r="T6180" s="44"/>
    </row>
    <row r="6181" spans="12:20" x14ac:dyDescent="0.2">
      <c r="L6181" s="43"/>
      <c r="M6181" s="43"/>
      <c r="N6181" s="43"/>
      <c r="O6181" s="43"/>
      <c r="Q6181" s="44"/>
      <c r="R6181" s="44"/>
      <c r="S6181" s="44"/>
      <c r="T6181" s="44"/>
    </row>
    <row r="6182" spans="12:20" x14ac:dyDescent="0.2">
      <c r="L6182" s="43"/>
      <c r="M6182" s="43"/>
      <c r="N6182" s="43"/>
      <c r="O6182" s="43"/>
      <c r="Q6182" s="44"/>
      <c r="R6182" s="44"/>
      <c r="S6182" s="44"/>
      <c r="T6182" s="44"/>
    </row>
    <row r="6183" spans="12:20" x14ac:dyDescent="0.2">
      <c r="L6183" s="43"/>
      <c r="M6183" s="43"/>
      <c r="N6183" s="43"/>
      <c r="O6183" s="43"/>
      <c r="Q6183" s="44"/>
      <c r="R6183" s="44"/>
      <c r="S6183" s="44"/>
      <c r="T6183" s="44"/>
    </row>
    <row r="6184" spans="12:20" x14ac:dyDescent="0.2">
      <c r="L6184" s="43"/>
      <c r="M6184" s="43"/>
      <c r="N6184" s="43"/>
      <c r="O6184" s="43"/>
      <c r="Q6184" s="44"/>
      <c r="R6184" s="44"/>
      <c r="S6184" s="44"/>
      <c r="T6184" s="44"/>
    </row>
    <row r="6185" spans="12:20" x14ac:dyDescent="0.2">
      <c r="L6185" s="43"/>
      <c r="M6185" s="43"/>
      <c r="N6185" s="43"/>
      <c r="O6185" s="43"/>
      <c r="Q6185" s="44"/>
      <c r="R6185" s="44"/>
      <c r="S6185" s="44"/>
      <c r="T6185" s="44"/>
    </row>
    <row r="6186" spans="12:20" x14ac:dyDescent="0.2">
      <c r="L6186" s="43"/>
      <c r="M6186" s="43"/>
      <c r="N6186" s="43"/>
      <c r="O6186" s="43"/>
      <c r="Q6186" s="44"/>
      <c r="R6186" s="44"/>
      <c r="S6186" s="44"/>
      <c r="T6186" s="44"/>
    </row>
    <row r="6187" spans="12:20" x14ac:dyDescent="0.2">
      <c r="L6187" s="43"/>
      <c r="M6187" s="43"/>
      <c r="N6187" s="43"/>
      <c r="O6187" s="43"/>
      <c r="Q6187" s="44"/>
      <c r="R6187" s="44"/>
      <c r="S6187" s="44"/>
      <c r="T6187" s="44"/>
    </row>
    <row r="6188" spans="12:20" x14ac:dyDescent="0.2">
      <c r="L6188" s="43"/>
      <c r="M6188" s="43"/>
      <c r="N6188" s="43"/>
      <c r="O6188" s="43"/>
      <c r="Q6188" s="44"/>
      <c r="R6188" s="44"/>
      <c r="S6188" s="44"/>
      <c r="T6188" s="44"/>
    </row>
    <row r="6189" spans="12:20" x14ac:dyDescent="0.2">
      <c r="L6189" s="43"/>
      <c r="M6189" s="43"/>
      <c r="N6189" s="43"/>
      <c r="O6189" s="43"/>
      <c r="Q6189" s="44"/>
      <c r="R6189" s="44"/>
      <c r="S6189" s="44"/>
      <c r="T6189" s="44"/>
    </row>
    <row r="6190" spans="12:20" x14ac:dyDescent="0.2">
      <c r="L6190" s="43"/>
      <c r="M6190" s="43"/>
      <c r="N6190" s="43"/>
      <c r="O6190" s="43"/>
      <c r="Q6190" s="44"/>
      <c r="R6190" s="44"/>
      <c r="S6190" s="44"/>
      <c r="T6190" s="44"/>
    </row>
    <row r="6191" spans="12:20" x14ac:dyDescent="0.2">
      <c r="L6191" s="43"/>
      <c r="M6191" s="43"/>
      <c r="N6191" s="43"/>
      <c r="O6191" s="43"/>
      <c r="Q6191" s="44"/>
      <c r="R6191" s="44"/>
      <c r="S6191" s="44"/>
      <c r="T6191" s="44"/>
    </row>
    <row r="6192" spans="12:20" x14ac:dyDescent="0.2">
      <c r="L6192" s="43"/>
      <c r="M6192" s="43"/>
      <c r="N6192" s="43"/>
      <c r="O6192" s="43"/>
      <c r="Q6192" s="44"/>
      <c r="R6192" s="44"/>
      <c r="S6192" s="44"/>
      <c r="T6192" s="44"/>
    </row>
    <row r="6193" spans="12:20" x14ac:dyDescent="0.2">
      <c r="L6193" s="43"/>
      <c r="M6193" s="43"/>
      <c r="N6193" s="43"/>
      <c r="O6193" s="43"/>
      <c r="Q6193" s="44"/>
      <c r="R6193" s="44"/>
      <c r="S6193" s="44"/>
      <c r="T6193" s="44"/>
    </row>
    <row r="6194" spans="12:20" x14ac:dyDescent="0.2">
      <c r="L6194" s="43"/>
      <c r="M6194" s="43"/>
      <c r="N6194" s="43"/>
      <c r="O6194" s="43"/>
      <c r="Q6194" s="44"/>
      <c r="R6194" s="44"/>
      <c r="S6194" s="44"/>
      <c r="T6194" s="44"/>
    </row>
    <row r="6195" spans="12:20" x14ac:dyDescent="0.2">
      <c r="L6195" s="43"/>
      <c r="M6195" s="43"/>
      <c r="N6195" s="43"/>
      <c r="O6195" s="43"/>
      <c r="Q6195" s="44"/>
      <c r="R6195" s="44"/>
      <c r="S6195" s="44"/>
      <c r="T6195" s="44"/>
    </row>
    <row r="6196" spans="12:20" x14ac:dyDescent="0.2">
      <c r="L6196" s="43"/>
      <c r="M6196" s="43"/>
      <c r="N6196" s="43"/>
      <c r="O6196" s="43"/>
      <c r="Q6196" s="44"/>
      <c r="R6196" s="44"/>
      <c r="S6196" s="44"/>
      <c r="T6196" s="44"/>
    </row>
    <row r="6197" spans="12:20" x14ac:dyDescent="0.2">
      <c r="L6197" s="43"/>
      <c r="M6197" s="43"/>
      <c r="N6197" s="43"/>
      <c r="O6197" s="43"/>
      <c r="Q6197" s="44"/>
      <c r="R6197" s="44"/>
      <c r="S6197" s="44"/>
      <c r="T6197" s="44"/>
    </row>
    <row r="6198" spans="12:20" x14ac:dyDescent="0.2">
      <c r="L6198" s="43"/>
      <c r="M6198" s="43"/>
      <c r="N6198" s="43"/>
      <c r="O6198" s="43"/>
      <c r="Q6198" s="44"/>
      <c r="R6198" s="44"/>
      <c r="S6198" s="44"/>
      <c r="T6198" s="44"/>
    </row>
    <row r="6199" spans="12:20" x14ac:dyDescent="0.2">
      <c r="L6199" s="43"/>
      <c r="M6199" s="43"/>
      <c r="N6199" s="43"/>
      <c r="O6199" s="43"/>
      <c r="Q6199" s="44"/>
      <c r="R6199" s="44"/>
      <c r="S6199" s="44"/>
      <c r="T6199" s="44"/>
    </row>
    <row r="6200" spans="12:20" x14ac:dyDescent="0.2">
      <c r="L6200" s="43"/>
      <c r="M6200" s="43"/>
      <c r="N6200" s="43"/>
      <c r="O6200" s="43"/>
      <c r="Q6200" s="44"/>
      <c r="R6200" s="44"/>
      <c r="S6200" s="44"/>
      <c r="T6200" s="44"/>
    </row>
    <row r="6201" spans="12:20" x14ac:dyDescent="0.2">
      <c r="L6201" s="43"/>
      <c r="M6201" s="43"/>
      <c r="N6201" s="43"/>
      <c r="O6201" s="43"/>
      <c r="Q6201" s="44"/>
      <c r="R6201" s="44"/>
      <c r="S6201" s="44"/>
      <c r="T6201" s="44"/>
    </row>
    <row r="6202" spans="12:20" x14ac:dyDescent="0.2">
      <c r="L6202" s="43"/>
      <c r="M6202" s="43"/>
      <c r="N6202" s="43"/>
      <c r="O6202" s="43"/>
      <c r="Q6202" s="44"/>
      <c r="R6202" s="44"/>
      <c r="S6202" s="44"/>
      <c r="T6202" s="44"/>
    </row>
    <row r="6203" spans="12:20" x14ac:dyDescent="0.2">
      <c r="L6203" s="43"/>
      <c r="M6203" s="43"/>
      <c r="N6203" s="43"/>
      <c r="O6203" s="43"/>
      <c r="Q6203" s="44"/>
      <c r="R6203" s="44"/>
      <c r="S6203" s="44"/>
      <c r="T6203" s="44"/>
    </row>
    <row r="6204" spans="12:20" x14ac:dyDescent="0.2">
      <c r="L6204" s="43"/>
      <c r="M6204" s="43"/>
      <c r="N6204" s="43"/>
      <c r="O6204" s="43"/>
      <c r="Q6204" s="44"/>
      <c r="R6204" s="44"/>
      <c r="S6204" s="44"/>
      <c r="T6204" s="44"/>
    </row>
    <row r="6205" spans="12:20" x14ac:dyDescent="0.2">
      <c r="L6205" s="43"/>
      <c r="M6205" s="43"/>
      <c r="N6205" s="43"/>
      <c r="O6205" s="43"/>
      <c r="Q6205" s="44"/>
      <c r="R6205" s="44"/>
      <c r="S6205" s="44"/>
      <c r="T6205" s="44"/>
    </row>
    <row r="6206" spans="12:20" x14ac:dyDescent="0.2">
      <c r="L6206" s="43"/>
      <c r="M6206" s="43"/>
      <c r="N6206" s="43"/>
      <c r="O6206" s="43"/>
      <c r="Q6206" s="44"/>
      <c r="R6206" s="44"/>
      <c r="S6206" s="44"/>
      <c r="T6206" s="44"/>
    </row>
    <row r="6207" spans="12:20" x14ac:dyDescent="0.2">
      <c r="L6207" s="43"/>
      <c r="M6207" s="43"/>
      <c r="N6207" s="43"/>
      <c r="O6207" s="43"/>
      <c r="Q6207" s="44"/>
      <c r="R6207" s="44"/>
      <c r="S6207" s="44"/>
      <c r="T6207" s="44"/>
    </row>
    <row r="6208" spans="12:20" x14ac:dyDescent="0.2">
      <c r="L6208" s="43"/>
      <c r="M6208" s="43"/>
      <c r="N6208" s="43"/>
      <c r="O6208" s="43"/>
      <c r="Q6208" s="44"/>
      <c r="R6208" s="44"/>
      <c r="S6208" s="44"/>
      <c r="T6208" s="44"/>
    </row>
    <row r="6209" spans="12:20" x14ac:dyDescent="0.2">
      <c r="L6209" s="43"/>
      <c r="M6209" s="43"/>
      <c r="N6209" s="43"/>
      <c r="O6209" s="43"/>
      <c r="Q6209" s="44"/>
      <c r="R6209" s="44"/>
      <c r="S6209" s="44"/>
      <c r="T6209" s="44"/>
    </row>
    <row r="6210" spans="12:20" x14ac:dyDescent="0.2">
      <c r="L6210" s="43"/>
      <c r="M6210" s="43"/>
      <c r="N6210" s="43"/>
      <c r="O6210" s="43"/>
      <c r="Q6210" s="44"/>
      <c r="R6210" s="44"/>
      <c r="S6210" s="44"/>
      <c r="T6210" s="44"/>
    </row>
    <row r="6211" spans="12:20" x14ac:dyDescent="0.2">
      <c r="L6211" s="43"/>
      <c r="M6211" s="43"/>
      <c r="N6211" s="43"/>
      <c r="O6211" s="43"/>
      <c r="Q6211" s="44"/>
      <c r="R6211" s="44"/>
      <c r="S6211" s="44"/>
      <c r="T6211" s="44"/>
    </row>
    <row r="6212" spans="12:20" x14ac:dyDescent="0.2">
      <c r="L6212" s="43"/>
      <c r="M6212" s="43"/>
      <c r="N6212" s="43"/>
      <c r="O6212" s="43"/>
      <c r="Q6212" s="44"/>
      <c r="R6212" s="44"/>
      <c r="S6212" s="44"/>
      <c r="T6212" s="44"/>
    </row>
    <row r="6213" spans="12:20" x14ac:dyDescent="0.2">
      <c r="L6213" s="43"/>
      <c r="M6213" s="43"/>
      <c r="N6213" s="43"/>
      <c r="O6213" s="43"/>
      <c r="Q6213" s="44"/>
      <c r="R6213" s="44"/>
      <c r="S6213" s="44"/>
      <c r="T6213" s="44"/>
    </row>
    <row r="6214" spans="12:20" x14ac:dyDescent="0.2">
      <c r="L6214" s="43"/>
      <c r="M6214" s="43"/>
      <c r="N6214" s="43"/>
      <c r="O6214" s="43"/>
      <c r="Q6214" s="44"/>
      <c r="R6214" s="44"/>
      <c r="S6214" s="44"/>
      <c r="T6214" s="44"/>
    </row>
    <row r="6215" spans="12:20" x14ac:dyDescent="0.2">
      <c r="L6215" s="43"/>
      <c r="M6215" s="43"/>
      <c r="N6215" s="43"/>
      <c r="O6215" s="43"/>
      <c r="Q6215" s="44"/>
      <c r="R6215" s="44"/>
      <c r="S6215" s="44"/>
      <c r="T6215" s="44"/>
    </row>
    <row r="6216" spans="12:20" x14ac:dyDescent="0.2">
      <c r="L6216" s="43"/>
      <c r="M6216" s="43"/>
      <c r="N6216" s="43"/>
      <c r="O6216" s="43"/>
      <c r="Q6216" s="44"/>
      <c r="R6216" s="44"/>
      <c r="S6216" s="44"/>
      <c r="T6216" s="44"/>
    </row>
    <row r="6217" spans="12:20" x14ac:dyDescent="0.2">
      <c r="L6217" s="43"/>
      <c r="M6217" s="43"/>
      <c r="N6217" s="43"/>
      <c r="O6217" s="43"/>
      <c r="Q6217" s="44"/>
      <c r="R6217" s="44"/>
      <c r="S6217" s="44"/>
      <c r="T6217" s="44"/>
    </row>
    <row r="6218" spans="12:20" x14ac:dyDescent="0.2">
      <c r="L6218" s="43"/>
      <c r="M6218" s="43"/>
      <c r="N6218" s="43"/>
      <c r="O6218" s="43"/>
      <c r="Q6218" s="44"/>
      <c r="R6218" s="44"/>
      <c r="S6218" s="44"/>
      <c r="T6218" s="44"/>
    </row>
    <row r="6219" spans="12:20" x14ac:dyDescent="0.2">
      <c r="L6219" s="43"/>
      <c r="M6219" s="43"/>
      <c r="N6219" s="43"/>
      <c r="O6219" s="43"/>
      <c r="Q6219" s="44"/>
      <c r="R6219" s="44"/>
      <c r="S6219" s="44"/>
      <c r="T6219" s="44"/>
    </row>
    <row r="6220" spans="12:20" x14ac:dyDescent="0.2">
      <c r="L6220" s="43"/>
      <c r="M6220" s="43"/>
      <c r="N6220" s="43"/>
      <c r="O6220" s="43"/>
      <c r="Q6220" s="44"/>
      <c r="R6220" s="44"/>
      <c r="S6220" s="44"/>
      <c r="T6220" s="44"/>
    </row>
    <row r="6221" spans="12:20" x14ac:dyDescent="0.2">
      <c r="L6221" s="43"/>
      <c r="M6221" s="43"/>
      <c r="N6221" s="43"/>
      <c r="O6221" s="43"/>
      <c r="Q6221" s="44"/>
      <c r="R6221" s="44"/>
      <c r="S6221" s="44"/>
      <c r="T6221" s="44"/>
    </row>
    <row r="6222" spans="12:20" x14ac:dyDescent="0.2">
      <c r="L6222" s="43"/>
      <c r="M6222" s="43"/>
      <c r="N6222" s="43"/>
      <c r="O6222" s="43"/>
      <c r="Q6222" s="44"/>
      <c r="R6222" s="44"/>
      <c r="S6222" s="44"/>
      <c r="T6222" s="44"/>
    </row>
    <row r="6223" spans="12:20" x14ac:dyDescent="0.2">
      <c r="L6223" s="43"/>
      <c r="M6223" s="43"/>
      <c r="N6223" s="43"/>
      <c r="O6223" s="43"/>
      <c r="Q6223" s="44"/>
      <c r="R6223" s="44"/>
      <c r="S6223" s="44"/>
      <c r="T6223" s="44"/>
    </row>
    <row r="6224" spans="12:20" x14ac:dyDescent="0.2">
      <c r="L6224" s="43"/>
      <c r="M6224" s="43"/>
      <c r="N6224" s="43"/>
      <c r="O6224" s="43"/>
      <c r="Q6224" s="44"/>
      <c r="R6224" s="44"/>
      <c r="S6224" s="44"/>
      <c r="T6224" s="44"/>
    </row>
    <row r="6225" spans="12:20" x14ac:dyDescent="0.2">
      <c r="L6225" s="43"/>
      <c r="M6225" s="43"/>
      <c r="N6225" s="43"/>
      <c r="O6225" s="43"/>
      <c r="Q6225" s="44"/>
      <c r="R6225" s="44"/>
      <c r="S6225" s="44"/>
      <c r="T6225" s="44"/>
    </row>
    <row r="6226" spans="12:20" x14ac:dyDescent="0.2">
      <c r="L6226" s="43"/>
      <c r="M6226" s="43"/>
      <c r="N6226" s="43"/>
      <c r="O6226" s="43"/>
      <c r="Q6226" s="44"/>
      <c r="R6226" s="44"/>
      <c r="S6226" s="44"/>
      <c r="T6226" s="44"/>
    </row>
    <row r="6227" spans="12:20" x14ac:dyDescent="0.2">
      <c r="L6227" s="43"/>
      <c r="M6227" s="43"/>
      <c r="N6227" s="43"/>
      <c r="O6227" s="43"/>
      <c r="Q6227" s="44"/>
      <c r="R6227" s="44"/>
      <c r="S6227" s="44"/>
      <c r="T6227" s="44"/>
    </row>
    <row r="6228" spans="12:20" x14ac:dyDescent="0.2">
      <c r="L6228" s="43"/>
      <c r="M6228" s="43"/>
      <c r="N6228" s="43"/>
      <c r="O6228" s="43"/>
      <c r="Q6228" s="44"/>
      <c r="R6228" s="44"/>
      <c r="S6228" s="44"/>
      <c r="T6228" s="44"/>
    </row>
    <row r="6229" spans="12:20" x14ac:dyDescent="0.2">
      <c r="L6229" s="43"/>
      <c r="M6229" s="43"/>
      <c r="N6229" s="43"/>
      <c r="O6229" s="43"/>
      <c r="Q6229" s="44"/>
      <c r="R6229" s="44"/>
      <c r="S6229" s="44"/>
      <c r="T6229" s="44"/>
    </row>
    <row r="6230" spans="12:20" x14ac:dyDescent="0.2">
      <c r="L6230" s="43"/>
      <c r="M6230" s="43"/>
      <c r="N6230" s="43"/>
      <c r="O6230" s="43"/>
      <c r="Q6230" s="44"/>
      <c r="R6230" s="44"/>
      <c r="S6230" s="44"/>
      <c r="T6230" s="44"/>
    </row>
    <row r="6231" spans="12:20" x14ac:dyDescent="0.2">
      <c r="L6231" s="43"/>
      <c r="M6231" s="43"/>
      <c r="N6231" s="43"/>
      <c r="O6231" s="43"/>
      <c r="Q6231" s="44"/>
      <c r="R6231" s="44"/>
      <c r="S6231" s="44"/>
      <c r="T6231" s="44"/>
    </row>
    <row r="6232" spans="12:20" x14ac:dyDescent="0.2">
      <c r="L6232" s="43"/>
      <c r="M6232" s="43"/>
      <c r="N6232" s="43"/>
      <c r="O6232" s="43"/>
      <c r="Q6232" s="44"/>
      <c r="R6232" s="44"/>
      <c r="S6232" s="44"/>
      <c r="T6232" s="44"/>
    </row>
    <row r="6233" spans="12:20" x14ac:dyDescent="0.2">
      <c r="L6233" s="43"/>
      <c r="M6233" s="43"/>
      <c r="N6233" s="43"/>
      <c r="O6233" s="43"/>
      <c r="Q6233" s="44"/>
      <c r="R6233" s="44"/>
      <c r="S6233" s="44"/>
      <c r="T6233" s="44"/>
    </row>
    <row r="6234" spans="12:20" x14ac:dyDescent="0.2">
      <c r="L6234" s="43"/>
      <c r="M6234" s="43"/>
      <c r="N6234" s="43"/>
      <c r="O6234" s="43"/>
      <c r="Q6234" s="44"/>
      <c r="R6234" s="44"/>
      <c r="S6234" s="44"/>
      <c r="T6234" s="44"/>
    </row>
    <row r="6235" spans="12:20" x14ac:dyDescent="0.2">
      <c r="L6235" s="43"/>
      <c r="M6235" s="43"/>
      <c r="N6235" s="43"/>
      <c r="O6235" s="43"/>
      <c r="Q6235" s="44"/>
      <c r="R6235" s="44"/>
      <c r="S6235" s="44"/>
      <c r="T6235" s="44"/>
    </row>
    <row r="6236" spans="12:20" x14ac:dyDescent="0.2">
      <c r="L6236" s="43"/>
      <c r="M6236" s="43"/>
      <c r="N6236" s="43"/>
      <c r="O6236" s="43"/>
      <c r="Q6236" s="44"/>
      <c r="R6236" s="44"/>
      <c r="S6236" s="44"/>
      <c r="T6236" s="44"/>
    </row>
    <row r="6237" spans="12:20" x14ac:dyDescent="0.2">
      <c r="L6237" s="43"/>
      <c r="M6237" s="43"/>
      <c r="N6237" s="43"/>
      <c r="O6237" s="43"/>
      <c r="Q6237" s="44"/>
      <c r="R6237" s="44"/>
      <c r="S6237" s="44"/>
      <c r="T6237" s="44"/>
    </row>
    <row r="6238" spans="12:20" x14ac:dyDescent="0.2">
      <c r="L6238" s="43"/>
      <c r="M6238" s="43"/>
      <c r="N6238" s="43"/>
      <c r="O6238" s="43"/>
      <c r="Q6238" s="44"/>
      <c r="R6238" s="44"/>
      <c r="S6238" s="44"/>
      <c r="T6238" s="44"/>
    </row>
    <row r="6239" spans="12:20" x14ac:dyDescent="0.2">
      <c r="L6239" s="43"/>
      <c r="M6239" s="43"/>
      <c r="N6239" s="43"/>
      <c r="O6239" s="43"/>
      <c r="Q6239" s="44"/>
      <c r="R6239" s="44"/>
      <c r="S6239" s="44"/>
      <c r="T6239" s="44"/>
    </row>
    <row r="6240" spans="12:20" x14ac:dyDescent="0.2">
      <c r="L6240" s="43"/>
      <c r="M6240" s="43"/>
      <c r="N6240" s="43"/>
      <c r="O6240" s="43"/>
      <c r="Q6240" s="44"/>
      <c r="R6240" s="44"/>
      <c r="S6240" s="44"/>
      <c r="T6240" s="44"/>
    </row>
    <row r="6241" spans="12:20" x14ac:dyDescent="0.2">
      <c r="L6241" s="43"/>
      <c r="M6241" s="43"/>
      <c r="N6241" s="43"/>
      <c r="O6241" s="43"/>
      <c r="Q6241" s="44"/>
      <c r="R6241" s="44"/>
      <c r="S6241" s="44"/>
      <c r="T6241" s="44"/>
    </row>
    <row r="6242" spans="12:20" x14ac:dyDescent="0.2">
      <c r="L6242" s="43"/>
      <c r="M6242" s="43"/>
      <c r="N6242" s="43"/>
      <c r="O6242" s="43"/>
      <c r="Q6242" s="44"/>
      <c r="R6242" s="44"/>
      <c r="S6242" s="44"/>
      <c r="T6242" s="44"/>
    </row>
    <row r="6243" spans="12:20" x14ac:dyDescent="0.2">
      <c r="L6243" s="43"/>
      <c r="M6243" s="43"/>
      <c r="N6243" s="43"/>
      <c r="O6243" s="43"/>
      <c r="Q6243" s="44"/>
      <c r="R6243" s="44"/>
      <c r="S6243" s="44"/>
      <c r="T6243" s="44"/>
    </row>
    <row r="6244" spans="12:20" x14ac:dyDescent="0.2">
      <c r="L6244" s="43"/>
      <c r="M6244" s="43"/>
      <c r="N6244" s="43"/>
      <c r="O6244" s="43"/>
      <c r="Q6244" s="44"/>
      <c r="R6244" s="44"/>
      <c r="S6244" s="44"/>
      <c r="T6244" s="44"/>
    </row>
    <row r="6245" spans="12:20" x14ac:dyDescent="0.2">
      <c r="L6245" s="43"/>
      <c r="M6245" s="43"/>
      <c r="N6245" s="43"/>
      <c r="O6245" s="43"/>
      <c r="Q6245" s="44"/>
      <c r="R6245" s="44"/>
      <c r="S6245" s="44"/>
      <c r="T6245" s="44"/>
    </row>
    <row r="6246" spans="12:20" x14ac:dyDescent="0.2">
      <c r="L6246" s="43"/>
      <c r="M6246" s="43"/>
      <c r="N6246" s="43"/>
      <c r="O6246" s="43"/>
      <c r="Q6246" s="44"/>
      <c r="R6246" s="44"/>
      <c r="S6246" s="44"/>
      <c r="T6246" s="44"/>
    </row>
    <row r="6247" spans="12:20" x14ac:dyDescent="0.2">
      <c r="L6247" s="43"/>
      <c r="M6247" s="43"/>
      <c r="N6247" s="43"/>
      <c r="O6247" s="43"/>
      <c r="Q6247" s="44"/>
      <c r="R6247" s="44"/>
      <c r="S6247" s="44"/>
      <c r="T6247" s="44"/>
    </row>
    <row r="6248" spans="12:20" x14ac:dyDescent="0.2">
      <c r="L6248" s="43"/>
      <c r="M6248" s="43"/>
      <c r="N6248" s="43"/>
      <c r="O6248" s="43"/>
      <c r="Q6248" s="44"/>
      <c r="R6248" s="44"/>
      <c r="S6248" s="44"/>
      <c r="T6248" s="44"/>
    </row>
    <row r="6249" spans="12:20" x14ac:dyDescent="0.2">
      <c r="L6249" s="43"/>
      <c r="M6249" s="43"/>
      <c r="N6249" s="43"/>
      <c r="O6249" s="43"/>
      <c r="Q6249" s="44"/>
      <c r="R6249" s="44"/>
      <c r="S6249" s="44"/>
      <c r="T6249" s="44"/>
    </row>
    <row r="6250" spans="12:20" x14ac:dyDescent="0.2">
      <c r="L6250" s="43"/>
      <c r="M6250" s="43"/>
      <c r="N6250" s="43"/>
      <c r="O6250" s="43"/>
      <c r="Q6250" s="44"/>
      <c r="R6250" s="44"/>
      <c r="S6250" s="44"/>
      <c r="T6250" s="44"/>
    </row>
    <row r="6251" spans="12:20" x14ac:dyDescent="0.2">
      <c r="L6251" s="43"/>
      <c r="M6251" s="43"/>
      <c r="N6251" s="43"/>
      <c r="O6251" s="43"/>
      <c r="Q6251" s="44"/>
      <c r="R6251" s="44"/>
      <c r="S6251" s="44"/>
      <c r="T6251" s="44"/>
    </row>
    <row r="6252" spans="12:20" x14ac:dyDescent="0.2">
      <c r="L6252" s="43"/>
      <c r="M6252" s="43"/>
      <c r="N6252" s="43"/>
      <c r="O6252" s="43"/>
      <c r="Q6252" s="44"/>
      <c r="R6252" s="44"/>
      <c r="S6252" s="44"/>
      <c r="T6252" s="44"/>
    </row>
    <row r="6253" spans="12:20" x14ac:dyDescent="0.2">
      <c r="L6253" s="43"/>
      <c r="M6253" s="43"/>
      <c r="N6253" s="43"/>
      <c r="O6253" s="43"/>
      <c r="Q6253" s="44"/>
      <c r="R6253" s="44"/>
      <c r="S6253" s="44"/>
      <c r="T6253" s="44"/>
    </row>
    <row r="6254" spans="12:20" x14ac:dyDescent="0.2">
      <c r="L6254" s="43"/>
      <c r="M6254" s="43"/>
      <c r="N6254" s="43"/>
      <c r="O6254" s="43"/>
      <c r="Q6254" s="44"/>
      <c r="R6254" s="44"/>
      <c r="S6254" s="44"/>
      <c r="T6254" s="44"/>
    </row>
    <row r="6255" spans="12:20" x14ac:dyDescent="0.2">
      <c r="L6255" s="43"/>
      <c r="M6255" s="43"/>
      <c r="N6255" s="43"/>
      <c r="O6255" s="43"/>
      <c r="Q6255" s="44"/>
      <c r="R6255" s="44"/>
      <c r="S6255" s="44"/>
      <c r="T6255" s="44"/>
    </row>
    <row r="6256" spans="12:20" x14ac:dyDescent="0.2">
      <c r="L6256" s="43"/>
      <c r="M6256" s="43"/>
      <c r="N6256" s="43"/>
      <c r="O6256" s="43"/>
      <c r="Q6256" s="44"/>
      <c r="R6256" s="44"/>
      <c r="S6256" s="44"/>
      <c r="T6256" s="44"/>
    </row>
    <row r="6257" spans="12:20" x14ac:dyDescent="0.2">
      <c r="L6257" s="43"/>
      <c r="M6257" s="43"/>
      <c r="N6257" s="43"/>
      <c r="O6257" s="43"/>
      <c r="Q6257" s="44"/>
      <c r="R6257" s="44"/>
      <c r="S6257" s="44"/>
      <c r="T6257" s="44"/>
    </row>
    <row r="6258" spans="12:20" x14ac:dyDescent="0.2">
      <c r="L6258" s="43"/>
      <c r="M6258" s="43"/>
      <c r="N6258" s="43"/>
      <c r="O6258" s="43"/>
      <c r="Q6258" s="44"/>
      <c r="R6258" s="44"/>
      <c r="S6258" s="44"/>
      <c r="T6258" s="44"/>
    </row>
    <row r="6259" spans="12:20" x14ac:dyDescent="0.2">
      <c r="L6259" s="43"/>
      <c r="M6259" s="43"/>
      <c r="N6259" s="43"/>
      <c r="O6259" s="43"/>
      <c r="Q6259" s="44"/>
      <c r="R6259" s="44"/>
      <c r="S6259" s="44"/>
      <c r="T6259" s="44"/>
    </row>
    <row r="6260" spans="12:20" x14ac:dyDescent="0.2">
      <c r="L6260" s="43"/>
      <c r="M6260" s="43"/>
      <c r="N6260" s="43"/>
      <c r="O6260" s="43"/>
      <c r="Q6260" s="44"/>
      <c r="R6260" s="44"/>
      <c r="S6260" s="44"/>
      <c r="T6260" s="44"/>
    </row>
    <row r="6261" spans="12:20" x14ac:dyDescent="0.2">
      <c r="L6261" s="43"/>
      <c r="M6261" s="43"/>
      <c r="N6261" s="43"/>
      <c r="O6261" s="43"/>
      <c r="Q6261" s="44"/>
      <c r="R6261" s="44"/>
      <c r="S6261" s="44"/>
      <c r="T6261" s="44"/>
    </row>
    <row r="6262" spans="12:20" x14ac:dyDescent="0.2">
      <c r="L6262" s="43"/>
      <c r="M6262" s="43"/>
      <c r="N6262" s="43"/>
      <c r="O6262" s="43"/>
      <c r="Q6262" s="44"/>
      <c r="R6262" s="44"/>
      <c r="S6262" s="44"/>
      <c r="T6262" s="44"/>
    </row>
    <row r="6263" spans="12:20" x14ac:dyDescent="0.2">
      <c r="L6263" s="43"/>
      <c r="M6263" s="43"/>
      <c r="N6263" s="43"/>
      <c r="O6263" s="43"/>
      <c r="Q6263" s="44"/>
      <c r="R6263" s="44"/>
      <c r="S6263" s="44"/>
      <c r="T6263" s="44"/>
    </row>
    <row r="6264" spans="12:20" x14ac:dyDescent="0.2">
      <c r="L6264" s="43"/>
      <c r="M6264" s="43"/>
      <c r="N6264" s="43"/>
      <c r="O6264" s="43"/>
      <c r="Q6264" s="44"/>
      <c r="R6264" s="44"/>
      <c r="S6264" s="44"/>
      <c r="T6264" s="44"/>
    </row>
    <row r="6265" spans="12:20" x14ac:dyDescent="0.2">
      <c r="L6265" s="43"/>
      <c r="M6265" s="43"/>
      <c r="N6265" s="43"/>
      <c r="O6265" s="43"/>
      <c r="Q6265" s="44"/>
      <c r="R6265" s="44"/>
      <c r="S6265" s="44"/>
      <c r="T6265" s="44"/>
    </row>
    <row r="6266" spans="12:20" x14ac:dyDescent="0.2">
      <c r="L6266" s="43"/>
      <c r="M6266" s="43"/>
      <c r="N6266" s="43"/>
      <c r="O6266" s="43"/>
      <c r="Q6266" s="44"/>
      <c r="R6266" s="44"/>
      <c r="S6266" s="44"/>
      <c r="T6266" s="44"/>
    </row>
    <row r="6267" spans="12:20" x14ac:dyDescent="0.2">
      <c r="L6267" s="43"/>
      <c r="M6267" s="43"/>
      <c r="N6267" s="43"/>
      <c r="O6267" s="43"/>
      <c r="Q6267" s="44"/>
      <c r="R6267" s="44"/>
      <c r="S6267" s="44"/>
      <c r="T6267" s="44"/>
    </row>
    <row r="6268" spans="12:20" x14ac:dyDescent="0.2">
      <c r="L6268" s="43"/>
      <c r="M6268" s="43"/>
      <c r="N6268" s="43"/>
      <c r="O6268" s="43"/>
      <c r="Q6268" s="44"/>
      <c r="R6268" s="44"/>
      <c r="S6268" s="44"/>
      <c r="T6268" s="44"/>
    </row>
    <row r="6269" spans="12:20" x14ac:dyDescent="0.2">
      <c r="L6269" s="43"/>
      <c r="M6269" s="43"/>
      <c r="N6269" s="43"/>
      <c r="O6269" s="43"/>
      <c r="Q6269" s="44"/>
      <c r="R6269" s="44"/>
      <c r="S6269" s="44"/>
      <c r="T6269" s="44"/>
    </row>
    <row r="6270" spans="12:20" x14ac:dyDescent="0.2">
      <c r="L6270" s="43"/>
      <c r="M6270" s="43"/>
      <c r="N6270" s="43"/>
      <c r="O6270" s="43"/>
      <c r="Q6270" s="44"/>
      <c r="R6270" s="44"/>
      <c r="S6270" s="44"/>
      <c r="T6270" s="44"/>
    </row>
    <row r="6271" spans="12:20" x14ac:dyDescent="0.2">
      <c r="L6271" s="43"/>
      <c r="M6271" s="43"/>
      <c r="N6271" s="43"/>
      <c r="O6271" s="43"/>
      <c r="Q6271" s="44"/>
      <c r="R6271" s="44"/>
      <c r="S6271" s="44"/>
      <c r="T6271" s="44"/>
    </row>
    <row r="6272" spans="12:20" x14ac:dyDescent="0.2">
      <c r="L6272" s="43"/>
      <c r="M6272" s="43"/>
      <c r="N6272" s="43"/>
      <c r="O6272" s="43"/>
      <c r="Q6272" s="44"/>
      <c r="R6272" s="44"/>
      <c r="S6272" s="44"/>
      <c r="T6272" s="44"/>
    </row>
    <row r="6273" spans="12:20" x14ac:dyDescent="0.2">
      <c r="L6273" s="43"/>
      <c r="M6273" s="43"/>
      <c r="N6273" s="43"/>
      <c r="O6273" s="43"/>
      <c r="Q6273" s="44"/>
      <c r="R6273" s="44"/>
      <c r="S6273" s="44"/>
      <c r="T6273" s="44"/>
    </row>
    <row r="6274" spans="12:20" x14ac:dyDescent="0.2">
      <c r="L6274" s="43"/>
      <c r="M6274" s="43"/>
      <c r="N6274" s="43"/>
      <c r="O6274" s="43"/>
      <c r="Q6274" s="44"/>
      <c r="R6274" s="44"/>
      <c r="S6274" s="44"/>
      <c r="T6274" s="44"/>
    </row>
    <row r="6275" spans="12:20" x14ac:dyDescent="0.2">
      <c r="L6275" s="43"/>
      <c r="M6275" s="43"/>
      <c r="N6275" s="43"/>
      <c r="O6275" s="43"/>
      <c r="Q6275" s="44"/>
      <c r="R6275" s="44"/>
      <c r="S6275" s="44"/>
      <c r="T6275" s="44"/>
    </row>
    <row r="6276" spans="12:20" x14ac:dyDescent="0.2">
      <c r="L6276" s="43"/>
      <c r="M6276" s="43"/>
      <c r="N6276" s="43"/>
      <c r="O6276" s="43"/>
      <c r="Q6276" s="44"/>
      <c r="R6276" s="44"/>
      <c r="S6276" s="44"/>
      <c r="T6276" s="44"/>
    </row>
    <row r="6277" spans="12:20" x14ac:dyDescent="0.2">
      <c r="L6277" s="43"/>
      <c r="M6277" s="43"/>
      <c r="N6277" s="43"/>
      <c r="O6277" s="43"/>
      <c r="Q6277" s="44"/>
      <c r="R6277" s="44"/>
      <c r="S6277" s="44"/>
      <c r="T6277" s="44"/>
    </row>
    <row r="6278" spans="12:20" x14ac:dyDescent="0.2">
      <c r="L6278" s="43"/>
      <c r="M6278" s="43"/>
      <c r="N6278" s="43"/>
      <c r="O6278" s="43"/>
      <c r="Q6278" s="44"/>
      <c r="R6278" s="44"/>
      <c r="S6278" s="44"/>
      <c r="T6278" s="44"/>
    </row>
    <row r="6279" spans="12:20" x14ac:dyDescent="0.2">
      <c r="L6279" s="43"/>
      <c r="M6279" s="43"/>
      <c r="N6279" s="43"/>
      <c r="O6279" s="43"/>
      <c r="Q6279" s="44"/>
      <c r="R6279" s="44"/>
      <c r="S6279" s="44"/>
      <c r="T6279" s="44"/>
    </row>
    <row r="6280" spans="12:20" x14ac:dyDescent="0.2">
      <c r="L6280" s="43"/>
      <c r="M6280" s="43"/>
      <c r="N6280" s="43"/>
      <c r="O6280" s="43"/>
      <c r="Q6280" s="44"/>
      <c r="R6280" s="44"/>
      <c r="S6280" s="44"/>
      <c r="T6280" s="44"/>
    </row>
    <row r="6281" spans="12:20" x14ac:dyDescent="0.2">
      <c r="L6281" s="43"/>
      <c r="M6281" s="43"/>
      <c r="N6281" s="43"/>
      <c r="O6281" s="43"/>
      <c r="Q6281" s="44"/>
      <c r="R6281" s="44"/>
      <c r="S6281" s="44"/>
      <c r="T6281" s="44"/>
    </row>
    <row r="6282" spans="12:20" x14ac:dyDescent="0.2">
      <c r="L6282" s="43"/>
      <c r="M6282" s="43"/>
      <c r="N6282" s="43"/>
      <c r="O6282" s="43"/>
      <c r="Q6282" s="44"/>
      <c r="R6282" s="44"/>
      <c r="S6282" s="44"/>
      <c r="T6282" s="44"/>
    </row>
    <row r="6283" spans="12:20" x14ac:dyDescent="0.2">
      <c r="L6283" s="43"/>
      <c r="M6283" s="43"/>
      <c r="N6283" s="43"/>
      <c r="O6283" s="43"/>
      <c r="Q6283" s="44"/>
      <c r="R6283" s="44"/>
      <c r="S6283" s="44"/>
      <c r="T6283" s="44"/>
    </row>
    <row r="6284" spans="12:20" x14ac:dyDescent="0.2">
      <c r="L6284" s="43"/>
      <c r="M6284" s="43"/>
      <c r="N6284" s="43"/>
      <c r="O6284" s="43"/>
      <c r="Q6284" s="44"/>
      <c r="R6284" s="44"/>
      <c r="S6284" s="44"/>
      <c r="T6284" s="44"/>
    </row>
    <row r="6285" spans="12:20" x14ac:dyDescent="0.2">
      <c r="L6285" s="43"/>
      <c r="M6285" s="43"/>
      <c r="N6285" s="43"/>
      <c r="O6285" s="43"/>
      <c r="Q6285" s="44"/>
      <c r="R6285" s="44"/>
      <c r="S6285" s="44"/>
      <c r="T6285" s="44"/>
    </row>
    <row r="6286" spans="12:20" x14ac:dyDescent="0.2">
      <c r="L6286" s="43"/>
      <c r="M6286" s="43"/>
      <c r="N6286" s="43"/>
      <c r="O6286" s="43"/>
      <c r="Q6286" s="44"/>
      <c r="R6286" s="44"/>
      <c r="S6286" s="44"/>
      <c r="T6286" s="44"/>
    </row>
    <row r="6287" spans="12:20" x14ac:dyDescent="0.2">
      <c r="L6287" s="43"/>
      <c r="M6287" s="43"/>
      <c r="N6287" s="43"/>
      <c r="O6287" s="43"/>
      <c r="Q6287" s="44"/>
      <c r="R6287" s="44"/>
      <c r="S6287" s="44"/>
      <c r="T6287" s="44"/>
    </row>
    <row r="6288" spans="12:20" x14ac:dyDescent="0.2">
      <c r="L6288" s="43"/>
      <c r="M6288" s="43"/>
      <c r="N6288" s="43"/>
      <c r="O6288" s="43"/>
      <c r="Q6288" s="44"/>
      <c r="R6288" s="44"/>
      <c r="S6288" s="44"/>
      <c r="T6288" s="44"/>
    </row>
    <row r="6289" spans="12:20" x14ac:dyDescent="0.2">
      <c r="L6289" s="43"/>
      <c r="M6289" s="43"/>
      <c r="N6289" s="43"/>
      <c r="O6289" s="43"/>
      <c r="Q6289" s="44"/>
      <c r="R6289" s="44"/>
      <c r="S6289" s="44"/>
      <c r="T6289" s="44"/>
    </row>
    <row r="6290" spans="12:20" x14ac:dyDescent="0.2">
      <c r="L6290" s="43"/>
      <c r="M6290" s="43"/>
      <c r="N6290" s="43"/>
      <c r="O6290" s="43"/>
      <c r="Q6290" s="44"/>
      <c r="R6290" s="44"/>
      <c r="S6290" s="44"/>
      <c r="T6290" s="44"/>
    </row>
    <row r="6291" spans="12:20" x14ac:dyDescent="0.2">
      <c r="L6291" s="43"/>
      <c r="M6291" s="43"/>
      <c r="N6291" s="43"/>
      <c r="O6291" s="43"/>
      <c r="Q6291" s="44"/>
      <c r="R6291" s="44"/>
      <c r="S6291" s="44"/>
      <c r="T6291" s="44"/>
    </row>
    <row r="6292" spans="12:20" x14ac:dyDescent="0.2">
      <c r="L6292" s="43"/>
      <c r="M6292" s="43"/>
      <c r="N6292" s="43"/>
      <c r="O6292" s="43"/>
      <c r="Q6292" s="44"/>
      <c r="R6292" s="44"/>
      <c r="S6292" s="44"/>
      <c r="T6292" s="44"/>
    </row>
    <row r="6293" spans="12:20" x14ac:dyDescent="0.2">
      <c r="L6293" s="43"/>
      <c r="M6293" s="43"/>
      <c r="N6293" s="43"/>
      <c r="O6293" s="43"/>
      <c r="Q6293" s="44"/>
      <c r="R6293" s="44"/>
      <c r="S6293" s="44"/>
      <c r="T6293" s="44"/>
    </row>
    <row r="6294" spans="12:20" x14ac:dyDescent="0.2">
      <c r="L6294" s="43"/>
      <c r="M6294" s="43"/>
      <c r="N6294" s="43"/>
      <c r="O6294" s="43"/>
      <c r="Q6294" s="44"/>
      <c r="R6294" s="44"/>
      <c r="S6294" s="44"/>
      <c r="T6294" s="44"/>
    </row>
    <row r="6295" spans="12:20" x14ac:dyDescent="0.2">
      <c r="L6295" s="43"/>
      <c r="M6295" s="43"/>
      <c r="N6295" s="43"/>
      <c r="O6295" s="43"/>
      <c r="Q6295" s="44"/>
      <c r="R6295" s="44"/>
      <c r="S6295" s="44"/>
      <c r="T6295" s="44"/>
    </row>
    <row r="6296" spans="12:20" x14ac:dyDescent="0.2">
      <c r="L6296" s="43"/>
      <c r="M6296" s="43"/>
      <c r="N6296" s="43"/>
      <c r="O6296" s="43"/>
      <c r="Q6296" s="44"/>
      <c r="R6296" s="44"/>
      <c r="S6296" s="44"/>
      <c r="T6296" s="44"/>
    </row>
    <row r="6297" spans="12:20" x14ac:dyDescent="0.2">
      <c r="L6297" s="43"/>
      <c r="M6297" s="43"/>
      <c r="N6297" s="43"/>
      <c r="O6297" s="43"/>
      <c r="Q6297" s="44"/>
      <c r="R6297" s="44"/>
      <c r="S6297" s="44"/>
      <c r="T6297" s="44"/>
    </row>
    <row r="6298" spans="12:20" x14ac:dyDescent="0.2">
      <c r="L6298" s="43"/>
      <c r="M6298" s="43"/>
      <c r="N6298" s="43"/>
      <c r="O6298" s="43"/>
      <c r="Q6298" s="44"/>
      <c r="R6298" s="44"/>
      <c r="S6298" s="44"/>
      <c r="T6298" s="44"/>
    </row>
    <row r="6299" spans="12:20" x14ac:dyDescent="0.2">
      <c r="L6299" s="43"/>
      <c r="M6299" s="43"/>
      <c r="N6299" s="43"/>
      <c r="O6299" s="43"/>
      <c r="Q6299" s="44"/>
      <c r="R6299" s="44"/>
      <c r="S6299" s="44"/>
      <c r="T6299" s="44"/>
    </row>
    <row r="6300" spans="12:20" x14ac:dyDescent="0.2">
      <c r="L6300" s="43"/>
      <c r="M6300" s="43"/>
      <c r="N6300" s="43"/>
      <c r="O6300" s="43"/>
      <c r="Q6300" s="44"/>
      <c r="R6300" s="44"/>
      <c r="S6300" s="44"/>
      <c r="T6300" s="44"/>
    </row>
    <row r="6301" spans="12:20" x14ac:dyDescent="0.2">
      <c r="L6301" s="43"/>
      <c r="M6301" s="43"/>
      <c r="N6301" s="43"/>
      <c r="O6301" s="43"/>
      <c r="Q6301" s="44"/>
      <c r="R6301" s="44"/>
      <c r="S6301" s="44"/>
      <c r="T6301" s="44"/>
    </row>
    <row r="6302" spans="12:20" x14ac:dyDescent="0.2">
      <c r="L6302" s="43"/>
      <c r="M6302" s="43"/>
      <c r="N6302" s="43"/>
      <c r="O6302" s="43"/>
      <c r="Q6302" s="44"/>
      <c r="R6302" s="44"/>
      <c r="S6302" s="44"/>
      <c r="T6302" s="44"/>
    </row>
    <row r="6303" spans="12:20" x14ac:dyDescent="0.2">
      <c r="L6303" s="43"/>
      <c r="M6303" s="43"/>
      <c r="N6303" s="43"/>
      <c r="O6303" s="43"/>
      <c r="Q6303" s="44"/>
      <c r="R6303" s="44"/>
      <c r="S6303" s="44"/>
      <c r="T6303" s="44"/>
    </row>
    <row r="6304" spans="12:20" x14ac:dyDescent="0.2">
      <c r="L6304" s="43"/>
      <c r="M6304" s="43"/>
      <c r="N6304" s="43"/>
      <c r="O6304" s="43"/>
      <c r="Q6304" s="44"/>
      <c r="R6304" s="44"/>
      <c r="S6304" s="44"/>
      <c r="T6304" s="44"/>
    </row>
    <row r="6305" spans="12:20" x14ac:dyDescent="0.2">
      <c r="L6305" s="43"/>
      <c r="M6305" s="43"/>
      <c r="N6305" s="43"/>
      <c r="O6305" s="43"/>
      <c r="Q6305" s="44"/>
      <c r="R6305" s="44"/>
      <c r="S6305" s="44"/>
      <c r="T6305" s="44"/>
    </row>
    <row r="6306" spans="12:20" x14ac:dyDescent="0.2">
      <c r="L6306" s="43"/>
      <c r="M6306" s="43"/>
      <c r="N6306" s="43"/>
      <c r="O6306" s="43"/>
      <c r="Q6306" s="44"/>
      <c r="R6306" s="44"/>
      <c r="S6306" s="44"/>
      <c r="T6306" s="44"/>
    </row>
    <row r="6307" spans="12:20" x14ac:dyDescent="0.2">
      <c r="L6307" s="43"/>
      <c r="M6307" s="43"/>
      <c r="N6307" s="43"/>
      <c r="O6307" s="43"/>
      <c r="Q6307" s="44"/>
      <c r="R6307" s="44"/>
      <c r="S6307" s="44"/>
      <c r="T6307" s="44"/>
    </row>
    <row r="6308" spans="12:20" x14ac:dyDescent="0.2">
      <c r="L6308" s="43"/>
      <c r="M6308" s="43"/>
      <c r="N6308" s="43"/>
      <c r="O6308" s="43"/>
      <c r="Q6308" s="44"/>
      <c r="R6308" s="44"/>
      <c r="S6308" s="44"/>
      <c r="T6308" s="44"/>
    </row>
    <row r="6309" spans="12:20" x14ac:dyDescent="0.2">
      <c r="L6309" s="43"/>
      <c r="M6309" s="43"/>
      <c r="N6309" s="43"/>
      <c r="O6309" s="43"/>
      <c r="Q6309" s="44"/>
      <c r="R6309" s="44"/>
      <c r="S6309" s="44"/>
      <c r="T6309" s="44"/>
    </row>
    <row r="6310" spans="12:20" x14ac:dyDescent="0.2">
      <c r="L6310" s="43"/>
      <c r="M6310" s="43"/>
      <c r="N6310" s="43"/>
      <c r="O6310" s="43"/>
      <c r="Q6310" s="44"/>
      <c r="R6310" s="44"/>
      <c r="S6310" s="44"/>
      <c r="T6310" s="44"/>
    </row>
    <row r="6311" spans="12:20" x14ac:dyDescent="0.2">
      <c r="L6311" s="43"/>
      <c r="M6311" s="43"/>
      <c r="N6311" s="43"/>
      <c r="O6311" s="43"/>
      <c r="Q6311" s="44"/>
      <c r="R6311" s="44"/>
      <c r="S6311" s="44"/>
      <c r="T6311" s="44"/>
    </row>
    <row r="6312" spans="12:20" x14ac:dyDescent="0.2">
      <c r="L6312" s="43"/>
      <c r="M6312" s="43"/>
      <c r="N6312" s="43"/>
      <c r="O6312" s="43"/>
      <c r="Q6312" s="44"/>
      <c r="R6312" s="44"/>
      <c r="S6312" s="44"/>
      <c r="T6312" s="44"/>
    </row>
    <row r="6313" spans="12:20" x14ac:dyDescent="0.2">
      <c r="L6313" s="43"/>
      <c r="M6313" s="43"/>
      <c r="N6313" s="43"/>
      <c r="O6313" s="43"/>
      <c r="Q6313" s="44"/>
      <c r="R6313" s="44"/>
      <c r="S6313" s="44"/>
      <c r="T6313" s="44"/>
    </row>
    <row r="6314" spans="12:20" x14ac:dyDescent="0.2">
      <c r="L6314" s="43"/>
      <c r="M6314" s="43"/>
      <c r="N6314" s="43"/>
      <c r="O6314" s="43"/>
      <c r="Q6314" s="44"/>
      <c r="R6314" s="44"/>
      <c r="S6314" s="44"/>
      <c r="T6314" s="44"/>
    </row>
    <row r="6315" spans="12:20" x14ac:dyDescent="0.2">
      <c r="L6315" s="43"/>
      <c r="M6315" s="43"/>
      <c r="N6315" s="43"/>
      <c r="O6315" s="43"/>
      <c r="Q6315" s="44"/>
      <c r="R6315" s="44"/>
      <c r="S6315" s="44"/>
      <c r="T6315" s="44"/>
    </row>
    <row r="6316" spans="12:20" x14ac:dyDescent="0.2">
      <c r="L6316" s="43"/>
      <c r="M6316" s="43"/>
      <c r="N6316" s="43"/>
      <c r="O6316" s="43"/>
      <c r="Q6316" s="44"/>
      <c r="R6316" s="44"/>
      <c r="S6316" s="44"/>
      <c r="T6316" s="44"/>
    </row>
    <row r="6317" spans="12:20" x14ac:dyDescent="0.2">
      <c r="L6317" s="43"/>
      <c r="M6317" s="43"/>
      <c r="N6317" s="43"/>
      <c r="O6317" s="43"/>
      <c r="Q6317" s="44"/>
      <c r="R6317" s="44"/>
      <c r="S6317" s="44"/>
      <c r="T6317" s="44"/>
    </row>
    <row r="6318" spans="12:20" x14ac:dyDescent="0.2">
      <c r="L6318" s="43"/>
      <c r="M6318" s="43"/>
      <c r="N6318" s="43"/>
      <c r="O6318" s="43"/>
      <c r="Q6318" s="44"/>
      <c r="R6318" s="44"/>
      <c r="S6318" s="44"/>
      <c r="T6318" s="44"/>
    </row>
    <row r="6319" spans="12:20" x14ac:dyDescent="0.2">
      <c r="L6319" s="43"/>
      <c r="M6319" s="43"/>
      <c r="N6319" s="43"/>
      <c r="O6319" s="43"/>
      <c r="Q6319" s="44"/>
      <c r="R6319" s="44"/>
      <c r="S6319" s="44"/>
      <c r="T6319" s="44"/>
    </row>
    <row r="6320" spans="12:20" x14ac:dyDescent="0.2">
      <c r="L6320" s="43"/>
      <c r="M6320" s="43"/>
      <c r="N6320" s="43"/>
      <c r="O6320" s="43"/>
      <c r="Q6320" s="44"/>
      <c r="R6320" s="44"/>
      <c r="S6320" s="44"/>
      <c r="T6320" s="44"/>
    </row>
    <row r="6321" spans="12:20" x14ac:dyDescent="0.2">
      <c r="L6321" s="43"/>
      <c r="M6321" s="43"/>
      <c r="N6321" s="43"/>
      <c r="O6321" s="43"/>
      <c r="Q6321" s="44"/>
      <c r="R6321" s="44"/>
      <c r="S6321" s="44"/>
      <c r="T6321" s="44"/>
    </row>
    <row r="6322" spans="12:20" x14ac:dyDescent="0.2">
      <c r="L6322" s="43"/>
      <c r="M6322" s="43"/>
      <c r="N6322" s="43"/>
      <c r="O6322" s="43"/>
      <c r="Q6322" s="44"/>
      <c r="R6322" s="44"/>
      <c r="S6322" s="44"/>
      <c r="T6322" s="44"/>
    </row>
    <row r="6323" spans="12:20" x14ac:dyDescent="0.2">
      <c r="L6323" s="43"/>
      <c r="M6323" s="43"/>
      <c r="N6323" s="43"/>
      <c r="O6323" s="43"/>
      <c r="Q6323" s="44"/>
      <c r="R6323" s="44"/>
      <c r="S6323" s="44"/>
      <c r="T6323" s="44"/>
    </row>
    <row r="6324" spans="12:20" x14ac:dyDescent="0.2">
      <c r="L6324" s="43"/>
      <c r="M6324" s="43"/>
      <c r="N6324" s="43"/>
      <c r="O6324" s="43"/>
      <c r="Q6324" s="44"/>
      <c r="R6324" s="44"/>
      <c r="S6324" s="44"/>
      <c r="T6324" s="44"/>
    </row>
    <row r="6325" spans="12:20" x14ac:dyDescent="0.2">
      <c r="L6325" s="43"/>
      <c r="M6325" s="43"/>
      <c r="N6325" s="43"/>
      <c r="O6325" s="43"/>
      <c r="Q6325" s="44"/>
      <c r="R6325" s="44"/>
      <c r="S6325" s="44"/>
      <c r="T6325" s="44"/>
    </row>
    <row r="6326" spans="12:20" x14ac:dyDescent="0.2">
      <c r="L6326" s="43"/>
      <c r="M6326" s="43"/>
      <c r="N6326" s="43"/>
      <c r="O6326" s="43"/>
      <c r="Q6326" s="44"/>
      <c r="R6326" s="44"/>
      <c r="S6326" s="44"/>
      <c r="T6326" s="44"/>
    </row>
    <row r="6327" spans="12:20" x14ac:dyDescent="0.2">
      <c r="L6327" s="43"/>
      <c r="M6327" s="43"/>
      <c r="N6327" s="43"/>
      <c r="O6327" s="43"/>
      <c r="Q6327" s="44"/>
      <c r="R6327" s="44"/>
      <c r="S6327" s="44"/>
      <c r="T6327" s="44"/>
    </row>
    <row r="6328" spans="12:20" x14ac:dyDescent="0.2">
      <c r="L6328" s="43"/>
      <c r="M6328" s="43"/>
      <c r="N6328" s="43"/>
      <c r="O6328" s="43"/>
      <c r="Q6328" s="44"/>
      <c r="R6328" s="44"/>
      <c r="S6328" s="44"/>
      <c r="T6328" s="44"/>
    </row>
    <row r="6329" spans="12:20" x14ac:dyDescent="0.2">
      <c r="L6329" s="43"/>
      <c r="M6329" s="43"/>
      <c r="N6329" s="43"/>
      <c r="O6329" s="43"/>
      <c r="Q6329" s="44"/>
      <c r="R6329" s="44"/>
      <c r="S6329" s="44"/>
      <c r="T6329" s="44"/>
    </row>
    <row r="6330" spans="12:20" x14ac:dyDescent="0.2">
      <c r="L6330" s="43"/>
      <c r="M6330" s="43"/>
      <c r="N6330" s="43"/>
      <c r="O6330" s="43"/>
      <c r="Q6330" s="44"/>
      <c r="R6330" s="44"/>
      <c r="S6330" s="44"/>
      <c r="T6330" s="44"/>
    </row>
    <row r="6331" spans="12:20" x14ac:dyDescent="0.2">
      <c r="L6331" s="43"/>
      <c r="M6331" s="43"/>
      <c r="N6331" s="43"/>
      <c r="O6331" s="43"/>
      <c r="Q6331" s="44"/>
      <c r="R6331" s="44"/>
      <c r="S6331" s="44"/>
      <c r="T6331" s="44"/>
    </row>
    <row r="6332" spans="12:20" x14ac:dyDescent="0.2">
      <c r="L6332" s="43"/>
      <c r="M6332" s="43"/>
      <c r="N6332" s="43"/>
      <c r="O6332" s="43"/>
      <c r="Q6332" s="44"/>
      <c r="R6332" s="44"/>
      <c r="S6332" s="44"/>
      <c r="T6332" s="44"/>
    </row>
    <row r="6333" spans="12:20" x14ac:dyDescent="0.2">
      <c r="L6333" s="43"/>
      <c r="M6333" s="43"/>
      <c r="N6333" s="43"/>
      <c r="O6333" s="43"/>
      <c r="Q6333" s="44"/>
      <c r="R6333" s="44"/>
      <c r="S6333" s="44"/>
      <c r="T6333" s="44"/>
    </row>
    <row r="6334" spans="12:20" x14ac:dyDescent="0.2">
      <c r="L6334" s="43"/>
      <c r="M6334" s="43"/>
      <c r="N6334" s="43"/>
      <c r="O6334" s="43"/>
      <c r="Q6334" s="44"/>
      <c r="R6334" s="44"/>
      <c r="S6334" s="44"/>
      <c r="T6334" s="44"/>
    </row>
    <row r="6335" spans="12:20" x14ac:dyDescent="0.2">
      <c r="L6335" s="43"/>
      <c r="M6335" s="43"/>
      <c r="N6335" s="43"/>
      <c r="O6335" s="43"/>
      <c r="Q6335" s="44"/>
      <c r="R6335" s="44"/>
      <c r="S6335" s="44"/>
      <c r="T6335" s="44"/>
    </row>
    <row r="6336" spans="12:20" x14ac:dyDescent="0.2">
      <c r="L6336" s="43"/>
      <c r="M6336" s="43"/>
      <c r="N6336" s="43"/>
      <c r="O6336" s="43"/>
      <c r="Q6336" s="44"/>
      <c r="R6336" s="44"/>
      <c r="S6336" s="44"/>
      <c r="T6336" s="44"/>
    </row>
    <row r="6337" spans="12:20" x14ac:dyDescent="0.2">
      <c r="L6337" s="43"/>
      <c r="M6337" s="43"/>
      <c r="N6337" s="43"/>
      <c r="O6337" s="43"/>
      <c r="Q6337" s="44"/>
      <c r="R6337" s="44"/>
      <c r="S6337" s="44"/>
      <c r="T6337" s="44"/>
    </row>
    <row r="6338" spans="12:20" x14ac:dyDescent="0.2">
      <c r="L6338" s="43"/>
      <c r="M6338" s="43"/>
      <c r="N6338" s="43"/>
      <c r="O6338" s="43"/>
      <c r="Q6338" s="44"/>
      <c r="R6338" s="44"/>
      <c r="S6338" s="44"/>
      <c r="T6338" s="44"/>
    </row>
    <row r="6339" spans="12:20" x14ac:dyDescent="0.2">
      <c r="L6339" s="43"/>
      <c r="M6339" s="43"/>
      <c r="N6339" s="43"/>
      <c r="O6339" s="43"/>
      <c r="Q6339" s="44"/>
      <c r="R6339" s="44"/>
      <c r="S6339" s="44"/>
      <c r="T6339" s="44"/>
    </row>
    <row r="6340" spans="12:20" x14ac:dyDescent="0.2">
      <c r="L6340" s="43"/>
      <c r="M6340" s="43"/>
      <c r="N6340" s="43"/>
      <c r="O6340" s="43"/>
      <c r="Q6340" s="44"/>
      <c r="R6340" s="44"/>
      <c r="S6340" s="44"/>
      <c r="T6340" s="44"/>
    </row>
    <row r="6341" spans="12:20" x14ac:dyDescent="0.2">
      <c r="L6341" s="43"/>
      <c r="M6341" s="43"/>
      <c r="N6341" s="43"/>
      <c r="O6341" s="43"/>
      <c r="Q6341" s="44"/>
      <c r="R6341" s="44"/>
      <c r="S6341" s="44"/>
      <c r="T6341" s="44"/>
    </row>
    <row r="6342" spans="12:20" x14ac:dyDescent="0.2">
      <c r="L6342" s="43"/>
      <c r="M6342" s="43"/>
      <c r="N6342" s="43"/>
      <c r="O6342" s="43"/>
      <c r="Q6342" s="44"/>
      <c r="R6342" s="44"/>
      <c r="S6342" s="44"/>
      <c r="T6342" s="44"/>
    </row>
    <row r="6343" spans="12:20" x14ac:dyDescent="0.2">
      <c r="L6343" s="43"/>
      <c r="M6343" s="43"/>
      <c r="N6343" s="43"/>
      <c r="O6343" s="43"/>
      <c r="Q6343" s="44"/>
      <c r="R6343" s="44"/>
      <c r="S6343" s="44"/>
      <c r="T6343" s="44"/>
    </row>
    <row r="6344" spans="12:20" x14ac:dyDescent="0.2">
      <c r="L6344" s="43"/>
      <c r="M6344" s="43"/>
      <c r="N6344" s="43"/>
      <c r="O6344" s="43"/>
      <c r="Q6344" s="44"/>
      <c r="R6344" s="44"/>
      <c r="S6344" s="44"/>
      <c r="T6344" s="44"/>
    </row>
    <row r="6345" spans="12:20" x14ac:dyDescent="0.2">
      <c r="L6345" s="43"/>
      <c r="M6345" s="43"/>
      <c r="N6345" s="43"/>
      <c r="O6345" s="43"/>
      <c r="Q6345" s="44"/>
      <c r="R6345" s="44"/>
      <c r="S6345" s="44"/>
      <c r="T6345" s="44"/>
    </row>
    <row r="6346" spans="12:20" x14ac:dyDescent="0.2">
      <c r="L6346" s="43"/>
      <c r="M6346" s="43"/>
      <c r="N6346" s="43"/>
      <c r="O6346" s="43"/>
      <c r="Q6346" s="44"/>
      <c r="R6346" s="44"/>
      <c r="S6346" s="44"/>
      <c r="T6346" s="44"/>
    </row>
    <row r="6347" spans="12:20" x14ac:dyDescent="0.2">
      <c r="L6347" s="43"/>
      <c r="M6347" s="43"/>
      <c r="N6347" s="43"/>
      <c r="O6347" s="43"/>
      <c r="Q6347" s="44"/>
      <c r="R6347" s="44"/>
      <c r="S6347" s="44"/>
      <c r="T6347" s="44"/>
    </row>
    <row r="6348" spans="12:20" x14ac:dyDescent="0.2">
      <c r="L6348" s="43"/>
      <c r="M6348" s="43"/>
      <c r="N6348" s="43"/>
      <c r="O6348" s="43"/>
      <c r="Q6348" s="44"/>
      <c r="R6348" s="44"/>
      <c r="S6348" s="44"/>
      <c r="T6348" s="44"/>
    </row>
    <row r="6349" spans="12:20" x14ac:dyDescent="0.2">
      <c r="L6349" s="43"/>
      <c r="M6349" s="43"/>
      <c r="N6349" s="43"/>
      <c r="O6349" s="43"/>
      <c r="Q6349" s="44"/>
      <c r="R6349" s="44"/>
      <c r="S6349" s="44"/>
      <c r="T6349" s="44"/>
    </row>
    <row r="6350" spans="12:20" x14ac:dyDescent="0.2">
      <c r="L6350" s="43"/>
      <c r="M6350" s="43"/>
      <c r="N6350" s="43"/>
      <c r="O6350" s="43"/>
      <c r="Q6350" s="44"/>
      <c r="R6350" s="44"/>
      <c r="S6350" s="44"/>
      <c r="T6350" s="44"/>
    </row>
    <row r="6351" spans="12:20" x14ac:dyDescent="0.2">
      <c r="L6351" s="43"/>
      <c r="M6351" s="43"/>
      <c r="N6351" s="43"/>
      <c r="O6351" s="43"/>
      <c r="Q6351" s="44"/>
      <c r="R6351" s="44"/>
      <c r="S6351" s="44"/>
      <c r="T6351" s="44"/>
    </row>
    <row r="6352" spans="12:20" x14ac:dyDescent="0.2">
      <c r="L6352" s="43"/>
      <c r="M6352" s="43"/>
      <c r="N6352" s="43"/>
      <c r="O6352" s="43"/>
      <c r="Q6352" s="44"/>
      <c r="R6352" s="44"/>
      <c r="S6352" s="44"/>
      <c r="T6352" s="44"/>
    </row>
    <row r="6353" spans="12:20" x14ac:dyDescent="0.2">
      <c r="L6353" s="43"/>
      <c r="M6353" s="43"/>
      <c r="N6353" s="43"/>
      <c r="O6353" s="43"/>
      <c r="Q6353" s="44"/>
      <c r="R6353" s="44"/>
      <c r="S6353" s="44"/>
      <c r="T6353" s="44"/>
    </row>
    <row r="6354" spans="12:20" x14ac:dyDescent="0.2">
      <c r="L6354" s="43"/>
      <c r="M6354" s="43"/>
      <c r="N6354" s="43"/>
      <c r="O6354" s="43"/>
      <c r="Q6354" s="44"/>
      <c r="R6354" s="44"/>
      <c r="S6354" s="44"/>
      <c r="T6354" s="44"/>
    </row>
    <row r="6355" spans="12:20" x14ac:dyDescent="0.2">
      <c r="L6355" s="43"/>
      <c r="M6355" s="43"/>
      <c r="N6355" s="43"/>
      <c r="O6355" s="43"/>
      <c r="Q6355" s="44"/>
      <c r="R6355" s="44"/>
      <c r="S6355" s="44"/>
      <c r="T6355" s="44"/>
    </row>
    <row r="6356" spans="12:20" x14ac:dyDescent="0.2">
      <c r="L6356" s="43"/>
      <c r="M6356" s="43"/>
      <c r="N6356" s="43"/>
      <c r="O6356" s="43"/>
      <c r="Q6356" s="44"/>
      <c r="R6356" s="44"/>
      <c r="S6356" s="44"/>
      <c r="T6356" s="44"/>
    </row>
    <row r="6357" spans="12:20" x14ac:dyDescent="0.2">
      <c r="L6357" s="43"/>
      <c r="M6357" s="43"/>
      <c r="N6357" s="43"/>
      <c r="O6357" s="43"/>
      <c r="Q6357" s="44"/>
      <c r="R6357" s="44"/>
      <c r="S6357" s="44"/>
      <c r="T6357" s="44"/>
    </row>
    <row r="6358" spans="12:20" x14ac:dyDescent="0.2">
      <c r="L6358" s="43"/>
      <c r="M6358" s="43"/>
      <c r="N6358" s="43"/>
      <c r="O6358" s="43"/>
      <c r="Q6358" s="44"/>
      <c r="R6358" s="44"/>
      <c r="S6358" s="44"/>
      <c r="T6358" s="44"/>
    </row>
    <row r="6359" spans="12:20" x14ac:dyDescent="0.2">
      <c r="L6359" s="43"/>
      <c r="M6359" s="43"/>
      <c r="N6359" s="43"/>
      <c r="O6359" s="43"/>
      <c r="Q6359" s="44"/>
      <c r="R6359" s="44"/>
      <c r="S6359" s="44"/>
      <c r="T6359" s="44"/>
    </row>
    <row r="6360" spans="12:20" x14ac:dyDescent="0.2">
      <c r="L6360" s="43"/>
      <c r="M6360" s="43"/>
      <c r="N6360" s="43"/>
      <c r="O6360" s="43"/>
      <c r="Q6360" s="44"/>
      <c r="R6360" s="44"/>
      <c r="S6360" s="44"/>
      <c r="T6360" s="44"/>
    </row>
    <row r="6361" spans="12:20" x14ac:dyDescent="0.2">
      <c r="L6361" s="43"/>
      <c r="M6361" s="43"/>
      <c r="N6361" s="43"/>
      <c r="O6361" s="43"/>
      <c r="Q6361" s="44"/>
      <c r="R6361" s="44"/>
      <c r="S6361" s="44"/>
      <c r="T6361" s="44"/>
    </row>
    <row r="6362" spans="12:20" x14ac:dyDescent="0.2">
      <c r="L6362" s="43"/>
      <c r="M6362" s="43"/>
      <c r="N6362" s="43"/>
      <c r="O6362" s="43"/>
      <c r="Q6362" s="44"/>
      <c r="R6362" s="44"/>
      <c r="S6362" s="44"/>
      <c r="T6362" s="44"/>
    </row>
    <row r="6363" spans="12:20" x14ac:dyDescent="0.2">
      <c r="L6363" s="43"/>
      <c r="M6363" s="43"/>
      <c r="N6363" s="43"/>
      <c r="O6363" s="43"/>
      <c r="Q6363" s="44"/>
      <c r="R6363" s="44"/>
      <c r="S6363" s="44"/>
      <c r="T6363" s="44"/>
    </row>
    <row r="6364" spans="12:20" x14ac:dyDescent="0.2">
      <c r="L6364" s="43"/>
      <c r="M6364" s="43"/>
      <c r="N6364" s="43"/>
      <c r="O6364" s="43"/>
      <c r="Q6364" s="44"/>
      <c r="R6364" s="44"/>
      <c r="S6364" s="44"/>
      <c r="T6364" s="44"/>
    </row>
    <row r="6365" spans="12:20" x14ac:dyDescent="0.2">
      <c r="L6365" s="43"/>
      <c r="M6365" s="43"/>
      <c r="N6365" s="43"/>
      <c r="O6365" s="43"/>
      <c r="Q6365" s="44"/>
      <c r="R6365" s="44"/>
      <c r="S6365" s="44"/>
      <c r="T6365" s="44"/>
    </row>
    <row r="6366" spans="12:20" x14ac:dyDescent="0.2">
      <c r="L6366" s="43"/>
      <c r="M6366" s="43"/>
      <c r="N6366" s="43"/>
      <c r="O6366" s="43"/>
      <c r="Q6366" s="44"/>
      <c r="R6366" s="44"/>
      <c r="S6366" s="44"/>
      <c r="T6366" s="44"/>
    </row>
    <row r="6367" spans="12:20" x14ac:dyDescent="0.2">
      <c r="L6367" s="43"/>
      <c r="M6367" s="43"/>
      <c r="N6367" s="43"/>
      <c r="O6367" s="43"/>
      <c r="Q6367" s="44"/>
      <c r="R6367" s="44"/>
      <c r="S6367" s="44"/>
      <c r="T6367" s="44"/>
    </row>
    <row r="6368" spans="12:20" x14ac:dyDescent="0.2">
      <c r="L6368" s="43"/>
      <c r="M6368" s="43"/>
      <c r="N6368" s="43"/>
      <c r="O6368" s="43"/>
      <c r="Q6368" s="44"/>
      <c r="R6368" s="44"/>
      <c r="S6368" s="44"/>
      <c r="T6368" s="44"/>
    </row>
    <row r="6369" spans="12:20" x14ac:dyDescent="0.2">
      <c r="L6369" s="43"/>
      <c r="M6369" s="43"/>
      <c r="N6369" s="43"/>
      <c r="O6369" s="43"/>
      <c r="Q6369" s="44"/>
      <c r="R6369" s="44"/>
      <c r="S6369" s="44"/>
      <c r="T6369" s="44"/>
    </row>
    <row r="6370" spans="12:20" x14ac:dyDescent="0.2">
      <c r="L6370" s="43"/>
      <c r="M6370" s="43"/>
      <c r="N6370" s="43"/>
      <c r="O6370" s="43"/>
      <c r="Q6370" s="44"/>
      <c r="R6370" s="44"/>
      <c r="S6370" s="44"/>
      <c r="T6370" s="44"/>
    </row>
    <row r="6371" spans="12:20" x14ac:dyDescent="0.2">
      <c r="L6371" s="43"/>
      <c r="M6371" s="43"/>
      <c r="N6371" s="43"/>
      <c r="O6371" s="43"/>
      <c r="Q6371" s="44"/>
      <c r="R6371" s="44"/>
      <c r="S6371" s="44"/>
      <c r="T6371" s="44"/>
    </row>
    <row r="6372" spans="12:20" x14ac:dyDescent="0.2">
      <c r="L6372" s="43"/>
      <c r="M6372" s="43"/>
      <c r="N6372" s="43"/>
      <c r="O6372" s="43"/>
      <c r="Q6372" s="44"/>
      <c r="R6372" s="44"/>
      <c r="S6372" s="44"/>
      <c r="T6372" s="44"/>
    </row>
    <row r="6373" spans="12:20" x14ac:dyDescent="0.2">
      <c r="L6373" s="43"/>
      <c r="M6373" s="43"/>
      <c r="N6373" s="43"/>
      <c r="O6373" s="43"/>
      <c r="Q6373" s="44"/>
      <c r="R6373" s="44"/>
      <c r="S6373" s="44"/>
      <c r="T6373" s="44"/>
    </row>
    <row r="6374" spans="12:20" x14ac:dyDescent="0.2">
      <c r="L6374" s="43"/>
      <c r="M6374" s="43"/>
      <c r="N6374" s="43"/>
      <c r="O6374" s="43"/>
      <c r="Q6374" s="44"/>
      <c r="R6374" s="44"/>
      <c r="S6374" s="44"/>
      <c r="T6374" s="44"/>
    </row>
    <row r="6375" spans="12:20" x14ac:dyDescent="0.2">
      <c r="L6375" s="43"/>
      <c r="M6375" s="43"/>
      <c r="N6375" s="43"/>
      <c r="O6375" s="43"/>
      <c r="Q6375" s="44"/>
      <c r="R6375" s="44"/>
      <c r="S6375" s="44"/>
      <c r="T6375" s="44"/>
    </row>
    <row r="6376" spans="12:20" x14ac:dyDescent="0.2">
      <c r="L6376" s="43"/>
      <c r="M6376" s="43"/>
      <c r="N6376" s="43"/>
      <c r="O6376" s="43"/>
      <c r="Q6376" s="44"/>
      <c r="R6376" s="44"/>
      <c r="S6376" s="44"/>
      <c r="T6376" s="44"/>
    </row>
    <row r="6377" spans="12:20" x14ac:dyDescent="0.2">
      <c r="L6377" s="43"/>
      <c r="M6377" s="43"/>
      <c r="N6377" s="43"/>
      <c r="O6377" s="43"/>
      <c r="Q6377" s="44"/>
      <c r="R6377" s="44"/>
      <c r="S6377" s="44"/>
      <c r="T6377" s="44"/>
    </row>
    <row r="6378" spans="12:20" x14ac:dyDescent="0.2">
      <c r="L6378" s="43"/>
      <c r="M6378" s="43"/>
      <c r="N6378" s="43"/>
      <c r="O6378" s="43"/>
      <c r="Q6378" s="44"/>
      <c r="R6378" s="44"/>
      <c r="S6378" s="44"/>
      <c r="T6378" s="44"/>
    </row>
    <row r="6379" spans="12:20" x14ac:dyDescent="0.2">
      <c r="L6379" s="43"/>
      <c r="M6379" s="43"/>
      <c r="N6379" s="43"/>
      <c r="O6379" s="43"/>
      <c r="Q6379" s="44"/>
      <c r="R6379" s="44"/>
      <c r="S6379" s="44"/>
      <c r="T6379" s="44"/>
    </row>
    <row r="6380" spans="12:20" x14ac:dyDescent="0.2">
      <c r="L6380" s="43"/>
      <c r="M6380" s="43"/>
      <c r="N6380" s="43"/>
      <c r="O6380" s="43"/>
      <c r="Q6380" s="44"/>
      <c r="R6380" s="44"/>
      <c r="S6380" s="44"/>
      <c r="T6380" s="44"/>
    </row>
    <row r="6381" spans="12:20" x14ac:dyDescent="0.2">
      <c r="L6381" s="43"/>
      <c r="M6381" s="43"/>
      <c r="N6381" s="43"/>
      <c r="O6381" s="43"/>
      <c r="Q6381" s="44"/>
      <c r="R6381" s="44"/>
      <c r="S6381" s="44"/>
      <c r="T6381" s="44"/>
    </row>
    <row r="6382" spans="12:20" x14ac:dyDescent="0.2">
      <c r="L6382" s="43"/>
      <c r="M6382" s="43"/>
      <c r="N6382" s="43"/>
      <c r="O6382" s="43"/>
      <c r="Q6382" s="44"/>
      <c r="R6382" s="44"/>
      <c r="S6382" s="44"/>
      <c r="T6382" s="44"/>
    </row>
    <row r="6383" spans="12:20" x14ac:dyDescent="0.2">
      <c r="L6383" s="43"/>
      <c r="M6383" s="43"/>
      <c r="N6383" s="43"/>
      <c r="O6383" s="43"/>
      <c r="Q6383" s="44"/>
      <c r="R6383" s="44"/>
      <c r="S6383" s="44"/>
      <c r="T6383" s="44"/>
    </row>
    <row r="6384" spans="12:20" x14ac:dyDescent="0.2">
      <c r="L6384" s="43"/>
      <c r="M6384" s="43"/>
      <c r="N6384" s="43"/>
      <c r="O6384" s="43"/>
      <c r="Q6384" s="44"/>
      <c r="R6384" s="44"/>
      <c r="S6384" s="44"/>
      <c r="T6384" s="44"/>
    </row>
    <row r="6385" spans="12:20" x14ac:dyDescent="0.2">
      <c r="L6385" s="43"/>
      <c r="M6385" s="43"/>
      <c r="N6385" s="43"/>
      <c r="O6385" s="43"/>
      <c r="Q6385" s="44"/>
      <c r="R6385" s="44"/>
      <c r="S6385" s="44"/>
      <c r="T6385" s="44"/>
    </row>
    <row r="6386" spans="12:20" x14ac:dyDescent="0.2">
      <c r="L6386" s="43"/>
      <c r="M6386" s="43"/>
      <c r="N6386" s="43"/>
      <c r="O6386" s="43"/>
      <c r="Q6386" s="44"/>
      <c r="R6386" s="44"/>
      <c r="S6386" s="44"/>
      <c r="T6386" s="44"/>
    </row>
    <row r="6387" spans="12:20" x14ac:dyDescent="0.2">
      <c r="L6387" s="43"/>
      <c r="M6387" s="43"/>
      <c r="N6387" s="43"/>
      <c r="O6387" s="43"/>
      <c r="Q6387" s="44"/>
      <c r="R6387" s="44"/>
      <c r="S6387" s="44"/>
      <c r="T6387" s="44"/>
    </row>
    <row r="6388" spans="12:20" x14ac:dyDescent="0.2">
      <c r="L6388" s="43"/>
      <c r="M6388" s="43"/>
      <c r="N6388" s="43"/>
      <c r="O6388" s="43"/>
      <c r="Q6388" s="44"/>
      <c r="R6388" s="44"/>
      <c r="S6388" s="44"/>
      <c r="T6388" s="44"/>
    </row>
    <row r="6389" spans="12:20" x14ac:dyDescent="0.2">
      <c r="L6389" s="43"/>
      <c r="M6389" s="43"/>
      <c r="N6389" s="43"/>
      <c r="O6389" s="43"/>
      <c r="Q6389" s="44"/>
      <c r="R6389" s="44"/>
      <c r="S6389" s="44"/>
      <c r="T6389" s="44"/>
    </row>
    <row r="6390" spans="12:20" x14ac:dyDescent="0.2">
      <c r="L6390" s="43"/>
      <c r="M6390" s="43"/>
      <c r="N6390" s="43"/>
      <c r="O6390" s="43"/>
      <c r="Q6390" s="44"/>
      <c r="R6390" s="44"/>
      <c r="S6390" s="44"/>
      <c r="T6390" s="44"/>
    </row>
    <row r="6391" spans="12:20" x14ac:dyDescent="0.2">
      <c r="L6391" s="43"/>
      <c r="M6391" s="43"/>
      <c r="N6391" s="43"/>
      <c r="O6391" s="43"/>
      <c r="Q6391" s="44"/>
      <c r="R6391" s="44"/>
      <c r="S6391" s="44"/>
      <c r="T6391" s="44"/>
    </row>
    <row r="6392" spans="12:20" x14ac:dyDescent="0.2">
      <c r="L6392" s="43"/>
      <c r="M6392" s="43"/>
      <c r="N6392" s="43"/>
      <c r="O6392" s="43"/>
      <c r="Q6392" s="44"/>
      <c r="R6392" s="44"/>
      <c r="S6392" s="44"/>
      <c r="T6392" s="44"/>
    </row>
    <row r="6393" spans="12:20" x14ac:dyDescent="0.2">
      <c r="L6393" s="43"/>
      <c r="M6393" s="43"/>
      <c r="N6393" s="43"/>
      <c r="O6393" s="43"/>
      <c r="Q6393" s="44"/>
      <c r="R6393" s="44"/>
      <c r="S6393" s="44"/>
      <c r="T6393" s="44"/>
    </row>
    <row r="6394" spans="12:20" x14ac:dyDescent="0.2">
      <c r="L6394" s="43"/>
      <c r="M6394" s="43"/>
      <c r="N6394" s="43"/>
      <c r="O6394" s="43"/>
      <c r="Q6394" s="44"/>
      <c r="R6394" s="44"/>
      <c r="S6394" s="44"/>
      <c r="T6394" s="44"/>
    </row>
    <row r="6395" spans="12:20" x14ac:dyDescent="0.2">
      <c r="L6395" s="43"/>
      <c r="M6395" s="43"/>
      <c r="N6395" s="43"/>
      <c r="O6395" s="43"/>
      <c r="Q6395" s="44"/>
      <c r="R6395" s="44"/>
      <c r="S6395" s="44"/>
      <c r="T6395" s="44"/>
    </row>
    <row r="6396" spans="12:20" x14ac:dyDescent="0.2">
      <c r="L6396" s="43"/>
      <c r="M6396" s="43"/>
      <c r="N6396" s="43"/>
      <c r="O6396" s="43"/>
      <c r="Q6396" s="44"/>
      <c r="R6396" s="44"/>
      <c r="S6396" s="44"/>
      <c r="T6396" s="44"/>
    </row>
    <row r="6397" spans="12:20" x14ac:dyDescent="0.2">
      <c r="L6397" s="43"/>
      <c r="M6397" s="43"/>
      <c r="N6397" s="43"/>
      <c r="O6397" s="43"/>
      <c r="Q6397" s="44"/>
      <c r="R6397" s="44"/>
      <c r="S6397" s="44"/>
      <c r="T6397" s="44"/>
    </row>
    <row r="6398" spans="12:20" x14ac:dyDescent="0.2">
      <c r="L6398" s="43"/>
      <c r="M6398" s="43"/>
      <c r="N6398" s="43"/>
      <c r="O6398" s="43"/>
      <c r="Q6398" s="44"/>
      <c r="R6398" s="44"/>
      <c r="S6398" s="44"/>
      <c r="T6398" s="44"/>
    </row>
    <row r="6399" spans="12:20" x14ac:dyDescent="0.2">
      <c r="L6399" s="43"/>
      <c r="M6399" s="43"/>
      <c r="N6399" s="43"/>
      <c r="O6399" s="43"/>
      <c r="Q6399" s="44"/>
      <c r="R6399" s="44"/>
      <c r="S6399" s="44"/>
      <c r="T6399" s="44"/>
    </row>
    <row r="6400" spans="12:20" x14ac:dyDescent="0.2">
      <c r="L6400" s="43"/>
      <c r="M6400" s="43"/>
      <c r="N6400" s="43"/>
      <c r="O6400" s="43"/>
      <c r="Q6400" s="44"/>
      <c r="R6400" s="44"/>
      <c r="S6400" s="44"/>
      <c r="T6400" s="44"/>
    </row>
    <row r="6401" spans="12:20" x14ac:dyDescent="0.2">
      <c r="L6401" s="43"/>
      <c r="M6401" s="43"/>
      <c r="N6401" s="43"/>
      <c r="O6401" s="43"/>
      <c r="Q6401" s="44"/>
      <c r="R6401" s="44"/>
      <c r="S6401" s="44"/>
      <c r="T6401" s="44"/>
    </row>
    <row r="6402" spans="12:20" x14ac:dyDescent="0.2">
      <c r="L6402" s="43"/>
      <c r="M6402" s="43"/>
      <c r="N6402" s="43"/>
      <c r="O6402" s="43"/>
      <c r="Q6402" s="44"/>
      <c r="R6402" s="44"/>
      <c r="S6402" s="44"/>
      <c r="T6402" s="44"/>
    </row>
    <row r="6403" spans="12:20" x14ac:dyDescent="0.2">
      <c r="L6403" s="43"/>
      <c r="M6403" s="43"/>
      <c r="N6403" s="43"/>
      <c r="O6403" s="43"/>
      <c r="Q6403" s="44"/>
      <c r="R6403" s="44"/>
      <c r="S6403" s="44"/>
      <c r="T6403" s="44"/>
    </row>
    <row r="6404" spans="12:20" x14ac:dyDescent="0.2">
      <c r="L6404" s="43"/>
      <c r="M6404" s="43"/>
      <c r="N6404" s="43"/>
      <c r="O6404" s="43"/>
      <c r="Q6404" s="44"/>
      <c r="R6404" s="44"/>
      <c r="S6404" s="44"/>
      <c r="T6404" s="44"/>
    </row>
    <row r="6405" spans="12:20" x14ac:dyDescent="0.2">
      <c r="L6405" s="43"/>
      <c r="M6405" s="43"/>
      <c r="N6405" s="43"/>
      <c r="O6405" s="43"/>
      <c r="Q6405" s="44"/>
      <c r="R6405" s="44"/>
      <c r="S6405" s="44"/>
      <c r="T6405" s="44"/>
    </row>
    <row r="6406" spans="12:20" x14ac:dyDescent="0.2">
      <c r="L6406" s="43"/>
      <c r="M6406" s="43"/>
      <c r="N6406" s="43"/>
      <c r="O6406" s="43"/>
      <c r="Q6406" s="44"/>
      <c r="R6406" s="44"/>
      <c r="S6406" s="44"/>
      <c r="T6406" s="44"/>
    </row>
    <row r="6407" spans="12:20" x14ac:dyDescent="0.2">
      <c r="L6407" s="43"/>
      <c r="M6407" s="43"/>
      <c r="N6407" s="43"/>
      <c r="O6407" s="43"/>
      <c r="Q6407" s="44"/>
      <c r="R6407" s="44"/>
      <c r="S6407" s="44"/>
      <c r="T6407" s="44"/>
    </row>
    <row r="6408" spans="12:20" x14ac:dyDescent="0.2">
      <c r="L6408" s="43"/>
      <c r="M6408" s="43"/>
      <c r="N6408" s="43"/>
      <c r="O6408" s="43"/>
      <c r="Q6408" s="44"/>
      <c r="R6408" s="44"/>
      <c r="S6408" s="44"/>
      <c r="T6408" s="44"/>
    </row>
    <row r="6409" spans="12:20" x14ac:dyDescent="0.2">
      <c r="L6409" s="43"/>
      <c r="M6409" s="43"/>
      <c r="N6409" s="43"/>
      <c r="O6409" s="43"/>
      <c r="Q6409" s="44"/>
      <c r="R6409" s="44"/>
      <c r="S6409" s="44"/>
      <c r="T6409" s="44"/>
    </row>
    <row r="6410" spans="12:20" x14ac:dyDescent="0.2">
      <c r="L6410" s="43"/>
      <c r="M6410" s="43"/>
      <c r="N6410" s="43"/>
      <c r="O6410" s="43"/>
      <c r="Q6410" s="44"/>
      <c r="R6410" s="44"/>
      <c r="S6410" s="44"/>
      <c r="T6410" s="44"/>
    </row>
    <row r="6411" spans="12:20" x14ac:dyDescent="0.2">
      <c r="L6411" s="43"/>
      <c r="M6411" s="43"/>
      <c r="N6411" s="43"/>
      <c r="O6411" s="43"/>
      <c r="Q6411" s="44"/>
      <c r="R6411" s="44"/>
      <c r="S6411" s="44"/>
      <c r="T6411" s="44"/>
    </row>
    <row r="6412" spans="12:20" x14ac:dyDescent="0.2">
      <c r="L6412" s="43"/>
      <c r="M6412" s="43"/>
      <c r="N6412" s="43"/>
      <c r="O6412" s="43"/>
      <c r="Q6412" s="44"/>
      <c r="R6412" s="44"/>
      <c r="S6412" s="44"/>
      <c r="T6412" s="44"/>
    </row>
    <row r="6413" spans="12:20" x14ac:dyDescent="0.2">
      <c r="L6413" s="43"/>
      <c r="M6413" s="43"/>
      <c r="N6413" s="43"/>
      <c r="O6413" s="43"/>
      <c r="Q6413" s="44"/>
      <c r="R6413" s="44"/>
      <c r="S6413" s="44"/>
      <c r="T6413" s="44"/>
    </row>
    <row r="6414" spans="12:20" x14ac:dyDescent="0.2">
      <c r="L6414" s="43"/>
      <c r="M6414" s="43"/>
      <c r="N6414" s="43"/>
      <c r="O6414" s="43"/>
      <c r="Q6414" s="44"/>
      <c r="R6414" s="44"/>
      <c r="S6414" s="44"/>
      <c r="T6414" s="44"/>
    </row>
    <row r="6415" spans="12:20" x14ac:dyDescent="0.2">
      <c r="L6415" s="43"/>
      <c r="M6415" s="43"/>
      <c r="N6415" s="43"/>
      <c r="O6415" s="43"/>
      <c r="Q6415" s="44"/>
      <c r="R6415" s="44"/>
      <c r="S6415" s="44"/>
      <c r="T6415" s="44"/>
    </row>
    <row r="6416" spans="12:20" x14ac:dyDescent="0.2">
      <c r="L6416" s="43"/>
      <c r="M6416" s="43"/>
      <c r="N6416" s="43"/>
      <c r="O6416" s="43"/>
      <c r="Q6416" s="44"/>
      <c r="R6416" s="44"/>
      <c r="S6416" s="44"/>
      <c r="T6416" s="44"/>
    </row>
    <row r="6417" spans="12:20" x14ac:dyDescent="0.2">
      <c r="L6417" s="43"/>
      <c r="M6417" s="43"/>
      <c r="N6417" s="43"/>
      <c r="O6417" s="43"/>
      <c r="Q6417" s="44"/>
      <c r="R6417" s="44"/>
      <c r="S6417" s="44"/>
      <c r="T6417" s="44"/>
    </row>
    <row r="6418" spans="12:20" x14ac:dyDescent="0.2">
      <c r="L6418" s="43"/>
      <c r="M6418" s="43"/>
      <c r="N6418" s="43"/>
      <c r="O6418" s="43"/>
      <c r="Q6418" s="44"/>
      <c r="R6418" s="44"/>
      <c r="S6418" s="44"/>
      <c r="T6418" s="44"/>
    </row>
    <row r="6419" spans="12:20" x14ac:dyDescent="0.2">
      <c r="L6419" s="43"/>
      <c r="M6419" s="43"/>
      <c r="N6419" s="43"/>
      <c r="O6419" s="43"/>
      <c r="Q6419" s="44"/>
      <c r="R6419" s="44"/>
      <c r="S6419" s="44"/>
      <c r="T6419" s="44"/>
    </row>
    <row r="6420" spans="12:20" x14ac:dyDescent="0.2">
      <c r="L6420" s="43"/>
      <c r="M6420" s="43"/>
      <c r="N6420" s="43"/>
      <c r="O6420" s="43"/>
      <c r="Q6420" s="44"/>
      <c r="R6420" s="44"/>
      <c r="S6420" s="44"/>
      <c r="T6420" s="44"/>
    </row>
    <row r="6421" spans="12:20" x14ac:dyDescent="0.2">
      <c r="L6421" s="43"/>
      <c r="M6421" s="43"/>
      <c r="N6421" s="43"/>
      <c r="O6421" s="43"/>
      <c r="Q6421" s="44"/>
      <c r="R6421" s="44"/>
      <c r="S6421" s="44"/>
      <c r="T6421" s="44"/>
    </row>
    <row r="6422" spans="12:20" x14ac:dyDescent="0.2">
      <c r="L6422" s="43"/>
      <c r="M6422" s="43"/>
      <c r="N6422" s="43"/>
      <c r="O6422" s="43"/>
      <c r="Q6422" s="44"/>
      <c r="R6422" s="44"/>
      <c r="S6422" s="44"/>
      <c r="T6422" s="44"/>
    </row>
    <row r="6423" spans="12:20" x14ac:dyDescent="0.2">
      <c r="L6423" s="43"/>
      <c r="M6423" s="43"/>
      <c r="N6423" s="43"/>
      <c r="O6423" s="43"/>
      <c r="Q6423" s="44"/>
      <c r="R6423" s="44"/>
      <c r="S6423" s="44"/>
      <c r="T6423" s="44"/>
    </row>
    <row r="6424" spans="12:20" x14ac:dyDescent="0.2">
      <c r="L6424" s="43"/>
      <c r="M6424" s="43"/>
      <c r="N6424" s="43"/>
      <c r="O6424" s="43"/>
      <c r="Q6424" s="44"/>
      <c r="R6424" s="44"/>
      <c r="S6424" s="44"/>
      <c r="T6424" s="44"/>
    </row>
    <row r="6425" spans="12:20" x14ac:dyDescent="0.2">
      <c r="L6425" s="43"/>
      <c r="M6425" s="43"/>
      <c r="N6425" s="43"/>
      <c r="O6425" s="43"/>
      <c r="Q6425" s="44"/>
      <c r="R6425" s="44"/>
      <c r="S6425" s="44"/>
      <c r="T6425" s="44"/>
    </row>
    <row r="6426" spans="12:20" x14ac:dyDescent="0.2">
      <c r="L6426" s="43"/>
      <c r="M6426" s="43"/>
      <c r="N6426" s="43"/>
      <c r="O6426" s="43"/>
      <c r="Q6426" s="44"/>
      <c r="R6426" s="44"/>
      <c r="S6426" s="44"/>
      <c r="T6426" s="44"/>
    </row>
    <row r="6427" spans="12:20" x14ac:dyDescent="0.2">
      <c r="L6427" s="43"/>
      <c r="M6427" s="43"/>
      <c r="N6427" s="43"/>
      <c r="O6427" s="43"/>
      <c r="Q6427" s="44"/>
      <c r="R6427" s="44"/>
      <c r="S6427" s="44"/>
      <c r="T6427" s="44"/>
    </row>
    <row r="6428" spans="12:20" x14ac:dyDescent="0.2">
      <c r="L6428" s="43"/>
      <c r="M6428" s="43"/>
      <c r="N6428" s="43"/>
      <c r="O6428" s="43"/>
      <c r="Q6428" s="44"/>
      <c r="R6428" s="44"/>
      <c r="S6428" s="44"/>
      <c r="T6428" s="44"/>
    </row>
    <row r="6429" spans="12:20" x14ac:dyDescent="0.2">
      <c r="L6429" s="43"/>
      <c r="M6429" s="43"/>
      <c r="N6429" s="43"/>
      <c r="O6429" s="43"/>
      <c r="Q6429" s="44"/>
      <c r="R6429" s="44"/>
      <c r="S6429" s="44"/>
      <c r="T6429" s="44"/>
    </row>
    <row r="6430" spans="12:20" x14ac:dyDescent="0.2">
      <c r="L6430" s="43"/>
      <c r="M6430" s="43"/>
      <c r="N6430" s="43"/>
      <c r="O6430" s="43"/>
      <c r="Q6430" s="44"/>
      <c r="R6430" s="44"/>
      <c r="S6430" s="44"/>
      <c r="T6430" s="44"/>
    </row>
    <row r="6431" spans="12:20" x14ac:dyDescent="0.2">
      <c r="L6431" s="43"/>
      <c r="M6431" s="43"/>
      <c r="N6431" s="43"/>
      <c r="O6431" s="43"/>
      <c r="Q6431" s="44"/>
      <c r="R6431" s="44"/>
      <c r="S6431" s="44"/>
      <c r="T6431" s="44"/>
    </row>
    <row r="6432" spans="12:20" x14ac:dyDescent="0.2">
      <c r="L6432" s="43"/>
      <c r="M6432" s="43"/>
      <c r="N6432" s="43"/>
      <c r="O6432" s="43"/>
      <c r="Q6432" s="44"/>
      <c r="R6432" s="44"/>
      <c r="S6432" s="44"/>
      <c r="T6432" s="44"/>
    </row>
    <row r="6433" spans="12:20" x14ac:dyDescent="0.2">
      <c r="L6433" s="43"/>
      <c r="M6433" s="43"/>
      <c r="N6433" s="43"/>
      <c r="O6433" s="43"/>
      <c r="Q6433" s="44"/>
      <c r="R6433" s="44"/>
      <c r="S6433" s="44"/>
      <c r="T6433" s="44"/>
    </row>
    <row r="6434" spans="12:20" x14ac:dyDescent="0.2">
      <c r="L6434" s="43"/>
      <c r="M6434" s="43"/>
      <c r="N6434" s="43"/>
      <c r="O6434" s="43"/>
      <c r="Q6434" s="44"/>
      <c r="R6434" s="44"/>
      <c r="S6434" s="44"/>
      <c r="T6434" s="44"/>
    </row>
    <row r="6435" spans="12:20" x14ac:dyDescent="0.2">
      <c r="L6435" s="43"/>
      <c r="M6435" s="43"/>
      <c r="N6435" s="43"/>
      <c r="O6435" s="43"/>
      <c r="Q6435" s="44"/>
      <c r="R6435" s="44"/>
      <c r="S6435" s="44"/>
      <c r="T6435" s="44"/>
    </row>
    <row r="6436" spans="12:20" x14ac:dyDescent="0.2">
      <c r="L6436" s="43"/>
      <c r="M6436" s="43"/>
      <c r="N6436" s="43"/>
      <c r="O6436" s="43"/>
      <c r="Q6436" s="44"/>
      <c r="R6436" s="44"/>
      <c r="S6436" s="44"/>
      <c r="T6436" s="44"/>
    </row>
    <row r="6437" spans="12:20" x14ac:dyDescent="0.2">
      <c r="L6437" s="43"/>
      <c r="M6437" s="43"/>
      <c r="N6437" s="43"/>
      <c r="O6437" s="43"/>
      <c r="Q6437" s="44"/>
      <c r="R6437" s="44"/>
      <c r="S6437" s="44"/>
      <c r="T6437" s="44"/>
    </row>
    <row r="6438" spans="12:20" x14ac:dyDescent="0.2">
      <c r="L6438" s="43"/>
      <c r="M6438" s="43"/>
      <c r="N6438" s="43"/>
      <c r="O6438" s="43"/>
      <c r="Q6438" s="44"/>
      <c r="R6438" s="44"/>
      <c r="S6438" s="44"/>
      <c r="T6438" s="44"/>
    </row>
    <row r="6439" spans="12:20" x14ac:dyDescent="0.2">
      <c r="L6439" s="43"/>
      <c r="M6439" s="43"/>
      <c r="N6439" s="43"/>
      <c r="O6439" s="43"/>
      <c r="Q6439" s="44"/>
      <c r="R6439" s="44"/>
      <c r="S6439" s="44"/>
      <c r="T6439" s="44"/>
    </row>
    <row r="6440" spans="12:20" x14ac:dyDescent="0.2">
      <c r="L6440" s="43"/>
      <c r="M6440" s="43"/>
      <c r="N6440" s="43"/>
      <c r="O6440" s="43"/>
      <c r="Q6440" s="44"/>
      <c r="R6440" s="44"/>
      <c r="S6440" s="44"/>
      <c r="T6440" s="44"/>
    </row>
    <row r="6441" spans="12:20" x14ac:dyDescent="0.2">
      <c r="L6441" s="43"/>
      <c r="M6441" s="43"/>
      <c r="N6441" s="43"/>
      <c r="O6441" s="43"/>
      <c r="Q6441" s="44"/>
      <c r="R6441" s="44"/>
      <c r="S6441" s="44"/>
      <c r="T6441" s="44"/>
    </row>
    <row r="6442" spans="12:20" x14ac:dyDescent="0.2">
      <c r="L6442" s="43"/>
      <c r="M6442" s="43"/>
      <c r="N6442" s="43"/>
      <c r="O6442" s="43"/>
      <c r="Q6442" s="44"/>
      <c r="R6442" s="44"/>
      <c r="S6442" s="44"/>
      <c r="T6442" s="44"/>
    </row>
    <row r="6443" spans="12:20" x14ac:dyDescent="0.2">
      <c r="L6443" s="43"/>
      <c r="M6443" s="43"/>
      <c r="N6443" s="43"/>
      <c r="O6443" s="43"/>
      <c r="Q6443" s="44"/>
      <c r="R6443" s="44"/>
      <c r="S6443" s="44"/>
      <c r="T6443" s="44"/>
    </row>
    <row r="6444" spans="12:20" x14ac:dyDescent="0.2">
      <c r="L6444" s="43"/>
      <c r="M6444" s="43"/>
      <c r="N6444" s="43"/>
      <c r="O6444" s="43"/>
      <c r="Q6444" s="44"/>
      <c r="R6444" s="44"/>
      <c r="S6444" s="44"/>
      <c r="T6444" s="44"/>
    </row>
    <row r="6445" spans="12:20" x14ac:dyDescent="0.2">
      <c r="L6445" s="43"/>
      <c r="M6445" s="43"/>
      <c r="N6445" s="43"/>
      <c r="O6445" s="43"/>
      <c r="Q6445" s="44"/>
      <c r="R6445" s="44"/>
      <c r="S6445" s="44"/>
      <c r="T6445" s="44"/>
    </row>
    <row r="6446" spans="12:20" x14ac:dyDescent="0.2">
      <c r="L6446" s="43"/>
      <c r="M6446" s="43"/>
      <c r="N6446" s="43"/>
      <c r="O6446" s="43"/>
      <c r="Q6446" s="44"/>
      <c r="R6446" s="44"/>
      <c r="S6446" s="44"/>
      <c r="T6446" s="44"/>
    </row>
    <row r="6447" spans="12:20" x14ac:dyDescent="0.2">
      <c r="L6447" s="43"/>
      <c r="M6447" s="43"/>
      <c r="N6447" s="43"/>
      <c r="O6447" s="43"/>
      <c r="Q6447" s="44"/>
      <c r="R6447" s="44"/>
      <c r="S6447" s="44"/>
      <c r="T6447" s="44"/>
    </row>
    <row r="6448" spans="12:20" x14ac:dyDescent="0.2">
      <c r="L6448" s="43"/>
      <c r="M6448" s="43"/>
      <c r="N6448" s="43"/>
      <c r="O6448" s="43"/>
      <c r="Q6448" s="44"/>
      <c r="R6448" s="44"/>
      <c r="S6448" s="44"/>
      <c r="T6448" s="44"/>
    </row>
    <row r="6449" spans="12:20" x14ac:dyDescent="0.2">
      <c r="L6449" s="43"/>
      <c r="M6449" s="43"/>
      <c r="N6449" s="43"/>
      <c r="O6449" s="43"/>
      <c r="Q6449" s="44"/>
      <c r="R6449" s="44"/>
      <c r="S6449" s="44"/>
      <c r="T6449" s="44"/>
    </row>
    <row r="6450" spans="12:20" x14ac:dyDescent="0.2">
      <c r="L6450" s="43"/>
      <c r="M6450" s="43"/>
      <c r="N6450" s="43"/>
      <c r="O6450" s="43"/>
      <c r="Q6450" s="44"/>
      <c r="R6450" s="44"/>
      <c r="S6450" s="44"/>
      <c r="T6450" s="44"/>
    </row>
    <row r="6451" spans="12:20" x14ac:dyDescent="0.2">
      <c r="L6451" s="43"/>
      <c r="M6451" s="43"/>
      <c r="N6451" s="43"/>
      <c r="O6451" s="43"/>
      <c r="Q6451" s="44"/>
      <c r="R6451" s="44"/>
      <c r="S6451" s="44"/>
      <c r="T6451" s="44"/>
    </row>
    <row r="6452" spans="12:20" x14ac:dyDescent="0.2">
      <c r="L6452" s="43"/>
      <c r="M6452" s="43"/>
      <c r="N6452" s="43"/>
      <c r="O6452" s="43"/>
      <c r="Q6452" s="44"/>
      <c r="R6452" s="44"/>
      <c r="S6452" s="44"/>
      <c r="T6452" s="44"/>
    </row>
    <row r="6453" spans="12:20" x14ac:dyDescent="0.2">
      <c r="L6453" s="43"/>
      <c r="M6453" s="43"/>
      <c r="N6453" s="43"/>
      <c r="O6453" s="43"/>
      <c r="Q6453" s="44"/>
      <c r="R6453" s="44"/>
      <c r="S6453" s="44"/>
      <c r="T6453" s="44"/>
    </row>
    <row r="6454" spans="12:20" x14ac:dyDescent="0.2">
      <c r="L6454" s="43"/>
      <c r="M6454" s="43"/>
      <c r="N6454" s="43"/>
      <c r="O6454" s="43"/>
      <c r="Q6454" s="44"/>
      <c r="R6454" s="44"/>
      <c r="S6454" s="44"/>
      <c r="T6454" s="44"/>
    </row>
    <row r="6455" spans="12:20" x14ac:dyDescent="0.2">
      <c r="L6455" s="43"/>
      <c r="M6455" s="43"/>
      <c r="N6455" s="43"/>
      <c r="O6455" s="43"/>
      <c r="Q6455" s="44"/>
      <c r="R6455" s="44"/>
      <c r="S6455" s="44"/>
      <c r="T6455" s="44"/>
    </row>
    <row r="6456" spans="12:20" x14ac:dyDescent="0.2">
      <c r="L6456" s="43"/>
      <c r="M6456" s="43"/>
      <c r="N6456" s="43"/>
      <c r="O6456" s="43"/>
      <c r="Q6456" s="44"/>
      <c r="R6456" s="44"/>
      <c r="S6456" s="44"/>
      <c r="T6456" s="44"/>
    </row>
    <row r="6457" spans="12:20" x14ac:dyDescent="0.2">
      <c r="L6457" s="43"/>
      <c r="M6457" s="43"/>
      <c r="N6457" s="43"/>
      <c r="O6457" s="43"/>
      <c r="Q6457" s="44"/>
      <c r="R6457" s="44"/>
      <c r="S6457" s="44"/>
      <c r="T6457" s="44"/>
    </row>
    <row r="6458" spans="12:20" x14ac:dyDescent="0.2">
      <c r="L6458" s="43"/>
      <c r="M6458" s="43"/>
      <c r="N6458" s="43"/>
      <c r="O6458" s="43"/>
      <c r="Q6458" s="44"/>
      <c r="R6458" s="44"/>
      <c r="S6458" s="44"/>
      <c r="T6458" s="44"/>
    </row>
    <row r="6459" spans="12:20" x14ac:dyDescent="0.2">
      <c r="L6459" s="43"/>
      <c r="M6459" s="43"/>
      <c r="N6459" s="43"/>
      <c r="O6459" s="43"/>
      <c r="Q6459" s="44"/>
      <c r="R6459" s="44"/>
      <c r="S6459" s="44"/>
      <c r="T6459" s="44"/>
    </row>
    <row r="6460" spans="12:20" x14ac:dyDescent="0.2">
      <c r="L6460" s="43"/>
      <c r="M6460" s="43"/>
      <c r="N6460" s="43"/>
      <c r="O6460" s="43"/>
      <c r="Q6460" s="44"/>
      <c r="R6460" s="44"/>
      <c r="S6460" s="44"/>
      <c r="T6460" s="44"/>
    </row>
    <row r="6461" spans="12:20" x14ac:dyDescent="0.2">
      <c r="L6461" s="43"/>
      <c r="M6461" s="43"/>
      <c r="N6461" s="43"/>
      <c r="O6461" s="43"/>
      <c r="Q6461" s="44"/>
      <c r="R6461" s="44"/>
      <c r="S6461" s="44"/>
      <c r="T6461" s="44"/>
    </row>
    <row r="6462" spans="12:20" x14ac:dyDescent="0.2">
      <c r="L6462" s="43"/>
      <c r="M6462" s="43"/>
      <c r="N6462" s="43"/>
      <c r="O6462" s="43"/>
      <c r="Q6462" s="44"/>
      <c r="R6462" s="44"/>
      <c r="S6462" s="44"/>
      <c r="T6462" s="44"/>
    </row>
    <row r="6463" spans="12:20" x14ac:dyDescent="0.2">
      <c r="L6463" s="43"/>
      <c r="M6463" s="43"/>
      <c r="N6463" s="43"/>
      <c r="O6463" s="43"/>
      <c r="Q6463" s="44"/>
      <c r="R6463" s="44"/>
      <c r="S6463" s="44"/>
      <c r="T6463" s="44"/>
    </row>
    <row r="6464" spans="12:20" x14ac:dyDescent="0.2">
      <c r="L6464" s="43"/>
      <c r="M6464" s="43"/>
      <c r="N6464" s="43"/>
      <c r="O6464" s="43"/>
      <c r="Q6464" s="44"/>
      <c r="R6464" s="44"/>
      <c r="S6464" s="44"/>
      <c r="T6464" s="44"/>
    </row>
    <row r="6465" spans="12:20" x14ac:dyDescent="0.2">
      <c r="L6465" s="43"/>
      <c r="M6465" s="43"/>
      <c r="N6465" s="43"/>
      <c r="O6465" s="43"/>
      <c r="Q6465" s="44"/>
      <c r="R6465" s="44"/>
      <c r="S6465" s="44"/>
      <c r="T6465" s="44"/>
    </row>
    <row r="6466" spans="12:20" x14ac:dyDescent="0.2">
      <c r="L6466" s="43"/>
      <c r="M6466" s="43"/>
      <c r="N6466" s="43"/>
      <c r="O6466" s="43"/>
      <c r="Q6466" s="44"/>
      <c r="R6466" s="44"/>
      <c r="S6466" s="44"/>
      <c r="T6466" s="44"/>
    </row>
    <row r="6467" spans="12:20" x14ac:dyDescent="0.2">
      <c r="L6467" s="43"/>
      <c r="M6467" s="43"/>
      <c r="N6467" s="43"/>
      <c r="O6467" s="43"/>
      <c r="Q6467" s="44"/>
      <c r="R6467" s="44"/>
      <c r="S6467" s="44"/>
      <c r="T6467" s="44"/>
    </row>
    <row r="6468" spans="12:20" x14ac:dyDescent="0.2">
      <c r="L6468" s="43"/>
      <c r="M6468" s="43"/>
      <c r="N6468" s="43"/>
      <c r="O6468" s="43"/>
      <c r="Q6468" s="44"/>
      <c r="R6468" s="44"/>
      <c r="S6468" s="44"/>
      <c r="T6468" s="44"/>
    </row>
    <row r="6469" spans="12:20" x14ac:dyDescent="0.2">
      <c r="L6469" s="43"/>
      <c r="M6469" s="43"/>
      <c r="N6469" s="43"/>
      <c r="O6469" s="43"/>
      <c r="Q6469" s="44"/>
      <c r="R6469" s="44"/>
      <c r="S6469" s="44"/>
      <c r="T6469" s="44"/>
    </row>
    <row r="6470" spans="12:20" x14ac:dyDescent="0.2">
      <c r="L6470" s="43"/>
      <c r="M6470" s="43"/>
      <c r="N6470" s="43"/>
      <c r="O6470" s="43"/>
      <c r="Q6470" s="44"/>
      <c r="R6470" s="44"/>
      <c r="S6470" s="44"/>
      <c r="T6470" s="44"/>
    </row>
    <row r="6471" spans="12:20" x14ac:dyDescent="0.2">
      <c r="L6471" s="43"/>
      <c r="M6471" s="43"/>
      <c r="N6471" s="43"/>
      <c r="O6471" s="43"/>
      <c r="Q6471" s="44"/>
      <c r="R6471" s="44"/>
      <c r="S6471" s="44"/>
      <c r="T6471" s="44"/>
    </row>
    <row r="6472" spans="12:20" x14ac:dyDescent="0.2">
      <c r="L6472" s="43"/>
      <c r="M6472" s="43"/>
      <c r="N6472" s="43"/>
      <c r="O6472" s="43"/>
      <c r="Q6472" s="44"/>
      <c r="R6472" s="44"/>
      <c r="S6472" s="44"/>
      <c r="T6472" s="44"/>
    </row>
    <row r="6473" spans="12:20" x14ac:dyDescent="0.2">
      <c r="L6473" s="43"/>
      <c r="M6473" s="43"/>
      <c r="N6473" s="43"/>
      <c r="O6473" s="43"/>
      <c r="Q6473" s="44"/>
      <c r="R6473" s="44"/>
      <c r="S6473" s="44"/>
      <c r="T6473" s="44"/>
    </row>
    <row r="6474" spans="12:20" x14ac:dyDescent="0.2">
      <c r="L6474" s="43"/>
      <c r="M6474" s="43"/>
      <c r="N6474" s="43"/>
      <c r="O6474" s="43"/>
      <c r="Q6474" s="44"/>
      <c r="R6474" s="44"/>
      <c r="S6474" s="44"/>
      <c r="T6474" s="44"/>
    </row>
    <row r="6475" spans="12:20" x14ac:dyDescent="0.2">
      <c r="L6475" s="43"/>
      <c r="M6475" s="43"/>
      <c r="N6475" s="43"/>
      <c r="O6475" s="43"/>
      <c r="Q6475" s="44"/>
      <c r="R6475" s="44"/>
      <c r="S6475" s="44"/>
      <c r="T6475" s="44"/>
    </row>
    <row r="6476" spans="12:20" x14ac:dyDescent="0.2">
      <c r="L6476" s="43"/>
      <c r="M6476" s="43"/>
      <c r="N6476" s="43"/>
      <c r="O6476" s="43"/>
      <c r="Q6476" s="44"/>
      <c r="R6476" s="44"/>
      <c r="S6476" s="44"/>
      <c r="T6476" s="44"/>
    </row>
    <row r="6477" spans="12:20" x14ac:dyDescent="0.2">
      <c r="L6477" s="43"/>
      <c r="M6477" s="43"/>
      <c r="N6477" s="43"/>
      <c r="O6477" s="43"/>
      <c r="Q6477" s="44"/>
      <c r="R6477" s="44"/>
      <c r="S6477" s="44"/>
      <c r="T6477" s="44"/>
    </row>
    <row r="6478" spans="12:20" x14ac:dyDescent="0.2">
      <c r="L6478" s="43"/>
      <c r="M6478" s="43"/>
      <c r="N6478" s="43"/>
      <c r="O6478" s="43"/>
      <c r="Q6478" s="44"/>
      <c r="R6478" s="44"/>
      <c r="S6478" s="44"/>
      <c r="T6478" s="44"/>
    </row>
    <row r="6479" spans="12:20" x14ac:dyDescent="0.2">
      <c r="L6479" s="43"/>
      <c r="M6479" s="43"/>
      <c r="N6479" s="43"/>
      <c r="O6479" s="43"/>
      <c r="Q6479" s="44"/>
      <c r="R6479" s="44"/>
      <c r="S6479" s="44"/>
      <c r="T6479" s="44"/>
    </row>
    <row r="6480" spans="12:20" x14ac:dyDescent="0.2">
      <c r="L6480" s="43"/>
      <c r="M6480" s="43"/>
      <c r="N6480" s="43"/>
      <c r="O6480" s="43"/>
      <c r="Q6480" s="44"/>
      <c r="R6480" s="44"/>
      <c r="S6480" s="44"/>
      <c r="T6480" s="44"/>
    </row>
    <row r="6481" spans="12:20" x14ac:dyDescent="0.2">
      <c r="L6481" s="43"/>
      <c r="M6481" s="43"/>
      <c r="N6481" s="43"/>
      <c r="O6481" s="43"/>
      <c r="Q6481" s="44"/>
      <c r="R6481" s="44"/>
      <c r="S6481" s="44"/>
      <c r="T6481" s="44"/>
    </row>
    <row r="6482" spans="12:20" x14ac:dyDescent="0.2">
      <c r="L6482" s="43"/>
      <c r="M6482" s="43"/>
      <c r="N6482" s="43"/>
      <c r="O6482" s="43"/>
      <c r="Q6482" s="44"/>
      <c r="R6482" s="44"/>
      <c r="S6482" s="44"/>
      <c r="T6482" s="44"/>
    </row>
    <row r="6483" spans="12:20" x14ac:dyDescent="0.2">
      <c r="L6483" s="43"/>
      <c r="M6483" s="43"/>
      <c r="N6483" s="43"/>
      <c r="O6483" s="43"/>
      <c r="Q6483" s="44"/>
      <c r="R6483" s="44"/>
      <c r="S6483" s="44"/>
      <c r="T6483" s="44"/>
    </row>
    <row r="6484" spans="12:20" x14ac:dyDescent="0.2">
      <c r="L6484" s="43"/>
      <c r="M6484" s="43"/>
      <c r="N6484" s="43"/>
      <c r="O6484" s="43"/>
      <c r="Q6484" s="44"/>
      <c r="R6484" s="44"/>
      <c r="S6484" s="44"/>
      <c r="T6484" s="44"/>
    </row>
    <row r="6485" spans="12:20" x14ac:dyDescent="0.2">
      <c r="L6485" s="43"/>
      <c r="M6485" s="43"/>
      <c r="N6485" s="43"/>
      <c r="O6485" s="43"/>
      <c r="Q6485" s="44"/>
      <c r="R6485" s="44"/>
      <c r="S6485" s="44"/>
      <c r="T6485" s="44"/>
    </row>
    <row r="6486" spans="12:20" x14ac:dyDescent="0.2">
      <c r="L6486" s="43"/>
      <c r="M6486" s="43"/>
      <c r="N6486" s="43"/>
      <c r="O6486" s="43"/>
      <c r="Q6486" s="44"/>
      <c r="R6486" s="44"/>
      <c r="S6486" s="44"/>
      <c r="T6486" s="44"/>
    </row>
    <row r="6487" spans="12:20" x14ac:dyDescent="0.2">
      <c r="L6487" s="43"/>
      <c r="M6487" s="43"/>
      <c r="N6487" s="43"/>
      <c r="O6487" s="43"/>
      <c r="Q6487" s="44"/>
      <c r="R6487" s="44"/>
      <c r="S6487" s="44"/>
      <c r="T6487" s="44"/>
    </row>
    <row r="6488" spans="12:20" x14ac:dyDescent="0.2">
      <c r="L6488" s="43"/>
      <c r="M6488" s="43"/>
      <c r="N6488" s="43"/>
      <c r="O6488" s="43"/>
      <c r="Q6488" s="44"/>
      <c r="R6488" s="44"/>
      <c r="S6488" s="44"/>
      <c r="T6488" s="44"/>
    </row>
    <row r="6489" spans="12:20" x14ac:dyDescent="0.2">
      <c r="L6489" s="43"/>
      <c r="M6489" s="43"/>
      <c r="N6489" s="43"/>
      <c r="O6489" s="43"/>
      <c r="Q6489" s="44"/>
      <c r="R6489" s="44"/>
      <c r="S6489" s="44"/>
      <c r="T6489" s="44"/>
    </row>
    <row r="6490" spans="12:20" x14ac:dyDescent="0.2">
      <c r="L6490" s="43"/>
      <c r="M6490" s="43"/>
      <c r="N6490" s="43"/>
      <c r="O6490" s="43"/>
      <c r="Q6490" s="44"/>
      <c r="R6490" s="44"/>
      <c r="S6490" s="44"/>
      <c r="T6490" s="44"/>
    </row>
    <row r="6491" spans="12:20" x14ac:dyDescent="0.2">
      <c r="L6491" s="43"/>
      <c r="M6491" s="43"/>
      <c r="N6491" s="43"/>
      <c r="O6491" s="43"/>
      <c r="Q6491" s="44"/>
      <c r="R6491" s="44"/>
      <c r="S6491" s="44"/>
      <c r="T6491" s="44"/>
    </row>
    <row r="6492" spans="12:20" x14ac:dyDescent="0.2">
      <c r="L6492" s="43"/>
      <c r="M6492" s="43"/>
      <c r="N6492" s="43"/>
      <c r="O6492" s="43"/>
      <c r="Q6492" s="44"/>
      <c r="R6492" s="44"/>
      <c r="S6492" s="44"/>
      <c r="T6492" s="44"/>
    </row>
    <row r="6493" spans="12:20" x14ac:dyDescent="0.2">
      <c r="L6493" s="43"/>
      <c r="M6493" s="43"/>
      <c r="N6493" s="43"/>
      <c r="O6493" s="43"/>
      <c r="Q6493" s="44"/>
      <c r="R6493" s="44"/>
      <c r="S6493" s="44"/>
      <c r="T6493" s="44"/>
    </row>
    <row r="6494" spans="12:20" x14ac:dyDescent="0.2">
      <c r="L6494" s="43"/>
      <c r="M6494" s="43"/>
      <c r="N6494" s="43"/>
      <c r="O6494" s="43"/>
      <c r="Q6494" s="44"/>
      <c r="R6494" s="44"/>
      <c r="S6494" s="44"/>
      <c r="T6494" s="44"/>
    </row>
    <row r="6495" spans="12:20" x14ac:dyDescent="0.2">
      <c r="L6495" s="43"/>
      <c r="M6495" s="43"/>
      <c r="N6495" s="43"/>
      <c r="O6495" s="43"/>
      <c r="Q6495" s="44"/>
      <c r="R6495" s="44"/>
      <c r="S6495" s="44"/>
      <c r="T6495" s="44"/>
    </row>
    <row r="6496" spans="12:20" x14ac:dyDescent="0.2">
      <c r="L6496" s="43"/>
      <c r="M6496" s="43"/>
      <c r="N6496" s="43"/>
      <c r="O6496" s="43"/>
      <c r="Q6496" s="44"/>
      <c r="R6496" s="44"/>
      <c r="S6496" s="44"/>
      <c r="T6496" s="44"/>
    </row>
    <row r="6497" spans="12:20" x14ac:dyDescent="0.2">
      <c r="L6497" s="43"/>
      <c r="M6497" s="43"/>
      <c r="N6497" s="43"/>
      <c r="O6497" s="43"/>
      <c r="Q6497" s="44"/>
      <c r="R6497" s="44"/>
      <c r="S6497" s="44"/>
      <c r="T6497" s="44"/>
    </row>
    <row r="6498" spans="12:20" x14ac:dyDescent="0.2">
      <c r="L6498" s="43"/>
      <c r="M6498" s="43"/>
      <c r="N6498" s="43"/>
      <c r="O6498" s="43"/>
      <c r="Q6498" s="44"/>
      <c r="R6498" s="44"/>
      <c r="S6498" s="44"/>
      <c r="T6498" s="44"/>
    </row>
    <row r="6499" spans="12:20" x14ac:dyDescent="0.2">
      <c r="L6499" s="43"/>
      <c r="M6499" s="43"/>
      <c r="N6499" s="43"/>
      <c r="O6499" s="43"/>
      <c r="Q6499" s="44"/>
      <c r="R6499" s="44"/>
      <c r="S6499" s="44"/>
      <c r="T6499" s="44"/>
    </row>
    <row r="6500" spans="12:20" x14ac:dyDescent="0.2">
      <c r="L6500" s="43"/>
      <c r="M6500" s="43"/>
      <c r="N6500" s="43"/>
      <c r="O6500" s="43"/>
      <c r="Q6500" s="44"/>
      <c r="R6500" s="44"/>
      <c r="S6500" s="44"/>
      <c r="T6500" s="44"/>
    </row>
    <row r="6501" spans="12:20" x14ac:dyDescent="0.2">
      <c r="L6501" s="43"/>
      <c r="M6501" s="43"/>
      <c r="N6501" s="43"/>
      <c r="O6501" s="43"/>
      <c r="Q6501" s="44"/>
      <c r="R6501" s="44"/>
      <c r="S6501" s="44"/>
      <c r="T6501" s="44"/>
    </row>
    <row r="6502" spans="12:20" x14ac:dyDescent="0.2">
      <c r="L6502" s="43"/>
      <c r="M6502" s="43"/>
      <c r="N6502" s="43"/>
      <c r="O6502" s="43"/>
      <c r="Q6502" s="44"/>
      <c r="R6502" s="44"/>
      <c r="S6502" s="44"/>
      <c r="T6502" s="44"/>
    </row>
    <row r="6503" spans="12:20" x14ac:dyDescent="0.2">
      <c r="L6503" s="43"/>
      <c r="M6503" s="43"/>
      <c r="N6503" s="43"/>
      <c r="O6503" s="43"/>
      <c r="Q6503" s="44"/>
      <c r="R6503" s="44"/>
      <c r="S6503" s="44"/>
      <c r="T6503" s="44"/>
    </row>
    <row r="6504" spans="12:20" x14ac:dyDescent="0.2">
      <c r="L6504" s="43"/>
      <c r="M6504" s="43"/>
      <c r="N6504" s="43"/>
      <c r="O6504" s="43"/>
      <c r="Q6504" s="44"/>
      <c r="R6504" s="44"/>
      <c r="S6504" s="44"/>
      <c r="T6504" s="44"/>
    </row>
    <row r="6505" spans="12:20" x14ac:dyDescent="0.2">
      <c r="L6505" s="43"/>
      <c r="M6505" s="43"/>
      <c r="N6505" s="43"/>
      <c r="O6505" s="43"/>
      <c r="Q6505" s="44"/>
      <c r="R6505" s="44"/>
      <c r="S6505" s="44"/>
      <c r="T6505" s="44"/>
    </row>
    <row r="6506" spans="12:20" x14ac:dyDescent="0.2">
      <c r="L6506" s="43"/>
      <c r="M6506" s="43"/>
      <c r="N6506" s="43"/>
      <c r="O6506" s="43"/>
      <c r="Q6506" s="44"/>
      <c r="R6506" s="44"/>
      <c r="S6506" s="44"/>
      <c r="T6506" s="44"/>
    </row>
    <row r="6507" spans="12:20" x14ac:dyDescent="0.2">
      <c r="L6507" s="43"/>
      <c r="M6507" s="43"/>
      <c r="N6507" s="43"/>
      <c r="O6507" s="43"/>
      <c r="Q6507" s="44"/>
      <c r="R6507" s="44"/>
      <c r="S6507" s="44"/>
      <c r="T6507" s="44"/>
    </row>
    <row r="6508" spans="12:20" x14ac:dyDescent="0.2">
      <c r="L6508" s="43"/>
      <c r="M6508" s="43"/>
      <c r="N6508" s="43"/>
      <c r="O6508" s="43"/>
      <c r="Q6508" s="44"/>
      <c r="R6508" s="44"/>
      <c r="S6508" s="44"/>
      <c r="T6508" s="44"/>
    </row>
    <row r="6509" spans="12:20" x14ac:dyDescent="0.2">
      <c r="L6509" s="43"/>
      <c r="M6509" s="43"/>
      <c r="N6509" s="43"/>
      <c r="O6509" s="43"/>
      <c r="Q6509" s="44"/>
      <c r="R6509" s="44"/>
      <c r="S6509" s="44"/>
      <c r="T6509" s="44"/>
    </row>
    <row r="6510" spans="12:20" x14ac:dyDescent="0.2">
      <c r="L6510" s="43"/>
      <c r="M6510" s="43"/>
      <c r="N6510" s="43"/>
      <c r="O6510" s="43"/>
      <c r="Q6510" s="44"/>
      <c r="R6510" s="44"/>
      <c r="S6510" s="44"/>
      <c r="T6510" s="44"/>
    </row>
    <row r="6511" spans="12:20" x14ac:dyDescent="0.2">
      <c r="L6511" s="43"/>
      <c r="M6511" s="43"/>
      <c r="N6511" s="43"/>
      <c r="O6511" s="43"/>
      <c r="Q6511" s="44"/>
      <c r="R6511" s="44"/>
      <c r="S6511" s="44"/>
      <c r="T6511" s="44"/>
    </row>
    <row r="6512" spans="12:20" x14ac:dyDescent="0.2">
      <c r="L6512" s="43"/>
      <c r="M6512" s="43"/>
      <c r="N6512" s="43"/>
      <c r="O6512" s="43"/>
      <c r="Q6512" s="44"/>
      <c r="R6512" s="44"/>
      <c r="S6512" s="44"/>
      <c r="T6512" s="44"/>
    </row>
    <row r="6513" spans="12:20" x14ac:dyDescent="0.2">
      <c r="L6513" s="43"/>
      <c r="M6513" s="43"/>
      <c r="N6513" s="43"/>
      <c r="O6513" s="43"/>
      <c r="Q6513" s="44"/>
      <c r="R6513" s="44"/>
      <c r="S6513" s="44"/>
      <c r="T6513" s="44"/>
    </row>
    <row r="6514" spans="12:20" x14ac:dyDescent="0.2">
      <c r="L6514" s="43"/>
      <c r="M6514" s="43"/>
      <c r="N6514" s="43"/>
      <c r="O6514" s="43"/>
      <c r="Q6514" s="44"/>
      <c r="R6514" s="44"/>
      <c r="S6514" s="44"/>
      <c r="T6514" s="44"/>
    </row>
    <row r="6515" spans="12:20" x14ac:dyDescent="0.2">
      <c r="L6515" s="43"/>
      <c r="M6515" s="43"/>
      <c r="N6515" s="43"/>
      <c r="O6515" s="43"/>
      <c r="Q6515" s="44"/>
      <c r="R6515" s="44"/>
      <c r="S6515" s="44"/>
      <c r="T6515" s="44"/>
    </row>
    <row r="6516" spans="12:20" x14ac:dyDescent="0.2">
      <c r="L6516" s="43"/>
      <c r="M6516" s="43"/>
      <c r="N6516" s="43"/>
      <c r="O6516" s="43"/>
      <c r="Q6516" s="44"/>
      <c r="R6516" s="44"/>
      <c r="S6516" s="44"/>
      <c r="T6516" s="44"/>
    </row>
    <row r="6517" spans="12:20" x14ac:dyDescent="0.2">
      <c r="L6517" s="43"/>
      <c r="M6517" s="43"/>
      <c r="N6517" s="43"/>
      <c r="O6517" s="43"/>
      <c r="Q6517" s="44"/>
      <c r="R6517" s="44"/>
      <c r="S6517" s="44"/>
      <c r="T6517" s="44"/>
    </row>
    <row r="6518" spans="12:20" x14ac:dyDescent="0.2">
      <c r="L6518" s="43"/>
      <c r="M6518" s="43"/>
      <c r="N6518" s="43"/>
      <c r="O6518" s="43"/>
      <c r="Q6518" s="44"/>
      <c r="R6518" s="44"/>
      <c r="S6518" s="44"/>
      <c r="T6518" s="44"/>
    </row>
    <row r="6519" spans="12:20" x14ac:dyDescent="0.2">
      <c r="L6519" s="43"/>
      <c r="M6519" s="43"/>
      <c r="N6519" s="43"/>
      <c r="O6519" s="43"/>
      <c r="Q6519" s="44"/>
      <c r="R6519" s="44"/>
      <c r="S6519" s="44"/>
      <c r="T6519" s="44"/>
    </row>
    <row r="6520" spans="12:20" x14ac:dyDescent="0.2">
      <c r="L6520" s="43"/>
      <c r="M6520" s="43"/>
      <c r="N6520" s="43"/>
      <c r="O6520" s="43"/>
      <c r="Q6520" s="44"/>
      <c r="R6520" s="44"/>
      <c r="S6520" s="44"/>
      <c r="T6520" s="44"/>
    </row>
    <row r="6521" spans="12:20" x14ac:dyDescent="0.2">
      <c r="L6521" s="43"/>
      <c r="M6521" s="43"/>
      <c r="N6521" s="43"/>
      <c r="O6521" s="43"/>
      <c r="Q6521" s="44"/>
      <c r="R6521" s="44"/>
      <c r="S6521" s="44"/>
      <c r="T6521" s="44"/>
    </row>
    <row r="6522" spans="12:20" x14ac:dyDescent="0.2">
      <c r="L6522" s="43"/>
      <c r="M6522" s="43"/>
      <c r="N6522" s="43"/>
      <c r="O6522" s="43"/>
      <c r="Q6522" s="44"/>
      <c r="R6522" s="44"/>
      <c r="S6522" s="44"/>
      <c r="T6522" s="44"/>
    </row>
    <row r="6523" spans="12:20" x14ac:dyDescent="0.2">
      <c r="L6523" s="43"/>
      <c r="M6523" s="43"/>
      <c r="N6523" s="43"/>
      <c r="O6523" s="43"/>
      <c r="Q6523" s="44"/>
      <c r="R6523" s="44"/>
      <c r="S6523" s="44"/>
      <c r="T6523" s="44"/>
    </row>
    <row r="6524" spans="12:20" x14ac:dyDescent="0.2">
      <c r="L6524" s="43"/>
      <c r="M6524" s="43"/>
      <c r="N6524" s="43"/>
      <c r="O6524" s="43"/>
      <c r="Q6524" s="44"/>
      <c r="R6524" s="44"/>
      <c r="S6524" s="44"/>
      <c r="T6524" s="44"/>
    </row>
    <row r="6525" spans="12:20" x14ac:dyDescent="0.2">
      <c r="L6525" s="43"/>
      <c r="M6525" s="43"/>
      <c r="N6525" s="43"/>
      <c r="O6525" s="43"/>
      <c r="Q6525" s="44"/>
      <c r="R6525" s="44"/>
      <c r="S6525" s="44"/>
      <c r="T6525" s="44"/>
    </row>
    <row r="6526" spans="12:20" x14ac:dyDescent="0.2">
      <c r="L6526" s="43"/>
      <c r="M6526" s="43"/>
      <c r="N6526" s="43"/>
      <c r="O6526" s="43"/>
      <c r="Q6526" s="44"/>
      <c r="R6526" s="44"/>
      <c r="S6526" s="44"/>
      <c r="T6526" s="44"/>
    </row>
    <row r="6527" spans="12:20" x14ac:dyDescent="0.2">
      <c r="L6527" s="43"/>
      <c r="M6527" s="43"/>
      <c r="N6527" s="43"/>
      <c r="O6527" s="43"/>
      <c r="Q6527" s="44"/>
      <c r="R6527" s="44"/>
      <c r="S6527" s="44"/>
      <c r="T6527" s="44"/>
    </row>
    <row r="6528" spans="12:20" x14ac:dyDescent="0.2">
      <c r="L6528" s="43"/>
      <c r="M6528" s="43"/>
      <c r="N6528" s="43"/>
      <c r="O6528" s="43"/>
      <c r="Q6528" s="44"/>
      <c r="R6528" s="44"/>
      <c r="S6528" s="44"/>
      <c r="T6528" s="44"/>
    </row>
    <row r="6529" spans="12:20" x14ac:dyDescent="0.2">
      <c r="L6529" s="43"/>
      <c r="M6529" s="43"/>
      <c r="N6529" s="43"/>
      <c r="O6529" s="43"/>
      <c r="Q6529" s="44"/>
      <c r="R6529" s="44"/>
      <c r="S6529" s="44"/>
      <c r="T6529" s="44"/>
    </row>
    <row r="6530" spans="12:20" x14ac:dyDescent="0.2">
      <c r="L6530" s="43"/>
      <c r="M6530" s="43"/>
      <c r="N6530" s="43"/>
      <c r="O6530" s="43"/>
      <c r="Q6530" s="44"/>
      <c r="R6530" s="44"/>
      <c r="S6530" s="44"/>
      <c r="T6530" s="44"/>
    </row>
    <row r="6531" spans="12:20" x14ac:dyDescent="0.2">
      <c r="L6531" s="43"/>
      <c r="M6531" s="43"/>
      <c r="N6531" s="43"/>
      <c r="O6531" s="43"/>
      <c r="Q6531" s="44"/>
      <c r="R6531" s="44"/>
      <c r="S6531" s="44"/>
      <c r="T6531" s="44"/>
    </row>
    <row r="6532" spans="12:20" x14ac:dyDescent="0.2">
      <c r="L6532" s="43"/>
      <c r="M6532" s="43"/>
      <c r="N6532" s="43"/>
      <c r="O6532" s="43"/>
      <c r="Q6532" s="44"/>
      <c r="R6532" s="44"/>
      <c r="S6532" s="44"/>
      <c r="T6532" s="44"/>
    </row>
    <row r="6533" spans="12:20" x14ac:dyDescent="0.2">
      <c r="L6533" s="43"/>
      <c r="M6533" s="43"/>
      <c r="N6533" s="43"/>
      <c r="O6533" s="43"/>
      <c r="Q6533" s="44"/>
      <c r="R6533" s="44"/>
      <c r="S6533" s="44"/>
      <c r="T6533" s="44"/>
    </row>
    <row r="6534" spans="12:20" x14ac:dyDescent="0.2">
      <c r="L6534" s="43"/>
      <c r="M6534" s="43"/>
      <c r="N6534" s="43"/>
      <c r="O6534" s="43"/>
      <c r="Q6534" s="44"/>
      <c r="R6534" s="44"/>
      <c r="S6534" s="44"/>
      <c r="T6534" s="44"/>
    </row>
    <row r="6535" spans="12:20" x14ac:dyDescent="0.2">
      <c r="L6535" s="43"/>
      <c r="M6535" s="43"/>
      <c r="N6535" s="43"/>
      <c r="O6535" s="43"/>
      <c r="Q6535" s="44"/>
      <c r="R6535" s="44"/>
      <c r="S6535" s="44"/>
      <c r="T6535" s="44"/>
    </row>
    <row r="6536" spans="12:20" x14ac:dyDescent="0.2">
      <c r="L6536" s="43"/>
      <c r="M6536" s="43"/>
      <c r="N6536" s="43"/>
      <c r="O6536" s="43"/>
      <c r="Q6536" s="44"/>
      <c r="R6536" s="44"/>
      <c r="S6536" s="44"/>
      <c r="T6536" s="44"/>
    </row>
    <row r="6537" spans="12:20" x14ac:dyDescent="0.2">
      <c r="L6537" s="43"/>
      <c r="M6537" s="43"/>
      <c r="N6537" s="43"/>
      <c r="O6537" s="43"/>
      <c r="Q6537" s="44"/>
      <c r="R6537" s="44"/>
      <c r="S6537" s="44"/>
      <c r="T6537" s="44"/>
    </row>
    <row r="6538" spans="12:20" x14ac:dyDescent="0.2">
      <c r="L6538" s="43"/>
      <c r="M6538" s="43"/>
      <c r="N6538" s="43"/>
      <c r="O6538" s="43"/>
      <c r="Q6538" s="44"/>
      <c r="R6538" s="44"/>
      <c r="S6538" s="44"/>
      <c r="T6538" s="44"/>
    </row>
    <row r="6539" spans="12:20" x14ac:dyDescent="0.2">
      <c r="L6539" s="43"/>
      <c r="M6539" s="43"/>
      <c r="N6539" s="43"/>
      <c r="O6539" s="43"/>
      <c r="Q6539" s="44"/>
      <c r="R6539" s="44"/>
      <c r="S6539" s="44"/>
      <c r="T6539" s="44"/>
    </row>
    <row r="6540" spans="12:20" x14ac:dyDescent="0.2">
      <c r="L6540" s="43"/>
      <c r="M6540" s="43"/>
      <c r="N6540" s="43"/>
      <c r="O6540" s="43"/>
      <c r="Q6540" s="44"/>
      <c r="R6540" s="44"/>
      <c r="S6540" s="44"/>
      <c r="T6540" s="44"/>
    </row>
    <row r="6541" spans="12:20" x14ac:dyDescent="0.2">
      <c r="L6541" s="43"/>
      <c r="M6541" s="43"/>
      <c r="N6541" s="43"/>
      <c r="O6541" s="43"/>
      <c r="Q6541" s="44"/>
      <c r="R6541" s="44"/>
      <c r="S6541" s="44"/>
      <c r="T6541" s="44"/>
    </row>
    <row r="6542" spans="12:20" x14ac:dyDescent="0.2">
      <c r="L6542" s="43"/>
      <c r="M6542" s="43"/>
      <c r="N6542" s="43"/>
      <c r="O6542" s="43"/>
      <c r="Q6542" s="44"/>
      <c r="R6542" s="44"/>
      <c r="S6542" s="44"/>
      <c r="T6542" s="44"/>
    </row>
    <row r="6543" spans="12:20" x14ac:dyDescent="0.2">
      <c r="L6543" s="43"/>
      <c r="M6543" s="43"/>
      <c r="N6543" s="43"/>
      <c r="O6543" s="43"/>
      <c r="Q6543" s="44"/>
      <c r="R6543" s="44"/>
      <c r="S6543" s="44"/>
      <c r="T6543" s="44"/>
    </row>
    <row r="6544" spans="12:20" x14ac:dyDescent="0.2">
      <c r="L6544" s="43"/>
      <c r="M6544" s="43"/>
      <c r="N6544" s="43"/>
      <c r="O6544" s="43"/>
      <c r="Q6544" s="44"/>
      <c r="R6544" s="44"/>
      <c r="S6544" s="44"/>
      <c r="T6544" s="44"/>
    </row>
    <row r="6545" spans="12:20" x14ac:dyDescent="0.2">
      <c r="L6545" s="43"/>
      <c r="M6545" s="43"/>
      <c r="N6545" s="43"/>
      <c r="O6545" s="43"/>
      <c r="Q6545" s="44"/>
      <c r="R6545" s="44"/>
      <c r="S6545" s="44"/>
      <c r="T6545" s="44"/>
    </row>
    <row r="6546" spans="12:20" x14ac:dyDescent="0.2">
      <c r="L6546" s="43"/>
      <c r="M6546" s="43"/>
      <c r="N6546" s="43"/>
      <c r="O6546" s="43"/>
      <c r="Q6546" s="44"/>
      <c r="R6546" s="44"/>
      <c r="S6546" s="44"/>
      <c r="T6546" s="44"/>
    </row>
    <row r="6547" spans="12:20" x14ac:dyDescent="0.2">
      <c r="L6547" s="43"/>
      <c r="M6547" s="43"/>
      <c r="N6547" s="43"/>
      <c r="O6547" s="43"/>
      <c r="Q6547" s="44"/>
      <c r="R6547" s="44"/>
      <c r="S6547" s="44"/>
      <c r="T6547" s="44"/>
    </row>
    <row r="6548" spans="12:20" x14ac:dyDescent="0.2">
      <c r="L6548" s="43"/>
      <c r="M6548" s="43"/>
      <c r="N6548" s="43"/>
      <c r="O6548" s="43"/>
      <c r="Q6548" s="44"/>
      <c r="R6548" s="44"/>
      <c r="S6548" s="44"/>
      <c r="T6548" s="44"/>
    </row>
    <row r="6549" spans="12:20" x14ac:dyDescent="0.2">
      <c r="L6549" s="43"/>
      <c r="M6549" s="43"/>
      <c r="N6549" s="43"/>
      <c r="O6549" s="43"/>
      <c r="Q6549" s="44"/>
      <c r="R6549" s="44"/>
      <c r="S6549" s="44"/>
      <c r="T6549" s="44"/>
    </row>
    <row r="6550" spans="12:20" x14ac:dyDescent="0.2">
      <c r="L6550" s="43"/>
      <c r="M6550" s="43"/>
      <c r="N6550" s="43"/>
      <c r="O6550" s="43"/>
      <c r="Q6550" s="44"/>
      <c r="R6550" s="44"/>
      <c r="S6550" s="44"/>
      <c r="T6550" s="44"/>
    </row>
    <row r="6551" spans="12:20" x14ac:dyDescent="0.2">
      <c r="L6551" s="43"/>
      <c r="M6551" s="43"/>
      <c r="N6551" s="43"/>
      <c r="O6551" s="43"/>
      <c r="Q6551" s="44"/>
      <c r="R6551" s="44"/>
      <c r="S6551" s="44"/>
      <c r="T6551" s="44"/>
    </row>
    <row r="6552" spans="12:20" x14ac:dyDescent="0.2">
      <c r="L6552" s="43"/>
      <c r="M6552" s="43"/>
      <c r="N6552" s="43"/>
      <c r="O6552" s="43"/>
      <c r="Q6552" s="44"/>
      <c r="R6552" s="44"/>
      <c r="S6552" s="44"/>
      <c r="T6552" s="44"/>
    </row>
    <row r="6553" spans="12:20" x14ac:dyDescent="0.2">
      <c r="L6553" s="43"/>
      <c r="M6553" s="43"/>
      <c r="N6553" s="43"/>
      <c r="O6553" s="43"/>
      <c r="Q6553" s="44"/>
      <c r="R6553" s="44"/>
      <c r="S6553" s="44"/>
      <c r="T6553" s="44"/>
    </row>
    <row r="6554" spans="12:20" x14ac:dyDescent="0.2">
      <c r="L6554" s="43"/>
      <c r="M6554" s="43"/>
      <c r="N6554" s="43"/>
      <c r="O6554" s="43"/>
      <c r="Q6554" s="44"/>
      <c r="R6554" s="44"/>
      <c r="S6554" s="44"/>
      <c r="T6554" s="44"/>
    </row>
    <row r="6555" spans="12:20" x14ac:dyDescent="0.2">
      <c r="L6555" s="43"/>
      <c r="M6555" s="43"/>
      <c r="N6555" s="43"/>
      <c r="O6555" s="43"/>
      <c r="Q6555" s="44"/>
      <c r="R6555" s="44"/>
      <c r="S6555" s="44"/>
      <c r="T6555" s="44"/>
    </row>
    <row r="6556" spans="12:20" x14ac:dyDescent="0.2">
      <c r="L6556" s="43"/>
      <c r="M6556" s="43"/>
      <c r="N6556" s="43"/>
      <c r="O6556" s="43"/>
      <c r="Q6556" s="44"/>
      <c r="R6556" s="44"/>
      <c r="S6556" s="44"/>
      <c r="T6556" s="44"/>
    </row>
    <row r="6557" spans="12:20" x14ac:dyDescent="0.2">
      <c r="L6557" s="43"/>
      <c r="M6557" s="43"/>
      <c r="N6557" s="43"/>
      <c r="O6557" s="43"/>
      <c r="Q6557" s="44"/>
      <c r="R6557" s="44"/>
      <c r="S6557" s="44"/>
      <c r="T6557" s="44"/>
    </row>
    <row r="6558" spans="12:20" x14ac:dyDescent="0.2">
      <c r="L6558" s="43"/>
      <c r="M6558" s="43"/>
      <c r="N6558" s="43"/>
      <c r="O6558" s="43"/>
      <c r="Q6558" s="44"/>
      <c r="R6558" s="44"/>
      <c r="S6558" s="44"/>
      <c r="T6558" s="44"/>
    </row>
    <row r="6559" spans="12:20" x14ac:dyDescent="0.2">
      <c r="L6559" s="43"/>
      <c r="M6559" s="43"/>
      <c r="N6559" s="43"/>
      <c r="O6559" s="43"/>
      <c r="Q6559" s="44"/>
      <c r="R6559" s="44"/>
      <c r="S6559" s="44"/>
      <c r="T6559" s="44"/>
    </row>
    <row r="6560" spans="12:20" x14ac:dyDescent="0.2">
      <c r="L6560" s="43"/>
      <c r="M6560" s="43"/>
      <c r="N6560" s="43"/>
      <c r="O6560" s="43"/>
      <c r="Q6560" s="44"/>
      <c r="R6560" s="44"/>
      <c r="S6560" s="44"/>
      <c r="T6560" s="44"/>
    </row>
    <row r="6561" spans="12:20" x14ac:dyDescent="0.2">
      <c r="L6561" s="43"/>
      <c r="M6561" s="43"/>
      <c r="N6561" s="43"/>
      <c r="O6561" s="43"/>
      <c r="Q6561" s="44"/>
      <c r="R6561" s="44"/>
      <c r="S6561" s="44"/>
      <c r="T6561" s="44"/>
    </row>
    <row r="6562" spans="12:20" x14ac:dyDescent="0.2">
      <c r="L6562" s="43"/>
      <c r="M6562" s="43"/>
      <c r="N6562" s="43"/>
      <c r="O6562" s="43"/>
      <c r="Q6562" s="44"/>
      <c r="R6562" s="44"/>
      <c r="S6562" s="44"/>
      <c r="T6562" s="44"/>
    </row>
    <row r="6563" spans="12:20" x14ac:dyDescent="0.2">
      <c r="L6563" s="43"/>
      <c r="M6563" s="43"/>
      <c r="N6563" s="43"/>
      <c r="O6563" s="43"/>
      <c r="Q6563" s="44"/>
      <c r="R6563" s="44"/>
      <c r="S6563" s="44"/>
      <c r="T6563" s="44"/>
    </row>
    <row r="6564" spans="12:20" x14ac:dyDescent="0.2">
      <c r="L6564" s="43"/>
      <c r="M6564" s="43"/>
      <c r="N6564" s="43"/>
      <c r="O6564" s="43"/>
      <c r="Q6564" s="44"/>
      <c r="R6564" s="44"/>
      <c r="S6564" s="44"/>
      <c r="T6564" s="44"/>
    </row>
    <row r="6565" spans="12:20" x14ac:dyDescent="0.2">
      <c r="L6565" s="43"/>
      <c r="M6565" s="43"/>
      <c r="N6565" s="43"/>
      <c r="O6565" s="43"/>
      <c r="Q6565" s="44"/>
      <c r="R6565" s="44"/>
      <c r="S6565" s="44"/>
      <c r="T6565" s="44"/>
    </row>
    <row r="6566" spans="12:20" x14ac:dyDescent="0.2">
      <c r="L6566" s="43"/>
      <c r="M6566" s="43"/>
      <c r="N6566" s="43"/>
      <c r="O6566" s="43"/>
      <c r="Q6566" s="44"/>
      <c r="R6566" s="44"/>
      <c r="S6566" s="44"/>
      <c r="T6566" s="44"/>
    </row>
    <row r="6567" spans="12:20" x14ac:dyDescent="0.2">
      <c r="L6567" s="43"/>
      <c r="M6567" s="43"/>
      <c r="N6567" s="43"/>
      <c r="O6567" s="43"/>
      <c r="Q6567" s="44"/>
      <c r="R6567" s="44"/>
      <c r="S6567" s="44"/>
      <c r="T6567" s="44"/>
    </row>
    <row r="6568" spans="12:20" x14ac:dyDescent="0.2">
      <c r="L6568" s="43"/>
      <c r="M6568" s="43"/>
      <c r="N6568" s="43"/>
      <c r="O6568" s="43"/>
      <c r="Q6568" s="44"/>
      <c r="R6568" s="44"/>
      <c r="S6568" s="44"/>
      <c r="T6568" s="44"/>
    </row>
    <row r="6569" spans="12:20" x14ac:dyDescent="0.2">
      <c r="L6569" s="43"/>
      <c r="M6569" s="43"/>
      <c r="N6569" s="43"/>
      <c r="O6569" s="43"/>
      <c r="Q6569" s="44"/>
      <c r="R6569" s="44"/>
      <c r="S6569" s="44"/>
      <c r="T6569" s="44"/>
    </row>
    <row r="6570" spans="12:20" x14ac:dyDescent="0.2">
      <c r="L6570" s="43"/>
      <c r="M6570" s="43"/>
      <c r="N6570" s="43"/>
      <c r="O6570" s="43"/>
      <c r="Q6570" s="44"/>
      <c r="R6570" s="44"/>
      <c r="S6570" s="44"/>
      <c r="T6570" s="44"/>
    </row>
    <row r="6571" spans="12:20" x14ac:dyDescent="0.2">
      <c r="L6571" s="43"/>
      <c r="M6571" s="43"/>
      <c r="N6571" s="43"/>
      <c r="O6571" s="43"/>
      <c r="Q6571" s="44"/>
      <c r="R6571" s="44"/>
      <c r="S6571" s="44"/>
      <c r="T6571" s="44"/>
    </row>
    <row r="6572" spans="12:20" x14ac:dyDescent="0.2">
      <c r="L6572" s="43"/>
      <c r="M6572" s="43"/>
      <c r="N6572" s="43"/>
      <c r="O6572" s="43"/>
      <c r="Q6572" s="44"/>
      <c r="R6572" s="44"/>
      <c r="S6572" s="44"/>
      <c r="T6572" s="44"/>
    </row>
    <row r="6573" spans="12:20" x14ac:dyDescent="0.2">
      <c r="L6573" s="43"/>
      <c r="M6573" s="43"/>
      <c r="N6573" s="43"/>
      <c r="O6573" s="43"/>
      <c r="Q6573" s="44"/>
      <c r="R6573" s="44"/>
      <c r="S6573" s="44"/>
      <c r="T6573" s="44"/>
    </row>
    <row r="6574" spans="12:20" x14ac:dyDescent="0.2">
      <c r="L6574" s="43"/>
      <c r="M6574" s="43"/>
      <c r="N6574" s="43"/>
      <c r="O6574" s="43"/>
      <c r="Q6574" s="44"/>
      <c r="R6574" s="44"/>
      <c r="S6574" s="44"/>
      <c r="T6574" s="44"/>
    </row>
    <row r="6575" spans="12:20" x14ac:dyDescent="0.2">
      <c r="L6575" s="43"/>
      <c r="M6575" s="43"/>
      <c r="N6575" s="43"/>
      <c r="O6575" s="43"/>
      <c r="Q6575" s="44"/>
      <c r="R6575" s="44"/>
      <c r="S6575" s="44"/>
      <c r="T6575" s="44"/>
    </row>
    <row r="6576" spans="12:20" x14ac:dyDescent="0.2">
      <c r="L6576" s="43"/>
      <c r="M6576" s="43"/>
      <c r="N6576" s="43"/>
      <c r="O6576" s="43"/>
      <c r="Q6576" s="44"/>
      <c r="R6576" s="44"/>
      <c r="S6576" s="44"/>
      <c r="T6576" s="44"/>
    </row>
    <row r="6577" spans="12:20" x14ac:dyDescent="0.2">
      <c r="L6577" s="43"/>
      <c r="M6577" s="43"/>
      <c r="N6577" s="43"/>
      <c r="O6577" s="43"/>
      <c r="Q6577" s="44"/>
      <c r="R6577" s="44"/>
      <c r="S6577" s="44"/>
      <c r="T6577" s="44"/>
    </row>
    <row r="6578" spans="12:20" x14ac:dyDescent="0.2">
      <c r="L6578" s="43"/>
      <c r="M6578" s="43"/>
      <c r="N6578" s="43"/>
      <c r="O6578" s="43"/>
      <c r="Q6578" s="44"/>
      <c r="R6578" s="44"/>
      <c r="S6578" s="44"/>
      <c r="T6578" s="44"/>
    </row>
    <row r="6579" spans="12:20" x14ac:dyDescent="0.2">
      <c r="L6579" s="43"/>
      <c r="M6579" s="43"/>
      <c r="N6579" s="43"/>
      <c r="O6579" s="43"/>
      <c r="Q6579" s="44"/>
      <c r="R6579" s="44"/>
      <c r="S6579" s="44"/>
      <c r="T6579" s="44"/>
    </row>
    <row r="6580" spans="12:20" x14ac:dyDescent="0.2">
      <c r="L6580" s="43"/>
      <c r="M6580" s="43"/>
      <c r="N6580" s="43"/>
      <c r="O6580" s="43"/>
      <c r="Q6580" s="44"/>
      <c r="R6580" s="44"/>
      <c r="S6580" s="44"/>
      <c r="T6580" s="44"/>
    </row>
    <row r="6581" spans="12:20" x14ac:dyDescent="0.2">
      <c r="L6581" s="43"/>
      <c r="M6581" s="43"/>
      <c r="N6581" s="43"/>
      <c r="O6581" s="43"/>
      <c r="Q6581" s="44"/>
      <c r="R6581" s="44"/>
      <c r="S6581" s="44"/>
      <c r="T6581" s="44"/>
    </row>
    <row r="6582" spans="12:20" x14ac:dyDescent="0.2">
      <c r="L6582" s="43"/>
      <c r="M6582" s="43"/>
      <c r="N6582" s="43"/>
      <c r="O6582" s="43"/>
      <c r="Q6582" s="44"/>
      <c r="R6582" s="44"/>
      <c r="S6582" s="44"/>
      <c r="T6582" s="44"/>
    </row>
    <row r="6583" spans="12:20" x14ac:dyDescent="0.2">
      <c r="L6583" s="43"/>
      <c r="M6583" s="43"/>
      <c r="N6583" s="43"/>
      <c r="O6583" s="43"/>
      <c r="Q6583" s="44"/>
      <c r="R6583" s="44"/>
      <c r="S6583" s="44"/>
      <c r="T6583" s="44"/>
    </row>
    <row r="6584" spans="12:20" x14ac:dyDescent="0.2">
      <c r="L6584" s="43"/>
      <c r="M6584" s="43"/>
      <c r="N6584" s="43"/>
      <c r="O6584" s="43"/>
      <c r="Q6584" s="44"/>
      <c r="R6584" s="44"/>
      <c r="S6584" s="44"/>
      <c r="T6584" s="44"/>
    </row>
    <row r="6585" spans="12:20" x14ac:dyDescent="0.2">
      <c r="L6585" s="43"/>
      <c r="M6585" s="43"/>
      <c r="N6585" s="43"/>
      <c r="O6585" s="43"/>
      <c r="Q6585" s="44"/>
      <c r="R6585" s="44"/>
      <c r="S6585" s="44"/>
      <c r="T6585" s="44"/>
    </row>
    <row r="6586" spans="12:20" x14ac:dyDescent="0.2">
      <c r="L6586" s="43"/>
      <c r="M6586" s="43"/>
      <c r="N6586" s="43"/>
      <c r="O6586" s="43"/>
      <c r="Q6586" s="44"/>
      <c r="R6586" s="44"/>
      <c r="S6586" s="44"/>
      <c r="T6586" s="44"/>
    </row>
    <row r="6587" spans="12:20" x14ac:dyDescent="0.2">
      <c r="L6587" s="43"/>
      <c r="M6587" s="43"/>
      <c r="N6587" s="43"/>
      <c r="O6587" s="43"/>
      <c r="Q6587" s="44"/>
      <c r="R6587" s="44"/>
      <c r="S6587" s="44"/>
      <c r="T6587" s="44"/>
    </row>
    <row r="6588" spans="12:20" x14ac:dyDescent="0.2">
      <c r="L6588" s="43"/>
      <c r="M6588" s="43"/>
      <c r="N6588" s="43"/>
      <c r="O6588" s="43"/>
      <c r="Q6588" s="44"/>
      <c r="R6588" s="44"/>
      <c r="S6588" s="44"/>
      <c r="T6588" s="44"/>
    </row>
    <row r="6589" spans="12:20" x14ac:dyDescent="0.2">
      <c r="L6589" s="43"/>
      <c r="M6589" s="43"/>
      <c r="N6589" s="43"/>
      <c r="O6589" s="43"/>
      <c r="Q6589" s="44"/>
      <c r="R6589" s="44"/>
      <c r="S6589" s="44"/>
      <c r="T6589" s="44"/>
    </row>
    <row r="6590" spans="12:20" x14ac:dyDescent="0.2">
      <c r="L6590" s="43"/>
      <c r="M6590" s="43"/>
      <c r="N6590" s="43"/>
      <c r="O6590" s="43"/>
      <c r="Q6590" s="44"/>
      <c r="R6590" s="44"/>
      <c r="S6590" s="44"/>
      <c r="T6590" s="44"/>
    </row>
    <row r="6591" spans="12:20" x14ac:dyDescent="0.2">
      <c r="L6591" s="43"/>
      <c r="M6591" s="43"/>
      <c r="N6591" s="43"/>
      <c r="O6591" s="43"/>
      <c r="Q6591" s="44"/>
      <c r="R6591" s="44"/>
      <c r="S6591" s="44"/>
      <c r="T6591" s="44"/>
    </row>
    <row r="6592" spans="12:20" x14ac:dyDescent="0.2">
      <c r="L6592" s="43"/>
      <c r="M6592" s="43"/>
      <c r="N6592" s="43"/>
      <c r="O6592" s="43"/>
      <c r="Q6592" s="44"/>
      <c r="R6592" s="44"/>
      <c r="S6592" s="44"/>
      <c r="T6592" s="44"/>
    </row>
    <row r="6593" spans="12:20" x14ac:dyDescent="0.2">
      <c r="L6593" s="43"/>
      <c r="M6593" s="43"/>
      <c r="N6593" s="43"/>
      <c r="O6593" s="43"/>
      <c r="Q6593" s="44"/>
      <c r="R6593" s="44"/>
      <c r="S6593" s="44"/>
      <c r="T6593" s="44"/>
    </row>
    <row r="6594" spans="12:20" x14ac:dyDescent="0.2">
      <c r="L6594" s="43"/>
      <c r="M6594" s="43"/>
      <c r="N6594" s="43"/>
      <c r="O6594" s="43"/>
      <c r="Q6594" s="44"/>
      <c r="R6594" s="44"/>
      <c r="S6594" s="44"/>
      <c r="T6594" s="44"/>
    </row>
    <row r="6595" spans="12:20" x14ac:dyDescent="0.2">
      <c r="L6595" s="43"/>
      <c r="M6595" s="43"/>
      <c r="N6595" s="43"/>
      <c r="O6595" s="43"/>
      <c r="Q6595" s="44"/>
      <c r="R6595" s="44"/>
      <c r="S6595" s="44"/>
      <c r="T6595" s="44"/>
    </row>
    <row r="6596" spans="12:20" x14ac:dyDescent="0.2">
      <c r="L6596" s="43"/>
      <c r="M6596" s="43"/>
      <c r="N6596" s="43"/>
      <c r="O6596" s="43"/>
      <c r="Q6596" s="44"/>
      <c r="R6596" s="44"/>
      <c r="S6596" s="44"/>
      <c r="T6596" s="44"/>
    </row>
    <row r="6597" spans="12:20" x14ac:dyDescent="0.2">
      <c r="L6597" s="43"/>
      <c r="M6597" s="43"/>
      <c r="N6597" s="43"/>
      <c r="O6597" s="43"/>
      <c r="Q6597" s="44"/>
      <c r="R6597" s="44"/>
      <c r="S6597" s="44"/>
      <c r="T6597" s="44"/>
    </row>
    <row r="6598" spans="12:20" x14ac:dyDescent="0.2">
      <c r="L6598" s="43"/>
      <c r="M6598" s="43"/>
      <c r="N6598" s="43"/>
      <c r="O6598" s="43"/>
      <c r="Q6598" s="44"/>
      <c r="R6598" s="44"/>
      <c r="S6598" s="44"/>
      <c r="T6598" s="44"/>
    </row>
    <row r="6599" spans="12:20" x14ac:dyDescent="0.2">
      <c r="L6599" s="43"/>
      <c r="M6599" s="43"/>
      <c r="N6599" s="43"/>
      <c r="O6599" s="43"/>
      <c r="Q6599" s="44"/>
      <c r="R6599" s="44"/>
      <c r="S6599" s="44"/>
      <c r="T6599" s="44"/>
    </row>
    <row r="6600" spans="12:20" x14ac:dyDescent="0.2">
      <c r="L6600" s="43"/>
      <c r="M6600" s="43"/>
      <c r="N6600" s="43"/>
      <c r="O6600" s="43"/>
      <c r="Q6600" s="44"/>
      <c r="R6600" s="44"/>
      <c r="S6600" s="44"/>
      <c r="T6600" s="44"/>
    </row>
    <row r="6601" spans="12:20" x14ac:dyDescent="0.2">
      <c r="L6601" s="43"/>
      <c r="M6601" s="43"/>
      <c r="N6601" s="43"/>
      <c r="O6601" s="43"/>
      <c r="Q6601" s="44"/>
      <c r="R6601" s="44"/>
      <c r="S6601" s="44"/>
      <c r="T6601" s="44"/>
    </row>
    <row r="6602" spans="12:20" x14ac:dyDescent="0.2">
      <c r="L6602" s="43"/>
      <c r="M6602" s="43"/>
      <c r="N6602" s="43"/>
      <c r="O6602" s="43"/>
      <c r="Q6602" s="44"/>
      <c r="R6602" s="44"/>
      <c r="S6602" s="44"/>
      <c r="T6602" s="44"/>
    </row>
    <row r="6603" spans="12:20" x14ac:dyDescent="0.2">
      <c r="L6603" s="43"/>
      <c r="M6603" s="43"/>
      <c r="N6603" s="43"/>
      <c r="O6603" s="43"/>
      <c r="Q6603" s="44"/>
      <c r="R6603" s="44"/>
      <c r="S6603" s="44"/>
      <c r="T6603" s="44"/>
    </row>
    <row r="6604" spans="12:20" x14ac:dyDescent="0.2">
      <c r="L6604" s="43"/>
      <c r="M6604" s="43"/>
      <c r="N6604" s="43"/>
      <c r="O6604" s="43"/>
      <c r="Q6604" s="44"/>
      <c r="R6604" s="44"/>
      <c r="S6604" s="44"/>
      <c r="T6604" s="44"/>
    </row>
    <row r="6605" spans="12:20" x14ac:dyDescent="0.2">
      <c r="L6605" s="43"/>
      <c r="M6605" s="43"/>
      <c r="N6605" s="43"/>
      <c r="O6605" s="43"/>
      <c r="Q6605" s="44"/>
      <c r="R6605" s="44"/>
      <c r="S6605" s="44"/>
      <c r="T6605" s="44"/>
    </row>
    <row r="6606" spans="12:20" x14ac:dyDescent="0.2">
      <c r="L6606" s="43"/>
      <c r="M6606" s="43"/>
      <c r="N6606" s="43"/>
      <c r="O6606" s="43"/>
      <c r="Q6606" s="44"/>
      <c r="R6606" s="44"/>
      <c r="S6606" s="44"/>
      <c r="T6606" s="44"/>
    </row>
    <row r="6607" spans="12:20" x14ac:dyDescent="0.2">
      <c r="L6607" s="43"/>
      <c r="M6607" s="43"/>
      <c r="N6607" s="43"/>
      <c r="O6607" s="43"/>
      <c r="Q6607" s="44"/>
      <c r="R6607" s="44"/>
      <c r="S6607" s="44"/>
      <c r="T6607" s="44"/>
    </row>
    <row r="6608" spans="12:20" x14ac:dyDescent="0.2">
      <c r="L6608" s="43"/>
      <c r="M6608" s="43"/>
      <c r="N6608" s="43"/>
      <c r="O6608" s="43"/>
      <c r="Q6608" s="44"/>
      <c r="R6608" s="44"/>
      <c r="S6608" s="44"/>
      <c r="T6608" s="44"/>
    </row>
    <row r="6609" spans="12:20" x14ac:dyDescent="0.2">
      <c r="L6609" s="43"/>
      <c r="M6609" s="43"/>
      <c r="N6609" s="43"/>
      <c r="O6609" s="43"/>
      <c r="Q6609" s="44"/>
      <c r="R6609" s="44"/>
      <c r="S6609" s="44"/>
      <c r="T6609" s="44"/>
    </row>
    <row r="6610" spans="12:20" x14ac:dyDescent="0.2">
      <c r="L6610" s="43"/>
      <c r="M6610" s="43"/>
      <c r="N6610" s="43"/>
      <c r="O6610" s="43"/>
      <c r="Q6610" s="44"/>
      <c r="R6610" s="44"/>
      <c r="S6610" s="44"/>
      <c r="T6610" s="44"/>
    </row>
    <row r="6611" spans="12:20" x14ac:dyDescent="0.2">
      <c r="L6611" s="43"/>
      <c r="M6611" s="43"/>
      <c r="N6611" s="43"/>
      <c r="O6611" s="43"/>
      <c r="Q6611" s="44"/>
      <c r="R6611" s="44"/>
      <c r="S6611" s="44"/>
      <c r="T6611" s="44"/>
    </row>
    <row r="6612" spans="12:20" x14ac:dyDescent="0.2">
      <c r="L6612" s="43"/>
      <c r="M6612" s="43"/>
      <c r="N6612" s="43"/>
      <c r="O6612" s="43"/>
      <c r="Q6612" s="44"/>
      <c r="R6612" s="44"/>
      <c r="S6612" s="44"/>
      <c r="T6612" s="44"/>
    </row>
    <row r="6613" spans="12:20" x14ac:dyDescent="0.2">
      <c r="L6613" s="43"/>
      <c r="M6613" s="43"/>
      <c r="N6613" s="43"/>
      <c r="O6613" s="43"/>
      <c r="Q6613" s="44"/>
      <c r="R6613" s="44"/>
      <c r="S6613" s="44"/>
      <c r="T6613" s="44"/>
    </row>
    <row r="6614" spans="12:20" x14ac:dyDescent="0.2">
      <c r="L6614" s="43"/>
      <c r="M6614" s="43"/>
      <c r="N6614" s="43"/>
      <c r="O6614" s="43"/>
      <c r="Q6614" s="44"/>
      <c r="R6614" s="44"/>
      <c r="S6614" s="44"/>
      <c r="T6614" s="44"/>
    </row>
    <row r="6615" spans="12:20" x14ac:dyDescent="0.2">
      <c r="L6615" s="43"/>
      <c r="M6615" s="43"/>
      <c r="N6615" s="43"/>
      <c r="O6615" s="43"/>
      <c r="Q6615" s="44"/>
      <c r="R6615" s="44"/>
      <c r="S6615" s="44"/>
      <c r="T6615" s="44"/>
    </row>
    <row r="6616" spans="12:20" x14ac:dyDescent="0.2">
      <c r="L6616" s="43"/>
      <c r="M6616" s="43"/>
      <c r="N6616" s="43"/>
      <c r="O6616" s="43"/>
      <c r="Q6616" s="44"/>
      <c r="R6616" s="44"/>
      <c r="S6616" s="44"/>
      <c r="T6616" s="44"/>
    </row>
    <row r="6617" spans="12:20" x14ac:dyDescent="0.2">
      <c r="L6617" s="43"/>
      <c r="M6617" s="43"/>
      <c r="N6617" s="43"/>
      <c r="O6617" s="43"/>
      <c r="Q6617" s="44"/>
      <c r="R6617" s="44"/>
      <c r="S6617" s="44"/>
      <c r="T6617" s="44"/>
    </row>
    <row r="6618" spans="12:20" x14ac:dyDescent="0.2">
      <c r="L6618" s="43"/>
      <c r="M6618" s="43"/>
      <c r="N6618" s="43"/>
      <c r="O6618" s="43"/>
      <c r="Q6618" s="44"/>
      <c r="R6618" s="44"/>
      <c r="S6618" s="44"/>
      <c r="T6618" s="44"/>
    </row>
    <row r="6619" spans="12:20" x14ac:dyDescent="0.2">
      <c r="L6619" s="43"/>
      <c r="M6619" s="43"/>
      <c r="N6619" s="43"/>
      <c r="O6619" s="43"/>
      <c r="Q6619" s="44"/>
      <c r="R6619" s="44"/>
      <c r="S6619" s="44"/>
      <c r="T6619" s="44"/>
    </row>
    <row r="6620" spans="12:20" x14ac:dyDescent="0.2">
      <c r="L6620" s="43"/>
      <c r="M6620" s="43"/>
      <c r="N6620" s="43"/>
      <c r="O6620" s="43"/>
      <c r="Q6620" s="44"/>
      <c r="R6620" s="44"/>
      <c r="S6620" s="44"/>
      <c r="T6620" s="44"/>
    </row>
    <row r="6621" spans="12:20" x14ac:dyDescent="0.2">
      <c r="L6621" s="43"/>
      <c r="M6621" s="43"/>
      <c r="N6621" s="43"/>
      <c r="O6621" s="43"/>
      <c r="Q6621" s="44"/>
      <c r="R6621" s="44"/>
      <c r="S6621" s="44"/>
      <c r="T6621" s="44"/>
    </row>
    <row r="6622" spans="12:20" x14ac:dyDescent="0.2">
      <c r="L6622" s="43"/>
      <c r="M6622" s="43"/>
      <c r="N6622" s="43"/>
      <c r="O6622" s="43"/>
      <c r="Q6622" s="44"/>
      <c r="R6622" s="44"/>
      <c r="S6622" s="44"/>
      <c r="T6622" s="44"/>
    </row>
    <row r="6623" spans="12:20" x14ac:dyDescent="0.2">
      <c r="L6623" s="43"/>
      <c r="M6623" s="43"/>
      <c r="N6623" s="43"/>
      <c r="O6623" s="43"/>
      <c r="Q6623" s="44"/>
      <c r="R6623" s="44"/>
      <c r="S6623" s="44"/>
      <c r="T6623" s="44"/>
    </row>
    <row r="6624" spans="12:20" x14ac:dyDescent="0.2">
      <c r="L6624" s="43"/>
      <c r="M6624" s="43"/>
      <c r="N6624" s="43"/>
      <c r="O6624" s="43"/>
      <c r="Q6624" s="44"/>
      <c r="R6624" s="44"/>
      <c r="S6624" s="44"/>
      <c r="T6624" s="44"/>
    </row>
    <row r="6625" spans="12:20" x14ac:dyDescent="0.2">
      <c r="L6625" s="43"/>
      <c r="M6625" s="43"/>
      <c r="N6625" s="43"/>
      <c r="O6625" s="43"/>
      <c r="Q6625" s="44"/>
      <c r="R6625" s="44"/>
      <c r="S6625" s="44"/>
      <c r="T6625" s="44"/>
    </row>
    <row r="6626" spans="12:20" x14ac:dyDescent="0.2">
      <c r="L6626" s="43"/>
      <c r="M6626" s="43"/>
      <c r="N6626" s="43"/>
      <c r="O6626" s="43"/>
      <c r="Q6626" s="44"/>
      <c r="R6626" s="44"/>
      <c r="S6626" s="44"/>
      <c r="T6626" s="44"/>
    </row>
    <row r="6627" spans="12:20" x14ac:dyDescent="0.2">
      <c r="L6627" s="43"/>
      <c r="M6627" s="43"/>
      <c r="N6627" s="43"/>
      <c r="O6627" s="43"/>
      <c r="Q6627" s="44"/>
      <c r="R6627" s="44"/>
      <c r="S6627" s="44"/>
      <c r="T6627" s="44"/>
    </row>
    <row r="6628" spans="12:20" x14ac:dyDescent="0.2">
      <c r="L6628" s="43"/>
      <c r="M6628" s="43"/>
      <c r="N6628" s="43"/>
      <c r="O6628" s="43"/>
      <c r="Q6628" s="44"/>
      <c r="R6628" s="44"/>
      <c r="S6628" s="44"/>
      <c r="T6628" s="44"/>
    </row>
    <row r="6629" spans="12:20" x14ac:dyDescent="0.2">
      <c r="L6629" s="43"/>
      <c r="M6629" s="43"/>
      <c r="N6629" s="43"/>
      <c r="O6629" s="43"/>
      <c r="Q6629" s="44"/>
      <c r="R6629" s="44"/>
      <c r="S6629" s="44"/>
      <c r="T6629" s="44"/>
    </row>
    <row r="6630" spans="12:20" x14ac:dyDescent="0.2">
      <c r="L6630" s="43"/>
      <c r="M6630" s="43"/>
      <c r="N6630" s="43"/>
      <c r="O6630" s="43"/>
      <c r="Q6630" s="44"/>
      <c r="R6630" s="44"/>
      <c r="S6630" s="44"/>
      <c r="T6630" s="44"/>
    </row>
    <row r="6631" spans="12:20" x14ac:dyDescent="0.2">
      <c r="L6631" s="43"/>
      <c r="M6631" s="43"/>
      <c r="N6631" s="43"/>
      <c r="O6631" s="43"/>
      <c r="Q6631" s="44"/>
      <c r="R6631" s="44"/>
      <c r="S6631" s="44"/>
      <c r="T6631" s="44"/>
    </row>
    <row r="6632" spans="12:20" x14ac:dyDescent="0.2">
      <c r="L6632" s="43"/>
      <c r="M6632" s="43"/>
      <c r="N6632" s="43"/>
      <c r="O6632" s="43"/>
      <c r="Q6632" s="44"/>
      <c r="R6632" s="44"/>
      <c r="S6632" s="44"/>
      <c r="T6632" s="44"/>
    </row>
    <row r="6633" spans="12:20" x14ac:dyDescent="0.2">
      <c r="L6633" s="43"/>
      <c r="M6633" s="43"/>
      <c r="N6633" s="43"/>
      <c r="O6633" s="43"/>
      <c r="Q6633" s="44"/>
      <c r="R6633" s="44"/>
      <c r="S6633" s="44"/>
      <c r="T6633" s="44"/>
    </row>
    <row r="6634" spans="12:20" x14ac:dyDescent="0.2">
      <c r="L6634" s="43"/>
      <c r="M6634" s="43"/>
      <c r="N6634" s="43"/>
      <c r="O6634" s="43"/>
      <c r="Q6634" s="44"/>
      <c r="R6634" s="44"/>
      <c r="S6634" s="44"/>
      <c r="T6634" s="44"/>
    </row>
    <row r="6635" spans="12:20" x14ac:dyDescent="0.2">
      <c r="L6635" s="43"/>
      <c r="M6635" s="43"/>
      <c r="N6635" s="43"/>
      <c r="O6635" s="43"/>
      <c r="Q6635" s="44"/>
      <c r="R6635" s="44"/>
      <c r="S6635" s="44"/>
      <c r="T6635" s="44"/>
    </row>
    <row r="6636" spans="12:20" x14ac:dyDescent="0.2">
      <c r="L6636" s="43"/>
      <c r="M6636" s="43"/>
      <c r="N6636" s="43"/>
      <c r="O6636" s="43"/>
      <c r="Q6636" s="44"/>
      <c r="R6636" s="44"/>
      <c r="S6636" s="44"/>
      <c r="T6636" s="44"/>
    </row>
    <row r="6637" spans="12:20" x14ac:dyDescent="0.2">
      <c r="L6637" s="43"/>
      <c r="M6637" s="43"/>
      <c r="N6637" s="43"/>
      <c r="O6637" s="43"/>
      <c r="Q6637" s="44"/>
      <c r="R6637" s="44"/>
      <c r="S6637" s="44"/>
      <c r="T6637" s="44"/>
    </row>
    <row r="6638" spans="12:20" x14ac:dyDescent="0.2">
      <c r="L6638" s="43"/>
      <c r="M6638" s="43"/>
      <c r="N6638" s="43"/>
      <c r="O6638" s="43"/>
      <c r="Q6638" s="44"/>
      <c r="R6638" s="44"/>
      <c r="S6638" s="44"/>
      <c r="T6638" s="44"/>
    </row>
    <row r="6639" spans="12:20" x14ac:dyDescent="0.2">
      <c r="L6639" s="43"/>
      <c r="M6639" s="43"/>
      <c r="N6639" s="43"/>
      <c r="O6639" s="43"/>
      <c r="Q6639" s="44"/>
      <c r="R6639" s="44"/>
      <c r="S6639" s="44"/>
      <c r="T6639" s="44"/>
    </row>
    <row r="6640" spans="12:20" x14ac:dyDescent="0.2">
      <c r="L6640" s="43"/>
      <c r="M6640" s="43"/>
      <c r="N6640" s="43"/>
      <c r="O6640" s="43"/>
      <c r="Q6640" s="44"/>
      <c r="R6640" s="44"/>
      <c r="S6640" s="44"/>
      <c r="T6640" s="44"/>
    </row>
    <row r="6641" spans="12:20" x14ac:dyDescent="0.2">
      <c r="L6641" s="43"/>
      <c r="M6641" s="43"/>
      <c r="N6641" s="43"/>
      <c r="O6641" s="43"/>
      <c r="Q6641" s="44"/>
      <c r="R6641" s="44"/>
      <c r="S6641" s="44"/>
      <c r="T6641" s="44"/>
    </row>
    <row r="6642" spans="12:20" x14ac:dyDescent="0.2">
      <c r="L6642" s="43"/>
      <c r="M6642" s="43"/>
      <c r="N6642" s="43"/>
      <c r="O6642" s="43"/>
      <c r="Q6642" s="44"/>
      <c r="R6642" s="44"/>
      <c r="S6642" s="44"/>
      <c r="T6642" s="44"/>
    </row>
    <row r="6643" spans="12:20" x14ac:dyDescent="0.2">
      <c r="L6643" s="43"/>
      <c r="M6643" s="43"/>
      <c r="N6643" s="43"/>
      <c r="O6643" s="43"/>
      <c r="Q6643" s="44"/>
      <c r="R6643" s="44"/>
      <c r="S6643" s="44"/>
      <c r="T6643" s="44"/>
    </row>
    <row r="6644" spans="12:20" x14ac:dyDescent="0.2">
      <c r="L6644" s="43"/>
      <c r="M6644" s="43"/>
      <c r="N6644" s="43"/>
      <c r="O6644" s="43"/>
      <c r="Q6644" s="44"/>
      <c r="R6644" s="44"/>
      <c r="S6644" s="44"/>
      <c r="T6644" s="44"/>
    </row>
    <row r="6645" spans="12:20" x14ac:dyDescent="0.2">
      <c r="L6645" s="43"/>
      <c r="M6645" s="43"/>
      <c r="N6645" s="43"/>
      <c r="O6645" s="43"/>
      <c r="Q6645" s="44"/>
      <c r="R6645" s="44"/>
      <c r="S6645" s="44"/>
      <c r="T6645" s="44"/>
    </row>
    <row r="6646" spans="12:20" x14ac:dyDescent="0.2">
      <c r="L6646" s="43"/>
      <c r="M6646" s="43"/>
      <c r="N6646" s="43"/>
      <c r="O6646" s="43"/>
      <c r="Q6646" s="44"/>
      <c r="R6646" s="44"/>
      <c r="S6646" s="44"/>
      <c r="T6646" s="44"/>
    </row>
    <row r="6647" spans="12:20" x14ac:dyDescent="0.2">
      <c r="L6647" s="43"/>
      <c r="M6647" s="43"/>
      <c r="N6647" s="43"/>
      <c r="O6647" s="43"/>
      <c r="Q6647" s="44"/>
      <c r="R6647" s="44"/>
      <c r="S6647" s="44"/>
      <c r="T6647" s="44"/>
    </row>
    <row r="6648" spans="12:20" x14ac:dyDescent="0.2">
      <c r="L6648" s="43"/>
      <c r="M6648" s="43"/>
      <c r="N6648" s="43"/>
      <c r="O6648" s="43"/>
      <c r="Q6648" s="44"/>
      <c r="R6648" s="44"/>
      <c r="S6648" s="44"/>
      <c r="T6648" s="44"/>
    </row>
    <row r="6649" spans="12:20" x14ac:dyDescent="0.2">
      <c r="L6649" s="43"/>
      <c r="M6649" s="43"/>
      <c r="N6649" s="43"/>
      <c r="O6649" s="43"/>
      <c r="Q6649" s="44"/>
      <c r="R6649" s="44"/>
      <c r="S6649" s="44"/>
      <c r="T6649" s="44"/>
    </row>
    <row r="6650" spans="12:20" x14ac:dyDescent="0.2">
      <c r="L6650" s="43"/>
      <c r="M6650" s="43"/>
      <c r="N6650" s="43"/>
      <c r="O6650" s="43"/>
      <c r="Q6650" s="44"/>
      <c r="R6650" s="44"/>
      <c r="S6650" s="44"/>
      <c r="T6650" s="44"/>
    </row>
    <row r="6651" spans="12:20" x14ac:dyDescent="0.2">
      <c r="L6651" s="43"/>
      <c r="M6651" s="43"/>
      <c r="N6651" s="43"/>
      <c r="O6651" s="43"/>
      <c r="Q6651" s="44"/>
      <c r="R6651" s="44"/>
      <c r="S6651" s="44"/>
      <c r="T6651" s="44"/>
    </row>
    <row r="6652" spans="12:20" x14ac:dyDescent="0.2">
      <c r="L6652" s="43"/>
      <c r="M6652" s="43"/>
      <c r="N6652" s="43"/>
      <c r="O6652" s="43"/>
      <c r="Q6652" s="44"/>
      <c r="R6652" s="44"/>
      <c r="S6652" s="44"/>
      <c r="T6652" s="44"/>
    </row>
    <row r="6653" spans="12:20" x14ac:dyDescent="0.2">
      <c r="L6653" s="43"/>
      <c r="M6653" s="43"/>
      <c r="N6653" s="43"/>
      <c r="O6653" s="43"/>
      <c r="Q6653" s="44"/>
      <c r="R6653" s="44"/>
      <c r="S6653" s="44"/>
      <c r="T6653" s="44"/>
    </row>
    <row r="6654" spans="12:20" x14ac:dyDescent="0.2">
      <c r="L6654" s="43"/>
      <c r="M6654" s="43"/>
      <c r="N6654" s="43"/>
      <c r="O6654" s="43"/>
      <c r="Q6654" s="44"/>
      <c r="R6654" s="44"/>
      <c r="S6654" s="44"/>
      <c r="T6654" s="44"/>
    </row>
    <row r="6655" spans="12:20" x14ac:dyDescent="0.2">
      <c r="L6655" s="43"/>
      <c r="M6655" s="43"/>
      <c r="N6655" s="43"/>
      <c r="O6655" s="43"/>
      <c r="Q6655" s="44"/>
      <c r="R6655" s="44"/>
      <c r="S6655" s="44"/>
      <c r="T6655" s="44"/>
    </row>
    <row r="6656" spans="12:20" x14ac:dyDescent="0.2">
      <c r="L6656" s="43"/>
      <c r="M6656" s="43"/>
      <c r="N6656" s="43"/>
      <c r="O6656" s="43"/>
      <c r="Q6656" s="44"/>
      <c r="R6656" s="44"/>
      <c r="S6656" s="44"/>
      <c r="T6656" s="44"/>
    </row>
    <row r="6657" spans="12:20" x14ac:dyDescent="0.2">
      <c r="L6657" s="43"/>
      <c r="M6657" s="43"/>
      <c r="N6657" s="43"/>
      <c r="O6657" s="43"/>
      <c r="Q6657" s="44"/>
      <c r="R6657" s="44"/>
      <c r="S6657" s="44"/>
      <c r="T6657" s="44"/>
    </row>
    <row r="6658" spans="12:20" x14ac:dyDescent="0.2">
      <c r="L6658" s="43"/>
      <c r="M6658" s="43"/>
      <c r="N6658" s="43"/>
      <c r="O6658" s="43"/>
      <c r="Q6658" s="44"/>
      <c r="R6658" s="44"/>
      <c r="S6658" s="44"/>
      <c r="T6658" s="44"/>
    </row>
    <row r="6659" spans="12:20" x14ac:dyDescent="0.2">
      <c r="L6659" s="43"/>
      <c r="M6659" s="43"/>
      <c r="N6659" s="43"/>
      <c r="O6659" s="43"/>
      <c r="Q6659" s="44"/>
      <c r="R6659" s="44"/>
      <c r="S6659" s="44"/>
      <c r="T6659" s="44"/>
    </row>
    <row r="6660" spans="12:20" x14ac:dyDescent="0.2">
      <c r="L6660" s="43"/>
      <c r="M6660" s="43"/>
      <c r="N6660" s="43"/>
      <c r="O6660" s="43"/>
      <c r="Q6660" s="44"/>
      <c r="R6660" s="44"/>
      <c r="S6660" s="44"/>
      <c r="T6660" s="44"/>
    </row>
    <row r="6661" spans="12:20" x14ac:dyDescent="0.2">
      <c r="L6661" s="43"/>
      <c r="M6661" s="43"/>
      <c r="N6661" s="43"/>
      <c r="O6661" s="43"/>
      <c r="Q6661" s="44"/>
      <c r="R6661" s="44"/>
      <c r="S6661" s="44"/>
      <c r="T6661" s="44"/>
    </row>
    <row r="6662" spans="12:20" x14ac:dyDescent="0.2">
      <c r="L6662" s="43"/>
      <c r="M6662" s="43"/>
      <c r="N6662" s="43"/>
      <c r="O6662" s="43"/>
      <c r="Q6662" s="44"/>
      <c r="R6662" s="44"/>
      <c r="S6662" s="44"/>
      <c r="T6662" s="44"/>
    </row>
    <row r="6663" spans="12:20" x14ac:dyDescent="0.2">
      <c r="L6663" s="43"/>
      <c r="M6663" s="43"/>
      <c r="N6663" s="43"/>
      <c r="O6663" s="43"/>
      <c r="Q6663" s="44"/>
      <c r="R6663" s="44"/>
      <c r="S6663" s="44"/>
      <c r="T6663" s="44"/>
    </row>
    <row r="6664" spans="12:20" x14ac:dyDescent="0.2">
      <c r="L6664" s="43"/>
      <c r="M6664" s="43"/>
      <c r="N6664" s="43"/>
      <c r="O6664" s="43"/>
      <c r="Q6664" s="44"/>
      <c r="R6664" s="44"/>
      <c r="S6664" s="44"/>
      <c r="T6664" s="44"/>
    </row>
    <row r="6665" spans="12:20" x14ac:dyDescent="0.2">
      <c r="L6665" s="43"/>
      <c r="M6665" s="43"/>
      <c r="N6665" s="43"/>
      <c r="O6665" s="43"/>
      <c r="Q6665" s="44"/>
      <c r="R6665" s="44"/>
      <c r="S6665" s="44"/>
      <c r="T6665" s="44"/>
    </row>
    <row r="6666" spans="12:20" x14ac:dyDescent="0.2">
      <c r="L6666" s="43"/>
      <c r="M6666" s="43"/>
      <c r="N6666" s="43"/>
      <c r="O6666" s="43"/>
      <c r="Q6666" s="44"/>
      <c r="R6666" s="44"/>
      <c r="S6666" s="44"/>
      <c r="T6666" s="44"/>
    </row>
    <row r="6667" spans="12:20" x14ac:dyDescent="0.2">
      <c r="L6667" s="43"/>
      <c r="M6667" s="43"/>
      <c r="N6667" s="43"/>
      <c r="O6667" s="43"/>
      <c r="Q6667" s="44"/>
      <c r="R6667" s="44"/>
      <c r="S6667" s="44"/>
      <c r="T6667" s="44"/>
    </row>
    <row r="6668" spans="12:20" x14ac:dyDescent="0.2">
      <c r="L6668" s="43"/>
      <c r="M6668" s="43"/>
      <c r="N6668" s="43"/>
      <c r="O6668" s="43"/>
      <c r="Q6668" s="44"/>
      <c r="R6668" s="44"/>
      <c r="S6668" s="44"/>
      <c r="T6668" s="44"/>
    </row>
    <row r="6669" spans="12:20" x14ac:dyDescent="0.2">
      <c r="L6669" s="43"/>
      <c r="M6669" s="43"/>
      <c r="N6669" s="43"/>
      <c r="O6669" s="43"/>
      <c r="Q6669" s="44"/>
      <c r="R6669" s="44"/>
      <c r="S6669" s="44"/>
      <c r="T6669" s="44"/>
    </row>
    <row r="6670" spans="12:20" x14ac:dyDescent="0.2">
      <c r="L6670" s="43"/>
      <c r="M6670" s="43"/>
      <c r="N6670" s="43"/>
      <c r="O6670" s="43"/>
      <c r="Q6670" s="44"/>
      <c r="R6670" s="44"/>
      <c r="S6670" s="44"/>
      <c r="T6670" s="44"/>
    </row>
    <row r="6671" spans="12:20" x14ac:dyDescent="0.2">
      <c r="L6671" s="43"/>
      <c r="M6671" s="43"/>
      <c r="N6671" s="43"/>
      <c r="O6671" s="43"/>
      <c r="Q6671" s="44"/>
      <c r="R6671" s="44"/>
      <c r="S6671" s="44"/>
      <c r="T6671" s="44"/>
    </row>
    <row r="6672" spans="12:20" x14ac:dyDescent="0.2">
      <c r="L6672" s="43"/>
      <c r="M6672" s="43"/>
      <c r="N6672" s="43"/>
      <c r="O6672" s="43"/>
      <c r="Q6672" s="44"/>
      <c r="R6672" s="44"/>
      <c r="S6672" s="44"/>
      <c r="T6672" s="44"/>
    </row>
    <row r="6673" spans="12:20" x14ac:dyDescent="0.2">
      <c r="L6673" s="43"/>
      <c r="M6673" s="43"/>
      <c r="N6673" s="43"/>
      <c r="O6673" s="43"/>
      <c r="Q6673" s="44"/>
      <c r="R6673" s="44"/>
      <c r="S6673" s="44"/>
      <c r="T6673" s="44"/>
    </row>
    <row r="6674" spans="12:20" x14ac:dyDescent="0.2">
      <c r="L6674" s="43"/>
      <c r="M6674" s="43"/>
      <c r="N6674" s="43"/>
      <c r="O6674" s="43"/>
      <c r="Q6674" s="44"/>
      <c r="R6674" s="44"/>
      <c r="S6674" s="44"/>
      <c r="T6674" s="44"/>
    </row>
    <row r="6675" spans="12:20" x14ac:dyDescent="0.2">
      <c r="L6675" s="43"/>
      <c r="M6675" s="43"/>
      <c r="N6675" s="43"/>
      <c r="O6675" s="43"/>
      <c r="Q6675" s="44"/>
      <c r="R6675" s="44"/>
      <c r="S6675" s="44"/>
      <c r="T6675" s="44"/>
    </row>
    <row r="6676" spans="12:20" x14ac:dyDescent="0.2">
      <c r="L6676" s="43"/>
      <c r="M6676" s="43"/>
      <c r="N6676" s="43"/>
      <c r="O6676" s="43"/>
      <c r="Q6676" s="44"/>
      <c r="R6676" s="44"/>
      <c r="S6676" s="44"/>
      <c r="T6676" s="44"/>
    </row>
    <row r="6677" spans="12:20" x14ac:dyDescent="0.2">
      <c r="L6677" s="43"/>
      <c r="M6677" s="43"/>
      <c r="N6677" s="43"/>
      <c r="O6677" s="43"/>
      <c r="Q6677" s="44"/>
      <c r="R6677" s="44"/>
      <c r="S6677" s="44"/>
      <c r="T6677" s="44"/>
    </row>
    <row r="6678" spans="12:20" x14ac:dyDescent="0.2">
      <c r="L6678" s="43"/>
      <c r="M6678" s="43"/>
      <c r="N6678" s="43"/>
      <c r="O6678" s="43"/>
      <c r="Q6678" s="44"/>
      <c r="R6678" s="44"/>
      <c r="S6678" s="44"/>
      <c r="T6678" s="44"/>
    </row>
    <row r="6679" spans="12:20" x14ac:dyDescent="0.2">
      <c r="L6679" s="43"/>
      <c r="M6679" s="43"/>
      <c r="N6679" s="43"/>
      <c r="O6679" s="43"/>
      <c r="Q6679" s="44"/>
      <c r="R6679" s="44"/>
      <c r="S6679" s="44"/>
      <c r="T6679" s="44"/>
    </row>
    <row r="6680" spans="12:20" x14ac:dyDescent="0.2">
      <c r="L6680" s="43"/>
      <c r="M6680" s="43"/>
      <c r="N6680" s="43"/>
      <c r="O6680" s="43"/>
      <c r="Q6680" s="44"/>
      <c r="R6680" s="44"/>
      <c r="S6680" s="44"/>
      <c r="T6680" s="44"/>
    </row>
    <row r="6681" spans="12:20" x14ac:dyDescent="0.2">
      <c r="L6681" s="43"/>
      <c r="M6681" s="43"/>
      <c r="N6681" s="43"/>
      <c r="O6681" s="43"/>
      <c r="Q6681" s="44"/>
      <c r="R6681" s="44"/>
      <c r="S6681" s="44"/>
      <c r="T6681" s="44"/>
    </row>
    <row r="6682" spans="12:20" x14ac:dyDescent="0.2">
      <c r="L6682" s="43"/>
      <c r="M6682" s="43"/>
      <c r="N6682" s="43"/>
      <c r="O6682" s="43"/>
      <c r="Q6682" s="44"/>
      <c r="R6682" s="44"/>
      <c r="S6682" s="44"/>
      <c r="T6682" s="44"/>
    </row>
    <row r="6683" spans="12:20" x14ac:dyDescent="0.2">
      <c r="L6683" s="43"/>
      <c r="M6683" s="43"/>
      <c r="N6683" s="43"/>
      <c r="O6683" s="43"/>
      <c r="Q6683" s="44"/>
      <c r="R6683" s="44"/>
      <c r="S6683" s="44"/>
      <c r="T6683" s="44"/>
    </row>
    <row r="6684" spans="12:20" x14ac:dyDescent="0.2">
      <c r="L6684" s="43"/>
      <c r="M6684" s="43"/>
      <c r="N6684" s="43"/>
      <c r="O6684" s="43"/>
      <c r="Q6684" s="44"/>
      <c r="R6684" s="44"/>
      <c r="S6684" s="44"/>
      <c r="T6684" s="44"/>
    </row>
    <row r="6685" spans="12:20" x14ac:dyDescent="0.2">
      <c r="L6685" s="43"/>
      <c r="M6685" s="43"/>
      <c r="N6685" s="43"/>
      <c r="O6685" s="43"/>
      <c r="Q6685" s="44"/>
      <c r="R6685" s="44"/>
      <c r="S6685" s="44"/>
      <c r="T6685" s="44"/>
    </row>
    <row r="6686" spans="12:20" x14ac:dyDescent="0.2">
      <c r="L6686" s="43"/>
      <c r="M6686" s="43"/>
      <c r="N6686" s="43"/>
      <c r="O6686" s="43"/>
      <c r="Q6686" s="44"/>
      <c r="R6686" s="44"/>
      <c r="S6686" s="44"/>
      <c r="T6686" s="44"/>
    </row>
    <row r="6687" spans="12:20" x14ac:dyDescent="0.2">
      <c r="L6687" s="43"/>
      <c r="M6687" s="43"/>
      <c r="N6687" s="43"/>
      <c r="O6687" s="43"/>
      <c r="Q6687" s="44"/>
      <c r="R6687" s="44"/>
      <c r="S6687" s="44"/>
      <c r="T6687" s="44"/>
    </row>
    <row r="6688" spans="12:20" x14ac:dyDescent="0.2">
      <c r="L6688" s="43"/>
      <c r="M6688" s="43"/>
      <c r="N6688" s="43"/>
      <c r="O6688" s="43"/>
      <c r="Q6688" s="44"/>
      <c r="R6688" s="44"/>
      <c r="S6688" s="44"/>
      <c r="T6688" s="44"/>
    </row>
    <row r="6689" spans="12:20" x14ac:dyDescent="0.2">
      <c r="L6689" s="43"/>
      <c r="M6689" s="43"/>
      <c r="N6689" s="43"/>
      <c r="O6689" s="43"/>
      <c r="Q6689" s="44"/>
      <c r="R6689" s="44"/>
      <c r="S6689" s="44"/>
      <c r="T6689" s="44"/>
    </row>
    <row r="6690" spans="12:20" x14ac:dyDescent="0.2">
      <c r="L6690" s="43"/>
      <c r="M6690" s="43"/>
      <c r="N6690" s="43"/>
      <c r="O6690" s="43"/>
      <c r="Q6690" s="44"/>
      <c r="R6690" s="44"/>
      <c r="S6690" s="44"/>
      <c r="T6690" s="44"/>
    </row>
    <row r="6691" spans="12:20" x14ac:dyDescent="0.2">
      <c r="L6691" s="43"/>
      <c r="M6691" s="43"/>
      <c r="N6691" s="43"/>
      <c r="O6691" s="43"/>
      <c r="Q6691" s="44"/>
      <c r="R6691" s="44"/>
      <c r="S6691" s="44"/>
      <c r="T6691" s="44"/>
    </row>
    <row r="6692" spans="12:20" x14ac:dyDescent="0.2">
      <c r="L6692" s="43"/>
      <c r="M6692" s="43"/>
      <c r="N6692" s="43"/>
      <c r="O6692" s="43"/>
      <c r="Q6692" s="44"/>
      <c r="R6692" s="44"/>
      <c r="S6692" s="44"/>
      <c r="T6692" s="44"/>
    </row>
    <row r="6693" spans="12:20" x14ac:dyDescent="0.2">
      <c r="L6693" s="43"/>
      <c r="M6693" s="43"/>
      <c r="N6693" s="43"/>
      <c r="O6693" s="43"/>
      <c r="Q6693" s="44"/>
      <c r="R6693" s="44"/>
      <c r="S6693" s="44"/>
      <c r="T6693" s="44"/>
    </row>
    <row r="6694" spans="12:20" x14ac:dyDescent="0.2">
      <c r="L6694" s="43"/>
      <c r="M6694" s="43"/>
      <c r="N6694" s="43"/>
      <c r="O6694" s="43"/>
      <c r="Q6694" s="44"/>
      <c r="R6694" s="44"/>
      <c r="S6694" s="44"/>
      <c r="T6694" s="44"/>
    </row>
    <row r="6695" spans="12:20" x14ac:dyDescent="0.2">
      <c r="L6695" s="43"/>
      <c r="M6695" s="43"/>
      <c r="N6695" s="43"/>
      <c r="O6695" s="43"/>
      <c r="Q6695" s="44"/>
      <c r="R6695" s="44"/>
      <c r="S6695" s="44"/>
      <c r="T6695" s="44"/>
    </row>
    <row r="6696" spans="12:20" x14ac:dyDescent="0.2">
      <c r="L6696" s="43"/>
      <c r="M6696" s="43"/>
      <c r="N6696" s="43"/>
      <c r="O6696" s="43"/>
      <c r="Q6696" s="44"/>
      <c r="R6696" s="44"/>
      <c r="S6696" s="44"/>
      <c r="T6696" s="44"/>
    </row>
    <row r="6697" spans="12:20" x14ac:dyDescent="0.2">
      <c r="L6697" s="43"/>
      <c r="M6697" s="43"/>
      <c r="N6697" s="43"/>
      <c r="O6697" s="43"/>
      <c r="Q6697" s="44"/>
      <c r="R6697" s="44"/>
      <c r="S6697" s="44"/>
      <c r="T6697" s="44"/>
    </row>
    <row r="6698" spans="12:20" x14ac:dyDescent="0.2">
      <c r="L6698" s="43"/>
      <c r="M6698" s="43"/>
      <c r="N6698" s="43"/>
      <c r="O6698" s="43"/>
      <c r="Q6698" s="44"/>
      <c r="R6698" s="44"/>
      <c r="S6698" s="44"/>
      <c r="T6698" s="44"/>
    </row>
    <row r="6699" spans="12:20" x14ac:dyDescent="0.2">
      <c r="L6699" s="43"/>
      <c r="M6699" s="43"/>
      <c r="N6699" s="43"/>
      <c r="O6699" s="43"/>
      <c r="Q6699" s="44"/>
      <c r="R6699" s="44"/>
      <c r="S6699" s="44"/>
      <c r="T6699" s="44"/>
    </row>
    <row r="6700" spans="12:20" x14ac:dyDescent="0.2">
      <c r="L6700" s="43"/>
      <c r="M6700" s="43"/>
      <c r="N6700" s="43"/>
      <c r="O6700" s="43"/>
      <c r="Q6700" s="44"/>
      <c r="R6700" s="44"/>
      <c r="S6700" s="44"/>
      <c r="T6700" s="44"/>
    </row>
    <row r="6701" spans="12:20" x14ac:dyDescent="0.2">
      <c r="L6701" s="43"/>
      <c r="M6701" s="43"/>
      <c r="N6701" s="43"/>
      <c r="O6701" s="43"/>
      <c r="Q6701" s="44"/>
      <c r="R6701" s="44"/>
      <c r="S6701" s="44"/>
      <c r="T6701" s="44"/>
    </row>
    <row r="6702" spans="12:20" x14ac:dyDescent="0.2">
      <c r="L6702" s="43"/>
      <c r="M6702" s="43"/>
      <c r="N6702" s="43"/>
      <c r="O6702" s="43"/>
      <c r="Q6702" s="44"/>
      <c r="R6702" s="44"/>
      <c r="S6702" s="44"/>
      <c r="T6702" s="44"/>
    </row>
    <row r="6703" spans="12:20" x14ac:dyDescent="0.2">
      <c r="L6703" s="43"/>
      <c r="M6703" s="43"/>
      <c r="N6703" s="43"/>
      <c r="O6703" s="43"/>
      <c r="Q6703" s="44"/>
      <c r="R6703" s="44"/>
      <c r="S6703" s="44"/>
      <c r="T6703" s="44"/>
    </row>
    <row r="6704" spans="12:20" x14ac:dyDescent="0.2">
      <c r="L6704" s="43"/>
      <c r="M6704" s="43"/>
      <c r="N6704" s="43"/>
      <c r="O6704" s="43"/>
      <c r="Q6704" s="44"/>
      <c r="R6704" s="44"/>
      <c r="S6704" s="44"/>
      <c r="T6704" s="44"/>
    </row>
    <row r="6705" spans="12:20" x14ac:dyDescent="0.2">
      <c r="L6705" s="43"/>
      <c r="M6705" s="43"/>
      <c r="N6705" s="43"/>
      <c r="O6705" s="43"/>
      <c r="Q6705" s="44"/>
      <c r="R6705" s="44"/>
      <c r="S6705" s="44"/>
      <c r="T6705" s="44"/>
    </row>
    <row r="6706" spans="12:20" x14ac:dyDescent="0.2">
      <c r="L6706" s="43"/>
      <c r="M6706" s="43"/>
      <c r="N6706" s="43"/>
      <c r="O6706" s="43"/>
      <c r="Q6706" s="44"/>
      <c r="R6706" s="44"/>
      <c r="S6706" s="44"/>
      <c r="T6706" s="44"/>
    </row>
    <row r="6707" spans="12:20" x14ac:dyDescent="0.2">
      <c r="L6707" s="43"/>
      <c r="M6707" s="43"/>
      <c r="N6707" s="43"/>
      <c r="O6707" s="43"/>
      <c r="Q6707" s="44"/>
      <c r="R6707" s="44"/>
      <c r="S6707" s="44"/>
      <c r="T6707" s="44"/>
    </row>
    <row r="6708" spans="12:20" x14ac:dyDescent="0.2">
      <c r="L6708" s="43"/>
      <c r="M6708" s="43"/>
      <c r="N6708" s="43"/>
      <c r="O6708" s="43"/>
      <c r="Q6708" s="44"/>
      <c r="R6708" s="44"/>
      <c r="S6708" s="44"/>
      <c r="T6708" s="44"/>
    </row>
    <row r="6709" spans="12:20" x14ac:dyDescent="0.2">
      <c r="L6709" s="43"/>
      <c r="M6709" s="43"/>
      <c r="N6709" s="43"/>
      <c r="O6709" s="43"/>
      <c r="Q6709" s="44"/>
      <c r="R6709" s="44"/>
      <c r="S6709" s="44"/>
      <c r="T6709" s="44"/>
    </row>
    <row r="6710" spans="12:20" x14ac:dyDescent="0.2">
      <c r="L6710" s="43"/>
      <c r="M6710" s="43"/>
      <c r="N6710" s="43"/>
      <c r="O6710" s="43"/>
      <c r="Q6710" s="44"/>
      <c r="R6710" s="44"/>
      <c r="S6710" s="44"/>
      <c r="T6710" s="44"/>
    </row>
    <row r="6711" spans="12:20" x14ac:dyDescent="0.2">
      <c r="L6711" s="43"/>
      <c r="M6711" s="43"/>
      <c r="N6711" s="43"/>
      <c r="O6711" s="43"/>
      <c r="Q6711" s="44"/>
      <c r="R6711" s="44"/>
      <c r="S6711" s="44"/>
      <c r="T6711" s="44"/>
    </row>
    <row r="6712" spans="12:20" x14ac:dyDescent="0.2">
      <c r="L6712" s="43"/>
      <c r="M6712" s="43"/>
      <c r="N6712" s="43"/>
      <c r="O6712" s="43"/>
      <c r="Q6712" s="44"/>
      <c r="R6712" s="44"/>
      <c r="S6712" s="44"/>
      <c r="T6712" s="44"/>
    </row>
    <row r="6713" spans="12:20" x14ac:dyDescent="0.2">
      <c r="L6713" s="43"/>
      <c r="M6713" s="43"/>
      <c r="N6713" s="43"/>
      <c r="O6713" s="43"/>
      <c r="Q6713" s="44"/>
      <c r="R6713" s="44"/>
      <c r="S6713" s="44"/>
      <c r="T6713" s="44"/>
    </row>
    <row r="6714" spans="12:20" x14ac:dyDescent="0.2">
      <c r="L6714" s="43"/>
      <c r="M6714" s="43"/>
      <c r="N6714" s="43"/>
      <c r="O6714" s="43"/>
      <c r="Q6714" s="44"/>
      <c r="R6714" s="44"/>
      <c r="S6714" s="44"/>
      <c r="T6714" s="44"/>
    </row>
    <row r="6715" spans="12:20" x14ac:dyDescent="0.2">
      <c r="L6715" s="43"/>
      <c r="M6715" s="43"/>
      <c r="N6715" s="43"/>
      <c r="O6715" s="43"/>
      <c r="Q6715" s="44"/>
      <c r="R6715" s="44"/>
      <c r="S6715" s="44"/>
      <c r="T6715" s="44"/>
    </row>
    <row r="6716" spans="12:20" x14ac:dyDescent="0.2">
      <c r="L6716" s="43"/>
      <c r="M6716" s="43"/>
      <c r="N6716" s="43"/>
      <c r="O6716" s="43"/>
      <c r="Q6716" s="44"/>
      <c r="R6716" s="44"/>
      <c r="S6716" s="44"/>
      <c r="T6716" s="44"/>
    </row>
    <row r="6717" spans="12:20" x14ac:dyDescent="0.2">
      <c r="L6717" s="43"/>
      <c r="M6717" s="43"/>
      <c r="N6717" s="43"/>
      <c r="O6717" s="43"/>
      <c r="Q6717" s="44"/>
      <c r="R6717" s="44"/>
      <c r="S6717" s="44"/>
      <c r="T6717" s="44"/>
    </row>
    <row r="6718" spans="12:20" x14ac:dyDescent="0.2">
      <c r="L6718" s="43"/>
      <c r="M6718" s="43"/>
      <c r="N6718" s="43"/>
      <c r="O6718" s="43"/>
      <c r="Q6718" s="44"/>
      <c r="R6718" s="44"/>
      <c r="S6718" s="44"/>
      <c r="T6718" s="44"/>
    </row>
    <row r="6719" spans="12:20" x14ac:dyDescent="0.2">
      <c r="L6719" s="43"/>
      <c r="M6719" s="43"/>
      <c r="N6719" s="43"/>
      <c r="O6719" s="43"/>
      <c r="Q6719" s="44"/>
      <c r="R6719" s="44"/>
      <c r="S6719" s="44"/>
      <c r="T6719" s="44"/>
    </row>
    <row r="6720" spans="12:20" x14ac:dyDescent="0.2">
      <c r="L6720" s="43"/>
      <c r="M6720" s="43"/>
      <c r="N6720" s="43"/>
      <c r="O6720" s="43"/>
      <c r="Q6720" s="44"/>
      <c r="R6720" s="44"/>
      <c r="S6720" s="44"/>
      <c r="T6720" s="44"/>
    </row>
    <row r="6721" spans="12:20" x14ac:dyDescent="0.2">
      <c r="L6721" s="43"/>
      <c r="M6721" s="43"/>
      <c r="N6721" s="43"/>
      <c r="O6721" s="43"/>
      <c r="Q6721" s="44"/>
      <c r="R6721" s="44"/>
      <c r="S6721" s="44"/>
      <c r="T6721" s="44"/>
    </row>
    <row r="6722" spans="12:20" x14ac:dyDescent="0.2">
      <c r="L6722" s="43"/>
      <c r="M6722" s="43"/>
      <c r="N6722" s="43"/>
      <c r="O6722" s="43"/>
      <c r="Q6722" s="44"/>
      <c r="R6722" s="44"/>
      <c r="S6722" s="44"/>
      <c r="T6722" s="44"/>
    </row>
    <row r="6723" spans="12:20" x14ac:dyDescent="0.2">
      <c r="L6723" s="43"/>
      <c r="M6723" s="43"/>
      <c r="N6723" s="43"/>
      <c r="O6723" s="43"/>
      <c r="Q6723" s="44"/>
      <c r="R6723" s="44"/>
      <c r="S6723" s="44"/>
      <c r="T6723" s="44"/>
    </row>
    <row r="6724" spans="12:20" x14ac:dyDescent="0.2">
      <c r="L6724" s="43"/>
      <c r="M6724" s="43"/>
      <c r="N6724" s="43"/>
      <c r="O6724" s="43"/>
      <c r="Q6724" s="44"/>
      <c r="R6724" s="44"/>
      <c r="S6724" s="44"/>
      <c r="T6724" s="44"/>
    </row>
    <row r="6725" spans="12:20" x14ac:dyDescent="0.2">
      <c r="L6725" s="43"/>
      <c r="M6725" s="43"/>
      <c r="N6725" s="43"/>
      <c r="O6725" s="43"/>
      <c r="Q6725" s="44"/>
      <c r="R6725" s="44"/>
      <c r="S6725" s="44"/>
      <c r="T6725" s="44"/>
    </row>
    <row r="6726" spans="12:20" x14ac:dyDescent="0.2">
      <c r="L6726" s="43"/>
      <c r="M6726" s="43"/>
      <c r="N6726" s="43"/>
      <c r="O6726" s="43"/>
      <c r="Q6726" s="44"/>
      <c r="R6726" s="44"/>
      <c r="S6726" s="44"/>
      <c r="T6726" s="44"/>
    </row>
    <row r="6727" spans="12:20" x14ac:dyDescent="0.2">
      <c r="L6727" s="43"/>
      <c r="M6727" s="43"/>
      <c r="N6727" s="43"/>
      <c r="O6727" s="43"/>
      <c r="Q6727" s="44"/>
      <c r="R6727" s="44"/>
      <c r="S6727" s="44"/>
      <c r="T6727" s="44"/>
    </row>
    <row r="6728" spans="12:20" x14ac:dyDescent="0.2">
      <c r="L6728" s="43"/>
      <c r="M6728" s="43"/>
      <c r="N6728" s="43"/>
      <c r="O6728" s="43"/>
      <c r="Q6728" s="44"/>
      <c r="R6728" s="44"/>
      <c r="S6728" s="44"/>
      <c r="T6728" s="44"/>
    </row>
    <row r="6729" spans="12:20" x14ac:dyDescent="0.2">
      <c r="L6729" s="43"/>
      <c r="M6729" s="43"/>
      <c r="N6729" s="43"/>
      <c r="O6729" s="43"/>
      <c r="Q6729" s="44"/>
      <c r="R6729" s="44"/>
      <c r="S6729" s="44"/>
      <c r="T6729" s="44"/>
    </row>
    <row r="6730" spans="12:20" x14ac:dyDescent="0.2">
      <c r="L6730" s="43"/>
      <c r="M6730" s="43"/>
      <c r="N6730" s="43"/>
      <c r="O6730" s="43"/>
      <c r="Q6730" s="44"/>
      <c r="R6730" s="44"/>
      <c r="S6730" s="44"/>
      <c r="T6730" s="44"/>
    </row>
    <row r="6731" spans="12:20" x14ac:dyDescent="0.2">
      <c r="L6731" s="43"/>
      <c r="M6731" s="43"/>
      <c r="N6731" s="43"/>
      <c r="O6731" s="43"/>
      <c r="Q6731" s="44"/>
      <c r="R6731" s="44"/>
      <c r="S6731" s="44"/>
      <c r="T6731" s="44"/>
    </row>
    <row r="6732" spans="12:20" x14ac:dyDescent="0.2">
      <c r="L6732" s="43"/>
      <c r="M6732" s="43"/>
      <c r="N6732" s="43"/>
      <c r="O6732" s="43"/>
      <c r="Q6732" s="44"/>
      <c r="R6732" s="44"/>
      <c r="S6732" s="44"/>
      <c r="T6732" s="44"/>
    </row>
    <row r="6733" spans="12:20" x14ac:dyDescent="0.2">
      <c r="L6733" s="43"/>
      <c r="M6733" s="43"/>
      <c r="N6733" s="43"/>
      <c r="O6733" s="43"/>
      <c r="Q6733" s="44"/>
      <c r="R6733" s="44"/>
      <c r="S6733" s="44"/>
      <c r="T6733" s="44"/>
    </row>
    <row r="6734" spans="12:20" x14ac:dyDescent="0.2">
      <c r="L6734" s="43"/>
      <c r="M6734" s="43"/>
      <c r="N6734" s="43"/>
      <c r="O6734" s="43"/>
      <c r="Q6734" s="44"/>
      <c r="R6734" s="44"/>
      <c r="S6734" s="44"/>
      <c r="T6734" s="44"/>
    </row>
    <row r="6735" spans="12:20" x14ac:dyDescent="0.2">
      <c r="L6735" s="43"/>
      <c r="M6735" s="43"/>
      <c r="N6735" s="43"/>
      <c r="O6735" s="43"/>
      <c r="Q6735" s="44"/>
      <c r="R6735" s="44"/>
      <c r="S6735" s="44"/>
      <c r="T6735" s="44"/>
    </row>
    <row r="6736" spans="12:20" x14ac:dyDescent="0.2">
      <c r="L6736" s="43"/>
      <c r="M6736" s="43"/>
      <c r="N6736" s="43"/>
      <c r="O6736" s="43"/>
      <c r="Q6736" s="44"/>
      <c r="R6736" s="44"/>
      <c r="S6736" s="44"/>
      <c r="T6736" s="44"/>
    </row>
    <row r="6737" spans="12:20" x14ac:dyDescent="0.2">
      <c r="L6737" s="43"/>
      <c r="M6737" s="43"/>
      <c r="N6737" s="43"/>
      <c r="O6737" s="43"/>
      <c r="Q6737" s="44"/>
      <c r="R6737" s="44"/>
      <c r="S6737" s="44"/>
      <c r="T6737" s="44"/>
    </row>
    <row r="6738" spans="12:20" x14ac:dyDescent="0.2">
      <c r="L6738" s="43"/>
      <c r="M6738" s="43"/>
      <c r="N6738" s="43"/>
      <c r="O6738" s="43"/>
      <c r="Q6738" s="44"/>
      <c r="R6738" s="44"/>
      <c r="S6738" s="44"/>
      <c r="T6738" s="44"/>
    </row>
    <row r="6739" spans="12:20" x14ac:dyDescent="0.2">
      <c r="L6739" s="43"/>
      <c r="M6739" s="43"/>
      <c r="N6739" s="43"/>
      <c r="O6739" s="43"/>
      <c r="Q6739" s="44"/>
      <c r="R6739" s="44"/>
      <c r="S6739" s="44"/>
      <c r="T6739" s="44"/>
    </row>
    <row r="6740" spans="12:20" x14ac:dyDescent="0.2">
      <c r="L6740" s="43"/>
      <c r="M6740" s="43"/>
      <c r="N6740" s="43"/>
      <c r="O6740" s="43"/>
      <c r="Q6740" s="44"/>
      <c r="R6740" s="44"/>
      <c r="S6740" s="44"/>
      <c r="T6740" s="44"/>
    </row>
    <row r="6741" spans="12:20" x14ac:dyDescent="0.2">
      <c r="L6741" s="43"/>
      <c r="M6741" s="43"/>
      <c r="N6741" s="43"/>
      <c r="O6741" s="43"/>
      <c r="Q6741" s="44"/>
      <c r="R6741" s="44"/>
      <c r="S6741" s="44"/>
      <c r="T6741" s="44"/>
    </row>
    <row r="6742" spans="12:20" x14ac:dyDescent="0.2">
      <c r="L6742" s="43"/>
      <c r="M6742" s="43"/>
      <c r="N6742" s="43"/>
      <c r="O6742" s="43"/>
      <c r="Q6742" s="44"/>
      <c r="R6742" s="44"/>
      <c r="S6742" s="44"/>
      <c r="T6742" s="44"/>
    </row>
    <row r="6743" spans="12:20" x14ac:dyDescent="0.2">
      <c r="L6743" s="43"/>
      <c r="M6743" s="43"/>
      <c r="N6743" s="43"/>
      <c r="O6743" s="43"/>
      <c r="Q6743" s="44"/>
      <c r="R6743" s="44"/>
      <c r="S6743" s="44"/>
      <c r="T6743" s="44"/>
    </row>
    <row r="6744" spans="12:20" x14ac:dyDescent="0.2">
      <c r="L6744" s="43"/>
      <c r="M6744" s="43"/>
      <c r="N6744" s="43"/>
      <c r="O6744" s="43"/>
      <c r="Q6744" s="44"/>
      <c r="R6744" s="44"/>
      <c r="S6744" s="44"/>
      <c r="T6744" s="44"/>
    </row>
    <row r="6745" spans="12:20" x14ac:dyDescent="0.2">
      <c r="L6745" s="43"/>
      <c r="M6745" s="43"/>
      <c r="N6745" s="43"/>
      <c r="O6745" s="43"/>
      <c r="Q6745" s="44"/>
      <c r="R6745" s="44"/>
      <c r="S6745" s="44"/>
      <c r="T6745" s="44"/>
    </row>
    <row r="6746" spans="12:20" x14ac:dyDescent="0.2">
      <c r="L6746" s="43"/>
      <c r="M6746" s="43"/>
      <c r="N6746" s="43"/>
      <c r="O6746" s="43"/>
      <c r="Q6746" s="44"/>
      <c r="R6746" s="44"/>
      <c r="S6746" s="44"/>
      <c r="T6746" s="44"/>
    </row>
    <row r="6747" spans="12:20" x14ac:dyDescent="0.2">
      <c r="L6747" s="43"/>
      <c r="M6747" s="43"/>
      <c r="N6747" s="43"/>
      <c r="O6747" s="43"/>
      <c r="Q6747" s="44"/>
      <c r="R6747" s="44"/>
      <c r="S6747" s="44"/>
      <c r="T6747" s="44"/>
    </row>
    <row r="6748" spans="12:20" x14ac:dyDescent="0.2">
      <c r="L6748" s="43"/>
      <c r="M6748" s="43"/>
      <c r="N6748" s="43"/>
      <c r="O6748" s="43"/>
      <c r="Q6748" s="44"/>
      <c r="R6748" s="44"/>
      <c r="S6748" s="44"/>
      <c r="T6748" s="44"/>
    </row>
    <row r="6749" spans="12:20" x14ac:dyDescent="0.2">
      <c r="L6749" s="43"/>
      <c r="M6749" s="43"/>
      <c r="N6749" s="43"/>
      <c r="O6749" s="43"/>
      <c r="Q6749" s="44"/>
      <c r="R6749" s="44"/>
      <c r="S6749" s="44"/>
      <c r="T6749" s="44"/>
    </row>
    <row r="6750" spans="12:20" x14ac:dyDescent="0.2">
      <c r="L6750" s="43"/>
      <c r="M6750" s="43"/>
      <c r="N6750" s="43"/>
      <c r="O6750" s="43"/>
      <c r="Q6750" s="44"/>
      <c r="R6750" s="44"/>
      <c r="S6750" s="44"/>
      <c r="T6750" s="44"/>
    </row>
    <row r="6751" spans="12:20" x14ac:dyDescent="0.2">
      <c r="L6751" s="43"/>
      <c r="M6751" s="43"/>
      <c r="N6751" s="43"/>
      <c r="O6751" s="43"/>
      <c r="Q6751" s="44"/>
      <c r="R6751" s="44"/>
      <c r="S6751" s="44"/>
      <c r="T6751" s="44"/>
    </row>
    <row r="6752" spans="12:20" x14ac:dyDescent="0.2">
      <c r="L6752" s="43"/>
      <c r="M6752" s="43"/>
      <c r="N6752" s="43"/>
      <c r="O6752" s="43"/>
      <c r="Q6752" s="44"/>
      <c r="R6752" s="44"/>
      <c r="S6752" s="44"/>
      <c r="T6752" s="44"/>
    </row>
    <row r="6753" spans="12:20" x14ac:dyDescent="0.2">
      <c r="L6753" s="43"/>
      <c r="M6753" s="43"/>
      <c r="N6753" s="43"/>
      <c r="O6753" s="43"/>
      <c r="Q6753" s="44"/>
      <c r="R6753" s="44"/>
      <c r="S6753" s="44"/>
      <c r="T6753" s="44"/>
    </row>
    <row r="6754" spans="12:20" x14ac:dyDescent="0.2">
      <c r="L6754" s="43"/>
      <c r="M6754" s="43"/>
      <c r="N6754" s="43"/>
      <c r="O6754" s="43"/>
      <c r="Q6754" s="44"/>
      <c r="R6754" s="44"/>
      <c r="S6754" s="44"/>
      <c r="T6754" s="44"/>
    </row>
    <row r="6755" spans="12:20" x14ac:dyDescent="0.2">
      <c r="L6755" s="43"/>
      <c r="M6755" s="43"/>
      <c r="N6755" s="43"/>
      <c r="O6755" s="43"/>
      <c r="Q6755" s="44"/>
      <c r="R6755" s="44"/>
      <c r="S6755" s="44"/>
      <c r="T6755" s="44"/>
    </row>
    <row r="6756" spans="12:20" x14ac:dyDescent="0.2">
      <c r="L6756" s="43"/>
      <c r="M6756" s="43"/>
      <c r="N6756" s="43"/>
      <c r="O6756" s="43"/>
      <c r="Q6756" s="44"/>
      <c r="R6756" s="44"/>
      <c r="S6756" s="44"/>
      <c r="T6756" s="44"/>
    </row>
    <row r="6757" spans="12:20" x14ac:dyDescent="0.2">
      <c r="L6757" s="43"/>
      <c r="M6757" s="43"/>
      <c r="N6757" s="43"/>
      <c r="O6757" s="43"/>
      <c r="Q6757" s="44"/>
      <c r="R6757" s="44"/>
      <c r="S6757" s="44"/>
      <c r="T6757" s="44"/>
    </row>
    <row r="6758" spans="12:20" x14ac:dyDescent="0.2">
      <c r="L6758" s="43"/>
      <c r="M6758" s="43"/>
      <c r="N6758" s="43"/>
      <c r="O6758" s="43"/>
      <c r="Q6758" s="44"/>
      <c r="R6758" s="44"/>
      <c r="S6758" s="44"/>
      <c r="T6758" s="44"/>
    </row>
    <row r="6759" spans="12:20" x14ac:dyDescent="0.2">
      <c r="L6759" s="43"/>
      <c r="M6759" s="43"/>
      <c r="N6759" s="43"/>
      <c r="O6759" s="43"/>
      <c r="Q6759" s="44"/>
      <c r="R6759" s="44"/>
      <c r="S6759" s="44"/>
      <c r="T6759" s="44"/>
    </row>
    <row r="6760" spans="12:20" x14ac:dyDescent="0.2">
      <c r="L6760" s="43"/>
      <c r="M6760" s="43"/>
      <c r="N6760" s="43"/>
      <c r="O6760" s="43"/>
      <c r="Q6760" s="44"/>
      <c r="R6760" s="44"/>
      <c r="S6760" s="44"/>
      <c r="T6760" s="44"/>
    </row>
    <row r="6761" spans="12:20" x14ac:dyDescent="0.2">
      <c r="L6761" s="43"/>
      <c r="M6761" s="43"/>
      <c r="N6761" s="43"/>
      <c r="O6761" s="43"/>
      <c r="Q6761" s="44"/>
      <c r="R6761" s="44"/>
      <c r="S6761" s="44"/>
      <c r="T6761" s="44"/>
    </row>
    <row r="6762" spans="12:20" x14ac:dyDescent="0.2">
      <c r="L6762" s="43"/>
      <c r="M6762" s="43"/>
      <c r="N6762" s="43"/>
      <c r="O6762" s="43"/>
      <c r="Q6762" s="44"/>
      <c r="R6762" s="44"/>
      <c r="S6762" s="44"/>
      <c r="T6762" s="44"/>
    </row>
    <row r="6763" spans="12:20" x14ac:dyDescent="0.2">
      <c r="L6763" s="43"/>
      <c r="M6763" s="43"/>
      <c r="N6763" s="43"/>
      <c r="O6763" s="43"/>
      <c r="Q6763" s="44"/>
      <c r="R6763" s="44"/>
      <c r="S6763" s="44"/>
      <c r="T6763" s="44"/>
    </row>
    <row r="6764" spans="12:20" x14ac:dyDescent="0.2">
      <c r="L6764" s="43"/>
      <c r="M6764" s="43"/>
      <c r="N6764" s="43"/>
      <c r="O6764" s="43"/>
      <c r="Q6764" s="44"/>
      <c r="R6764" s="44"/>
      <c r="S6764" s="44"/>
      <c r="T6764" s="44"/>
    </row>
    <row r="6765" spans="12:20" x14ac:dyDescent="0.2">
      <c r="L6765" s="43"/>
      <c r="M6765" s="43"/>
      <c r="N6765" s="43"/>
      <c r="O6765" s="43"/>
      <c r="Q6765" s="44"/>
      <c r="R6765" s="44"/>
      <c r="S6765" s="44"/>
      <c r="T6765" s="44"/>
    </row>
    <row r="6766" spans="12:20" x14ac:dyDescent="0.2">
      <c r="L6766" s="43"/>
      <c r="M6766" s="43"/>
      <c r="N6766" s="43"/>
      <c r="O6766" s="43"/>
      <c r="Q6766" s="44"/>
      <c r="R6766" s="44"/>
      <c r="S6766" s="44"/>
      <c r="T6766" s="44"/>
    </row>
    <row r="6767" spans="12:20" x14ac:dyDescent="0.2">
      <c r="L6767" s="43"/>
      <c r="M6767" s="43"/>
      <c r="N6767" s="43"/>
      <c r="O6767" s="43"/>
      <c r="Q6767" s="44"/>
      <c r="R6767" s="44"/>
      <c r="S6767" s="44"/>
      <c r="T6767" s="44"/>
    </row>
    <row r="6768" spans="12:20" x14ac:dyDescent="0.2">
      <c r="L6768" s="43"/>
      <c r="M6768" s="43"/>
      <c r="N6768" s="43"/>
      <c r="O6768" s="43"/>
      <c r="Q6768" s="44"/>
      <c r="R6768" s="44"/>
      <c r="S6768" s="44"/>
      <c r="T6768" s="44"/>
    </row>
    <row r="6769" spans="12:20" x14ac:dyDescent="0.2">
      <c r="L6769" s="43"/>
      <c r="M6769" s="43"/>
      <c r="N6769" s="43"/>
      <c r="O6769" s="43"/>
      <c r="Q6769" s="44"/>
      <c r="R6769" s="44"/>
      <c r="S6769" s="44"/>
      <c r="T6769" s="44"/>
    </row>
    <row r="6770" spans="12:20" x14ac:dyDescent="0.2">
      <c r="L6770" s="43"/>
      <c r="M6770" s="43"/>
      <c r="N6770" s="43"/>
      <c r="O6770" s="43"/>
      <c r="Q6770" s="44"/>
      <c r="R6770" s="44"/>
      <c r="S6770" s="44"/>
      <c r="T6770" s="44"/>
    </row>
    <row r="6771" spans="12:20" x14ac:dyDescent="0.2">
      <c r="L6771" s="43"/>
      <c r="M6771" s="43"/>
      <c r="N6771" s="43"/>
      <c r="O6771" s="43"/>
      <c r="Q6771" s="44"/>
      <c r="R6771" s="44"/>
      <c r="S6771" s="44"/>
      <c r="T6771" s="44"/>
    </row>
    <row r="6772" spans="12:20" x14ac:dyDescent="0.2">
      <c r="L6772" s="43"/>
      <c r="M6772" s="43"/>
      <c r="N6772" s="43"/>
      <c r="O6772" s="43"/>
      <c r="Q6772" s="44"/>
      <c r="R6772" s="44"/>
      <c r="S6772" s="44"/>
      <c r="T6772" s="44"/>
    </row>
    <row r="6773" spans="12:20" x14ac:dyDescent="0.2">
      <c r="L6773" s="43"/>
      <c r="M6773" s="43"/>
      <c r="N6773" s="43"/>
      <c r="O6773" s="43"/>
      <c r="Q6773" s="44"/>
      <c r="R6773" s="44"/>
      <c r="S6773" s="44"/>
      <c r="T6773" s="44"/>
    </row>
    <row r="6774" spans="12:20" x14ac:dyDescent="0.2">
      <c r="L6774" s="43"/>
      <c r="M6774" s="43"/>
      <c r="N6774" s="43"/>
      <c r="O6774" s="43"/>
      <c r="Q6774" s="44"/>
      <c r="R6774" s="44"/>
      <c r="S6774" s="44"/>
      <c r="T6774" s="44"/>
    </row>
    <row r="6775" spans="12:20" x14ac:dyDescent="0.2">
      <c r="L6775" s="43"/>
      <c r="M6775" s="43"/>
      <c r="N6775" s="43"/>
      <c r="O6775" s="43"/>
      <c r="Q6775" s="44"/>
      <c r="R6775" s="44"/>
      <c r="S6775" s="44"/>
      <c r="T6775" s="44"/>
    </row>
    <row r="6776" spans="12:20" x14ac:dyDescent="0.2">
      <c r="L6776" s="43"/>
      <c r="M6776" s="43"/>
      <c r="N6776" s="43"/>
      <c r="O6776" s="43"/>
      <c r="Q6776" s="44"/>
      <c r="R6776" s="44"/>
      <c r="S6776" s="44"/>
      <c r="T6776" s="44"/>
    </row>
    <row r="6777" spans="12:20" x14ac:dyDescent="0.2">
      <c r="L6777" s="43"/>
      <c r="M6777" s="43"/>
      <c r="N6777" s="43"/>
      <c r="O6777" s="43"/>
      <c r="Q6777" s="44"/>
      <c r="R6777" s="44"/>
      <c r="S6777" s="44"/>
      <c r="T6777" s="44"/>
    </row>
    <row r="6778" spans="12:20" x14ac:dyDescent="0.2">
      <c r="L6778" s="43"/>
      <c r="M6778" s="43"/>
      <c r="N6778" s="43"/>
      <c r="O6778" s="43"/>
      <c r="Q6778" s="44"/>
      <c r="R6778" s="44"/>
      <c r="S6778" s="44"/>
      <c r="T6778" s="44"/>
    </row>
    <row r="6779" spans="12:20" x14ac:dyDescent="0.2">
      <c r="L6779" s="43"/>
      <c r="M6779" s="43"/>
      <c r="N6779" s="43"/>
      <c r="O6779" s="43"/>
      <c r="Q6779" s="44"/>
      <c r="R6779" s="44"/>
      <c r="S6779" s="44"/>
      <c r="T6779" s="44"/>
    </row>
    <row r="6780" spans="12:20" x14ac:dyDescent="0.2">
      <c r="L6780" s="43"/>
      <c r="M6780" s="43"/>
      <c r="N6780" s="43"/>
      <c r="O6780" s="43"/>
      <c r="Q6780" s="44"/>
      <c r="R6780" s="44"/>
      <c r="S6780" s="44"/>
      <c r="T6780" s="44"/>
    </row>
    <row r="6781" spans="12:20" x14ac:dyDescent="0.2">
      <c r="L6781" s="43"/>
      <c r="M6781" s="43"/>
      <c r="N6781" s="43"/>
      <c r="O6781" s="43"/>
      <c r="Q6781" s="44"/>
      <c r="R6781" s="44"/>
      <c r="S6781" s="44"/>
      <c r="T6781" s="44"/>
    </row>
    <row r="6782" spans="12:20" x14ac:dyDescent="0.2">
      <c r="L6782" s="43"/>
      <c r="M6782" s="43"/>
      <c r="N6782" s="43"/>
      <c r="O6782" s="43"/>
      <c r="Q6782" s="44"/>
      <c r="R6782" s="44"/>
      <c r="S6782" s="44"/>
      <c r="T6782" s="44"/>
    </row>
    <row r="6783" spans="12:20" x14ac:dyDescent="0.2">
      <c r="L6783" s="43"/>
      <c r="M6783" s="43"/>
      <c r="N6783" s="43"/>
      <c r="O6783" s="43"/>
      <c r="Q6783" s="44"/>
      <c r="R6783" s="44"/>
      <c r="S6783" s="44"/>
      <c r="T6783" s="44"/>
    </row>
    <row r="6784" spans="12:20" x14ac:dyDescent="0.2">
      <c r="L6784" s="43"/>
      <c r="M6784" s="43"/>
      <c r="N6784" s="43"/>
      <c r="O6784" s="43"/>
      <c r="Q6784" s="44"/>
      <c r="R6784" s="44"/>
      <c r="S6784" s="44"/>
      <c r="T6784" s="44"/>
    </row>
    <row r="6785" spans="12:20" x14ac:dyDescent="0.2">
      <c r="L6785" s="43"/>
      <c r="M6785" s="43"/>
      <c r="N6785" s="43"/>
      <c r="O6785" s="43"/>
      <c r="Q6785" s="44"/>
      <c r="R6785" s="44"/>
      <c r="S6785" s="44"/>
      <c r="T6785" s="44"/>
    </row>
    <row r="6786" spans="12:20" x14ac:dyDescent="0.2">
      <c r="L6786" s="43"/>
      <c r="M6786" s="43"/>
      <c r="N6786" s="43"/>
      <c r="O6786" s="43"/>
      <c r="Q6786" s="44"/>
      <c r="R6786" s="44"/>
      <c r="S6786" s="44"/>
      <c r="T6786" s="44"/>
    </row>
    <row r="6787" spans="12:20" x14ac:dyDescent="0.2">
      <c r="L6787" s="43"/>
      <c r="M6787" s="43"/>
      <c r="N6787" s="43"/>
      <c r="O6787" s="43"/>
      <c r="Q6787" s="44"/>
      <c r="R6787" s="44"/>
      <c r="S6787" s="44"/>
      <c r="T6787" s="44"/>
    </row>
    <row r="6788" spans="12:20" x14ac:dyDescent="0.2">
      <c r="L6788" s="43"/>
      <c r="M6788" s="43"/>
      <c r="N6788" s="43"/>
      <c r="O6788" s="43"/>
      <c r="Q6788" s="44"/>
      <c r="R6788" s="44"/>
      <c r="S6788" s="44"/>
      <c r="T6788" s="44"/>
    </row>
    <row r="6789" spans="12:20" x14ac:dyDescent="0.2">
      <c r="L6789" s="43"/>
      <c r="M6789" s="43"/>
      <c r="N6789" s="43"/>
      <c r="O6789" s="43"/>
      <c r="Q6789" s="44"/>
      <c r="R6789" s="44"/>
      <c r="S6789" s="44"/>
      <c r="T6789" s="44"/>
    </row>
    <row r="6790" spans="12:20" x14ac:dyDescent="0.2">
      <c r="L6790" s="43"/>
      <c r="M6790" s="43"/>
      <c r="N6790" s="43"/>
      <c r="O6790" s="43"/>
      <c r="Q6790" s="44"/>
      <c r="R6790" s="44"/>
      <c r="S6790" s="44"/>
      <c r="T6790" s="44"/>
    </row>
    <row r="6791" spans="12:20" x14ac:dyDescent="0.2">
      <c r="L6791" s="43"/>
      <c r="M6791" s="43"/>
      <c r="N6791" s="43"/>
      <c r="O6791" s="43"/>
      <c r="Q6791" s="44"/>
      <c r="R6791" s="44"/>
      <c r="S6791" s="44"/>
      <c r="T6791" s="44"/>
    </row>
    <row r="6792" spans="12:20" x14ac:dyDescent="0.2">
      <c r="L6792" s="43"/>
      <c r="M6792" s="43"/>
      <c r="N6792" s="43"/>
      <c r="O6792" s="43"/>
      <c r="Q6792" s="44"/>
      <c r="R6792" s="44"/>
      <c r="S6792" s="44"/>
      <c r="T6792" s="44"/>
    </row>
    <row r="6793" spans="12:20" x14ac:dyDescent="0.2">
      <c r="L6793" s="43"/>
      <c r="M6793" s="43"/>
      <c r="N6793" s="43"/>
      <c r="O6793" s="43"/>
      <c r="Q6793" s="44"/>
      <c r="R6793" s="44"/>
      <c r="S6793" s="44"/>
      <c r="T6793" s="44"/>
    </row>
    <row r="6794" spans="12:20" x14ac:dyDescent="0.2">
      <c r="L6794" s="43"/>
      <c r="M6794" s="43"/>
      <c r="N6794" s="43"/>
      <c r="O6794" s="43"/>
      <c r="Q6794" s="44"/>
      <c r="R6794" s="44"/>
      <c r="S6794" s="44"/>
      <c r="T6794" s="44"/>
    </row>
    <row r="6795" spans="12:20" x14ac:dyDescent="0.2">
      <c r="L6795" s="43"/>
      <c r="M6795" s="43"/>
      <c r="N6795" s="43"/>
      <c r="O6795" s="43"/>
      <c r="Q6795" s="44"/>
      <c r="R6795" s="44"/>
      <c r="S6795" s="44"/>
      <c r="T6795" s="44"/>
    </row>
    <row r="6796" spans="12:20" x14ac:dyDescent="0.2">
      <c r="L6796" s="43"/>
      <c r="M6796" s="43"/>
      <c r="N6796" s="43"/>
      <c r="O6796" s="43"/>
      <c r="Q6796" s="44"/>
      <c r="R6796" s="44"/>
      <c r="S6796" s="44"/>
      <c r="T6796" s="44"/>
    </row>
    <row r="6797" spans="12:20" x14ac:dyDescent="0.2">
      <c r="L6797" s="43"/>
      <c r="M6797" s="43"/>
      <c r="N6797" s="43"/>
      <c r="O6797" s="43"/>
      <c r="Q6797" s="44"/>
      <c r="R6797" s="44"/>
      <c r="S6797" s="44"/>
      <c r="T6797" s="44"/>
    </row>
    <row r="6798" spans="12:20" x14ac:dyDescent="0.2">
      <c r="L6798" s="43"/>
      <c r="M6798" s="43"/>
      <c r="N6798" s="43"/>
      <c r="O6798" s="43"/>
      <c r="Q6798" s="44"/>
      <c r="R6798" s="44"/>
      <c r="S6798" s="44"/>
      <c r="T6798" s="44"/>
    </row>
    <row r="6799" spans="12:20" x14ac:dyDescent="0.2">
      <c r="L6799" s="43"/>
      <c r="M6799" s="43"/>
      <c r="N6799" s="43"/>
      <c r="O6799" s="43"/>
      <c r="Q6799" s="44"/>
      <c r="R6799" s="44"/>
      <c r="S6799" s="44"/>
      <c r="T6799" s="44"/>
    </row>
    <row r="6800" spans="12:20" x14ac:dyDescent="0.2">
      <c r="L6800" s="43"/>
      <c r="M6800" s="43"/>
      <c r="N6800" s="43"/>
      <c r="O6800" s="43"/>
      <c r="Q6800" s="44"/>
      <c r="R6800" s="44"/>
      <c r="S6800" s="44"/>
      <c r="T6800" s="44"/>
    </row>
    <row r="6801" spans="12:20" x14ac:dyDescent="0.2">
      <c r="L6801" s="43"/>
      <c r="M6801" s="43"/>
      <c r="N6801" s="43"/>
      <c r="O6801" s="43"/>
      <c r="Q6801" s="44"/>
      <c r="R6801" s="44"/>
      <c r="S6801" s="44"/>
      <c r="T6801" s="44"/>
    </row>
    <row r="6802" spans="12:20" x14ac:dyDescent="0.2">
      <c r="L6802" s="43"/>
      <c r="M6802" s="43"/>
      <c r="N6802" s="43"/>
      <c r="O6802" s="43"/>
      <c r="Q6802" s="44"/>
      <c r="R6802" s="44"/>
      <c r="S6802" s="44"/>
      <c r="T6802" s="44"/>
    </row>
    <row r="6803" spans="12:20" x14ac:dyDescent="0.2">
      <c r="L6803" s="43"/>
      <c r="M6803" s="43"/>
      <c r="N6803" s="43"/>
      <c r="O6803" s="43"/>
      <c r="Q6803" s="44"/>
      <c r="R6803" s="44"/>
      <c r="S6803" s="44"/>
      <c r="T6803" s="44"/>
    </row>
    <row r="6804" spans="12:20" x14ac:dyDescent="0.2">
      <c r="L6804" s="43"/>
      <c r="M6804" s="43"/>
      <c r="N6804" s="43"/>
      <c r="O6804" s="43"/>
      <c r="Q6804" s="44"/>
      <c r="R6804" s="44"/>
      <c r="S6804" s="44"/>
      <c r="T6804" s="44"/>
    </row>
    <row r="6805" spans="12:20" x14ac:dyDescent="0.2">
      <c r="L6805" s="43"/>
      <c r="M6805" s="43"/>
      <c r="N6805" s="43"/>
      <c r="O6805" s="43"/>
      <c r="Q6805" s="44"/>
      <c r="R6805" s="44"/>
      <c r="S6805" s="44"/>
      <c r="T6805" s="44"/>
    </row>
    <row r="6806" spans="12:20" x14ac:dyDescent="0.2">
      <c r="L6806" s="43"/>
      <c r="M6806" s="43"/>
      <c r="N6806" s="43"/>
      <c r="O6806" s="43"/>
      <c r="Q6806" s="44"/>
      <c r="R6806" s="44"/>
      <c r="S6806" s="44"/>
      <c r="T6806" s="44"/>
    </row>
    <row r="6807" spans="12:20" x14ac:dyDescent="0.2">
      <c r="L6807" s="43"/>
      <c r="M6807" s="43"/>
      <c r="N6807" s="43"/>
      <c r="O6807" s="43"/>
      <c r="Q6807" s="44"/>
      <c r="R6807" s="44"/>
      <c r="S6807" s="44"/>
      <c r="T6807" s="44"/>
    </row>
    <row r="6808" spans="12:20" x14ac:dyDescent="0.2">
      <c r="L6808" s="43"/>
      <c r="M6808" s="43"/>
      <c r="N6808" s="43"/>
      <c r="O6808" s="43"/>
      <c r="Q6808" s="44"/>
      <c r="R6808" s="44"/>
      <c r="S6808" s="44"/>
      <c r="T6808" s="44"/>
    </row>
    <row r="6809" spans="12:20" x14ac:dyDescent="0.2">
      <c r="L6809" s="43"/>
      <c r="M6809" s="43"/>
      <c r="N6809" s="43"/>
      <c r="O6809" s="43"/>
      <c r="Q6809" s="44"/>
      <c r="R6809" s="44"/>
      <c r="S6809" s="44"/>
      <c r="T6809" s="44"/>
    </row>
    <row r="6810" spans="12:20" x14ac:dyDescent="0.2">
      <c r="L6810" s="43"/>
      <c r="M6810" s="43"/>
      <c r="N6810" s="43"/>
      <c r="O6810" s="43"/>
      <c r="Q6810" s="44"/>
      <c r="R6810" s="44"/>
      <c r="S6810" s="44"/>
      <c r="T6810" s="44"/>
    </row>
    <row r="6811" spans="12:20" x14ac:dyDescent="0.2">
      <c r="L6811" s="43"/>
      <c r="M6811" s="43"/>
      <c r="N6811" s="43"/>
      <c r="O6811" s="43"/>
      <c r="Q6811" s="44"/>
      <c r="R6811" s="44"/>
      <c r="S6811" s="44"/>
      <c r="T6811" s="44"/>
    </row>
    <row r="6812" spans="12:20" x14ac:dyDescent="0.2">
      <c r="L6812" s="43"/>
      <c r="M6812" s="43"/>
      <c r="N6812" s="43"/>
      <c r="O6812" s="43"/>
      <c r="Q6812" s="44"/>
      <c r="R6812" s="44"/>
      <c r="S6812" s="44"/>
      <c r="T6812" s="44"/>
    </row>
    <row r="6813" spans="12:20" x14ac:dyDescent="0.2">
      <c r="L6813" s="43"/>
      <c r="M6813" s="43"/>
      <c r="N6813" s="43"/>
      <c r="O6813" s="43"/>
      <c r="Q6813" s="44"/>
      <c r="R6813" s="44"/>
      <c r="S6813" s="44"/>
      <c r="T6813" s="44"/>
    </row>
    <row r="6814" spans="12:20" x14ac:dyDescent="0.2">
      <c r="L6814" s="43"/>
      <c r="M6814" s="43"/>
      <c r="N6814" s="43"/>
      <c r="O6814" s="43"/>
      <c r="Q6814" s="44"/>
      <c r="R6814" s="44"/>
      <c r="S6814" s="44"/>
      <c r="T6814" s="44"/>
    </row>
    <row r="6815" spans="12:20" x14ac:dyDescent="0.2">
      <c r="L6815" s="43"/>
      <c r="M6815" s="43"/>
      <c r="N6815" s="43"/>
      <c r="O6815" s="43"/>
      <c r="Q6815" s="44"/>
      <c r="R6815" s="44"/>
      <c r="S6815" s="44"/>
      <c r="T6815" s="44"/>
    </row>
    <row r="6816" spans="12:20" x14ac:dyDescent="0.2">
      <c r="L6816" s="43"/>
      <c r="M6816" s="43"/>
      <c r="N6816" s="43"/>
      <c r="O6816" s="43"/>
      <c r="Q6816" s="44"/>
      <c r="R6816" s="44"/>
      <c r="S6816" s="44"/>
      <c r="T6816" s="44"/>
    </row>
    <row r="6817" spans="12:20" x14ac:dyDescent="0.2">
      <c r="L6817" s="43"/>
      <c r="M6817" s="43"/>
      <c r="N6817" s="43"/>
      <c r="O6817" s="43"/>
      <c r="Q6817" s="44"/>
      <c r="R6817" s="44"/>
      <c r="S6817" s="44"/>
      <c r="T6817" s="44"/>
    </row>
    <row r="6818" spans="12:20" x14ac:dyDescent="0.2">
      <c r="L6818" s="43"/>
      <c r="M6818" s="43"/>
      <c r="N6818" s="43"/>
      <c r="O6818" s="43"/>
      <c r="Q6818" s="44"/>
      <c r="R6818" s="44"/>
      <c r="S6818" s="44"/>
      <c r="T6818" s="44"/>
    </row>
    <row r="6819" spans="12:20" x14ac:dyDescent="0.2">
      <c r="L6819" s="43"/>
      <c r="M6819" s="43"/>
      <c r="N6819" s="43"/>
      <c r="O6819" s="43"/>
      <c r="Q6819" s="44"/>
      <c r="R6819" s="44"/>
      <c r="S6819" s="44"/>
      <c r="T6819" s="44"/>
    </row>
    <row r="6820" spans="12:20" x14ac:dyDescent="0.2">
      <c r="L6820" s="43"/>
      <c r="M6820" s="43"/>
      <c r="N6820" s="43"/>
      <c r="O6820" s="43"/>
      <c r="Q6820" s="44"/>
      <c r="R6820" s="44"/>
      <c r="S6820" s="44"/>
      <c r="T6820" s="44"/>
    </row>
    <row r="6821" spans="12:20" x14ac:dyDescent="0.2">
      <c r="L6821" s="43"/>
      <c r="M6821" s="43"/>
      <c r="N6821" s="43"/>
      <c r="O6821" s="43"/>
      <c r="Q6821" s="44"/>
      <c r="R6821" s="44"/>
      <c r="S6821" s="44"/>
      <c r="T6821" s="44"/>
    </row>
    <row r="6822" spans="12:20" x14ac:dyDescent="0.2">
      <c r="L6822" s="43"/>
      <c r="M6822" s="43"/>
      <c r="N6822" s="43"/>
      <c r="O6822" s="43"/>
      <c r="Q6822" s="44"/>
      <c r="R6822" s="44"/>
      <c r="S6822" s="44"/>
      <c r="T6822" s="44"/>
    </row>
    <row r="6823" spans="12:20" x14ac:dyDescent="0.2">
      <c r="L6823" s="43"/>
      <c r="M6823" s="43"/>
      <c r="N6823" s="43"/>
      <c r="O6823" s="43"/>
      <c r="Q6823" s="44"/>
      <c r="R6823" s="44"/>
      <c r="S6823" s="44"/>
      <c r="T6823" s="44"/>
    </row>
    <row r="6824" spans="12:20" x14ac:dyDescent="0.2">
      <c r="L6824" s="43"/>
      <c r="M6824" s="43"/>
      <c r="N6824" s="43"/>
      <c r="O6824" s="43"/>
      <c r="Q6824" s="44"/>
      <c r="R6824" s="44"/>
      <c r="S6824" s="44"/>
      <c r="T6824" s="44"/>
    </row>
    <row r="6825" spans="12:20" x14ac:dyDescent="0.2">
      <c r="L6825" s="43"/>
      <c r="M6825" s="43"/>
      <c r="N6825" s="43"/>
      <c r="O6825" s="43"/>
      <c r="Q6825" s="44"/>
      <c r="R6825" s="44"/>
      <c r="S6825" s="44"/>
      <c r="T6825" s="44"/>
    </row>
    <row r="6826" spans="12:20" x14ac:dyDescent="0.2">
      <c r="L6826" s="43"/>
      <c r="M6826" s="43"/>
      <c r="N6826" s="43"/>
      <c r="O6826" s="43"/>
      <c r="Q6826" s="44"/>
      <c r="R6826" s="44"/>
      <c r="S6826" s="44"/>
      <c r="T6826" s="44"/>
    </row>
    <row r="6827" spans="12:20" x14ac:dyDescent="0.2">
      <c r="L6827" s="43"/>
      <c r="M6827" s="43"/>
      <c r="N6827" s="43"/>
      <c r="O6827" s="43"/>
      <c r="Q6827" s="44"/>
      <c r="R6827" s="44"/>
      <c r="S6827" s="44"/>
      <c r="T6827" s="44"/>
    </row>
    <row r="6828" spans="12:20" x14ac:dyDescent="0.2">
      <c r="L6828" s="43"/>
      <c r="M6828" s="43"/>
      <c r="N6828" s="43"/>
      <c r="O6828" s="43"/>
      <c r="Q6828" s="44"/>
      <c r="R6828" s="44"/>
      <c r="S6828" s="44"/>
      <c r="T6828" s="44"/>
    </row>
    <row r="6829" spans="12:20" x14ac:dyDescent="0.2">
      <c r="L6829" s="43"/>
      <c r="M6829" s="43"/>
      <c r="N6829" s="43"/>
      <c r="O6829" s="43"/>
      <c r="Q6829" s="44"/>
      <c r="R6829" s="44"/>
      <c r="S6829" s="44"/>
      <c r="T6829" s="44"/>
    </row>
    <row r="6830" spans="12:20" x14ac:dyDescent="0.2">
      <c r="L6830" s="43"/>
      <c r="M6830" s="43"/>
      <c r="N6830" s="43"/>
      <c r="O6830" s="43"/>
      <c r="Q6830" s="44"/>
      <c r="R6830" s="44"/>
      <c r="S6830" s="44"/>
      <c r="T6830" s="44"/>
    </row>
    <row r="6831" spans="12:20" x14ac:dyDescent="0.2">
      <c r="L6831" s="43"/>
      <c r="M6831" s="43"/>
      <c r="N6831" s="43"/>
      <c r="O6831" s="43"/>
      <c r="Q6831" s="44"/>
      <c r="R6831" s="44"/>
      <c r="S6831" s="44"/>
      <c r="T6831" s="44"/>
    </row>
    <row r="6832" spans="12:20" x14ac:dyDescent="0.2">
      <c r="L6832" s="43"/>
      <c r="M6832" s="43"/>
      <c r="N6832" s="43"/>
      <c r="O6832" s="43"/>
      <c r="Q6832" s="44"/>
      <c r="R6832" s="44"/>
      <c r="S6832" s="44"/>
      <c r="T6832" s="44"/>
    </row>
    <row r="6833" spans="12:20" x14ac:dyDescent="0.2">
      <c r="L6833" s="43"/>
      <c r="M6833" s="43"/>
      <c r="N6833" s="43"/>
      <c r="O6833" s="43"/>
      <c r="Q6833" s="44"/>
      <c r="R6833" s="44"/>
      <c r="S6833" s="44"/>
      <c r="T6833" s="44"/>
    </row>
    <row r="6834" spans="12:20" x14ac:dyDescent="0.2">
      <c r="L6834" s="43"/>
      <c r="M6834" s="43"/>
      <c r="N6834" s="43"/>
      <c r="O6834" s="43"/>
      <c r="Q6834" s="44"/>
      <c r="R6834" s="44"/>
      <c r="S6834" s="44"/>
      <c r="T6834" s="44"/>
    </row>
    <row r="6835" spans="12:20" x14ac:dyDescent="0.2">
      <c r="L6835" s="43"/>
      <c r="M6835" s="43"/>
      <c r="N6835" s="43"/>
      <c r="O6835" s="43"/>
      <c r="Q6835" s="44"/>
      <c r="R6835" s="44"/>
      <c r="S6835" s="44"/>
      <c r="T6835" s="44"/>
    </row>
    <row r="6836" spans="12:20" x14ac:dyDescent="0.2">
      <c r="L6836" s="43"/>
      <c r="M6836" s="43"/>
      <c r="N6836" s="43"/>
      <c r="O6836" s="43"/>
      <c r="Q6836" s="44"/>
      <c r="R6836" s="44"/>
      <c r="S6836" s="44"/>
      <c r="T6836" s="44"/>
    </row>
    <row r="6837" spans="12:20" x14ac:dyDescent="0.2">
      <c r="L6837" s="43"/>
      <c r="M6837" s="43"/>
      <c r="N6837" s="43"/>
      <c r="O6837" s="43"/>
      <c r="Q6837" s="44"/>
      <c r="R6837" s="44"/>
      <c r="S6837" s="44"/>
      <c r="T6837" s="44"/>
    </row>
    <row r="6838" spans="12:20" x14ac:dyDescent="0.2">
      <c r="L6838" s="43"/>
      <c r="M6838" s="43"/>
      <c r="N6838" s="43"/>
      <c r="O6838" s="43"/>
      <c r="Q6838" s="44"/>
      <c r="R6838" s="44"/>
      <c r="S6838" s="44"/>
      <c r="T6838" s="44"/>
    </row>
    <row r="6839" spans="12:20" x14ac:dyDescent="0.2">
      <c r="L6839" s="43"/>
      <c r="M6839" s="43"/>
      <c r="N6839" s="43"/>
      <c r="O6839" s="43"/>
      <c r="Q6839" s="44"/>
      <c r="R6839" s="44"/>
      <c r="S6839" s="44"/>
      <c r="T6839" s="44"/>
    </row>
    <row r="6840" spans="12:20" x14ac:dyDescent="0.2">
      <c r="L6840" s="43"/>
      <c r="M6840" s="43"/>
      <c r="N6840" s="43"/>
      <c r="O6840" s="43"/>
      <c r="Q6840" s="44"/>
      <c r="R6840" s="44"/>
      <c r="S6840" s="44"/>
      <c r="T6840" s="44"/>
    </row>
    <row r="6841" spans="12:20" x14ac:dyDescent="0.2">
      <c r="L6841" s="43"/>
      <c r="M6841" s="43"/>
      <c r="N6841" s="43"/>
      <c r="O6841" s="43"/>
      <c r="Q6841" s="44"/>
      <c r="R6841" s="44"/>
      <c r="S6841" s="44"/>
      <c r="T6841" s="44"/>
    </row>
    <row r="6842" spans="12:20" x14ac:dyDescent="0.2">
      <c r="L6842" s="43"/>
      <c r="M6842" s="43"/>
      <c r="N6842" s="43"/>
      <c r="O6842" s="43"/>
      <c r="Q6842" s="44"/>
      <c r="R6842" s="44"/>
      <c r="S6842" s="44"/>
      <c r="T6842" s="44"/>
    </row>
    <row r="6843" spans="12:20" x14ac:dyDescent="0.2">
      <c r="L6843" s="43"/>
      <c r="M6843" s="43"/>
      <c r="N6843" s="43"/>
      <c r="O6843" s="43"/>
      <c r="Q6843" s="44"/>
      <c r="R6843" s="44"/>
      <c r="S6843" s="44"/>
      <c r="T6843" s="44"/>
    </row>
    <row r="6844" spans="12:20" x14ac:dyDescent="0.2">
      <c r="L6844" s="43"/>
      <c r="M6844" s="43"/>
      <c r="N6844" s="43"/>
      <c r="O6844" s="43"/>
      <c r="Q6844" s="44"/>
      <c r="R6844" s="44"/>
      <c r="S6844" s="44"/>
      <c r="T6844" s="44"/>
    </row>
    <row r="6845" spans="12:20" x14ac:dyDescent="0.2">
      <c r="L6845" s="43"/>
      <c r="M6845" s="43"/>
      <c r="N6845" s="43"/>
      <c r="O6845" s="43"/>
      <c r="Q6845" s="44"/>
      <c r="R6845" s="44"/>
      <c r="S6845" s="44"/>
      <c r="T6845" s="44"/>
    </row>
    <row r="6846" spans="12:20" x14ac:dyDescent="0.2">
      <c r="L6846" s="43"/>
      <c r="M6846" s="43"/>
      <c r="N6846" s="43"/>
      <c r="O6846" s="43"/>
      <c r="Q6846" s="44"/>
      <c r="R6846" s="44"/>
      <c r="S6846" s="44"/>
      <c r="T6846" s="44"/>
    </row>
    <row r="6847" spans="12:20" x14ac:dyDescent="0.2">
      <c r="L6847" s="43"/>
      <c r="M6847" s="43"/>
      <c r="N6847" s="43"/>
      <c r="O6847" s="43"/>
      <c r="Q6847" s="44"/>
      <c r="R6847" s="44"/>
      <c r="S6847" s="44"/>
      <c r="T6847" s="44"/>
    </row>
    <row r="6848" spans="12:20" x14ac:dyDescent="0.2">
      <c r="L6848" s="43"/>
      <c r="M6848" s="43"/>
      <c r="N6848" s="43"/>
      <c r="O6848" s="43"/>
      <c r="Q6848" s="44"/>
      <c r="R6848" s="44"/>
      <c r="S6848" s="44"/>
      <c r="T6848" s="44"/>
    </row>
    <row r="6849" spans="12:20" x14ac:dyDescent="0.2">
      <c r="L6849" s="43"/>
      <c r="M6849" s="43"/>
      <c r="N6849" s="43"/>
      <c r="O6849" s="43"/>
      <c r="Q6849" s="44"/>
      <c r="R6849" s="44"/>
      <c r="S6849" s="44"/>
      <c r="T6849" s="44"/>
    </row>
    <row r="6850" spans="12:20" x14ac:dyDescent="0.2">
      <c r="L6850" s="43"/>
      <c r="M6850" s="43"/>
      <c r="N6850" s="43"/>
      <c r="O6850" s="43"/>
      <c r="Q6850" s="44"/>
      <c r="R6850" s="44"/>
      <c r="S6850" s="44"/>
      <c r="T6850" s="44"/>
    </row>
    <row r="6851" spans="12:20" x14ac:dyDescent="0.2">
      <c r="L6851" s="43"/>
      <c r="M6851" s="43"/>
      <c r="N6851" s="43"/>
      <c r="O6851" s="43"/>
      <c r="Q6851" s="44"/>
      <c r="R6851" s="44"/>
      <c r="S6851" s="44"/>
      <c r="T6851" s="44"/>
    </row>
    <row r="6852" spans="12:20" x14ac:dyDescent="0.2">
      <c r="L6852" s="43"/>
      <c r="M6852" s="43"/>
      <c r="N6852" s="43"/>
      <c r="O6852" s="43"/>
      <c r="Q6852" s="44"/>
      <c r="R6852" s="44"/>
      <c r="S6852" s="44"/>
      <c r="T6852" s="44"/>
    </row>
    <row r="6853" spans="12:20" x14ac:dyDescent="0.2">
      <c r="L6853" s="43"/>
      <c r="M6853" s="43"/>
      <c r="N6853" s="43"/>
      <c r="O6853" s="43"/>
      <c r="Q6853" s="44"/>
      <c r="R6853" s="44"/>
      <c r="S6853" s="44"/>
      <c r="T6853" s="44"/>
    </row>
    <row r="6854" spans="12:20" x14ac:dyDescent="0.2">
      <c r="L6854" s="43"/>
      <c r="M6854" s="43"/>
      <c r="N6854" s="43"/>
      <c r="O6854" s="43"/>
      <c r="Q6854" s="44"/>
      <c r="R6854" s="44"/>
      <c r="S6854" s="44"/>
      <c r="T6854" s="44"/>
    </row>
    <row r="6855" spans="12:20" x14ac:dyDescent="0.2">
      <c r="L6855" s="43"/>
      <c r="M6855" s="43"/>
      <c r="N6855" s="43"/>
      <c r="O6855" s="43"/>
      <c r="Q6855" s="44"/>
      <c r="R6855" s="44"/>
      <c r="S6855" s="44"/>
      <c r="T6855" s="44"/>
    </row>
    <row r="6856" spans="12:20" x14ac:dyDescent="0.2">
      <c r="L6856" s="43"/>
      <c r="M6856" s="43"/>
      <c r="N6856" s="43"/>
      <c r="O6856" s="43"/>
      <c r="Q6856" s="44"/>
      <c r="R6856" s="44"/>
      <c r="S6856" s="44"/>
      <c r="T6856" s="44"/>
    </row>
    <row r="6857" spans="12:20" x14ac:dyDescent="0.2">
      <c r="L6857" s="43"/>
      <c r="M6857" s="43"/>
      <c r="N6857" s="43"/>
      <c r="O6857" s="43"/>
      <c r="Q6857" s="44"/>
      <c r="R6857" s="44"/>
      <c r="S6857" s="44"/>
      <c r="T6857" s="44"/>
    </row>
    <row r="6858" spans="12:20" x14ac:dyDescent="0.2">
      <c r="L6858" s="43"/>
      <c r="M6858" s="43"/>
      <c r="N6858" s="43"/>
      <c r="O6858" s="43"/>
      <c r="Q6858" s="44"/>
      <c r="R6858" s="44"/>
      <c r="S6858" s="44"/>
      <c r="T6858" s="44"/>
    </row>
    <row r="6859" spans="12:20" x14ac:dyDescent="0.2">
      <c r="L6859" s="43"/>
      <c r="M6859" s="43"/>
      <c r="N6859" s="43"/>
      <c r="O6859" s="43"/>
      <c r="Q6859" s="44"/>
      <c r="R6859" s="44"/>
      <c r="S6859" s="44"/>
      <c r="T6859" s="44"/>
    </row>
    <row r="6860" spans="12:20" x14ac:dyDescent="0.2">
      <c r="L6860" s="43"/>
      <c r="M6860" s="43"/>
      <c r="N6860" s="43"/>
      <c r="O6860" s="43"/>
      <c r="Q6860" s="44"/>
      <c r="R6860" s="44"/>
      <c r="S6860" s="44"/>
      <c r="T6860" s="44"/>
    </row>
    <row r="6861" spans="12:20" x14ac:dyDescent="0.2">
      <c r="L6861" s="43"/>
      <c r="M6861" s="43"/>
      <c r="N6861" s="43"/>
      <c r="O6861" s="43"/>
      <c r="Q6861" s="44"/>
      <c r="R6861" s="44"/>
      <c r="S6861" s="44"/>
      <c r="T6861" s="44"/>
    </row>
    <row r="6862" spans="12:20" x14ac:dyDescent="0.2">
      <c r="L6862" s="43"/>
      <c r="M6862" s="43"/>
      <c r="N6862" s="43"/>
      <c r="O6862" s="43"/>
      <c r="Q6862" s="44"/>
      <c r="R6862" s="44"/>
      <c r="S6862" s="44"/>
      <c r="T6862" s="44"/>
    </row>
    <row r="6863" spans="12:20" x14ac:dyDescent="0.2">
      <c r="L6863" s="43"/>
      <c r="M6863" s="43"/>
      <c r="N6863" s="43"/>
      <c r="O6863" s="43"/>
      <c r="Q6863" s="44"/>
      <c r="R6863" s="44"/>
      <c r="S6863" s="44"/>
      <c r="T6863" s="44"/>
    </row>
    <row r="6864" spans="12:20" x14ac:dyDescent="0.2">
      <c r="L6864" s="43"/>
      <c r="M6864" s="43"/>
      <c r="N6864" s="43"/>
      <c r="O6864" s="43"/>
      <c r="Q6864" s="44"/>
      <c r="R6864" s="44"/>
      <c r="S6864" s="44"/>
      <c r="T6864" s="44"/>
    </row>
    <row r="6865" spans="12:20" x14ac:dyDescent="0.2">
      <c r="L6865" s="43"/>
      <c r="M6865" s="43"/>
      <c r="N6865" s="43"/>
      <c r="O6865" s="43"/>
      <c r="Q6865" s="44"/>
      <c r="R6865" s="44"/>
      <c r="S6865" s="44"/>
      <c r="T6865" s="44"/>
    </row>
    <row r="6866" spans="12:20" x14ac:dyDescent="0.2">
      <c r="L6866" s="43"/>
      <c r="M6866" s="43"/>
      <c r="N6866" s="43"/>
      <c r="O6866" s="43"/>
      <c r="Q6866" s="44"/>
      <c r="R6866" s="44"/>
      <c r="S6866" s="44"/>
      <c r="T6866" s="44"/>
    </row>
    <row r="6867" spans="12:20" x14ac:dyDescent="0.2">
      <c r="L6867" s="43"/>
      <c r="M6867" s="43"/>
      <c r="N6867" s="43"/>
      <c r="O6867" s="43"/>
      <c r="Q6867" s="44"/>
      <c r="R6867" s="44"/>
      <c r="S6867" s="44"/>
      <c r="T6867" s="44"/>
    </row>
    <row r="6868" spans="12:20" x14ac:dyDescent="0.2">
      <c r="L6868" s="43"/>
      <c r="M6868" s="43"/>
      <c r="N6868" s="43"/>
      <c r="O6868" s="43"/>
      <c r="Q6868" s="44"/>
      <c r="R6868" s="44"/>
      <c r="S6868" s="44"/>
      <c r="T6868" s="44"/>
    </row>
    <row r="6869" spans="12:20" x14ac:dyDescent="0.2">
      <c r="L6869" s="43"/>
      <c r="M6869" s="43"/>
      <c r="N6869" s="43"/>
      <c r="O6869" s="43"/>
      <c r="Q6869" s="44"/>
      <c r="R6869" s="44"/>
      <c r="S6869" s="44"/>
      <c r="T6869" s="44"/>
    </row>
    <row r="6870" spans="12:20" x14ac:dyDescent="0.2">
      <c r="L6870" s="43"/>
      <c r="M6870" s="43"/>
      <c r="N6870" s="43"/>
      <c r="O6870" s="43"/>
      <c r="Q6870" s="44"/>
      <c r="R6870" s="44"/>
      <c r="S6870" s="44"/>
      <c r="T6870" s="44"/>
    </row>
    <row r="6871" spans="12:20" x14ac:dyDescent="0.2">
      <c r="L6871" s="43"/>
      <c r="M6871" s="43"/>
      <c r="N6871" s="43"/>
      <c r="O6871" s="43"/>
      <c r="Q6871" s="44"/>
      <c r="R6871" s="44"/>
      <c r="S6871" s="44"/>
      <c r="T6871" s="44"/>
    </row>
    <row r="6872" spans="12:20" x14ac:dyDescent="0.2">
      <c r="L6872" s="43"/>
      <c r="M6872" s="43"/>
      <c r="N6872" s="43"/>
      <c r="O6872" s="43"/>
      <c r="Q6872" s="44"/>
      <c r="R6872" s="44"/>
      <c r="S6872" s="44"/>
      <c r="T6872" s="44"/>
    </row>
    <row r="6873" spans="12:20" x14ac:dyDescent="0.2">
      <c r="L6873" s="43"/>
      <c r="M6873" s="43"/>
      <c r="N6873" s="43"/>
      <c r="O6873" s="43"/>
      <c r="Q6873" s="44"/>
      <c r="R6873" s="44"/>
      <c r="S6873" s="44"/>
      <c r="T6873" s="44"/>
    </row>
    <row r="6874" spans="12:20" x14ac:dyDescent="0.2">
      <c r="L6874" s="43"/>
      <c r="M6874" s="43"/>
      <c r="N6874" s="43"/>
      <c r="O6874" s="43"/>
      <c r="Q6874" s="44"/>
      <c r="R6874" s="44"/>
      <c r="S6874" s="44"/>
      <c r="T6874" s="44"/>
    </row>
    <row r="6875" spans="12:20" x14ac:dyDescent="0.2">
      <c r="L6875" s="43"/>
      <c r="M6875" s="43"/>
      <c r="N6875" s="43"/>
      <c r="O6875" s="43"/>
      <c r="Q6875" s="44"/>
      <c r="R6875" s="44"/>
      <c r="S6875" s="44"/>
      <c r="T6875" s="44"/>
    </row>
    <row r="6876" spans="12:20" x14ac:dyDescent="0.2">
      <c r="L6876" s="43"/>
      <c r="M6876" s="43"/>
      <c r="N6876" s="43"/>
      <c r="O6876" s="43"/>
      <c r="Q6876" s="44"/>
      <c r="R6876" s="44"/>
      <c r="S6876" s="44"/>
      <c r="T6876" s="44"/>
    </row>
    <row r="6877" spans="12:20" x14ac:dyDescent="0.2">
      <c r="L6877" s="43"/>
      <c r="M6877" s="43"/>
      <c r="N6877" s="43"/>
      <c r="O6877" s="43"/>
      <c r="Q6877" s="44"/>
      <c r="R6877" s="44"/>
      <c r="S6877" s="44"/>
      <c r="T6877" s="44"/>
    </row>
    <row r="6878" spans="12:20" x14ac:dyDescent="0.2">
      <c r="L6878" s="43"/>
      <c r="M6878" s="43"/>
      <c r="N6878" s="43"/>
      <c r="O6878" s="43"/>
      <c r="Q6878" s="44"/>
      <c r="R6878" s="44"/>
      <c r="S6878" s="44"/>
      <c r="T6878" s="44"/>
    </row>
    <row r="6879" spans="12:20" x14ac:dyDescent="0.2">
      <c r="L6879" s="43"/>
      <c r="M6879" s="43"/>
      <c r="N6879" s="43"/>
      <c r="O6879" s="43"/>
      <c r="Q6879" s="44"/>
      <c r="R6879" s="44"/>
      <c r="S6879" s="44"/>
      <c r="T6879" s="44"/>
    </row>
    <row r="6880" spans="12:20" x14ac:dyDescent="0.2">
      <c r="L6880" s="43"/>
      <c r="M6880" s="43"/>
      <c r="N6880" s="43"/>
      <c r="O6880" s="43"/>
      <c r="Q6880" s="44"/>
      <c r="R6880" s="44"/>
      <c r="S6880" s="44"/>
      <c r="T6880" s="44"/>
    </row>
    <row r="6881" spans="12:20" x14ac:dyDescent="0.2">
      <c r="L6881" s="43"/>
      <c r="M6881" s="43"/>
      <c r="N6881" s="43"/>
      <c r="O6881" s="43"/>
      <c r="Q6881" s="44"/>
      <c r="R6881" s="44"/>
      <c r="S6881" s="44"/>
      <c r="T6881" s="44"/>
    </row>
    <row r="6882" spans="12:20" x14ac:dyDescent="0.2">
      <c r="L6882" s="43"/>
      <c r="M6882" s="43"/>
      <c r="N6882" s="43"/>
      <c r="O6882" s="43"/>
      <c r="Q6882" s="44"/>
      <c r="R6882" s="44"/>
      <c r="S6882" s="44"/>
      <c r="T6882" s="44"/>
    </row>
    <row r="6883" spans="12:20" x14ac:dyDescent="0.2">
      <c r="L6883" s="43"/>
      <c r="M6883" s="43"/>
      <c r="N6883" s="43"/>
      <c r="O6883" s="43"/>
      <c r="Q6883" s="44"/>
      <c r="R6883" s="44"/>
      <c r="S6883" s="44"/>
      <c r="T6883" s="44"/>
    </row>
    <row r="6884" spans="12:20" x14ac:dyDescent="0.2">
      <c r="L6884" s="43"/>
      <c r="M6884" s="43"/>
      <c r="N6884" s="43"/>
      <c r="O6884" s="43"/>
      <c r="Q6884" s="44"/>
      <c r="R6884" s="44"/>
      <c r="S6884" s="44"/>
      <c r="T6884" s="44"/>
    </row>
    <row r="6885" spans="12:20" x14ac:dyDescent="0.2">
      <c r="L6885" s="43"/>
      <c r="M6885" s="43"/>
      <c r="N6885" s="43"/>
      <c r="O6885" s="43"/>
      <c r="Q6885" s="44"/>
      <c r="R6885" s="44"/>
      <c r="S6885" s="44"/>
      <c r="T6885" s="44"/>
    </row>
    <row r="6886" spans="12:20" x14ac:dyDescent="0.2">
      <c r="L6886" s="43"/>
      <c r="M6886" s="43"/>
      <c r="N6886" s="43"/>
      <c r="O6886" s="43"/>
      <c r="Q6886" s="44"/>
      <c r="R6886" s="44"/>
      <c r="S6886" s="44"/>
      <c r="T6886" s="44"/>
    </row>
    <row r="6887" spans="12:20" x14ac:dyDescent="0.2">
      <c r="L6887" s="43"/>
      <c r="M6887" s="43"/>
      <c r="N6887" s="43"/>
      <c r="O6887" s="43"/>
      <c r="Q6887" s="44"/>
      <c r="R6887" s="44"/>
      <c r="S6887" s="44"/>
      <c r="T6887" s="44"/>
    </row>
    <row r="6888" spans="12:20" x14ac:dyDescent="0.2">
      <c r="L6888" s="43"/>
      <c r="M6888" s="43"/>
      <c r="N6888" s="43"/>
      <c r="O6888" s="43"/>
      <c r="Q6888" s="44"/>
      <c r="R6888" s="44"/>
      <c r="S6888" s="44"/>
      <c r="T6888" s="44"/>
    </row>
    <row r="6889" spans="12:20" x14ac:dyDescent="0.2">
      <c r="L6889" s="43"/>
      <c r="M6889" s="43"/>
      <c r="N6889" s="43"/>
      <c r="O6889" s="43"/>
      <c r="Q6889" s="44"/>
      <c r="R6889" s="44"/>
      <c r="S6889" s="44"/>
      <c r="T6889" s="44"/>
    </row>
    <row r="6890" spans="12:20" x14ac:dyDescent="0.2">
      <c r="L6890" s="43"/>
      <c r="M6890" s="43"/>
      <c r="N6890" s="43"/>
      <c r="O6890" s="43"/>
      <c r="Q6890" s="44"/>
      <c r="R6890" s="44"/>
      <c r="S6890" s="44"/>
      <c r="T6890" s="44"/>
    </row>
    <row r="6891" spans="12:20" x14ac:dyDescent="0.2">
      <c r="L6891" s="43"/>
      <c r="M6891" s="43"/>
      <c r="N6891" s="43"/>
      <c r="O6891" s="43"/>
      <c r="Q6891" s="44"/>
      <c r="R6891" s="44"/>
      <c r="S6891" s="44"/>
      <c r="T6891" s="44"/>
    </row>
    <row r="6892" spans="12:20" x14ac:dyDescent="0.2">
      <c r="L6892" s="43"/>
      <c r="M6892" s="43"/>
      <c r="N6892" s="43"/>
      <c r="O6892" s="43"/>
      <c r="Q6892" s="44"/>
      <c r="R6892" s="44"/>
      <c r="S6892" s="44"/>
      <c r="T6892" s="44"/>
    </row>
    <row r="6893" spans="12:20" x14ac:dyDescent="0.2">
      <c r="L6893" s="43"/>
      <c r="M6893" s="43"/>
      <c r="N6893" s="43"/>
      <c r="O6893" s="43"/>
      <c r="Q6893" s="44"/>
      <c r="R6893" s="44"/>
      <c r="S6893" s="44"/>
      <c r="T6893" s="44"/>
    </row>
    <row r="6894" spans="12:20" x14ac:dyDescent="0.2">
      <c r="L6894" s="43"/>
      <c r="M6894" s="43"/>
      <c r="N6894" s="43"/>
      <c r="O6894" s="43"/>
      <c r="Q6894" s="44"/>
      <c r="R6894" s="44"/>
      <c r="S6894" s="44"/>
      <c r="T6894" s="44"/>
    </row>
    <row r="6895" spans="12:20" x14ac:dyDescent="0.2">
      <c r="L6895" s="43"/>
      <c r="M6895" s="43"/>
      <c r="N6895" s="43"/>
      <c r="O6895" s="43"/>
      <c r="Q6895" s="44"/>
      <c r="R6895" s="44"/>
      <c r="S6895" s="44"/>
      <c r="T6895" s="44"/>
    </row>
    <row r="6896" spans="12:20" x14ac:dyDescent="0.2">
      <c r="L6896" s="43"/>
      <c r="M6896" s="43"/>
      <c r="N6896" s="43"/>
      <c r="O6896" s="43"/>
      <c r="Q6896" s="44"/>
      <c r="R6896" s="44"/>
      <c r="S6896" s="44"/>
      <c r="T6896" s="44"/>
    </row>
    <row r="6897" spans="12:20" x14ac:dyDescent="0.2">
      <c r="L6897" s="43"/>
      <c r="M6897" s="43"/>
      <c r="N6897" s="43"/>
      <c r="O6897" s="43"/>
      <c r="Q6897" s="44"/>
      <c r="R6897" s="44"/>
      <c r="S6897" s="44"/>
      <c r="T6897" s="44"/>
    </row>
    <row r="6898" spans="12:20" x14ac:dyDescent="0.2">
      <c r="L6898" s="43"/>
      <c r="M6898" s="43"/>
      <c r="N6898" s="43"/>
      <c r="O6898" s="43"/>
      <c r="Q6898" s="44"/>
      <c r="R6898" s="44"/>
      <c r="S6898" s="44"/>
      <c r="T6898" s="44"/>
    </row>
    <row r="6899" spans="12:20" x14ac:dyDescent="0.2">
      <c r="L6899" s="43"/>
      <c r="M6899" s="43"/>
      <c r="N6899" s="43"/>
      <c r="O6899" s="43"/>
      <c r="Q6899" s="44"/>
      <c r="R6899" s="44"/>
      <c r="S6899" s="44"/>
      <c r="T6899" s="44"/>
    </row>
    <row r="6900" spans="12:20" x14ac:dyDescent="0.2">
      <c r="L6900" s="43"/>
      <c r="M6900" s="43"/>
      <c r="N6900" s="43"/>
      <c r="O6900" s="43"/>
      <c r="Q6900" s="44"/>
      <c r="R6900" s="44"/>
      <c r="S6900" s="44"/>
      <c r="T6900" s="44"/>
    </row>
    <row r="6901" spans="12:20" x14ac:dyDescent="0.2">
      <c r="L6901" s="43"/>
      <c r="M6901" s="43"/>
      <c r="N6901" s="43"/>
      <c r="O6901" s="43"/>
      <c r="Q6901" s="44"/>
      <c r="R6901" s="44"/>
      <c r="S6901" s="44"/>
      <c r="T6901" s="44"/>
    </row>
    <row r="6902" spans="12:20" x14ac:dyDescent="0.2">
      <c r="L6902" s="43"/>
      <c r="M6902" s="43"/>
      <c r="N6902" s="43"/>
      <c r="O6902" s="43"/>
      <c r="Q6902" s="44"/>
      <c r="R6902" s="44"/>
      <c r="S6902" s="44"/>
      <c r="T6902" s="44"/>
    </row>
    <row r="6903" spans="12:20" x14ac:dyDescent="0.2">
      <c r="L6903" s="43"/>
      <c r="M6903" s="43"/>
      <c r="N6903" s="43"/>
      <c r="O6903" s="43"/>
      <c r="Q6903" s="44"/>
      <c r="R6903" s="44"/>
      <c r="S6903" s="44"/>
      <c r="T6903" s="44"/>
    </row>
    <row r="6904" spans="12:20" x14ac:dyDescent="0.2">
      <c r="L6904" s="43"/>
      <c r="M6904" s="43"/>
      <c r="N6904" s="43"/>
      <c r="O6904" s="43"/>
      <c r="Q6904" s="44"/>
      <c r="R6904" s="44"/>
      <c r="S6904" s="44"/>
      <c r="T6904" s="44"/>
    </row>
    <row r="6905" spans="12:20" x14ac:dyDescent="0.2">
      <c r="L6905" s="43"/>
      <c r="M6905" s="43"/>
      <c r="N6905" s="43"/>
      <c r="O6905" s="43"/>
      <c r="Q6905" s="44"/>
      <c r="R6905" s="44"/>
      <c r="S6905" s="44"/>
      <c r="T6905" s="44"/>
    </row>
    <row r="6906" spans="12:20" x14ac:dyDescent="0.2">
      <c r="L6906" s="43"/>
      <c r="M6906" s="43"/>
      <c r="N6906" s="43"/>
      <c r="O6906" s="43"/>
      <c r="Q6906" s="44"/>
      <c r="R6906" s="44"/>
      <c r="S6906" s="44"/>
      <c r="T6906" s="44"/>
    </row>
    <row r="6907" spans="12:20" x14ac:dyDescent="0.2">
      <c r="L6907" s="43"/>
      <c r="M6907" s="43"/>
      <c r="N6907" s="43"/>
      <c r="O6907" s="43"/>
      <c r="Q6907" s="44"/>
      <c r="R6907" s="44"/>
      <c r="S6907" s="44"/>
      <c r="T6907" s="44"/>
    </row>
    <row r="6908" spans="12:20" x14ac:dyDescent="0.2">
      <c r="L6908" s="43"/>
      <c r="M6908" s="43"/>
      <c r="N6908" s="43"/>
      <c r="O6908" s="43"/>
      <c r="Q6908" s="44"/>
      <c r="R6908" s="44"/>
      <c r="S6908" s="44"/>
      <c r="T6908" s="44"/>
    </row>
    <row r="6909" spans="12:20" x14ac:dyDescent="0.2">
      <c r="L6909" s="43"/>
      <c r="M6909" s="43"/>
      <c r="N6909" s="43"/>
      <c r="O6909" s="43"/>
      <c r="Q6909" s="44"/>
      <c r="R6909" s="44"/>
      <c r="S6909" s="44"/>
      <c r="T6909" s="44"/>
    </row>
    <row r="6910" spans="12:20" x14ac:dyDescent="0.2">
      <c r="L6910" s="43"/>
      <c r="M6910" s="43"/>
      <c r="N6910" s="43"/>
      <c r="O6910" s="43"/>
      <c r="Q6910" s="44"/>
      <c r="R6910" s="44"/>
      <c r="S6910" s="44"/>
      <c r="T6910" s="44"/>
    </row>
    <row r="6911" spans="12:20" x14ac:dyDescent="0.2">
      <c r="L6911" s="43"/>
      <c r="M6911" s="43"/>
      <c r="N6911" s="43"/>
      <c r="O6911" s="43"/>
      <c r="Q6911" s="44"/>
      <c r="R6911" s="44"/>
      <c r="S6911" s="44"/>
      <c r="T6911" s="44"/>
    </row>
    <row r="6912" spans="12:20" x14ac:dyDescent="0.2">
      <c r="L6912" s="43"/>
      <c r="M6912" s="43"/>
      <c r="N6912" s="43"/>
      <c r="O6912" s="43"/>
      <c r="Q6912" s="44"/>
      <c r="R6912" s="44"/>
      <c r="S6912" s="44"/>
      <c r="T6912" s="44"/>
    </row>
    <row r="6913" spans="12:20" x14ac:dyDescent="0.2">
      <c r="L6913" s="43"/>
      <c r="M6913" s="43"/>
      <c r="N6913" s="43"/>
      <c r="O6913" s="43"/>
      <c r="Q6913" s="44"/>
      <c r="R6913" s="44"/>
      <c r="S6913" s="44"/>
      <c r="T6913" s="44"/>
    </row>
    <row r="6914" spans="12:20" x14ac:dyDescent="0.2">
      <c r="L6914" s="43"/>
      <c r="M6914" s="43"/>
      <c r="N6914" s="43"/>
      <c r="O6914" s="43"/>
      <c r="Q6914" s="44"/>
      <c r="R6914" s="44"/>
      <c r="S6914" s="44"/>
      <c r="T6914" s="44"/>
    </row>
    <row r="6915" spans="12:20" x14ac:dyDescent="0.2">
      <c r="L6915" s="43"/>
      <c r="M6915" s="43"/>
      <c r="N6915" s="43"/>
      <c r="O6915" s="43"/>
      <c r="Q6915" s="44"/>
      <c r="R6915" s="44"/>
      <c r="S6915" s="44"/>
      <c r="T6915" s="44"/>
    </row>
    <row r="6916" spans="12:20" x14ac:dyDescent="0.2">
      <c r="L6916" s="43"/>
      <c r="M6916" s="43"/>
      <c r="N6916" s="43"/>
      <c r="O6916" s="43"/>
      <c r="Q6916" s="44"/>
      <c r="R6916" s="44"/>
      <c r="S6916" s="44"/>
      <c r="T6916" s="44"/>
    </row>
    <row r="6917" spans="12:20" x14ac:dyDescent="0.2">
      <c r="L6917" s="43"/>
      <c r="M6917" s="43"/>
      <c r="N6917" s="43"/>
      <c r="O6917" s="43"/>
      <c r="Q6917" s="44"/>
      <c r="R6917" s="44"/>
      <c r="S6917" s="44"/>
      <c r="T6917" s="44"/>
    </row>
    <row r="6918" spans="12:20" x14ac:dyDescent="0.2">
      <c r="L6918" s="43"/>
      <c r="M6918" s="43"/>
      <c r="N6918" s="43"/>
      <c r="O6918" s="43"/>
      <c r="Q6918" s="44"/>
      <c r="R6918" s="44"/>
      <c r="S6918" s="44"/>
      <c r="T6918" s="44"/>
    </row>
    <row r="6919" spans="12:20" x14ac:dyDescent="0.2">
      <c r="L6919" s="43"/>
      <c r="M6919" s="43"/>
      <c r="N6919" s="43"/>
      <c r="O6919" s="43"/>
      <c r="Q6919" s="44"/>
      <c r="R6919" s="44"/>
      <c r="S6919" s="44"/>
      <c r="T6919" s="44"/>
    </row>
    <row r="6920" spans="12:20" x14ac:dyDescent="0.2">
      <c r="L6920" s="43"/>
      <c r="M6920" s="43"/>
      <c r="N6920" s="43"/>
      <c r="O6920" s="43"/>
      <c r="Q6920" s="44"/>
      <c r="R6920" s="44"/>
      <c r="S6920" s="44"/>
      <c r="T6920" s="44"/>
    </row>
    <row r="6921" spans="12:20" x14ac:dyDescent="0.2">
      <c r="L6921" s="43"/>
      <c r="M6921" s="43"/>
      <c r="N6921" s="43"/>
      <c r="O6921" s="43"/>
      <c r="Q6921" s="44"/>
      <c r="R6921" s="44"/>
      <c r="S6921" s="44"/>
      <c r="T6921" s="44"/>
    </row>
    <row r="6922" spans="12:20" x14ac:dyDescent="0.2">
      <c r="L6922" s="43"/>
      <c r="M6922" s="43"/>
      <c r="N6922" s="43"/>
      <c r="O6922" s="43"/>
      <c r="Q6922" s="44"/>
      <c r="R6922" s="44"/>
      <c r="S6922" s="44"/>
      <c r="T6922" s="44"/>
    </row>
    <row r="6923" spans="12:20" x14ac:dyDescent="0.2">
      <c r="L6923" s="43"/>
      <c r="M6923" s="43"/>
      <c r="N6923" s="43"/>
      <c r="O6923" s="43"/>
      <c r="Q6923" s="44"/>
      <c r="R6923" s="44"/>
      <c r="S6923" s="44"/>
      <c r="T6923" s="44"/>
    </row>
    <row r="6924" spans="12:20" x14ac:dyDescent="0.2">
      <c r="L6924" s="43"/>
      <c r="M6924" s="43"/>
      <c r="N6924" s="43"/>
      <c r="O6924" s="43"/>
      <c r="Q6924" s="44"/>
      <c r="R6924" s="44"/>
      <c r="S6924" s="44"/>
      <c r="T6924" s="44"/>
    </row>
    <row r="6925" spans="12:20" x14ac:dyDescent="0.2">
      <c r="L6925" s="43"/>
      <c r="M6925" s="43"/>
      <c r="N6925" s="43"/>
      <c r="O6925" s="43"/>
      <c r="Q6925" s="44"/>
      <c r="R6925" s="44"/>
      <c r="S6925" s="44"/>
      <c r="T6925" s="44"/>
    </row>
    <row r="6926" spans="12:20" x14ac:dyDescent="0.2">
      <c r="L6926" s="43"/>
      <c r="M6926" s="43"/>
      <c r="N6926" s="43"/>
      <c r="O6926" s="43"/>
      <c r="Q6926" s="44"/>
      <c r="R6926" s="44"/>
      <c r="S6926" s="44"/>
      <c r="T6926" s="44"/>
    </row>
    <row r="6927" spans="12:20" x14ac:dyDescent="0.2">
      <c r="L6927" s="43"/>
      <c r="M6927" s="43"/>
      <c r="N6927" s="43"/>
      <c r="O6927" s="43"/>
      <c r="Q6927" s="44"/>
      <c r="R6927" s="44"/>
      <c r="S6927" s="44"/>
      <c r="T6927" s="44"/>
    </row>
    <row r="6928" spans="12:20" x14ac:dyDescent="0.2">
      <c r="L6928" s="43"/>
      <c r="M6928" s="43"/>
      <c r="N6928" s="43"/>
      <c r="O6928" s="43"/>
      <c r="Q6928" s="44"/>
      <c r="R6928" s="44"/>
      <c r="S6928" s="44"/>
      <c r="T6928" s="44"/>
    </row>
    <row r="6929" spans="12:20" x14ac:dyDescent="0.2">
      <c r="L6929" s="43"/>
      <c r="M6929" s="43"/>
      <c r="N6929" s="43"/>
      <c r="O6929" s="43"/>
      <c r="Q6929" s="44"/>
      <c r="R6929" s="44"/>
      <c r="S6929" s="44"/>
      <c r="T6929" s="44"/>
    </row>
    <row r="6930" spans="12:20" x14ac:dyDescent="0.2">
      <c r="L6930" s="43"/>
      <c r="M6930" s="43"/>
      <c r="N6930" s="43"/>
      <c r="O6930" s="43"/>
      <c r="Q6930" s="44"/>
      <c r="R6930" s="44"/>
      <c r="S6930" s="44"/>
      <c r="T6930" s="44"/>
    </row>
    <row r="6931" spans="12:20" x14ac:dyDescent="0.2">
      <c r="L6931" s="43"/>
      <c r="M6931" s="43"/>
      <c r="N6931" s="43"/>
      <c r="O6931" s="43"/>
      <c r="Q6931" s="44"/>
      <c r="R6931" s="44"/>
      <c r="S6931" s="44"/>
      <c r="T6931" s="44"/>
    </row>
    <row r="6932" spans="12:20" x14ac:dyDescent="0.2">
      <c r="L6932" s="43"/>
      <c r="M6932" s="43"/>
      <c r="N6932" s="43"/>
      <c r="O6932" s="43"/>
      <c r="Q6932" s="44"/>
      <c r="R6932" s="44"/>
      <c r="S6932" s="44"/>
      <c r="T6932" s="44"/>
    </row>
    <row r="6933" spans="12:20" x14ac:dyDescent="0.2">
      <c r="L6933" s="43"/>
      <c r="M6933" s="43"/>
      <c r="N6933" s="43"/>
      <c r="O6933" s="43"/>
      <c r="Q6933" s="44"/>
      <c r="R6933" s="44"/>
      <c r="S6933" s="44"/>
      <c r="T6933" s="44"/>
    </row>
    <row r="6934" spans="12:20" x14ac:dyDescent="0.2">
      <c r="L6934" s="43"/>
      <c r="M6934" s="43"/>
      <c r="N6934" s="43"/>
      <c r="O6934" s="43"/>
      <c r="Q6934" s="44"/>
      <c r="R6934" s="44"/>
      <c r="S6934" s="44"/>
      <c r="T6934" s="44"/>
    </row>
    <row r="6935" spans="12:20" x14ac:dyDescent="0.2">
      <c r="L6935" s="43"/>
      <c r="M6935" s="43"/>
      <c r="N6935" s="43"/>
      <c r="O6935" s="43"/>
      <c r="Q6935" s="44"/>
      <c r="R6935" s="44"/>
      <c r="S6935" s="44"/>
      <c r="T6935" s="44"/>
    </row>
    <row r="6936" spans="12:20" x14ac:dyDescent="0.2">
      <c r="L6936" s="43"/>
      <c r="M6936" s="43"/>
      <c r="N6936" s="43"/>
      <c r="O6936" s="43"/>
      <c r="Q6936" s="44"/>
      <c r="R6936" s="44"/>
      <c r="S6936" s="44"/>
      <c r="T6936" s="44"/>
    </row>
    <row r="6937" spans="12:20" x14ac:dyDescent="0.2">
      <c r="L6937" s="43"/>
      <c r="M6937" s="43"/>
      <c r="N6937" s="43"/>
      <c r="O6937" s="43"/>
      <c r="Q6937" s="44"/>
      <c r="R6937" s="44"/>
      <c r="S6937" s="44"/>
      <c r="T6937" s="44"/>
    </row>
    <row r="6938" spans="12:20" x14ac:dyDescent="0.2">
      <c r="L6938" s="43"/>
      <c r="M6938" s="43"/>
      <c r="N6938" s="43"/>
      <c r="O6938" s="43"/>
      <c r="Q6938" s="44"/>
      <c r="R6938" s="44"/>
      <c r="S6938" s="44"/>
      <c r="T6938" s="44"/>
    </row>
    <row r="6939" spans="12:20" x14ac:dyDescent="0.2">
      <c r="L6939" s="43"/>
      <c r="M6939" s="43"/>
      <c r="N6939" s="43"/>
      <c r="O6939" s="43"/>
      <c r="Q6939" s="44"/>
      <c r="R6939" s="44"/>
      <c r="S6939" s="44"/>
      <c r="T6939" s="44"/>
    </row>
    <row r="6940" spans="12:20" x14ac:dyDescent="0.2">
      <c r="L6940" s="43"/>
      <c r="M6940" s="43"/>
      <c r="N6940" s="43"/>
      <c r="O6940" s="43"/>
      <c r="Q6940" s="44"/>
      <c r="R6940" s="44"/>
      <c r="S6940" s="44"/>
      <c r="T6940" s="44"/>
    </row>
    <row r="6941" spans="12:20" x14ac:dyDescent="0.2">
      <c r="L6941" s="43"/>
      <c r="M6941" s="43"/>
      <c r="N6941" s="43"/>
      <c r="O6941" s="43"/>
      <c r="Q6941" s="44"/>
      <c r="R6941" s="44"/>
      <c r="S6941" s="44"/>
      <c r="T6941" s="44"/>
    </row>
    <row r="6942" spans="12:20" x14ac:dyDescent="0.2">
      <c r="L6942" s="43"/>
      <c r="M6942" s="43"/>
      <c r="N6942" s="43"/>
      <c r="O6942" s="43"/>
      <c r="Q6942" s="44"/>
      <c r="R6942" s="44"/>
      <c r="S6942" s="44"/>
      <c r="T6942" s="44"/>
    </row>
    <row r="6943" spans="12:20" x14ac:dyDescent="0.2">
      <c r="L6943" s="43"/>
      <c r="M6943" s="43"/>
      <c r="N6943" s="43"/>
      <c r="O6943" s="43"/>
      <c r="Q6943" s="44"/>
      <c r="R6943" s="44"/>
      <c r="S6943" s="44"/>
      <c r="T6943" s="44"/>
    </row>
    <row r="6944" spans="12:20" x14ac:dyDescent="0.2">
      <c r="L6944" s="43"/>
      <c r="M6944" s="43"/>
      <c r="N6944" s="43"/>
      <c r="O6944" s="43"/>
      <c r="Q6944" s="44"/>
      <c r="R6944" s="44"/>
      <c r="S6944" s="44"/>
      <c r="T6944" s="44"/>
    </row>
    <row r="6945" spans="12:20" x14ac:dyDescent="0.2">
      <c r="L6945" s="43"/>
      <c r="M6945" s="43"/>
      <c r="N6945" s="43"/>
      <c r="O6945" s="43"/>
      <c r="Q6945" s="44"/>
      <c r="R6945" s="44"/>
      <c r="S6945" s="44"/>
      <c r="T6945" s="44"/>
    </row>
    <row r="6946" spans="12:20" x14ac:dyDescent="0.2">
      <c r="L6946" s="43"/>
      <c r="M6946" s="43"/>
      <c r="N6946" s="43"/>
      <c r="O6946" s="43"/>
      <c r="Q6946" s="44"/>
      <c r="R6946" s="44"/>
      <c r="S6946" s="44"/>
      <c r="T6946" s="44"/>
    </row>
    <row r="6947" spans="12:20" x14ac:dyDescent="0.2">
      <c r="L6947" s="43"/>
      <c r="M6947" s="43"/>
      <c r="N6947" s="43"/>
      <c r="O6947" s="43"/>
      <c r="Q6947" s="44"/>
      <c r="R6947" s="44"/>
      <c r="S6947" s="44"/>
      <c r="T6947" s="44"/>
    </row>
    <row r="6948" spans="12:20" x14ac:dyDescent="0.2">
      <c r="L6948" s="43"/>
      <c r="M6948" s="43"/>
      <c r="N6948" s="43"/>
      <c r="O6948" s="43"/>
      <c r="Q6948" s="44"/>
      <c r="R6948" s="44"/>
      <c r="S6948" s="44"/>
      <c r="T6948" s="44"/>
    </row>
    <row r="6949" spans="12:20" x14ac:dyDescent="0.2">
      <c r="L6949" s="43"/>
      <c r="M6949" s="43"/>
      <c r="N6949" s="43"/>
      <c r="O6949" s="43"/>
      <c r="Q6949" s="44"/>
      <c r="R6949" s="44"/>
      <c r="S6949" s="44"/>
      <c r="T6949" s="44"/>
    </row>
    <row r="6950" spans="12:20" x14ac:dyDescent="0.2">
      <c r="L6950" s="43"/>
      <c r="M6950" s="43"/>
      <c r="N6950" s="43"/>
      <c r="O6950" s="43"/>
      <c r="Q6950" s="44"/>
      <c r="R6950" s="44"/>
      <c r="S6950" s="44"/>
      <c r="T6950" s="44"/>
    </row>
    <row r="6951" spans="12:20" x14ac:dyDescent="0.2">
      <c r="L6951" s="43"/>
      <c r="M6951" s="43"/>
      <c r="N6951" s="43"/>
      <c r="O6951" s="43"/>
      <c r="Q6951" s="44"/>
      <c r="R6951" s="44"/>
      <c r="S6951" s="44"/>
      <c r="T6951" s="44"/>
    </row>
    <row r="6952" spans="12:20" x14ac:dyDescent="0.2">
      <c r="L6952" s="43"/>
      <c r="M6952" s="43"/>
      <c r="N6952" s="43"/>
      <c r="O6952" s="43"/>
      <c r="Q6952" s="44"/>
      <c r="R6952" s="44"/>
      <c r="S6952" s="44"/>
      <c r="T6952" s="44"/>
    </row>
    <row r="6953" spans="12:20" x14ac:dyDescent="0.2">
      <c r="L6953" s="43"/>
      <c r="M6953" s="43"/>
      <c r="N6953" s="43"/>
      <c r="O6953" s="43"/>
      <c r="Q6953" s="44"/>
      <c r="R6953" s="44"/>
      <c r="S6953" s="44"/>
      <c r="T6953" s="44"/>
    </row>
    <row r="6954" spans="12:20" x14ac:dyDescent="0.2">
      <c r="L6954" s="43"/>
      <c r="M6954" s="43"/>
      <c r="N6954" s="43"/>
      <c r="O6954" s="43"/>
      <c r="Q6954" s="44"/>
      <c r="R6954" s="44"/>
      <c r="S6954" s="44"/>
      <c r="T6954" s="44"/>
    </row>
    <row r="6955" spans="12:20" x14ac:dyDescent="0.2">
      <c r="L6955" s="43"/>
      <c r="M6955" s="43"/>
      <c r="N6955" s="43"/>
      <c r="O6955" s="43"/>
      <c r="Q6955" s="44"/>
      <c r="R6955" s="44"/>
      <c r="S6955" s="44"/>
      <c r="T6955" s="44"/>
    </row>
    <row r="6956" spans="12:20" x14ac:dyDescent="0.2">
      <c r="L6956" s="43"/>
      <c r="M6956" s="43"/>
      <c r="N6956" s="43"/>
      <c r="O6956" s="43"/>
      <c r="Q6956" s="44"/>
      <c r="R6956" s="44"/>
      <c r="S6956" s="44"/>
      <c r="T6956" s="44"/>
    </row>
    <row r="6957" spans="12:20" x14ac:dyDescent="0.2">
      <c r="L6957" s="43"/>
      <c r="M6957" s="43"/>
      <c r="N6957" s="43"/>
      <c r="O6957" s="43"/>
      <c r="Q6957" s="44"/>
      <c r="R6957" s="44"/>
      <c r="S6957" s="44"/>
      <c r="T6957" s="44"/>
    </row>
    <row r="6958" spans="12:20" x14ac:dyDescent="0.2">
      <c r="L6958" s="43"/>
      <c r="M6958" s="43"/>
      <c r="N6958" s="43"/>
      <c r="O6958" s="43"/>
      <c r="Q6958" s="44"/>
      <c r="R6958" s="44"/>
      <c r="S6958" s="44"/>
      <c r="T6958" s="44"/>
    </row>
    <row r="6959" spans="12:20" x14ac:dyDescent="0.2">
      <c r="L6959" s="43"/>
      <c r="M6959" s="43"/>
      <c r="N6959" s="43"/>
      <c r="O6959" s="43"/>
      <c r="Q6959" s="44"/>
      <c r="R6959" s="44"/>
      <c r="S6959" s="44"/>
      <c r="T6959" s="44"/>
    </row>
    <row r="6960" spans="12:20" x14ac:dyDescent="0.2">
      <c r="L6960" s="43"/>
      <c r="M6960" s="43"/>
      <c r="N6960" s="43"/>
      <c r="O6960" s="43"/>
      <c r="Q6960" s="44"/>
      <c r="R6960" s="44"/>
      <c r="S6960" s="44"/>
      <c r="T6960" s="44"/>
    </row>
    <row r="6961" spans="12:20" x14ac:dyDescent="0.2">
      <c r="L6961" s="43"/>
      <c r="M6961" s="43"/>
      <c r="N6961" s="43"/>
      <c r="O6961" s="43"/>
      <c r="Q6961" s="44"/>
      <c r="R6961" s="44"/>
      <c r="S6961" s="44"/>
      <c r="T6961" s="44"/>
    </row>
    <row r="6962" spans="12:20" x14ac:dyDescent="0.2">
      <c r="L6962" s="43"/>
      <c r="M6962" s="43"/>
      <c r="N6962" s="43"/>
      <c r="O6962" s="43"/>
      <c r="Q6962" s="44"/>
      <c r="R6962" s="44"/>
      <c r="S6962" s="44"/>
      <c r="T6962" s="44"/>
    </row>
    <row r="6963" spans="12:20" x14ac:dyDescent="0.2">
      <c r="L6963" s="43"/>
      <c r="M6963" s="43"/>
      <c r="N6963" s="43"/>
      <c r="O6963" s="43"/>
      <c r="Q6963" s="44"/>
      <c r="R6963" s="44"/>
      <c r="S6963" s="44"/>
      <c r="T6963" s="44"/>
    </row>
    <row r="6964" spans="12:20" x14ac:dyDescent="0.2">
      <c r="L6964" s="43"/>
      <c r="M6964" s="43"/>
      <c r="N6964" s="43"/>
      <c r="O6964" s="43"/>
      <c r="Q6964" s="44"/>
      <c r="R6964" s="44"/>
      <c r="S6964" s="44"/>
      <c r="T6964" s="44"/>
    </row>
    <row r="6965" spans="12:20" x14ac:dyDescent="0.2">
      <c r="L6965" s="43"/>
      <c r="M6965" s="43"/>
      <c r="N6965" s="43"/>
      <c r="O6965" s="43"/>
      <c r="Q6965" s="44"/>
      <c r="R6965" s="44"/>
      <c r="S6965" s="44"/>
      <c r="T6965" s="44"/>
    </row>
    <row r="6966" spans="12:20" x14ac:dyDescent="0.2">
      <c r="L6966" s="43"/>
      <c r="M6966" s="43"/>
      <c r="N6966" s="43"/>
      <c r="O6966" s="43"/>
      <c r="Q6966" s="44"/>
      <c r="R6966" s="44"/>
      <c r="S6966" s="44"/>
      <c r="T6966" s="44"/>
    </row>
    <row r="6967" spans="12:20" x14ac:dyDescent="0.2">
      <c r="L6967" s="43"/>
      <c r="M6967" s="43"/>
      <c r="N6967" s="43"/>
      <c r="O6967" s="43"/>
      <c r="Q6967" s="44"/>
      <c r="R6967" s="44"/>
      <c r="S6967" s="44"/>
      <c r="T6967" s="44"/>
    </row>
    <row r="6968" spans="12:20" x14ac:dyDescent="0.2">
      <c r="L6968" s="43"/>
      <c r="M6968" s="43"/>
      <c r="N6968" s="43"/>
      <c r="O6968" s="43"/>
      <c r="Q6968" s="44"/>
      <c r="R6968" s="44"/>
      <c r="S6968" s="44"/>
      <c r="T6968" s="44"/>
    </row>
    <row r="6969" spans="12:20" x14ac:dyDescent="0.2">
      <c r="L6969" s="43"/>
      <c r="M6969" s="43"/>
      <c r="N6969" s="43"/>
      <c r="O6969" s="43"/>
      <c r="Q6969" s="44"/>
      <c r="R6969" s="44"/>
      <c r="S6969" s="44"/>
      <c r="T6969" s="44"/>
    </row>
    <row r="6970" spans="12:20" x14ac:dyDescent="0.2">
      <c r="L6970" s="43"/>
      <c r="M6970" s="43"/>
      <c r="N6970" s="43"/>
      <c r="O6970" s="43"/>
      <c r="Q6970" s="44"/>
      <c r="R6970" s="44"/>
      <c r="S6970" s="44"/>
      <c r="T6970" s="44"/>
    </row>
    <row r="6971" spans="12:20" x14ac:dyDescent="0.2">
      <c r="L6971" s="43"/>
      <c r="M6971" s="43"/>
      <c r="N6971" s="43"/>
      <c r="O6971" s="43"/>
      <c r="Q6971" s="44"/>
      <c r="R6971" s="44"/>
      <c r="S6971" s="44"/>
      <c r="T6971" s="44"/>
    </row>
    <row r="6972" spans="12:20" x14ac:dyDescent="0.2">
      <c r="L6972" s="43"/>
      <c r="M6972" s="43"/>
      <c r="N6972" s="43"/>
      <c r="O6972" s="43"/>
      <c r="Q6972" s="44"/>
      <c r="R6972" s="44"/>
      <c r="S6972" s="44"/>
      <c r="T6972" s="44"/>
    </row>
    <row r="6973" spans="12:20" x14ac:dyDescent="0.2">
      <c r="L6973" s="43"/>
      <c r="M6973" s="43"/>
      <c r="N6973" s="43"/>
      <c r="O6973" s="43"/>
      <c r="Q6973" s="44"/>
      <c r="R6973" s="44"/>
      <c r="S6973" s="44"/>
      <c r="T6973" s="44"/>
    </row>
    <row r="6974" spans="12:20" x14ac:dyDescent="0.2">
      <c r="L6974" s="43"/>
      <c r="M6974" s="43"/>
      <c r="N6974" s="43"/>
      <c r="O6974" s="43"/>
      <c r="Q6974" s="44"/>
      <c r="R6974" s="44"/>
      <c r="S6974" s="44"/>
      <c r="T6974" s="44"/>
    </row>
    <row r="6975" spans="12:20" x14ac:dyDescent="0.2">
      <c r="L6975" s="43"/>
      <c r="M6975" s="43"/>
      <c r="N6975" s="43"/>
      <c r="O6975" s="43"/>
      <c r="Q6975" s="44"/>
      <c r="R6975" s="44"/>
      <c r="S6975" s="44"/>
      <c r="T6975" s="44"/>
    </row>
    <row r="6976" spans="12:20" x14ac:dyDescent="0.2">
      <c r="L6976" s="43"/>
      <c r="M6976" s="43"/>
      <c r="N6976" s="43"/>
      <c r="O6976" s="43"/>
      <c r="Q6976" s="44"/>
      <c r="R6976" s="44"/>
      <c r="S6976" s="44"/>
      <c r="T6976" s="44"/>
    </row>
    <row r="6977" spans="12:20" x14ac:dyDescent="0.2">
      <c r="L6977" s="43"/>
      <c r="M6977" s="43"/>
      <c r="N6977" s="43"/>
      <c r="O6977" s="43"/>
      <c r="Q6977" s="44"/>
      <c r="R6977" s="44"/>
      <c r="S6977" s="44"/>
      <c r="T6977" s="44"/>
    </row>
    <row r="6978" spans="12:20" x14ac:dyDescent="0.2">
      <c r="L6978" s="43"/>
      <c r="M6978" s="43"/>
      <c r="N6978" s="43"/>
      <c r="O6978" s="43"/>
      <c r="Q6978" s="44"/>
      <c r="R6978" s="44"/>
      <c r="S6978" s="44"/>
      <c r="T6978" s="44"/>
    </row>
    <row r="6979" spans="12:20" x14ac:dyDescent="0.2">
      <c r="L6979" s="43"/>
      <c r="M6979" s="43"/>
      <c r="N6979" s="43"/>
      <c r="O6979" s="43"/>
      <c r="Q6979" s="44"/>
      <c r="R6979" s="44"/>
      <c r="S6979" s="44"/>
      <c r="T6979" s="44"/>
    </row>
    <row r="6980" spans="12:20" x14ac:dyDescent="0.2">
      <c r="L6980" s="43"/>
      <c r="M6980" s="43"/>
      <c r="N6980" s="43"/>
      <c r="O6980" s="43"/>
      <c r="Q6980" s="44"/>
      <c r="R6980" s="44"/>
      <c r="S6980" s="44"/>
      <c r="T6980" s="44"/>
    </row>
    <row r="6981" spans="12:20" x14ac:dyDescent="0.2">
      <c r="L6981" s="43"/>
      <c r="M6981" s="43"/>
      <c r="N6981" s="43"/>
      <c r="O6981" s="43"/>
      <c r="Q6981" s="44"/>
      <c r="R6981" s="44"/>
      <c r="S6981" s="44"/>
      <c r="T6981" s="44"/>
    </row>
    <row r="6982" spans="12:20" x14ac:dyDescent="0.2">
      <c r="L6982" s="43"/>
      <c r="M6982" s="43"/>
      <c r="N6982" s="43"/>
      <c r="O6982" s="43"/>
      <c r="Q6982" s="44"/>
      <c r="R6982" s="44"/>
      <c r="S6982" s="44"/>
      <c r="T6982" s="44"/>
    </row>
    <row r="6983" spans="12:20" x14ac:dyDescent="0.2">
      <c r="L6983" s="43"/>
      <c r="M6983" s="43"/>
      <c r="N6983" s="43"/>
      <c r="O6983" s="43"/>
      <c r="Q6983" s="44"/>
      <c r="R6983" s="44"/>
      <c r="S6983" s="44"/>
      <c r="T6983" s="44"/>
    </row>
    <row r="6984" spans="12:20" x14ac:dyDescent="0.2">
      <c r="L6984" s="43"/>
      <c r="M6984" s="43"/>
      <c r="N6984" s="43"/>
      <c r="O6984" s="43"/>
      <c r="Q6984" s="44"/>
      <c r="R6984" s="44"/>
      <c r="S6984" s="44"/>
      <c r="T6984" s="44"/>
    </row>
    <row r="6985" spans="12:20" x14ac:dyDescent="0.2">
      <c r="L6985" s="43"/>
      <c r="M6985" s="43"/>
      <c r="N6985" s="43"/>
      <c r="O6985" s="43"/>
      <c r="Q6985" s="44"/>
      <c r="R6985" s="44"/>
      <c r="S6985" s="44"/>
      <c r="T6985" s="44"/>
    </row>
    <row r="6986" spans="12:20" x14ac:dyDescent="0.2">
      <c r="L6986" s="43"/>
      <c r="M6986" s="43"/>
      <c r="N6986" s="43"/>
      <c r="O6986" s="43"/>
      <c r="Q6986" s="44"/>
      <c r="R6986" s="44"/>
      <c r="S6986" s="44"/>
      <c r="T6986" s="44"/>
    </row>
    <row r="6987" spans="12:20" x14ac:dyDescent="0.2">
      <c r="L6987" s="43"/>
      <c r="M6987" s="43"/>
      <c r="N6987" s="43"/>
      <c r="O6987" s="43"/>
      <c r="Q6987" s="44"/>
      <c r="R6987" s="44"/>
      <c r="S6987" s="44"/>
      <c r="T6987" s="44"/>
    </row>
    <row r="6988" spans="12:20" x14ac:dyDescent="0.2">
      <c r="L6988" s="43"/>
      <c r="M6988" s="43"/>
      <c r="N6988" s="43"/>
      <c r="O6988" s="43"/>
      <c r="Q6988" s="44"/>
      <c r="R6988" s="44"/>
      <c r="S6988" s="44"/>
      <c r="T6988" s="44"/>
    </row>
    <row r="6989" spans="12:20" x14ac:dyDescent="0.2">
      <c r="L6989" s="43"/>
      <c r="M6989" s="43"/>
      <c r="N6989" s="43"/>
      <c r="O6989" s="43"/>
      <c r="Q6989" s="44"/>
      <c r="R6989" s="44"/>
      <c r="S6989" s="44"/>
      <c r="T6989" s="44"/>
    </row>
    <row r="6990" spans="12:20" x14ac:dyDescent="0.2">
      <c r="L6990" s="43"/>
      <c r="M6990" s="43"/>
      <c r="N6990" s="43"/>
      <c r="O6990" s="43"/>
      <c r="Q6990" s="44"/>
      <c r="R6990" s="44"/>
      <c r="S6990" s="44"/>
      <c r="T6990" s="44"/>
    </row>
    <row r="6991" spans="12:20" x14ac:dyDescent="0.2">
      <c r="L6991" s="43"/>
      <c r="M6991" s="43"/>
      <c r="N6991" s="43"/>
      <c r="O6991" s="43"/>
      <c r="Q6991" s="44"/>
      <c r="R6991" s="44"/>
      <c r="S6991" s="44"/>
      <c r="T6991" s="44"/>
    </row>
    <row r="6992" spans="12:20" x14ac:dyDescent="0.2">
      <c r="L6992" s="43"/>
      <c r="M6992" s="43"/>
      <c r="N6992" s="43"/>
      <c r="O6992" s="43"/>
      <c r="Q6992" s="44"/>
      <c r="R6992" s="44"/>
      <c r="S6992" s="44"/>
      <c r="T6992" s="44"/>
    </row>
    <row r="6993" spans="12:20" x14ac:dyDescent="0.2">
      <c r="L6993" s="43"/>
      <c r="M6993" s="43"/>
      <c r="N6993" s="43"/>
      <c r="O6993" s="43"/>
      <c r="Q6993" s="44"/>
      <c r="R6993" s="44"/>
      <c r="S6993" s="44"/>
      <c r="T6993" s="44"/>
    </row>
    <row r="6994" spans="12:20" x14ac:dyDescent="0.2">
      <c r="L6994" s="43"/>
      <c r="M6994" s="43"/>
      <c r="N6994" s="43"/>
      <c r="O6994" s="43"/>
      <c r="Q6994" s="44"/>
      <c r="R6994" s="44"/>
      <c r="S6994" s="44"/>
      <c r="T6994" s="44"/>
    </row>
    <row r="6995" spans="12:20" x14ac:dyDescent="0.2">
      <c r="L6995" s="43"/>
      <c r="M6995" s="43"/>
      <c r="N6995" s="43"/>
      <c r="O6995" s="43"/>
      <c r="Q6995" s="44"/>
      <c r="R6995" s="44"/>
      <c r="S6995" s="44"/>
      <c r="T6995" s="44"/>
    </row>
    <row r="6996" spans="12:20" x14ac:dyDescent="0.2">
      <c r="L6996" s="43"/>
      <c r="M6996" s="43"/>
      <c r="N6996" s="43"/>
      <c r="O6996" s="43"/>
      <c r="Q6996" s="44"/>
      <c r="R6996" s="44"/>
      <c r="S6996" s="44"/>
      <c r="T6996" s="44"/>
    </row>
    <row r="6997" spans="12:20" x14ac:dyDescent="0.2">
      <c r="L6997" s="43"/>
      <c r="M6997" s="43"/>
      <c r="N6997" s="43"/>
      <c r="O6997" s="43"/>
      <c r="Q6997" s="44"/>
      <c r="R6997" s="44"/>
      <c r="S6997" s="44"/>
      <c r="T6997" s="44"/>
    </row>
    <row r="6998" spans="12:20" x14ac:dyDescent="0.2">
      <c r="L6998" s="43"/>
      <c r="M6998" s="43"/>
      <c r="N6998" s="43"/>
      <c r="O6998" s="43"/>
      <c r="Q6998" s="44"/>
      <c r="R6998" s="44"/>
      <c r="S6998" s="44"/>
      <c r="T6998" s="44"/>
    </row>
    <row r="6999" spans="12:20" x14ac:dyDescent="0.2">
      <c r="L6999" s="43"/>
      <c r="M6999" s="43"/>
      <c r="N6999" s="43"/>
      <c r="O6999" s="43"/>
      <c r="Q6999" s="44"/>
      <c r="R6999" s="44"/>
      <c r="S6999" s="44"/>
      <c r="T6999" s="44"/>
    </row>
    <row r="7000" spans="12:20" x14ac:dyDescent="0.2">
      <c r="L7000" s="43"/>
      <c r="M7000" s="43"/>
      <c r="N7000" s="43"/>
      <c r="O7000" s="43"/>
      <c r="Q7000" s="44"/>
      <c r="R7000" s="44"/>
      <c r="S7000" s="44"/>
      <c r="T7000" s="44"/>
    </row>
    <row r="7001" spans="12:20" x14ac:dyDescent="0.2">
      <c r="L7001" s="43"/>
      <c r="M7001" s="43"/>
      <c r="N7001" s="43"/>
      <c r="O7001" s="43"/>
      <c r="Q7001" s="44"/>
      <c r="R7001" s="44"/>
      <c r="S7001" s="44"/>
      <c r="T7001" s="44"/>
    </row>
    <row r="7002" spans="12:20" x14ac:dyDescent="0.2">
      <c r="L7002" s="43"/>
      <c r="M7002" s="43"/>
      <c r="N7002" s="43"/>
      <c r="O7002" s="43"/>
      <c r="Q7002" s="44"/>
      <c r="R7002" s="44"/>
      <c r="S7002" s="44"/>
      <c r="T7002" s="44"/>
    </row>
    <row r="7003" spans="12:20" x14ac:dyDescent="0.2">
      <c r="L7003" s="43"/>
      <c r="M7003" s="43"/>
      <c r="N7003" s="43"/>
      <c r="O7003" s="43"/>
      <c r="Q7003" s="44"/>
      <c r="R7003" s="44"/>
      <c r="S7003" s="44"/>
      <c r="T7003" s="44"/>
    </row>
    <row r="7004" spans="12:20" x14ac:dyDescent="0.2">
      <c r="L7004" s="43"/>
      <c r="M7004" s="43"/>
      <c r="N7004" s="43"/>
      <c r="O7004" s="43"/>
      <c r="Q7004" s="44"/>
      <c r="R7004" s="44"/>
      <c r="S7004" s="44"/>
      <c r="T7004" s="44"/>
    </row>
    <row r="7005" spans="12:20" x14ac:dyDescent="0.2">
      <c r="L7005" s="43"/>
      <c r="M7005" s="43"/>
      <c r="N7005" s="43"/>
      <c r="O7005" s="43"/>
      <c r="Q7005" s="44"/>
      <c r="R7005" s="44"/>
      <c r="S7005" s="44"/>
      <c r="T7005" s="44"/>
    </row>
    <row r="7006" spans="12:20" x14ac:dyDescent="0.2">
      <c r="L7006" s="43"/>
      <c r="M7006" s="43"/>
      <c r="N7006" s="43"/>
      <c r="O7006" s="43"/>
      <c r="Q7006" s="44"/>
      <c r="R7006" s="44"/>
      <c r="S7006" s="44"/>
      <c r="T7006" s="44"/>
    </row>
    <row r="7007" spans="12:20" x14ac:dyDescent="0.2">
      <c r="L7007" s="43"/>
      <c r="M7007" s="43"/>
      <c r="N7007" s="43"/>
      <c r="O7007" s="43"/>
      <c r="Q7007" s="44"/>
      <c r="R7007" s="44"/>
      <c r="S7007" s="44"/>
      <c r="T7007" s="44"/>
    </row>
    <row r="7008" spans="12:20" x14ac:dyDescent="0.2">
      <c r="L7008" s="43"/>
      <c r="M7008" s="43"/>
      <c r="N7008" s="43"/>
      <c r="O7008" s="43"/>
      <c r="Q7008" s="44"/>
      <c r="R7008" s="44"/>
      <c r="S7008" s="44"/>
      <c r="T7008" s="44"/>
    </row>
    <row r="7009" spans="12:20" x14ac:dyDescent="0.2">
      <c r="L7009" s="43"/>
      <c r="M7009" s="43"/>
      <c r="N7009" s="43"/>
      <c r="O7009" s="43"/>
      <c r="Q7009" s="44"/>
      <c r="R7009" s="44"/>
      <c r="S7009" s="44"/>
      <c r="T7009" s="44"/>
    </row>
    <row r="7010" spans="12:20" x14ac:dyDescent="0.2">
      <c r="L7010" s="43"/>
      <c r="M7010" s="43"/>
      <c r="N7010" s="43"/>
      <c r="O7010" s="43"/>
      <c r="Q7010" s="44"/>
      <c r="R7010" s="44"/>
      <c r="S7010" s="44"/>
      <c r="T7010" s="44"/>
    </row>
    <row r="7011" spans="12:20" x14ac:dyDescent="0.2">
      <c r="L7011" s="43"/>
      <c r="M7011" s="43"/>
      <c r="N7011" s="43"/>
      <c r="O7011" s="43"/>
      <c r="Q7011" s="44"/>
      <c r="R7011" s="44"/>
      <c r="S7011" s="44"/>
      <c r="T7011" s="44"/>
    </row>
    <row r="7012" spans="12:20" x14ac:dyDescent="0.2">
      <c r="L7012" s="43"/>
      <c r="M7012" s="43"/>
      <c r="N7012" s="43"/>
      <c r="O7012" s="43"/>
      <c r="Q7012" s="44"/>
      <c r="R7012" s="44"/>
      <c r="S7012" s="44"/>
      <c r="T7012" s="44"/>
    </row>
    <row r="7013" spans="12:20" x14ac:dyDescent="0.2">
      <c r="L7013" s="43"/>
      <c r="M7013" s="43"/>
      <c r="N7013" s="43"/>
      <c r="O7013" s="43"/>
      <c r="Q7013" s="44"/>
      <c r="R7013" s="44"/>
      <c r="S7013" s="44"/>
      <c r="T7013" s="44"/>
    </row>
    <row r="7014" spans="12:20" x14ac:dyDescent="0.2">
      <c r="L7014" s="43"/>
      <c r="M7014" s="43"/>
      <c r="N7014" s="43"/>
      <c r="O7014" s="43"/>
      <c r="Q7014" s="44"/>
      <c r="R7014" s="44"/>
      <c r="S7014" s="44"/>
      <c r="T7014" s="44"/>
    </row>
    <row r="7015" spans="12:20" x14ac:dyDescent="0.2">
      <c r="L7015" s="43"/>
      <c r="M7015" s="43"/>
      <c r="N7015" s="43"/>
      <c r="O7015" s="43"/>
      <c r="Q7015" s="44"/>
      <c r="R7015" s="44"/>
      <c r="S7015" s="44"/>
      <c r="T7015" s="44"/>
    </row>
    <row r="7016" spans="12:20" x14ac:dyDescent="0.2">
      <c r="L7016" s="43"/>
      <c r="M7016" s="43"/>
      <c r="N7016" s="43"/>
      <c r="O7016" s="43"/>
      <c r="Q7016" s="44"/>
      <c r="R7016" s="44"/>
      <c r="S7016" s="44"/>
      <c r="T7016" s="44"/>
    </row>
    <row r="7017" spans="12:20" x14ac:dyDescent="0.2">
      <c r="L7017" s="43"/>
      <c r="M7017" s="43"/>
      <c r="N7017" s="43"/>
      <c r="O7017" s="43"/>
      <c r="Q7017" s="44"/>
      <c r="R7017" s="44"/>
      <c r="S7017" s="44"/>
      <c r="T7017" s="44"/>
    </row>
    <row r="7018" spans="12:20" x14ac:dyDescent="0.2">
      <c r="L7018" s="43"/>
      <c r="M7018" s="43"/>
      <c r="N7018" s="43"/>
      <c r="O7018" s="43"/>
      <c r="Q7018" s="44"/>
      <c r="R7018" s="44"/>
      <c r="S7018" s="44"/>
      <c r="T7018" s="44"/>
    </row>
    <row r="7019" spans="12:20" x14ac:dyDescent="0.2">
      <c r="L7019" s="43"/>
      <c r="M7019" s="43"/>
      <c r="N7019" s="43"/>
      <c r="O7019" s="43"/>
      <c r="Q7019" s="44"/>
      <c r="R7019" s="44"/>
      <c r="S7019" s="44"/>
      <c r="T7019" s="44"/>
    </row>
    <row r="7020" spans="12:20" x14ac:dyDescent="0.2">
      <c r="L7020" s="43"/>
      <c r="M7020" s="43"/>
      <c r="N7020" s="43"/>
      <c r="O7020" s="43"/>
      <c r="Q7020" s="44"/>
      <c r="R7020" s="44"/>
      <c r="S7020" s="44"/>
      <c r="T7020" s="44"/>
    </row>
    <row r="7021" spans="12:20" x14ac:dyDescent="0.2">
      <c r="L7021" s="43"/>
      <c r="M7021" s="43"/>
      <c r="N7021" s="43"/>
      <c r="O7021" s="43"/>
      <c r="Q7021" s="44"/>
      <c r="R7021" s="44"/>
      <c r="S7021" s="44"/>
      <c r="T7021" s="44"/>
    </row>
    <row r="7022" spans="12:20" x14ac:dyDescent="0.2">
      <c r="L7022" s="43"/>
      <c r="M7022" s="43"/>
      <c r="N7022" s="43"/>
      <c r="O7022" s="43"/>
      <c r="Q7022" s="44"/>
      <c r="R7022" s="44"/>
      <c r="S7022" s="44"/>
      <c r="T7022" s="44"/>
    </row>
    <row r="7023" spans="12:20" x14ac:dyDescent="0.2">
      <c r="L7023" s="43"/>
      <c r="M7023" s="43"/>
      <c r="N7023" s="43"/>
      <c r="O7023" s="43"/>
      <c r="Q7023" s="44"/>
      <c r="R7023" s="44"/>
      <c r="S7023" s="44"/>
      <c r="T7023" s="44"/>
    </row>
    <row r="7024" spans="12:20" x14ac:dyDescent="0.2">
      <c r="L7024" s="43"/>
      <c r="M7024" s="43"/>
      <c r="N7024" s="43"/>
      <c r="O7024" s="43"/>
      <c r="Q7024" s="44"/>
      <c r="R7024" s="44"/>
      <c r="S7024" s="44"/>
      <c r="T7024" s="44"/>
    </row>
    <row r="7025" spans="12:20" x14ac:dyDescent="0.2">
      <c r="L7025" s="43"/>
      <c r="M7025" s="43"/>
      <c r="N7025" s="43"/>
      <c r="O7025" s="43"/>
      <c r="Q7025" s="44"/>
      <c r="R7025" s="44"/>
      <c r="S7025" s="44"/>
      <c r="T7025" s="44"/>
    </row>
    <row r="7026" spans="12:20" x14ac:dyDescent="0.2">
      <c r="L7026" s="43"/>
      <c r="M7026" s="43"/>
      <c r="N7026" s="43"/>
      <c r="O7026" s="43"/>
      <c r="Q7026" s="44"/>
      <c r="R7026" s="44"/>
      <c r="S7026" s="44"/>
      <c r="T7026" s="44"/>
    </row>
    <row r="7027" spans="12:20" x14ac:dyDescent="0.2">
      <c r="L7027" s="43"/>
      <c r="M7027" s="43"/>
      <c r="N7027" s="43"/>
      <c r="O7027" s="43"/>
      <c r="Q7027" s="44"/>
      <c r="R7027" s="44"/>
      <c r="S7027" s="44"/>
      <c r="T7027" s="44"/>
    </row>
    <row r="7028" spans="12:20" x14ac:dyDescent="0.2">
      <c r="L7028" s="43"/>
      <c r="M7028" s="43"/>
      <c r="N7028" s="43"/>
      <c r="O7028" s="43"/>
      <c r="Q7028" s="44"/>
      <c r="R7028" s="44"/>
      <c r="S7028" s="44"/>
      <c r="T7028" s="44"/>
    </row>
    <row r="7029" spans="12:20" x14ac:dyDescent="0.2">
      <c r="L7029" s="43"/>
      <c r="M7029" s="43"/>
      <c r="N7029" s="43"/>
      <c r="O7029" s="43"/>
      <c r="Q7029" s="44"/>
      <c r="R7029" s="44"/>
      <c r="S7029" s="44"/>
      <c r="T7029" s="44"/>
    </row>
    <row r="7030" spans="12:20" x14ac:dyDescent="0.2">
      <c r="L7030" s="43"/>
      <c r="M7030" s="43"/>
      <c r="N7030" s="43"/>
      <c r="O7030" s="43"/>
      <c r="Q7030" s="44"/>
      <c r="R7030" s="44"/>
      <c r="S7030" s="44"/>
      <c r="T7030" s="44"/>
    </row>
    <row r="7031" spans="12:20" x14ac:dyDescent="0.2">
      <c r="L7031" s="43"/>
      <c r="M7031" s="43"/>
      <c r="N7031" s="43"/>
      <c r="O7031" s="43"/>
      <c r="Q7031" s="44"/>
      <c r="R7031" s="44"/>
      <c r="S7031" s="44"/>
      <c r="T7031" s="44"/>
    </row>
    <row r="7032" spans="12:20" x14ac:dyDescent="0.2">
      <c r="L7032" s="43"/>
      <c r="M7032" s="43"/>
      <c r="N7032" s="43"/>
      <c r="O7032" s="43"/>
      <c r="Q7032" s="44"/>
      <c r="R7032" s="44"/>
      <c r="S7032" s="44"/>
      <c r="T7032" s="44"/>
    </row>
    <row r="7033" spans="12:20" x14ac:dyDescent="0.2">
      <c r="L7033" s="43"/>
      <c r="M7033" s="43"/>
      <c r="N7033" s="43"/>
      <c r="O7033" s="43"/>
      <c r="Q7033" s="44"/>
      <c r="R7033" s="44"/>
      <c r="S7033" s="44"/>
      <c r="T7033" s="44"/>
    </row>
    <row r="7034" spans="12:20" x14ac:dyDescent="0.2">
      <c r="L7034" s="43"/>
      <c r="M7034" s="43"/>
      <c r="N7034" s="43"/>
      <c r="O7034" s="43"/>
      <c r="Q7034" s="44"/>
      <c r="R7034" s="44"/>
      <c r="S7034" s="44"/>
      <c r="T7034" s="44"/>
    </row>
    <row r="7035" spans="12:20" x14ac:dyDescent="0.2">
      <c r="L7035" s="43"/>
      <c r="M7035" s="43"/>
      <c r="N7035" s="43"/>
      <c r="O7035" s="43"/>
      <c r="Q7035" s="44"/>
      <c r="R7035" s="44"/>
      <c r="S7035" s="44"/>
      <c r="T7035" s="44"/>
    </row>
    <row r="7036" spans="12:20" x14ac:dyDescent="0.2">
      <c r="L7036" s="43"/>
      <c r="M7036" s="43"/>
      <c r="N7036" s="43"/>
      <c r="O7036" s="43"/>
      <c r="Q7036" s="44"/>
      <c r="R7036" s="44"/>
      <c r="S7036" s="44"/>
      <c r="T7036" s="44"/>
    </row>
    <row r="7037" spans="12:20" x14ac:dyDescent="0.2">
      <c r="L7037" s="43"/>
      <c r="M7037" s="43"/>
      <c r="N7037" s="43"/>
      <c r="O7037" s="43"/>
      <c r="Q7037" s="44"/>
      <c r="R7037" s="44"/>
      <c r="S7037" s="44"/>
      <c r="T7037" s="44"/>
    </row>
    <row r="7038" spans="12:20" x14ac:dyDescent="0.2">
      <c r="L7038" s="43"/>
      <c r="M7038" s="43"/>
      <c r="N7038" s="43"/>
      <c r="O7038" s="43"/>
      <c r="Q7038" s="44"/>
      <c r="R7038" s="44"/>
      <c r="S7038" s="44"/>
      <c r="T7038" s="44"/>
    </row>
    <row r="7039" spans="12:20" x14ac:dyDescent="0.2">
      <c r="L7039" s="43"/>
      <c r="M7039" s="43"/>
      <c r="N7039" s="43"/>
      <c r="O7039" s="43"/>
      <c r="Q7039" s="44"/>
      <c r="R7039" s="44"/>
      <c r="S7039" s="44"/>
      <c r="T7039" s="44"/>
    </row>
    <row r="7040" spans="12:20" x14ac:dyDescent="0.2">
      <c r="L7040" s="43"/>
      <c r="M7040" s="43"/>
      <c r="N7040" s="43"/>
      <c r="O7040" s="43"/>
      <c r="Q7040" s="44"/>
      <c r="R7040" s="44"/>
      <c r="S7040" s="44"/>
      <c r="T7040" s="44"/>
    </row>
    <row r="7041" spans="12:20" x14ac:dyDescent="0.2">
      <c r="L7041" s="43"/>
      <c r="M7041" s="43"/>
      <c r="N7041" s="43"/>
      <c r="O7041" s="43"/>
      <c r="Q7041" s="44"/>
      <c r="R7041" s="44"/>
      <c r="S7041" s="44"/>
      <c r="T7041" s="44"/>
    </row>
    <row r="7042" spans="12:20" x14ac:dyDescent="0.2">
      <c r="L7042" s="43"/>
      <c r="M7042" s="43"/>
      <c r="N7042" s="43"/>
      <c r="O7042" s="43"/>
      <c r="Q7042" s="44"/>
      <c r="R7042" s="44"/>
      <c r="S7042" s="44"/>
      <c r="T7042" s="44"/>
    </row>
    <row r="7043" spans="12:20" x14ac:dyDescent="0.2">
      <c r="L7043" s="43"/>
      <c r="M7043" s="43"/>
      <c r="N7043" s="43"/>
      <c r="O7043" s="43"/>
      <c r="Q7043" s="44"/>
      <c r="R7043" s="44"/>
      <c r="S7043" s="44"/>
      <c r="T7043" s="44"/>
    </row>
    <row r="7044" spans="12:20" x14ac:dyDescent="0.2">
      <c r="L7044" s="43"/>
      <c r="M7044" s="43"/>
      <c r="N7044" s="43"/>
      <c r="O7044" s="43"/>
      <c r="Q7044" s="44"/>
      <c r="R7044" s="44"/>
      <c r="S7044" s="44"/>
      <c r="T7044" s="44"/>
    </row>
    <row r="7045" spans="12:20" x14ac:dyDescent="0.2">
      <c r="L7045" s="43"/>
      <c r="M7045" s="43"/>
      <c r="N7045" s="43"/>
      <c r="O7045" s="43"/>
      <c r="Q7045" s="44"/>
      <c r="R7045" s="44"/>
      <c r="S7045" s="44"/>
      <c r="T7045" s="44"/>
    </row>
    <row r="7046" spans="12:20" x14ac:dyDescent="0.2">
      <c r="L7046" s="43"/>
      <c r="M7046" s="43"/>
      <c r="N7046" s="43"/>
      <c r="O7046" s="43"/>
      <c r="Q7046" s="44"/>
      <c r="R7046" s="44"/>
      <c r="S7046" s="44"/>
      <c r="T7046" s="44"/>
    </row>
    <row r="7047" spans="12:20" x14ac:dyDescent="0.2">
      <c r="L7047" s="43"/>
      <c r="M7047" s="43"/>
      <c r="N7047" s="43"/>
      <c r="O7047" s="43"/>
      <c r="Q7047" s="44"/>
      <c r="R7047" s="44"/>
      <c r="S7047" s="44"/>
      <c r="T7047" s="44"/>
    </row>
    <row r="7048" spans="12:20" x14ac:dyDescent="0.2">
      <c r="L7048" s="43"/>
      <c r="M7048" s="43"/>
      <c r="N7048" s="43"/>
      <c r="O7048" s="43"/>
      <c r="Q7048" s="44"/>
      <c r="R7048" s="44"/>
      <c r="S7048" s="44"/>
      <c r="T7048" s="44"/>
    </row>
    <row r="7049" spans="12:20" x14ac:dyDescent="0.2">
      <c r="L7049" s="43"/>
      <c r="M7049" s="43"/>
      <c r="N7049" s="43"/>
      <c r="O7049" s="43"/>
      <c r="Q7049" s="44"/>
      <c r="R7049" s="44"/>
      <c r="S7049" s="44"/>
      <c r="T7049" s="44"/>
    </row>
    <row r="7050" spans="12:20" x14ac:dyDescent="0.2">
      <c r="L7050" s="43"/>
      <c r="M7050" s="43"/>
      <c r="N7050" s="43"/>
      <c r="O7050" s="43"/>
      <c r="Q7050" s="44"/>
      <c r="R7050" s="44"/>
      <c r="S7050" s="44"/>
      <c r="T7050" s="44"/>
    </row>
    <row r="7051" spans="12:20" x14ac:dyDescent="0.2">
      <c r="L7051" s="43"/>
      <c r="M7051" s="43"/>
      <c r="N7051" s="43"/>
      <c r="O7051" s="43"/>
      <c r="Q7051" s="44"/>
      <c r="R7051" s="44"/>
      <c r="S7051" s="44"/>
      <c r="T7051" s="44"/>
    </row>
    <row r="7052" spans="12:20" x14ac:dyDescent="0.2">
      <c r="L7052" s="43"/>
      <c r="M7052" s="43"/>
      <c r="N7052" s="43"/>
      <c r="O7052" s="43"/>
      <c r="Q7052" s="44"/>
      <c r="R7052" s="44"/>
      <c r="S7052" s="44"/>
      <c r="T7052" s="44"/>
    </row>
    <row r="7053" spans="12:20" x14ac:dyDescent="0.2">
      <c r="L7053" s="43"/>
      <c r="M7053" s="43"/>
      <c r="N7053" s="43"/>
      <c r="O7053" s="43"/>
      <c r="Q7053" s="44"/>
      <c r="R7053" s="44"/>
      <c r="S7053" s="44"/>
      <c r="T7053" s="44"/>
    </row>
    <row r="7054" spans="12:20" x14ac:dyDescent="0.2">
      <c r="L7054" s="43"/>
      <c r="M7054" s="43"/>
      <c r="N7054" s="43"/>
      <c r="O7054" s="43"/>
      <c r="Q7054" s="44"/>
      <c r="R7054" s="44"/>
      <c r="S7054" s="44"/>
      <c r="T7054" s="44"/>
    </row>
    <row r="7055" spans="12:20" x14ac:dyDescent="0.2">
      <c r="L7055" s="43"/>
      <c r="M7055" s="43"/>
      <c r="N7055" s="43"/>
      <c r="O7055" s="43"/>
      <c r="Q7055" s="44"/>
      <c r="R7055" s="44"/>
      <c r="S7055" s="44"/>
      <c r="T7055" s="44"/>
    </row>
    <row r="7056" spans="12:20" x14ac:dyDescent="0.2">
      <c r="L7056" s="43"/>
      <c r="M7056" s="43"/>
      <c r="N7056" s="43"/>
      <c r="O7056" s="43"/>
      <c r="Q7056" s="44"/>
      <c r="R7056" s="44"/>
      <c r="S7056" s="44"/>
      <c r="T7056" s="44"/>
    </row>
    <row r="7057" spans="12:20" x14ac:dyDescent="0.2">
      <c r="L7057" s="43"/>
      <c r="M7057" s="43"/>
      <c r="N7057" s="43"/>
      <c r="O7057" s="43"/>
      <c r="Q7057" s="44"/>
      <c r="R7057" s="44"/>
      <c r="S7057" s="44"/>
      <c r="T7057" s="44"/>
    </row>
    <row r="7058" spans="12:20" x14ac:dyDescent="0.2">
      <c r="L7058" s="43"/>
      <c r="M7058" s="43"/>
      <c r="N7058" s="43"/>
      <c r="O7058" s="43"/>
      <c r="Q7058" s="44"/>
      <c r="R7058" s="44"/>
      <c r="S7058" s="44"/>
      <c r="T7058" s="44"/>
    </row>
    <row r="7059" spans="12:20" x14ac:dyDescent="0.2">
      <c r="L7059" s="43"/>
      <c r="M7059" s="43"/>
      <c r="N7059" s="43"/>
      <c r="O7059" s="43"/>
      <c r="Q7059" s="44"/>
      <c r="R7059" s="44"/>
      <c r="S7059" s="44"/>
      <c r="T7059" s="44"/>
    </row>
    <row r="7060" spans="12:20" x14ac:dyDescent="0.2">
      <c r="L7060" s="43"/>
      <c r="M7060" s="43"/>
      <c r="N7060" s="43"/>
      <c r="O7060" s="43"/>
      <c r="Q7060" s="44"/>
      <c r="R7060" s="44"/>
      <c r="S7060" s="44"/>
      <c r="T7060" s="44"/>
    </row>
    <row r="7061" spans="12:20" x14ac:dyDescent="0.2">
      <c r="L7061" s="43"/>
      <c r="M7061" s="43"/>
      <c r="N7061" s="43"/>
      <c r="O7061" s="43"/>
      <c r="Q7061" s="44"/>
      <c r="R7061" s="44"/>
      <c r="S7061" s="44"/>
      <c r="T7061" s="44"/>
    </row>
    <row r="7062" spans="12:20" x14ac:dyDescent="0.2">
      <c r="L7062" s="43"/>
      <c r="M7062" s="43"/>
      <c r="N7062" s="43"/>
      <c r="O7062" s="43"/>
      <c r="Q7062" s="44"/>
      <c r="R7062" s="44"/>
      <c r="S7062" s="44"/>
      <c r="T7062" s="44"/>
    </row>
    <row r="7063" spans="12:20" x14ac:dyDescent="0.2">
      <c r="L7063" s="43"/>
      <c r="M7063" s="43"/>
      <c r="N7063" s="43"/>
      <c r="O7063" s="43"/>
      <c r="Q7063" s="44"/>
      <c r="R7063" s="44"/>
      <c r="S7063" s="44"/>
      <c r="T7063" s="44"/>
    </row>
    <row r="7064" spans="12:20" x14ac:dyDescent="0.2">
      <c r="L7064" s="43"/>
      <c r="M7064" s="43"/>
      <c r="N7064" s="43"/>
      <c r="O7064" s="43"/>
      <c r="Q7064" s="44"/>
      <c r="R7064" s="44"/>
      <c r="S7064" s="44"/>
      <c r="T7064" s="44"/>
    </row>
    <row r="7065" spans="12:20" x14ac:dyDescent="0.2">
      <c r="L7065" s="43"/>
      <c r="M7065" s="43"/>
      <c r="N7065" s="43"/>
      <c r="O7065" s="43"/>
      <c r="Q7065" s="44"/>
      <c r="R7065" s="44"/>
      <c r="S7065" s="44"/>
      <c r="T7065" s="44"/>
    </row>
    <row r="7066" spans="12:20" x14ac:dyDescent="0.2">
      <c r="L7066" s="43"/>
      <c r="M7066" s="43"/>
      <c r="N7066" s="43"/>
      <c r="O7066" s="43"/>
      <c r="Q7066" s="44"/>
      <c r="R7066" s="44"/>
      <c r="S7066" s="44"/>
      <c r="T7066" s="44"/>
    </row>
    <row r="7067" spans="12:20" x14ac:dyDescent="0.2">
      <c r="L7067" s="43"/>
      <c r="M7067" s="43"/>
      <c r="N7067" s="43"/>
      <c r="O7067" s="43"/>
      <c r="Q7067" s="44"/>
      <c r="R7067" s="44"/>
      <c r="S7067" s="44"/>
      <c r="T7067" s="44"/>
    </row>
    <row r="7068" spans="12:20" x14ac:dyDescent="0.2">
      <c r="L7068" s="43"/>
      <c r="M7068" s="43"/>
      <c r="N7068" s="43"/>
      <c r="O7068" s="43"/>
      <c r="Q7068" s="44"/>
      <c r="R7068" s="44"/>
      <c r="S7068" s="44"/>
      <c r="T7068" s="44"/>
    </row>
    <row r="7069" spans="12:20" x14ac:dyDescent="0.2">
      <c r="L7069" s="43"/>
      <c r="M7069" s="43"/>
      <c r="N7069" s="43"/>
      <c r="O7069" s="43"/>
      <c r="Q7069" s="44"/>
      <c r="R7069" s="44"/>
      <c r="S7069" s="44"/>
      <c r="T7069" s="44"/>
    </row>
    <row r="7070" spans="12:20" x14ac:dyDescent="0.2">
      <c r="L7070" s="43"/>
      <c r="M7070" s="43"/>
      <c r="N7070" s="43"/>
      <c r="O7070" s="43"/>
      <c r="Q7070" s="44"/>
      <c r="R7070" s="44"/>
      <c r="S7070" s="44"/>
      <c r="T7070" s="44"/>
    </row>
    <row r="7071" spans="12:20" x14ac:dyDescent="0.2">
      <c r="L7071" s="43"/>
      <c r="M7071" s="43"/>
      <c r="N7071" s="43"/>
      <c r="O7071" s="43"/>
      <c r="Q7071" s="44"/>
      <c r="R7071" s="44"/>
      <c r="S7071" s="44"/>
      <c r="T7071" s="44"/>
    </row>
    <row r="7072" spans="12:20" x14ac:dyDescent="0.2">
      <c r="L7072" s="43"/>
      <c r="M7072" s="43"/>
      <c r="N7072" s="43"/>
      <c r="O7072" s="43"/>
      <c r="Q7072" s="44"/>
      <c r="R7072" s="44"/>
      <c r="S7072" s="44"/>
      <c r="T7072" s="44"/>
    </row>
    <row r="7073" spans="12:20" x14ac:dyDescent="0.2">
      <c r="L7073" s="43"/>
      <c r="M7073" s="43"/>
      <c r="N7073" s="43"/>
      <c r="O7073" s="43"/>
      <c r="Q7073" s="44"/>
      <c r="R7073" s="44"/>
      <c r="S7073" s="44"/>
      <c r="T7073" s="44"/>
    </row>
    <row r="7074" spans="12:20" x14ac:dyDescent="0.2">
      <c r="L7074" s="43"/>
      <c r="M7074" s="43"/>
      <c r="N7074" s="43"/>
      <c r="O7074" s="43"/>
      <c r="Q7074" s="44"/>
      <c r="R7074" s="44"/>
      <c r="S7074" s="44"/>
      <c r="T7074" s="44"/>
    </row>
    <row r="7075" spans="12:20" x14ac:dyDescent="0.2">
      <c r="L7075" s="43"/>
      <c r="M7075" s="43"/>
      <c r="N7075" s="43"/>
      <c r="O7075" s="43"/>
      <c r="Q7075" s="44"/>
      <c r="R7075" s="44"/>
      <c r="S7075" s="44"/>
      <c r="T7075" s="44"/>
    </row>
    <row r="7076" spans="12:20" x14ac:dyDescent="0.2">
      <c r="L7076" s="43"/>
      <c r="M7076" s="43"/>
      <c r="N7076" s="43"/>
      <c r="O7076" s="43"/>
      <c r="Q7076" s="44"/>
      <c r="R7076" s="44"/>
      <c r="S7076" s="44"/>
      <c r="T7076" s="44"/>
    </row>
    <row r="7077" spans="12:20" x14ac:dyDescent="0.2">
      <c r="L7077" s="43"/>
      <c r="M7077" s="43"/>
      <c r="N7077" s="43"/>
      <c r="O7077" s="43"/>
      <c r="Q7077" s="44"/>
      <c r="R7077" s="44"/>
      <c r="S7077" s="44"/>
      <c r="T7077" s="44"/>
    </row>
    <row r="7078" spans="12:20" x14ac:dyDescent="0.2">
      <c r="L7078" s="43"/>
      <c r="M7078" s="43"/>
      <c r="N7078" s="43"/>
      <c r="O7078" s="43"/>
      <c r="Q7078" s="44"/>
      <c r="R7078" s="44"/>
      <c r="S7078" s="44"/>
      <c r="T7078" s="44"/>
    </row>
    <row r="7079" spans="12:20" x14ac:dyDescent="0.2">
      <c r="L7079" s="43"/>
      <c r="M7079" s="43"/>
      <c r="N7079" s="43"/>
      <c r="O7079" s="43"/>
      <c r="Q7079" s="44"/>
      <c r="R7079" s="44"/>
      <c r="S7079" s="44"/>
      <c r="T7079" s="44"/>
    </row>
    <row r="7080" spans="12:20" x14ac:dyDescent="0.2">
      <c r="L7080" s="43"/>
      <c r="M7080" s="43"/>
      <c r="N7080" s="43"/>
      <c r="O7080" s="43"/>
      <c r="Q7080" s="44"/>
      <c r="R7080" s="44"/>
      <c r="S7080" s="44"/>
      <c r="T7080" s="44"/>
    </row>
    <row r="7081" spans="12:20" x14ac:dyDescent="0.2">
      <c r="L7081" s="43"/>
      <c r="M7081" s="43"/>
      <c r="N7081" s="43"/>
      <c r="O7081" s="43"/>
      <c r="Q7081" s="44"/>
      <c r="R7081" s="44"/>
      <c r="S7081" s="44"/>
      <c r="T7081" s="44"/>
    </row>
    <row r="7082" spans="12:20" x14ac:dyDescent="0.2">
      <c r="L7082" s="43"/>
      <c r="M7082" s="43"/>
      <c r="N7082" s="43"/>
      <c r="O7082" s="43"/>
      <c r="Q7082" s="44"/>
      <c r="R7082" s="44"/>
      <c r="S7082" s="44"/>
      <c r="T7082" s="44"/>
    </row>
    <row r="7083" spans="12:20" x14ac:dyDescent="0.2">
      <c r="L7083" s="43"/>
      <c r="M7083" s="43"/>
      <c r="N7083" s="43"/>
      <c r="O7083" s="43"/>
      <c r="Q7083" s="44"/>
      <c r="R7083" s="44"/>
      <c r="S7083" s="44"/>
      <c r="T7083" s="44"/>
    </row>
    <row r="7084" spans="12:20" x14ac:dyDescent="0.2">
      <c r="L7084" s="43"/>
      <c r="M7084" s="43"/>
      <c r="N7084" s="43"/>
      <c r="O7084" s="43"/>
      <c r="Q7084" s="44"/>
      <c r="R7084" s="44"/>
      <c r="S7084" s="44"/>
      <c r="T7084" s="44"/>
    </row>
    <row r="7085" spans="12:20" x14ac:dyDescent="0.2">
      <c r="L7085" s="43"/>
      <c r="M7085" s="43"/>
      <c r="N7085" s="43"/>
      <c r="O7085" s="43"/>
      <c r="Q7085" s="44"/>
      <c r="R7085" s="44"/>
      <c r="S7085" s="44"/>
      <c r="T7085" s="44"/>
    </row>
    <row r="7086" spans="12:20" x14ac:dyDescent="0.2">
      <c r="L7086" s="43"/>
      <c r="M7086" s="43"/>
      <c r="N7086" s="43"/>
      <c r="O7086" s="43"/>
      <c r="Q7086" s="44"/>
      <c r="R7086" s="44"/>
      <c r="S7086" s="44"/>
      <c r="T7086" s="44"/>
    </row>
    <row r="7087" spans="12:20" x14ac:dyDescent="0.2">
      <c r="L7087" s="43"/>
      <c r="M7087" s="43"/>
      <c r="N7087" s="43"/>
      <c r="O7087" s="43"/>
      <c r="Q7087" s="44"/>
      <c r="R7087" s="44"/>
      <c r="S7087" s="44"/>
      <c r="T7087" s="44"/>
    </row>
    <row r="7088" spans="12:20" x14ac:dyDescent="0.2">
      <c r="L7088" s="43"/>
      <c r="M7088" s="43"/>
      <c r="N7088" s="43"/>
      <c r="O7088" s="43"/>
      <c r="Q7088" s="44"/>
      <c r="R7088" s="44"/>
      <c r="S7088" s="44"/>
      <c r="T7088" s="44"/>
    </row>
    <row r="7089" spans="12:20" x14ac:dyDescent="0.2">
      <c r="L7089" s="43"/>
      <c r="M7089" s="43"/>
      <c r="N7089" s="43"/>
      <c r="O7089" s="43"/>
      <c r="Q7089" s="44"/>
      <c r="R7089" s="44"/>
      <c r="S7089" s="44"/>
      <c r="T7089" s="44"/>
    </row>
    <row r="7090" spans="12:20" x14ac:dyDescent="0.2">
      <c r="L7090" s="43"/>
      <c r="M7090" s="43"/>
      <c r="N7090" s="43"/>
      <c r="O7090" s="43"/>
      <c r="Q7090" s="44"/>
      <c r="R7090" s="44"/>
      <c r="S7090" s="44"/>
      <c r="T7090" s="44"/>
    </row>
    <row r="7091" spans="12:20" x14ac:dyDescent="0.2">
      <c r="L7091" s="43"/>
      <c r="M7091" s="43"/>
      <c r="N7091" s="43"/>
      <c r="O7091" s="43"/>
      <c r="Q7091" s="44"/>
      <c r="R7091" s="44"/>
      <c r="S7091" s="44"/>
      <c r="T7091" s="44"/>
    </row>
    <row r="7092" spans="12:20" x14ac:dyDescent="0.2">
      <c r="L7092" s="43"/>
      <c r="M7092" s="43"/>
      <c r="N7092" s="43"/>
      <c r="O7092" s="43"/>
      <c r="Q7092" s="44"/>
      <c r="R7092" s="44"/>
      <c r="S7092" s="44"/>
      <c r="T7092" s="44"/>
    </row>
    <row r="7093" spans="12:20" x14ac:dyDescent="0.2">
      <c r="L7093" s="43"/>
      <c r="M7093" s="43"/>
      <c r="N7093" s="43"/>
      <c r="O7093" s="43"/>
      <c r="Q7093" s="44"/>
      <c r="R7093" s="44"/>
      <c r="S7093" s="44"/>
      <c r="T7093" s="44"/>
    </row>
    <row r="7094" spans="12:20" x14ac:dyDescent="0.2">
      <c r="L7094" s="43"/>
      <c r="M7094" s="43"/>
      <c r="N7094" s="43"/>
      <c r="O7094" s="43"/>
      <c r="Q7094" s="44"/>
      <c r="R7094" s="44"/>
      <c r="S7094" s="44"/>
      <c r="T7094" s="44"/>
    </row>
    <row r="7095" spans="12:20" x14ac:dyDescent="0.2">
      <c r="L7095" s="43"/>
      <c r="M7095" s="43"/>
      <c r="N7095" s="43"/>
      <c r="O7095" s="43"/>
      <c r="Q7095" s="44"/>
      <c r="R7095" s="44"/>
      <c r="S7095" s="44"/>
      <c r="T7095" s="44"/>
    </row>
    <row r="7096" spans="12:20" x14ac:dyDescent="0.2">
      <c r="L7096" s="43"/>
      <c r="M7096" s="43"/>
      <c r="N7096" s="43"/>
      <c r="O7096" s="43"/>
      <c r="Q7096" s="44"/>
      <c r="R7096" s="44"/>
      <c r="S7096" s="44"/>
      <c r="T7096" s="44"/>
    </row>
    <row r="7097" spans="12:20" x14ac:dyDescent="0.2">
      <c r="L7097" s="43"/>
      <c r="M7097" s="43"/>
      <c r="N7097" s="43"/>
      <c r="O7097" s="43"/>
      <c r="Q7097" s="44"/>
      <c r="R7097" s="44"/>
      <c r="S7097" s="44"/>
      <c r="T7097" s="44"/>
    </row>
    <row r="7098" spans="12:20" x14ac:dyDescent="0.2">
      <c r="L7098" s="43"/>
      <c r="M7098" s="43"/>
      <c r="N7098" s="43"/>
      <c r="O7098" s="43"/>
      <c r="Q7098" s="44"/>
      <c r="R7098" s="44"/>
      <c r="S7098" s="44"/>
      <c r="T7098" s="44"/>
    </row>
    <row r="7099" spans="12:20" x14ac:dyDescent="0.2">
      <c r="L7099" s="43"/>
      <c r="M7099" s="43"/>
      <c r="N7099" s="43"/>
      <c r="O7099" s="43"/>
      <c r="Q7099" s="44"/>
      <c r="R7099" s="44"/>
      <c r="S7099" s="44"/>
      <c r="T7099" s="44"/>
    </row>
    <row r="7100" spans="12:20" x14ac:dyDescent="0.2">
      <c r="L7100" s="43"/>
      <c r="M7100" s="43"/>
      <c r="N7100" s="43"/>
      <c r="O7100" s="43"/>
      <c r="Q7100" s="44"/>
      <c r="R7100" s="44"/>
      <c r="S7100" s="44"/>
      <c r="T7100" s="44"/>
    </row>
    <row r="7101" spans="12:20" x14ac:dyDescent="0.2">
      <c r="L7101" s="43"/>
      <c r="M7101" s="43"/>
      <c r="N7101" s="43"/>
      <c r="O7101" s="43"/>
      <c r="Q7101" s="44"/>
      <c r="R7101" s="44"/>
      <c r="S7101" s="44"/>
      <c r="T7101" s="44"/>
    </row>
    <row r="7102" spans="12:20" x14ac:dyDescent="0.2">
      <c r="L7102" s="43"/>
      <c r="M7102" s="43"/>
      <c r="N7102" s="43"/>
      <c r="O7102" s="43"/>
      <c r="Q7102" s="44"/>
      <c r="R7102" s="44"/>
      <c r="S7102" s="44"/>
      <c r="T7102" s="44"/>
    </row>
    <row r="7103" spans="12:20" x14ac:dyDescent="0.2">
      <c r="L7103" s="43"/>
      <c r="M7103" s="43"/>
      <c r="N7103" s="43"/>
      <c r="O7103" s="43"/>
      <c r="Q7103" s="44"/>
      <c r="R7103" s="44"/>
      <c r="S7103" s="44"/>
      <c r="T7103" s="44"/>
    </row>
    <row r="7104" spans="12:20" x14ac:dyDescent="0.2">
      <c r="L7104" s="43"/>
      <c r="M7104" s="43"/>
      <c r="N7104" s="43"/>
      <c r="O7104" s="43"/>
      <c r="Q7104" s="44"/>
      <c r="R7104" s="44"/>
      <c r="S7104" s="44"/>
      <c r="T7104" s="44"/>
    </row>
    <row r="7105" spans="12:20" x14ac:dyDescent="0.2">
      <c r="L7105" s="43"/>
      <c r="M7105" s="43"/>
      <c r="N7105" s="43"/>
      <c r="O7105" s="43"/>
      <c r="Q7105" s="44"/>
      <c r="R7105" s="44"/>
      <c r="S7105" s="44"/>
      <c r="T7105" s="44"/>
    </row>
    <row r="7106" spans="12:20" x14ac:dyDescent="0.2">
      <c r="L7106" s="43"/>
      <c r="M7106" s="43"/>
      <c r="N7106" s="43"/>
      <c r="O7106" s="43"/>
      <c r="Q7106" s="44"/>
      <c r="R7106" s="44"/>
      <c r="S7106" s="44"/>
      <c r="T7106" s="44"/>
    </row>
    <row r="7107" spans="12:20" x14ac:dyDescent="0.2">
      <c r="L7107" s="43"/>
      <c r="M7107" s="43"/>
      <c r="N7107" s="43"/>
      <c r="O7107" s="43"/>
      <c r="Q7107" s="44"/>
      <c r="R7107" s="44"/>
      <c r="S7107" s="44"/>
      <c r="T7107" s="44"/>
    </row>
    <row r="7108" spans="12:20" x14ac:dyDescent="0.2">
      <c r="L7108" s="43"/>
      <c r="M7108" s="43"/>
      <c r="N7108" s="43"/>
      <c r="O7108" s="43"/>
      <c r="Q7108" s="44"/>
      <c r="R7108" s="44"/>
      <c r="S7108" s="44"/>
      <c r="T7108" s="44"/>
    </row>
    <row r="7109" spans="12:20" x14ac:dyDescent="0.2">
      <c r="L7109" s="43"/>
      <c r="M7109" s="43"/>
      <c r="N7109" s="43"/>
      <c r="O7109" s="43"/>
      <c r="Q7109" s="44"/>
      <c r="R7109" s="44"/>
      <c r="S7109" s="44"/>
      <c r="T7109" s="44"/>
    </row>
    <row r="7110" spans="12:20" x14ac:dyDescent="0.2">
      <c r="L7110" s="43"/>
      <c r="M7110" s="43"/>
      <c r="N7110" s="43"/>
      <c r="O7110" s="43"/>
      <c r="Q7110" s="44"/>
      <c r="R7110" s="44"/>
      <c r="S7110" s="44"/>
      <c r="T7110" s="44"/>
    </row>
    <row r="7111" spans="12:20" x14ac:dyDescent="0.2">
      <c r="L7111" s="43"/>
      <c r="M7111" s="43"/>
      <c r="N7111" s="43"/>
      <c r="O7111" s="43"/>
      <c r="Q7111" s="44"/>
      <c r="R7111" s="44"/>
      <c r="S7111" s="44"/>
      <c r="T7111" s="44"/>
    </row>
    <row r="7112" spans="12:20" x14ac:dyDescent="0.2">
      <c r="L7112" s="43"/>
      <c r="M7112" s="43"/>
      <c r="N7112" s="43"/>
      <c r="O7112" s="43"/>
      <c r="Q7112" s="44"/>
      <c r="R7112" s="44"/>
      <c r="S7112" s="44"/>
      <c r="T7112" s="44"/>
    </row>
    <row r="7113" spans="12:20" x14ac:dyDescent="0.2">
      <c r="L7113" s="43"/>
      <c r="M7113" s="43"/>
      <c r="N7113" s="43"/>
      <c r="O7113" s="43"/>
      <c r="Q7113" s="44"/>
      <c r="R7113" s="44"/>
      <c r="S7113" s="44"/>
      <c r="T7113" s="44"/>
    </row>
    <row r="7114" spans="12:20" x14ac:dyDescent="0.2">
      <c r="L7114" s="43"/>
      <c r="M7114" s="43"/>
      <c r="N7114" s="43"/>
      <c r="O7114" s="43"/>
      <c r="Q7114" s="44"/>
      <c r="R7114" s="44"/>
      <c r="S7114" s="44"/>
      <c r="T7114" s="44"/>
    </row>
    <row r="7115" spans="12:20" x14ac:dyDescent="0.2">
      <c r="L7115" s="43"/>
      <c r="M7115" s="43"/>
      <c r="N7115" s="43"/>
      <c r="O7115" s="43"/>
      <c r="Q7115" s="44"/>
      <c r="R7115" s="44"/>
      <c r="S7115" s="44"/>
      <c r="T7115" s="44"/>
    </row>
    <row r="7116" spans="12:20" x14ac:dyDescent="0.2">
      <c r="L7116" s="43"/>
      <c r="M7116" s="43"/>
      <c r="N7116" s="43"/>
      <c r="O7116" s="43"/>
      <c r="Q7116" s="44"/>
      <c r="R7116" s="44"/>
      <c r="S7116" s="44"/>
      <c r="T7116" s="44"/>
    </row>
    <row r="7117" spans="12:20" x14ac:dyDescent="0.2">
      <c r="L7117" s="43"/>
      <c r="M7117" s="43"/>
      <c r="N7117" s="43"/>
      <c r="O7117" s="43"/>
      <c r="Q7117" s="44"/>
      <c r="R7117" s="44"/>
      <c r="S7117" s="44"/>
      <c r="T7117" s="44"/>
    </row>
    <row r="7118" spans="12:20" x14ac:dyDescent="0.2">
      <c r="L7118" s="43"/>
      <c r="M7118" s="43"/>
      <c r="N7118" s="43"/>
      <c r="O7118" s="43"/>
      <c r="Q7118" s="44"/>
      <c r="R7118" s="44"/>
      <c r="S7118" s="44"/>
      <c r="T7118" s="44"/>
    </row>
    <row r="7119" spans="12:20" x14ac:dyDescent="0.2">
      <c r="L7119" s="43"/>
      <c r="M7119" s="43"/>
      <c r="N7119" s="43"/>
      <c r="O7119" s="43"/>
      <c r="Q7119" s="44"/>
      <c r="R7119" s="44"/>
      <c r="S7119" s="44"/>
      <c r="T7119" s="44"/>
    </row>
    <row r="7120" spans="12:20" x14ac:dyDescent="0.2">
      <c r="L7120" s="43"/>
      <c r="M7120" s="43"/>
      <c r="N7120" s="43"/>
      <c r="O7120" s="43"/>
      <c r="Q7120" s="44"/>
      <c r="R7120" s="44"/>
      <c r="S7120" s="44"/>
      <c r="T7120" s="44"/>
    </row>
    <row r="7121" spans="12:20" x14ac:dyDescent="0.2">
      <c r="L7121" s="43"/>
      <c r="M7121" s="43"/>
      <c r="N7121" s="43"/>
      <c r="O7121" s="43"/>
      <c r="Q7121" s="44"/>
      <c r="R7121" s="44"/>
      <c r="S7121" s="44"/>
      <c r="T7121" s="44"/>
    </row>
    <row r="7122" spans="12:20" x14ac:dyDescent="0.2">
      <c r="L7122" s="43"/>
      <c r="M7122" s="43"/>
      <c r="N7122" s="43"/>
      <c r="O7122" s="43"/>
      <c r="Q7122" s="44"/>
      <c r="R7122" s="44"/>
      <c r="S7122" s="44"/>
      <c r="T7122" s="44"/>
    </row>
    <row r="7123" spans="12:20" x14ac:dyDescent="0.2">
      <c r="L7123" s="43"/>
      <c r="M7123" s="43"/>
      <c r="N7123" s="43"/>
      <c r="O7123" s="43"/>
      <c r="Q7123" s="44"/>
      <c r="R7123" s="44"/>
      <c r="S7123" s="44"/>
      <c r="T7123" s="44"/>
    </row>
    <row r="7124" spans="12:20" x14ac:dyDescent="0.2">
      <c r="L7124" s="43"/>
      <c r="M7124" s="43"/>
      <c r="N7124" s="43"/>
      <c r="O7124" s="43"/>
      <c r="Q7124" s="44"/>
      <c r="R7124" s="44"/>
      <c r="S7124" s="44"/>
      <c r="T7124" s="44"/>
    </row>
    <row r="7125" spans="12:20" x14ac:dyDescent="0.2">
      <c r="L7125" s="43"/>
      <c r="M7125" s="43"/>
      <c r="N7125" s="43"/>
      <c r="O7125" s="43"/>
      <c r="Q7125" s="44"/>
      <c r="R7125" s="44"/>
      <c r="S7125" s="44"/>
      <c r="T7125" s="44"/>
    </row>
    <row r="7126" spans="12:20" x14ac:dyDescent="0.2">
      <c r="L7126" s="43"/>
      <c r="M7126" s="43"/>
      <c r="N7126" s="43"/>
      <c r="O7126" s="43"/>
      <c r="Q7126" s="44"/>
      <c r="R7126" s="44"/>
      <c r="S7126" s="44"/>
      <c r="T7126" s="44"/>
    </row>
    <row r="7127" spans="12:20" x14ac:dyDescent="0.2">
      <c r="L7127" s="43"/>
      <c r="M7127" s="43"/>
      <c r="N7127" s="43"/>
      <c r="O7127" s="43"/>
      <c r="Q7127" s="44"/>
      <c r="R7127" s="44"/>
      <c r="S7127" s="44"/>
      <c r="T7127" s="44"/>
    </row>
    <row r="7128" spans="12:20" x14ac:dyDescent="0.2">
      <c r="L7128" s="43"/>
      <c r="M7128" s="43"/>
      <c r="N7128" s="43"/>
      <c r="O7128" s="43"/>
      <c r="Q7128" s="44"/>
      <c r="R7128" s="44"/>
      <c r="S7128" s="44"/>
      <c r="T7128" s="44"/>
    </row>
    <row r="7129" spans="12:20" x14ac:dyDescent="0.2">
      <c r="L7129" s="43"/>
      <c r="M7129" s="43"/>
      <c r="N7129" s="43"/>
      <c r="O7129" s="43"/>
      <c r="Q7129" s="44"/>
      <c r="R7129" s="44"/>
      <c r="S7129" s="44"/>
      <c r="T7129" s="44"/>
    </row>
    <row r="7130" spans="12:20" x14ac:dyDescent="0.2">
      <c r="L7130" s="43"/>
      <c r="M7130" s="43"/>
      <c r="N7130" s="43"/>
      <c r="O7130" s="43"/>
      <c r="Q7130" s="44"/>
      <c r="R7130" s="44"/>
      <c r="S7130" s="44"/>
      <c r="T7130" s="44"/>
    </row>
    <row r="7131" spans="12:20" x14ac:dyDescent="0.2">
      <c r="L7131" s="43"/>
      <c r="M7131" s="43"/>
      <c r="N7131" s="43"/>
      <c r="O7131" s="43"/>
      <c r="Q7131" s="44"/>
      <c r="R7131" s="44"/>
      <c r="S7131" s="44"/>
      <c r="T7131" s="44"/>
    </row>
    <row r="7132" spans="12:20" x14ac:dyDescent="0.2">
      <c r="L7132" s="43"/>
      <c r="M7132" s="43"/>
      <c r="N7132" s="43"/>
      <c r="O7132" s="43"/>
      <c r="Q7132" s="44"/>
      <c r="R7132" s="44"/>
      <c r="S7132" s="44"/>
      <c r="T7132" s="44"/>
    </row>
    <row r="7133" spans="12:20" x14ac:dyDescent="0.2">
      <c r="L7133" s="43"/>
      <c r="M7133" s="43"/>
      <c r="N7133" s="43"/>
      <c r="O7133" s="43"/>
      <c r="Q7133" s="44"/>
      <c r="R7133" s="44"/>
      <c r="S7133" s="44"/>
      <c r="T7133" s="44"/>
    </row>
    <row r="7134" spans="12:20" x14ac:dyDescent="0.2">
      <c r="L7134" s="43"/>
      <c r="M7134" s="43"/>
      <c r="N7134" s="43"/>
      <c r="O7134" s="43"/>
      <c r="Q7134" s="44"/>
      <c r="R7134" s="44"/>
      <c r="S7134" s="44"/>
      <c r="T7134" s="44"/>
    </row>
    <row r="7135" spans="12:20" x14ac:dyDescent="0.2">
      <c r="L7135" s="43"/>
      <c r="M7135" s="43"/>
      <c r="N7135" s="43"/>
      <c r="O7135" s="43"/>
      <c r="Q7135" s="44"/>
      <c r="R7135" s="44"/>
      <c r="S7135" s="44"/>
      <c r="T7135" s="44"/>
    </row>
    <row r="7136" spans="12:20" x14ac:dyDescent="0.2">
      <c r="L7136" s="43"/>
      <c r="M7136" s="43"/>
      <c r="N7136" s="43"/>
      <c r="O7136" s="43"/>
      <c r="Q7136" s="44"/>
      <c r="R7136" s="44"/>
      <c r="S7136" s="44"/>
      <c r="T7136" s="44"/>
    </row>
    <row r="7137" spans="12:20" x14ac:dyDescent="0.2">
      <c r="L7137" s="43"/>
      <c r="M7137" s="43"/>
      <c r="N7137" s="43"/>
      <c r="O7137" s="43"/>
      <c r="Q7137" s="44"/>
      <c r="R7137" s="44"/>
      <c r="S7137" s="44"/>
      <c r="T7137" s="44"/>
    </row>
    <row r="7138" spans="12:20" x14ac:dyDescent="0.2">
      <c r="L7138" s="43"/>
      <c r="M7138" s="43"/>
      <c r="N7138" s="43"/>
      <c r="O7138" s="43"/>
      <c r="Q7138" s="44"/>
      <c r="R7138" s="44"/>
      <c r="S7138" s="44"/>
      <c r="T7138" s="44"/>
    </row>
    <row r="7139" spans="12:20" x14ac:dyDescent="0.2">
      <c r="L7139" s="43"/>
      <c r="M7139" s="43"/>
      <c r="N7139" s="43"/>
      <c r="O7139" s="43"/>
      <c r="Q7139" s="44"/>
      <c r="R7139" s="44"/>
      <c r="S7139" s="44"/>
      <c r="T7139" s="44"/>
    </row>
    <row r="7140" spans="12:20" x14ac:dyDescent="0.2">
      <c r="L7140" s="43"/>
      <c r="M7140" s="43"/>
      <c r="N7140" s="43"/>
      <c r="O7140" s="43"/>
      <c r="Q7140" s="44"/>
      <c r="R7140" s="44"/>
      <c r="S7140" s="44"/>
      <c r="T7140" s="44"/>
    </row>
    <row r="7141" spans="12:20" x14ac:dyDescent="0.2">
      <c r="L7141" s="43"/>
      <c r="M7141" s="43"/>
      <c r="N7141" s="43"/>
      <c r="O7141" s="43"/>
      <c r="Q7141" s="44"/>
      <c r="R7141" s="44"/>
      <c r="S7141" s="44"/>
      <c r="T7141" s="44"/>
    </row>
    <row r="7142" spans="12:20" x14ac:dyDescent="0.2">
      <c r="L7142" s="43"/>
      <c r="M7142" s="43"/>
      <c r="N7142" s="43"/>
      <c r="O7142" s="43"/>
      <c r="Q7142" s="44"/>
      <c r="R7142" s="44"/>
      <c r="S7142" s="44"/>
      <c r="T7142" s="44"/>
    </row>
    <row r="7143" spans="12:20" x14ac:dyDescent="0.2">
      <c r="L7143" s="43"/>
      <c r="M7143" s="43"/>
      <c r="N7143" s="43"/>
      <c r="O7143" s="43"/>
      <c r="Q7143" s="44"/>
      <c r="R7143" s="44"/>
      <c r="S7143" s="44"/>
      <c r="T7143" s="44"/>
    </row>
    <row r="7144" spans="12:20" x14ac:dyDescent="0.2">
      <c r="L7144" s="43"/>
      <c r="M7144" s="43"/>
      <c r="N7144" s="43"/>
      <c r="O7144" s="43"/>
      <c r="Q7144" s="44"/>
      <c r="R7144" s="44"/>
      <c r="S7144" s="44"/>
      <c r="T7144" s="44"/>
    </row>
    <row r="7145" spans="12:20" x14ac:dyDescent="0.2">
      <c r="L7145" s="43"/>
      <c r="M7145" s="43"/>
      <c r="N7145" s="43"/>
      <c r="O7145" s="43"/>
      <c r="Q7145" s="44"/>
      <c r="R7145" s="44"/>
      <c r="S7145" s="44"/>
      <c r="T7145" s="44"/>
    </row>
    <row r="7146" spans="12:20" x14ac:dyDescent="0.2">
      <c r="L7146" s="43"/>
      <c r="M7146" s="43"/>
      <c r="N7146" s="43"/>
      <c r="O7146" s="43"/>
      <c r="Q7146" s="44"/>
      <c r="R7146" s="44"/>
      <c r="S7146" s="44"/>
      <c r="T7146" s="44"/>
    </row>
    <row r="7147" spans="12:20" x14ac:dyDescent="0.2">
      <c r="L7147" s="43"/>
      <c r="M7147" s="43"/>
      <c r="N7147" s="43"/>
      <c r="O7147" s="43"/>
      <c r="Q7147" s="44"/>
      <c r="R7147" s="44"/>
      <c r="S7147" s="44"/>
      <c r="T7147" s="44"/>
    </row>
    <row r="7148" spans="12:20" x14ac:dyDescent="0.2">
      <c r="L7148" s="43"/>
      <c r="M7148" s="43"/>
      <c r="N7148" s="43"/>
      <c r="O7148" s="43"/>
      <c r="Q7148" s="44"/>
      <c r="R7148" s="44"/>
      <c r="S7148" s="44"/>
      <c r="T7148" s="44"/>
    </row>
    <row r="7149" spans="12:20" x14ac:dyDescent="0.2">
      <c r="L7149" s="43"/>
      <c r="M7149" s="43"/>
      <c r="N7149" s="43"/>
      <c r="O7149" s="43"/>
      <c r="Q7149" s="44"/>
      <c r="R7149" s="44"/>
      <c r="S7149" s="44"/>
      <c r="T7149" s="44"/>
    </row>
    <row r="7150" spans="12:20" x14ac:dyDescent="0.2">
      <c r="L7150" s="43"/>
      <c r="M7150" s="43"/>
      <c r="N7150" s="43"/>
      <c r="O7150" s="43"/>
      <c r="Q7150" s="44"/>
      <c r="R7150" s="44"/>
      <c r="S7150" s="44"/>
      <c r="T7150" s="44"/>
    </row>
    <row r="7151" spans="12:20" x14ac:dyDescent="0.2">
      <c r="L7151" s="43"/>
      <c r="M7151" s="43"/>
      <c r="N7151" s="43"/>
      <c r="O7151" s="43"/>
      <c r="Q7151" s="44"/>
      <c r="R7151" s="44"/>
      <c r="S7151" s="44"/>
      <c r="T7151" s="44"/>
    </row>
    <row r="7152" spans="12:20" x14ac:dyDescent="0.2">
      <c r="L7152" s="43"/>
      <c r="M7152" s="43"/>
      <c r="N7152" s="43"/>
      <c r="O7152" s="43"/>
      <c r="Q7152" s="44"/>
      <c r="R7152" s="44"/>
      <c r="S7152" s="44"/>
      <c r="T7152" s="44"/>
    </row>
    <row r="7153" spans="12:20" x14ac:dyDescent="0.2">
      <c r="L7153" s="43"/>
      <c r="M7153" s="43"/>
      <c r="N7153" s="43"/>
      <c r="O7153" s="43"/>
      <c r="Q7153" s="44"/>
      <c r="R7153" s="44"/>
      <c r="S7153" s="44"/>
      <c r="T7153" s="44"/>
    </row>
    <row r="7154" spans="12:20" x14ac:dyDescent="0.2">
      <c r="L7154" s="43"/>
      <c r="M7154" s="43"/>
      <c r="N7154" s="43"/>
      <c r="O7154" s="43"/>
      <c r="Q7154" s="44"/>
      <c r="R7154" s="44"/>
      <c r="S7154" s="44"/>
      <c r="T7154" s="44"/>
    </row>
    <row r="7155" spans="12:20" x14ac:dyDescent="0.2">
      <c r="L7155" s="43"/>
      <c r="M7155" s="43"/>
      <c r="N7155" s="43"/>
      <c r="O7155" s="43"/>
      <c r="Q7155" s="44"/>
      <c r="R7155" s="44"/>
      <c r="S7155" s="44"/>
      <c r="T7155" s="44"/>
    </row>
    <row r="7156" spans="12:20" x14ac:dyDescent="0.2">
      <c r="L7156" s="43"/>
      <c r="M7156" s="43"/>
      <c r="N7156" s="43"/>
      <c r="O7156" s="43"/>
      <c r="Q7156" s="44"/>
      <c r="R7156" s="44"/>
      <c r="S7156" s="44"/>
      <c r="T7156" s="44"/>
    </row>
    <row r="7157" spans="12:20" x14ac:dyDescent="0.2">
      <c r="L7157" s="43"/>
      <c r="M7157" s="43"/>
      <c r="N7157" s="43"/>
      <c r="O7157" s="43"/>
      <c r="Q7157" s="44"/>
      <c r="R7157" s="44"/>
      <c r="S7157" s="44"/>
      <c r="T7157" s="44"/>
    </row>
    <row r="7158" spans="12:20" x14ac:dyDescent="0.2">
      <c r="L7158" s="43"/>
      <c r="M7158" s="43"/>
      <c r="N7158" s="43"/>
      <c r="O7158" s="43"/>
      <c r="Q7158" s="44"/>
      <c r="R7158" s="44"/>
      <c r="S7158" s="44"/>
      <c r="T7158" s="44"/>
    </row>
    <row r="7159" spans="12:20" x14ac:dyDescent="0.2">
      <c r="L7159" s="43"/>
      <c r="M7159" s="43"/>
      <c r="N7159" s="43"/>
      <c r="O7159" s="43"/>
      <c r="Q7159" s="44"/>
      <c r="R7159" s="44"/>
      <c r="S7159" s="44"/>
      <c r="T7159" s="44"/>
    </row>
    <row r="7160" spans="12:20" x14ac:dyDescent="0.2">
      <c r="L7160" s="43"/>
      <c r="M7160" s="43"/>
      <c r="N7160" s="43"/>
      <c r="O7160" s="43"/>
      <c r="Q7160" s="44"/>
      <c r="R7160" s="44"/>
      <c r="S7160" s="44"/>
      <c r="T7160" s="44"/>
    </row>
    <row r="7161" spans="12:20" x14ac:dyDescent="0.2">
      <c r="L7161" s="43"/>
      <c r="M7161" s="43"/>
      <c r="N7161" s="43"/>
      <c r="O7161" s="43"/>
      <c r="Q7161" s="44"/>
      <c r="R7161" s="44"/>
      <c r="S7161" s="44"/>
      <c r="T7161" s="44"/>
    </row>
    <row r="7162" spans="12:20" x14ac:dyDescent="0.2">
      <c r="L7162" s="43"/>
      <c r="M7162" s="43"/>
      <c r="N7162" s="43"/>
      <c r="O7162" s="43"/>
      <c r="Q7162" s="44"/>
      <c r="R7162" s="44"/>
      <c r="S7162" s="44"/>
      <c r="T7162" s="44"/>
    </row>
    <row r="7163" spans="12:20" x14ac:dyDescent="0.2">
      <c r="L7163" s="43"/>
      <c r="M7163" s="43"/>
      <c r="N7163" s="43"/>
      <c r="O7163" s="43"/>
      <c r="Q7163" s="44"/>
      <c r="R7163" s="44"/>
      <c r="S7163" s="44"/>
      <c r="T7163" s="44"/>
    </row>
    <row r="7164" spans="12:20" x14ac:dyDescent="0.2">
      <c r="L7164" s="43"/>
      <c r="M7164" s="43"/>
      <c r="N7164" s="43"/>
      <c r="O7164" s="43"/>
      <c r="Q7164" s="44"/>
      <c r="R7164" s="44"/>
      <c r="S7164" s="44"/>
      <c r="T7164" s="44"/>
    </row>
    <row r="7165" spans="12:20" x14ac:dyDescent="0.2">
      <c r="L7165" s="43"/>
      <c r="M7165" s="43"/>
      <c r="N7165" s="43"/>
      <c r="O7165" s="43"/>
      <c r="Q7165" s="44"/>
      <c r="R7165" s="44"/>
      <c r="S7165" s="44"/>
      <c r="T7165" s="44"/>
    </row>
    <row r="7166" spans="12:20" x14ac:dyDescent="0.2">
      <c r="L7166" s="43"/>
      <c r="M7166" s="43"/>
      <c r="N7166" s="43"/>
      <c r="O7166" s="43"/>
      <c r="Q7166" s="44"/>
      <c r="R7166" s="44"/>
      <c r="S7166" s="44"/>
      <c r="T7166" s="44"/>
    </row>
    <row r="7167" spans="12:20" x14ac:dyDescent="0.2">
      <c r="L7167" s="43"/>
      <c r="M7167" s="43"/>
      <c r="N7167" s="43"/>
      <c r="O7167" s="43"/>
      <c r="Q7167" s="44"/>
      <c r="R7167" s="44"/>
      <c r="S7167" s="44"/>
      <c r="T7167" s="44"/>
    </row>
    <row r="7168" spans="12:20" x14ac:dyDescent="0.2">
      <c r="L7168" s="43"/>
      <c r="M7168" s="43"/>
      <c r="N7168" s="43"/>
      <c r="O7168" s="43"/>
      <c r="Q7168" s="44"/>
      <c r="R7168" s="44"/>
      <c r="S7168" s="44"/>
      <c r="T7168" s="44"/>
    </row>
    <row r="7169" spans="12:20" x14ac:dyDescent="0.2">
      <c r="L7169" s="43"/>
      <c r="M7169" s="43"/>
      <c r="N7169" s="43"/>
      <c r="O7169" s="43"/>
      <c r="Q7169" s="44"/>
      <c r="R7169" s="44"/>
      <c r="S7169" s="44"/>
      <c r="T7169" s="44"/>
    </row>
    <row r="7170" spans="12:20" x14ac:dyDescent="0.2">
      <c r="L7170" s="43"/>
      <c r="M7170" s="43"/>
      <c r="N7170" s="43"/>
      <c r="O7170" s="43"/>
      <c r="Q7170" s="44"/>
      <c r="R7170" s="44"/>
      <c r="S7170" s="44"/>
      <c r="T7170" s="44"/>
    </row>
    <row r="7171" spans="12:20" x14ac:dyDescent="0.2">
      <c r="L7171" s="43"/>
      <c r="M7171" s="43"/>
      <c r="N7171" s="43"/>
      <c r="O7171" s="43"/>
      <c r="Q7171" s="44"/>
      <c r="R7171" s="44"/>
      <c r="S7171" s="44"/>
      <c r="T7171" s="44"/>
    </row>
    <row r="7172" spans="12:20" x14ac:dyDescent="0.2">
      <c r="L7172" s="43"/>
      <c r="M7172" s="43"/>
      <c r="N7172" s="43"/>
      <c r="O7172" s="43"/>
      <c r="Q7172" s="44"/>
      <c r="R7172" s="44"/>
      <c r="S7172" s="44"/>
      <c r="T7172" s="44"/>
    </row>
    <row r="7173" spans="12:20" x14ac:dyDescent="0.2">
      <c r="L7173" s="43"/>
      <c r="M7173" s="43"/>
      <c r="N7173" s="43"/>
      <c r="O7173" s="43"/>
      <c r="Q7173" s="44"/>
      <c r="R7173" s="44"/>
      <c r="S7173" s="44"/>
      <c r="T7173" s="44"/>
    </row>
    <row r="7174" spans="12:20" x14ac:dyDescent="0.2">
      <c r="L7174" s="43"/>
      <c r="M7174" s="43"/>
      <c r="N7174" s="43"/>
      <c r="O7174" s="43"/>
      <c r="Q7174" s="44"/>
      <c r="R7174" s="44"/>
      <c r="S7174" s="44"/>
      <c r="T7174" s="44"/>
    </row>
    <row r="7175" spans="12:20" x14ac:dyDescent="0.2">
      <c r="L7175" s="43"/>
      <c r="M7175" s="43"/>
      <c r="N7175" s="43"/>
      <c r="O7175" s="43"/>
      <c r="Q7175" s="44"/>
      <c r="R7175" s="44"/>
      <c r="S7175" s="44"/>
      <c r="T7175" s="44"/>
    </row>
    <row r="7176" spans="12:20" x14ac:dyDescent="0.2">
      <c r="L7176" s="43"/>
      <c r="M7176" s="43"/>
      <c r="N7176" s="43"/>
      <c r="O7176" s="43"/>
      <c r="Q7176" s="44"/>
      <c r="R7176" s="44"/>
      <c r="S7176" s="44"/>
      <c r="T7176" s="44"/>
    </row>
    <row r="7177" spans="12:20" x14ac:dyDescent="0.2">
      <c r="L7177" s="43"/>
      <c r="M7177" s="43"/>
      <c r="N7177" s="43"/>
      <c r="O7177" s="43"/>
      <c r="Q7177" s="44"/>
      <c r="R7177" s="44"/>
      <c r="S7177" s="44"/>
      <c r="T7177" s="44"/>
    </row>
    <row r="7178" spans="12:20" x14ac:dyDescent="0.2">
      <c r="L7178" s="43"/>
      <c r="M7178" s="43"/>
      <c r="N7178" s="43"/>
      <c r="O7178" s="43"/>
      <c r="Q7178" s="44"/>
      <c r="R7178" s="44"/>
      <c r="S7178" s="44"/>
      <c r="T7178" s="44"/>
    </row>
    <row r="7179" spans="12:20" x14ac:dyDescent="0.2">
      <c r="L7179" s="43"/>
      <c r="M7179" s="43"/>
      <c r="N7179" s="43"/>
      <c r="O7179" s="43"/>
      <c r="Q7179" s="44"/>
      <c r="R7179" s="44"/>
      <c r="S7179" s="44"/>
      <c r="T7179" s="44"/>
    </row>
    <row r="7180" spans="12:20" x14ac:dyDescent="0.2">
      <c r="L7180" s="43"/>
      <c r="M7180" s="43"/>
      <c r="N7180" s="43"/>
      <c r="O7180" s="43"/>
      <c r="Q7180" s="44"/>
      <c r="R7180" s="44"/>
      <c r="S7180" s="44"/>
      <c r="T7180" s="44"/>
    </row>
    <row r="7181" spans="12:20" x14ac:dyDescent="0.2">
      <c r="L7181" s="43"/>
      <c r="M7181" s="43"/>
      <c r="N7181" s="43"/>
      <c r="O7181" s="43"/>
      <c r="Q7181" s="44"/>
      <c r="R7181" s="44"/>
      <c r="S7181" s="44"/>
      <c r="T7181" s="44"/>
    </row>
    <row r="7182" spans="12:20" x14ac:dyDescent="0.2">
      <c r="L7182" s="43"/>
      <c r="M7182" s="43"/>
      <c r="N7182" s="43"/>
      <c r="O7182" s="43"/>
      <c r="Q7182" s="44"/>
      <c r="R7182" s="44"/>
      <c r="S7182" s="44"/>
      <c r="T7182" s="44"/>
    </row>
    <row r="7183" spans="12:20" x14ac:dyDescent="0.2">
      <c r="L7183" s="43"/>
      <c r="M7183" s="43"/>
      <c r="N7183" s="43"/>
      <c r="O7183" s="43"/>
      <c r="Q7183" s="44"/>
      <c r="R7183" s="44"/>
      <c r="S7183" s="44"/>
      <c r="T7183" s="44"/>
    </row>
    <row r="7184" spans="12:20" x14ac:dyDescent="0.2">
      <c r="L7184" s="43"/>
      <c r="M7184" s="43"/>
      <c r="N7184" s="43"/>
      <c r="O7184" s="43"/>
      <c r="Q7184" s="44"/>
      <c r="R7184" s="44"/>
      <c r="S7184" s="44"/>
      <c r="T7184" s="44"/>
    </row>
    <row r="7185" spans="12:20" x14ac:dyDescent="0.2">
      <c r="L7185" s="43"/>
      <c r="M7185" s="43"/>
      <c r="N7185" s="43"/>
      <c r="O7185" s="43"/>
      <c r="Q7185" s="44"/>
      <c r="R7185" s="44"/>
      <c r="S7185" s="44"/>
      <c r="T7185" s="44"/>
    </row>
    <row r="7186" spans="12:20" x14ac:dyDescent="0.2">
      <c r="L7186" s="43"/>
      <c r="M7186" s="43"/>
      <c r="N7186" s="43"/>
      <c r="O7186" s="43"/>
      <c r="Q7186" s="44"/>
      <c r="R7186" s="44"/>
      <c r="S7186" s="44"/>
      <c r="T7186" s="44"/>
    </row>
    <row r="7187" spans="12:20" x14ac:dyDescent="0.2">
      <c r="L7187" s="43"/>
      <c r="M7187" s="43"/>
      <c r="N7187" s="43"/>
      <c r="O7187" s="43"/>
      <c r="Q7187" s="44"/>
      <c r="R7187" s="44"/>
      <c r="S7187" s="44"/>
      <c r="T7187" s="44"/>
    </row>
    <row r="7188" spans="12:20" x14ac:dyDescent="0.2">
      <c r="L7188" s="43"/>
      <c r="M7188" s="43"/>
      <c r="N7188" s="43"/>
      <c r="O7188" s="43"/>
      <c r="Q7188" s="44"/>
      <c r="R7188" s="44"/>
      <c r="S7188" s="44"/>
      <c r="T7188" s="44"/>
    </row>
    <row r="7189" spans="12:20" x14ac:dyDescent="0.2">
      <c r="L7189" s="43"/>
      <c r="M7189" s="43"/>
      <c r="N7189" s="43"/>
      <c r="O7189" s="43"/>
      <c r="Q7189" s="44"/>
      <c r="R7189" s="44"/>
      <c r="S7189" s="44"/>
      <c r="T7189" s="44"/>
    </row>
    <row r="7190" spans="12:20" x14ac:dyDescent="0.2">
      <c r="L7190" s="43"/>
      <c r="M7190" s="43"/>
      <c r="N7190" s="43"/>
      <c r="O7190" s="43"/>
      <c r="Q7190" s="44"/>
      <c r="R7190" s="44"/>
      <c r="S7190" s="44"/>
      <c r="T7190" s="44"/>
    </row>
    <row r="7191" spans="12:20" x14ac:dyDescent="0.2">
      <c r="L7191" s="43"/>
      <c r="M7191" s="43"/>
      <c r="N7191" s="43"/>
      <c r="O7191" s="43"/>
      <c r="Q7191" s="44"/>
      <c r="R7191" s="44"/>
      <c r="S7191" s="44"/>
      <c r="T7191" s="44"/>
    </row>
    <row r="7192" spans="12:20" x14ac:dyDescent="0.2">
      <c r="L7192" s="43"/>
      <c r="M7192" s="43"/>
      <c r="N7192" s="43"/>
      <c r="O7192" s="43"/>
      <c r="Q7192" s="44"/>
      <c r="R7192" s="44"/>
      <c r="S7192" s="44"/>
      <c r="T7192" s="44"/>
    </row>
    <row r="7193" spans="12:20" x14ac:dyDescent="0.2">
      <c r="L7193" s="43"/>
      <c r="M7193" s="43"/>
      <c r="N7193" s="43"/>
      <c r="O7193" s="43"/>
      <c r="Q7193" s="44"/>
      <c r="R7193" s="44"/>
      <c r="S7193" s="44"/>
      <c r="T7193" s="44"/>
    </row>
    <row r="7194" spans="12:20" x14ac:dyDescent="0.2">
      <c r="L7194" s="43"/>
      <c r="M7194" s="43"/>
      <c r="N7194" s="43"/>
      <c r="O7194" s="43"/>
      <c r="Q7194" s="44"/>
      <c r="R7194" s="44"/>
      <c r="S7194" s="44"/>
      <c r="T7194" s="44"/>
    </row>
    <row r="7195" spans="12:20" x14ac:dyDescent="0.2">
      <c r="L7195" s="43"/>
      <c r="M7195" s="43"/>
      <c r="N7195" s="43"/>
      <c r="O7195" s="43"/>
      <c r="Q7195" s="44"/>
      <c r="R7195" s="44"/>
      <c r="S7195" s="44"/>
      <c r="T7195" s="44"/>
    </row>
    <row r="7196" spans="12:20" x14ac:dyDescent="0.2">
      <c r="L7196" s="43"/>
      <c r="M7196" s="43"/>
      <c r="N7196" s="43"/>
      <c r="O7196" s="43"/>
      <c r="Q7196" s="44"/>
      <c r="R7196" s="44"/>
      <c r="S7196" s="44"/>
      <c r="T7196" s="44"/>
    </row>
    <row r="7197" spans="12:20" x14ac:dyDescent="0.2">
      <c r="L7197" s="43"/>
      <c r="M7197" s="43"/>
      <c r="N7197" s="43"/>
      <c r="O7197" s="43"/>
      <c r="Q7197" s="44"/>
      <c r="R7197" s="44"/>
      <c r="S7197" s="44"/>
      <c r="T7197" s="44"/>
    </row>
    <row r="7198" spans="12:20" x14ac:dyDescent="0.2">
      <c r="L7198" s="43"/>
      <c r="M7198" s="43"/>
      <c r="N7198" s="43"/>
      <c r="O7198" s="43"/>
      <c r="Q7198" s="44"/>
      <c r="R7198" s="44"/>
      <c r="S7198" s="44"/>
      <c r="T7198" s="44"/>
    </row>
    <row r="7199" spans="12:20" x14ac:dyDescent="0.2">
      <c r="L7199" s="43"/>
      <c r="M7199" s="43"/>
      <c r="N7199" s="43"/>
      <c r="O7199" s="43"/>
      <c r="Q7199" s="44"/>
      <c r="R7199" s="44"/>
      <c r="S7199" s="44"/>
      <c r="T7199" s="44"/>
    </row>
    <row r="7200" spans="12:20" x14ac:dyDescent="0.2">
      <c r="L7200" s="43"/>
      <c r="M7200" s="43"/>
      <c r="N7200" s="43"/>
      <c r="O7200" s="43"/>
      <c r="Q7200" s="44"/>
      <c r="R7200" s="44"/>
      <c r="S7200" s="44"/>
      <c r="T7200" s="44"/>
    </row>
    <row r="7201" spans="12:20" x14ac:dyDescent="0.2">
      <c r="L7201" s="43"/>
      <c r="M7201" s="43"/>
      <c r="N7201" s="43"/>
      <c r="O7201" s="43"/>
      <c r="Q7201" s="44"/>
      <c r="R7201" s="44"/>
      <c r="S7201" s="44"/>
      <c r="T7201" s="44"/>
    </row>
    <row r="7202" spans="12:20" x14ac:dyDescent="0.2">
      <c r="L7202" s="43"/>
      <c r="M7202" s="43"/>
      <c r="N7202" s="43"/>
      <c r="O7202" s="43"/>
      <c r="Q7202" s="44"/>
      <c r="R7202" s="44"/>
      <c r="S7202" s="44"/>
      <c r="T7202" s="44"/>
    </row>
    <row r="7203" spans="12:20" x14ac:dyDescent="0.2">
      <c r="L7203" s="43"/>
      <c r="M7203" s="43"/>
      <c r="N7203" s="43"/>
      <c r="O7203" s="43"/>
      <c r="Q7203" s="44"/>
      <c r="R7203" s="44"/>
      <c r="S7203" s="44"/>
      <c r="T7203" s="44"/>
    </row>
    <row r="7204" spans="12:20" x14ac:dyDescent="0.2">
      <c r="L7204" s="43"/>
      <c r="M7204" s="43"/>
      <c r="N7204" s="43"/>
      <c r="O7204" s="43"/>
      <c r="Q7204" s="44"/>
      <c r="R7204" s="44"/>
      <c r="S7204" s="44"/>
      <c r="T7204" s="44"/>
    </row>
    <row r="7205" spans="12:20" x14ac:dyDescent="0.2">
      <c r="L7205" s="43"/>
      <c r="M7205" s="43"/>
      <c r="N7205" s="43"/>
      <c r="O7205" s="43"/>
      <c r="Q7205" s="44"/>
      <c r="R7205" s="44"/>
      <c r="S7205" s="44"/>
      <c r="T7205" s="44"/>
    </row>
    <row r="7206" spans="12:20" x14ac:dyDescent="0.2">
      <c r="L7206" s="43"/>
      <c r="M7206" s="43"/>
      <c r="N7206" s="43"/>
      <c r="O7206" s="43"/>
      <c r="Q7206" s="44"/>
      <c r="R7206" s="44"/>
      <c r="S7206" s="44"/>
      <c r="T7206" s="44"/>
    </row>
    <row r="7207" spans="12:20" x14ac:dyDescent="0.2">
      <c r="L7207" s="43"/>
      <c r="M7207" s="43"/>
      <c r="N7207" s="43"/>
      <c r="O7207" s="43"/>
      <c r="Q7207" s="44"/>
      <c r="R7207" s="44"/>
      <c r="S7207" s="44"/>
      <c r="T7207" s="44"/>
    </row>
    <row r="7208" spans="12:20" x14ac:dyDescent="0.2">
      <c r="L7208" s="43"/>
      <c r="M7208" s="43"/>
      <c r="N7208" s="43"/>
      <c r="O7208" s="43"/>
      <c r="Q7208" s="44"/>
      <c r="R7208" s="44"/>
      <c r="S7208" s="44"/>
      <c r="T7208" s="44"/>
    </row>
    <row r="7209" spans="12:20" x14ac:dyDescent="0.2">
      <c r="L7209" s="43"/>
      <c r="M7209" s="43"/>
      <c r="N7209" s="43"/>
      <c r="O7209" s="43"/>
      <c r="Q7209" s="44"/>
      <c r="R7209" s="44"/>
      <c r="S7209" s="44"/>
      <c r="T7209" s="44"/>
    </row>
    <row r="7210" spans="12:20" x14ac:dyDescent="0.2">
      <c r="L7210" s="43"/>
      <c r="M7210" s="43"/>
      <c r="N7210" s="43"/>
      <c r="O7210" s="43"/>
      <c r="Q7210" s="44"/>
      <c r="R7210" s="44"/>
      <c r="S7210" s="44"/>
      <c r="T7210" s="44"/>
    </row>
    <row r="7211" spans="12:20" x14ac:dyDescent="0.2">
      <c r="L7211" s="43"/>
      <c r="M7211" s="43"/>
      <c r="N7211" s="43"/>
      <c r="O7211" s="43"/>
      <c r="Q7211" s="44"/>
      <c r="R7211" s="44"/>
      <c r="S7211" s="44"/>
      <c r="T7211" s="44"/>
    </row>
    <row r="7212" spans="12:20" x14ac:dyDescent="0.2">
      <c r="L7212" s="43"/>
      <c r="M7212" s="43"/>
      <c r="N7212" s="43"/>
      <c r="O7212" s="43"/>
      <c r="Q7212" s="44"/>
      <c r="R7212" s="44"/>
      <c r="S7212" s="44"/>
      <c r="T7212" s="44"/>
    </row>
    <row r="7213" spans="12:20" x14ac:dyDescent="0.2">
      <c r="L7213" s="43"/>
      <c r="M7213" s="43"/>
      <c r="N7213" s="43"/>
      <c r="O7213" s="43"/>
      <c r="Q7213" s="44"/>
      <c r="R7213" s="44"/>
      <c r="S7213" s="44"/>
      <c r="T7213" s="44"/>
    </row>
    <row r="7214" spans="12:20" x14ac:dyDescent="0.2">
      <c r="L7214" s="43"/>
      <c r="M7214" s="43"/>
      <c r="N7214" s="43"/>
      <c r="O7214" s="43"/>
      <c r="Q7214" s="44"/>
      <c r="R7214" s="44"/>
      <c r="S7214" s="44"/>
      <c r="T7214" s="44"/>
    </row>
    <row r="7215" spans="12:20" x14ac:dyDescent="0.2">
      <c r="L7215" s="43"/>
      <c r="M7215" s="43"/>
      <c r="N7215" s="43"/>
      <c r="O7215" s="43"/>
      <c r="Q7215" s="44"/>
      <c r="R7215" s="44"/>
      <c r="S7215" s="44"/>
      <c r="T7215" s="44"/>
    </row>
    <row r="7216" spans="12:20" x14ac:dyDescent="0.2">
      <c r="L7216" s="43"/>
      <c r="M7216" s="43"/>
      <c r="N7216" s="43"/>
      <c r="O7216" s="43"/>
      <c r="Q7216" s="44"/>
      <c r="R7216" s="44"/>
      <c r="S7216" s="44"/>
      <c r="T7216" s="44"/>
    </row>
    <row r="7217" spans="12:20" x14ac:dyDescent="0.2">
      <c r="L7217" s="43"/>
      <c r="M7217" s="43"/>
      <c r="N7217" s="43"/>
      <c r="O7217" s="43"/>
      <c r="Q7217" s="44"/>
      <c r="R7217" s="44"/>
      <c r="S7217" s="44"/>
      <c r="T7217" s="44"/>
    </row>
    <row r="7218" spans="12:20" x14ac:dyDescent="0.2">
      <c r="L7218" s="43"/>
      <c r="M7218" s="43"/>
      <c r="N7218" s="43"/>
      <c r="O7218" s="43"/>
      <c r="Q7218" s="44"/>
      <c r="R7218" s="44"/>
      <c r="S7218" s="44"/>
      <c r="T7218" s="44"/>
    </row>
    <row r="7219" spans="12:20" x14ac:dyDescent="0.2">
      <c r="L7219" s="43"/>
      <c r="M7219" s="43"/>
      <c r="N7219" s="43"/>
      <c r="O7219" s="43"/>
      <c r="Q7219" s="44"/>
      <c r="R7219" s="44"/>
      <c r="S7219" s="44"/>
      <c r="T7219" s="44"/>
    </row>
    <row r="7220" spans="12:20" x14ac:dyDescent="0.2">
      <c r="L7220" s="43"/>
      <c r="M7220" s="43"/>
      <c r="N7220" s="43"/>
      <c r="O7220" s="43"/>
      <c r="Q7220" s="44"/>
      <c r="R7220" s="44"/>
      <c r="S7220" s="44"/>
      <c r="T7220" s="44"/>
    </row>
    <row r="7221" spans="12:20" x14ac:dyDescent="0.2">
      <c r="L7221" s="43"/>
      <c r="M7221" s="43"/>
      <c r="N7221" s="43"/>
      <c r="O7221" s="43"/>
      <c r="Q7221" s="44"/>
      <c r="R7221" s="44"/>
      <c r="S7221" s="44"/>
      <c r="T7221" s="44"/>
    </row>
    <row r="7222" spans="12:20" x14ac:dyDescent="0.2">
      <c r="L7222" s="43"/>
      <c r="M7222" s="43"/>
      <c r="N7222" s="43"/>
      <c r="O7222" s="43"/>
      <c r="Q7222" s="44"/>
      <c r="R7222" s="44"/>
      <c r="S7222" s="44"/>
      <c r="T7222" s="44"/>
    </row>
    <row r="7223" spans="12:20" x14ac:dyDescent="0.2">
      <c r="L7223" s="43"/>
      <c r="M7223" s="43"/>
      <c r="N7223" s="43"/>
      <c r="O7223" s="43"/>
      <c r="Q7223" s="44"/>
      <c r="R7223" s="44"/>
      <c r="S7223" s="44"/>
      <c r="T7223" s="44"/>
    </row>
    <row r="7224" spans="12:20" x14ac:dyDescent="0.2">
      <c r="L7224" s="43"/>
      <c r="M7224" s="43"/>
      <c r="N7224" s="43"/>
      <c r="O7224" s="43"/>
      <c r="Q7224" s="44"/>
      <c r="R7224" s="44"/>
      <c r="S7224" s="44"/>
      <c r="T7224" s="44"/>
    </row>
    <row r="7225" spans="12:20" x14ac:dyDescent="0.2">
      <c r="L7225" s="43"/>
      <c r="M7225" s="43"/>
      <c r="N7225" s="43"/>
      <c r="O7225" s="43"/>
      <c r="Q7225" s="44"/>
      <c r="R7225" s="44"/>
      <c r="S7225" s="44"/>
      <c r="T7225" s="44"/>
    </row>
    <row r="7226" spans="12:20" x14ac:dyDescent="0.2">
      <c r="L7226" s="43"/>
      <c r="M7226" s="43"/>
      <c r="N7226" s="43"/>
      <c r="O7226" s="43"/>
      <c r="Q7226" s="44"/>
      <c r="R7226" s="44"/>
      <c r="S7226" s="44"/>
      <c r="T7226" s="44"/>
    </row>
    <row r="7227" spans="12:20" x14ac:dyDescent="0.2">
      <c r="L7227" s="43"/>
      <c r="M7227" s="43"/>
      <c r="N7227" s="43"/>
      <c r="O7227" s="43"/>
      <c r="Q7227" s="44"/>
      <c r="R7227" s="44"/>
      <c r="S7227" s="44"/>
      <c r="T7227" s="44"/>
    </row>
    <row r="7228" spans="12:20" x14ac:dyDescent="0.2">
      <c r="L7228" s="43"/>
      <c r="M7228" s="43"/>
      <c r="N7228" s="43"/>
      <c r="O7228" s="43"/>
      <c r="Q7228" s="44"/>
      <c r="R7228" s="44"/>
      <c r="S7228" s="44"/>
      <c r="T7228" s="44"/>
    </row>
    <row r="7229" spans="12:20" x14ac:dyDescent="0.2">
      <c r="L7229" s="43"/>
      <c r="M7229" s="43"/>
      <c r="N7229" s="43"/>
      <c r="O7229" s="43"/>
      <c r="Q7229" s="44"/>
      <c r="R7229" s="44"/>
      <c r="S7229" s="44"/>
      <c r="T7229" s="44"/>
    </row>
    <row r="7230" spans="12:20" x14ac:dyDescent="0.2">
      <c r="L7230" s="43"/>
      <c r="M7230" s="43"/>
      <c r="N7230" s="43"/>
      <c r="O7230" s="43"/>
      <c r="Q7230" s="44"/>
      <c r="R7230" s="44"/>
      <c r="S7230" s="44"/>
      <c r="T7230" s="44"/>
    </row>
    <row r="7231" spans="12:20" x14ac:dyDescent="0.2">
      <c r="L7231" s="43"/>
      <c r="M7231" s="43"/>
      <c r="N7231" s="43"/>
      <c r="O7231" s="43"/>
      <c r="Q7231" s="44"/>
      <c r="R7231" s="44"/>
      <c r="S7231" s="44"/>
      <c r="T7231" s="44"/>
    </row>
    <row r="7232" spans="12:20" x14ac:dyDescent="0.2">
      <c r="L7232" s="43"/>
      <c r="M7232" s="43"/>
      <c r="N7232" s="43"/>
      <c r="O7232" s="43"/>
      <c r="Q7232" s="44"/>
      <c r="R7232" s="44"/>
      <c r="S7232" s="44"/>
      <c r="T7232" s="44"/>
    </row>
    <row r="7233" spans="12:20" x14ac:dyDescent="0.2">
      <c r="L7233" s="43"/>
      <c r="M7233" s="43"/>
      <c r="N7233" s="43"/>
      <c r="O7233" s="43"/>
      <c r="Q7233" s="44"/>
      <c r="R7233" s="44"/>
      <c r="S7233" s="44"/>
      <c r="T7233" s="44"/>
    </row>
    <row r="7234" spans="12:20" x14ac:dyDescent="0.2">
      <c r="L7234" s="43"/>
      <c r="M7234" s="43"/>
      <c r="N7234" s="43"/>
      <c r="O7234" s="43"/>
      <c r="Q7234" s="44"/>
      <c r="R7234" s="44"/>
      <c r="S7234" s="44"/>
      <c r="T7234" s="44"/>
    </row>
    <row r="7235" spans="12:20" x14ac:dyDescent="0.2">
      <c r="L7235" s="43"/>
      <c r="M7235" s="43"/>
      <c r="N7235" s="43"/>
      <c r="O7235" s="43"/>
      <c r="Q7235" s="44"/>
      <c r="R7235" s="44"/>
      <c r="S7235" s="44"/>
      <c r="T7235" s="44"/>
    </row>
    <row r="7236" spans="12:20" x14ac:dyDescent="0.2">
      <c r="L7236" s="43"/>
      <c r="M7236" s="43"/>
      <c r="N7236" s="43"/>
      <c r="O7236" s="43"/>
      <c r="Q7236" s="44"/>
      <c r="R7236" s="44"/>
      <c r="S7236" s="44"/>
      <c r="T7236" s="44"/>
    </row>
    <row r="7237" spans="12:20" x14ac:dyDescent="0.2">
      <c r="L7237" s="43"/>
      <c r="M7237" s="43"/>
      <c r="N7237" s="43"/>
      <c r="O7237" s="43"/>
      <c r="Q7237" s="44"/>
      <c r="R7237" s="44"/>
      <c r="S7237" s="44"/>
      <c r="T7237" s="44"/>
    </row>
    <row r="7238" spans="12:20" x14ac:dyDescent="0.2">
      <c r="L7238" s="43"/>
      <c r="M7238" s="43"/>
      <c r="N7238" s="43"/>
      <c r="O7238" s="43"/>
      <c r="Q7238" s="44"/>
      <c r="R7238" s="44"/>
      <c r="S7238" s="44"/>
      <c r="T7238" s="44"/>
    </row>
    <row r="7239" spans="12:20" x14ac:dyDescent="0.2">
      <c r="L7239" s="43"/>
      <c r="M7239" s="43"/>
      <c r="N7239" s="43"/>
      <c r="O7239" s="43"/>
      <c r="Q7239" s="44"/>
      <c r="R7239" s="44"/>
      <c r="S7239" s="44"/>
      <c r="T7239" s="44"/>
    </row>
    <row r="7240" spans="12:20" x14ac:dyDescent="0.2">
      <c r="L7240" s="43"/>
      <c r="M7240" s="43"/>
      <c r="N7240" s="43"/>
      <c r="O7240" s="43"/>
      <c r="Q7240" s="44"/>
      <c r="R7240" s="44"/>
      <c r="S7240" s="44"/>
      <c r="T7240" s="44"/>
    </row>
    <row r="7241" spans="12:20" x14ac:dyDescent="0.2">
      <c r="L7241" s="43"/>
      <c r="M7241" s="43"/>
      <c r="N7241" s="43"/>
      <c r="O7241" s="43"/>
      <c r="Q7241" s="44"/>
      <c r="R7241" s="44"/>
      <c r="S7241" s="44"/>
      <c r="T7241" s="44"/>
    </row>
    <row r="7242" spans="12:20" x14ac:dyDescent="0.2">
      <c r="L7242" s="43"/>
      <c r="M7242" s="43"/>
      <c r="N7242" s="43"/>
      <c r="O7242" s="43"/>
      <c r="Q7242" s="44"/>
      <c r="R7242" s="44"/>
      <c r="S7242" s="44"/>
      <c r="T7242" s="44"/>
    </row>
    <row r="7243" spans="12:20" x14ac:dyDescent="0.2">
      <c r="L7243" s="43"/>
      <c r="M7243" s="43"/>
      <c r="N7243" s="43"/>
      <c r="O7243" s="43"/>
      <c r="Q7243" s="44"/>
      <c r="R7243" s="44"/>
      <c r="S7243" s="44"/>
      <c r="T7243" s="44"/>
    </row>
    <row r="7244" spans="12:20" x14ac:dyDescent="0.2">
      <c r="L7244" s="43"/>
      <c r="M7244" s="43"/>
      <c r="N7244" s="43"/>
      <c r="O7244" s="43"/>
      <c r="Q7244" s="44"/>
      <c r="R7244" s="44"/>
      <c r="S7244" s="44"/>
      <c r="T7244" s="44"/>
    </row>
    <row r="7245" spans="12:20" x14ac:dyDescent="0.2">
      <c r="L7245" s="43"/>
      <c r="M7245" s="43"/>
      <c r="N7245" s="43"/>
      <c r="O7245" s="43"/>
      <c r="Q7245" s="44"/>
      <c r="R7245" s="44"/>
      <c r="S7245" s="44"/>
      <c r="T7245" s="44"/>
    </row>
    <row r="7246" spans="12:20" x14ac:dyDescent="0.2">
      <c r="L7246" s="43"/>
      <c r="M7246" s="43"/>
      <c r="N7246" s="43"/>
      <c r="O7246" s="43"/>
      <c r="Q7246" s="44"/>
      <c r="R7246" s="44"/>
      <c r="S7246" s="44"/>
      <c r="T7246" s="44"/>
    </row>
    <row r="7247" spans="12:20" x14ac:dyDescent="0.2">
      <c r="L7247" s="43"/>
      <c r="M7247" s="43"/>
      <c r="N7247" s="43"/>
      <c r="O7247" s="43"/>
      <c r="Q7247" s="44"/>
      <c r="R7247" s="44"/>
      <c r="S7247" s="44"/>
      <c r="T7247" s="44"/>
    </row>
    <row r="7248" spans="12:20" x14ac:dyDescent="0.2">
      <c r="L7248" s="43"/>
      <c r="M7248" s="43"/>
      <c r="N7248" s="43"/>
      <c r="O7248" s="43"/>
      <c r="Q7248" s="44"/>
      <c r="R7248" s="44"/>
      <c r="S7248" s="44"/>
      <c r="T7248" s="44"/>
    </row>
    <row r="7249" spans="12:20" x14ac:dyDescent="0.2">
      <c r="L7249" s="43"/>
      <c r="M7249" s="43"/>
      <c r="N7249" s="43"/>
      <c r="O7249" s="43"/>
      <c r="Q7249" s="44"/>
      <c r="R7249" s="44"/>
      <c r="S7249" s="44"/>
      <c r="T7249" s="44"/>
    </row>
    <row r="7250" spans="12:20" x14ac:dyDescent="0.2">
      <c r="L7250" s="43"/>
      <c r="M7250" s="43"/>
      <c r="N7250" s="43"/>
      <c r="O7250" s="43"/>
      <c r="Q7250" s="44"/>
      <c r="R7250" s="44"/>
      <c r="S7250" s="44"/>
      <c r="T7250" s="44"/>
    </row>
    <row r="7251" spans="12:20" x14ac:dyDescent="0.2">
      <c r="L7251" s="43"/>
      <c r="M7251" s="43"/>
      <c r="N7251" s="43"/>
      <c r="O7251" s="43"/>
      <c r="Q7251" s="44"/>
      <c r="R7251" s="44"/>
      <c r="S7251" s="44"/>
      <c r="T7251" s="44"/>
    </row>
    <row r="7252" spans="12:20" x14ac:dyDescent="0.2">
      <c r="L7252" s="43"/>
      <c r="M7252" s="43"/>
      <c r="N7252" s="43"/>
      <c r="O7252" s="43"/>
      <c r="Q7252" s="44"/>
      <c r="R7252" s="44"/>
      <c r="S7252" s="44"/>
      <c r="T7252" s="44"/>
    </row>
    <row r="7253" spans="12:20" x14ac:dyDescent="0.2">
      <c r="L7253" s="43"/>
      <c r="M7253" s="43"/>
      <c r="N7253" s="43"/>
      <c r="O7253" s="43"/>
      <c r="Q7253" s="44"/>
      <c r="R7253" s="44"/>
      <c r="S7253" s="44"/>
      <c r="T7253" s="44"/>
    </row>
    <row r="7254" spans="12:20" x14ac:dyDescent="0.2">
      <c r="L7254" s="43"/>
      <c r="M7254" s="43"/>
      <c r="N7254" s="43"/>
      <c r="O7254" s="43"/>
      <c r="Q7254" s="44"/>
      <c r="R7254" s="44"/>
      <c r="S7254" s="44"/>
      <c r="T7254" s="44"/>
    </row>
    <row r="7255" spans="12:20" x14ac:dyDescent="0.2">
      <c r="L7255" s="43"/>
      <c r="M7255" s="43"/>
      <c r="N7255" s="43"/>
      <c r="O7255" s="43"/>
      <c r="Q7255" s="44"/>
      <c r="R7255" s="44"/>
      <c r="S7255" s="44"/>
      <c r="T7255" s="44"/>
    </row>
    <row r="7256" spans="12:20" x14ac:dyDescent="0.2">
      <c r="L7256" s="43"/>
      <c r="M7256" s="43"/>
      <c r="N7256" s="43"/>
      <c r="O7256" s="43"/>
      <c r="Q7256" s="44"/>
      <c r="R7256" s="44"/>
      <c r="S7256" s="44"/>
      <c r="T7256" s="44"/>
    </row>
    <row r="7257" spans="12:20" x14ac:dyDescent="0.2">
      <c r="L7257" s="43"/>
      <c r="M7257" s="43"/>
      <c r="N7257" s="43"/>
      <c r="O7257" s="43"/>
      <c r="Q7257" s="44"/>
      <c r="R7257" s="44"/>
      <c r="S7257" s="44"/>
      <c r="T7257" s="44"/>
    </row>
    <row r="7258" spans="12:20" x14ac:dyDescent="0.2">
      <c r="L7258" s="43"/>
      <c r="M7258" s="43"/>
      <c r="N7258" s="43"/>
      <c r="O7258" s="43"/>
      <c r="Q7258" s="44"/>
      <c r="R7258" s="44"/>
      <c r="S7258" s="44"/>
      <c r="T7258" s="44"/>
    </row>
    <row r="7259" spans="12:20" x14ac:dyDescent="0.2">
      <c r="L7259" s="43"/>
      <c r="M7259" s="43"/>
      <c r="N7259" s="43"/>
      <c r="O7259" s="43"/>
      <c r="Q7259" s="44"/>
      <c r="R7259" s="44"/>
      <c r="S7259" s="44"/>
      <c r="T7259" s="44"/>
    </row>
    <row r="7260" spans="12:20" x14ac:dyDescent="0.2">
      <c r="L7260" s="43"/>
      <c r="M7260" s="43"/>
      <c r="N7260" s="43"/>
      <c r="O7260" s="43"/>
      <c r="Q7260" s="44"/>
      <c r="R7260" s="44"/>
      <c r="S7260" s="44"/>
      <c r="T7260" s="44"/>
    </row>
    <row r="7261" spans="12:20" x14ac:dyDescent="0.2">
      <c r="L7261" s="43"/>
      <c r="M7261" s="43"/>
      <c r="N7261" s="43"/>
      <c r="O7261" s="43"/>
      <c r="Q7261" s="44"/>
      <c r="R7261" s="44"/>
      <c r="S7261" s="44"/>
      <c r="T7261" s="44"/>
    </row>
    <row r="7262" spans="12:20" x14ac:dyDescent="0.2">
      <c r="L7262" s="43"/>
      <c r="M7262" s="43"/>
      <c r="N7262" s="43"/>
      <c r="O7262" s="43"/>
      <c r="Q7262" s="44"/>
      <c r="R7262" s="44"/>
      <c r="S7262" s="44"/>
      <c r="T7262" s="44"/>
    </row>
    <row r="7263" spans="12:20" x14ac:dyDescent="0.2">
      <c r="L7263" s="43"/>
      <c r="M7263" s="43"/>
      <c r="N7263" s="43"/>
      <c r="O7263" s="43"/>
      <c r="Q7263" s="44"/>
      <c r="R7263" s="44"/>
      <c r="S7263" s="44"/>
      <c r="T7263" s="44"/>
    </row>
    <row r="7264" spans="12:20" x14ac:dyDescent="0.2">
      <c r="L7264" s="43"/>
      <c r="M7264" s="43"/>
      <c r="N7264" s="43"/>
      <c r="O7264" s="43"/>
      <c r="Q7264" s="44"/>
      <c r="R7264" s="44"/>
      <c r="S7264" s="44"/>
      <c r="T7264" s="44"/>
    </row>
    <row r="7265" spans="12:20" x14ac:dyDescent="0.2">
      <c r="L7265" s="43"/>
      <c r="M7265" s="43"/>
      <c r="N7265" s="43"/>
      <c r="O7265" s="43"/>
      <c r="Q7265" s="44"/>
      <c r="R7265" s="44"/>
      <c r="S7265" s="44"/>
      <c r="T7265" s="44"/>
    </row>
    <row r="7266" spans="12:20" x14ac:dyDescent="0.2">
      <c r="L7266" s="43"/>
      <c r="M7266" s="43"/>
      <c r="N7266" s="43"/>
      <c r="O7266" s="43"/>
      <c r="Q7266" s="44"/>
      <c r="R7266" s="44"/>
      <c r="S7266" s="44"/>
      <c r="T7266" s="44"/>
    </row>
    <row r="7267" spans="12:20" x14ac:dyDescent="0.2">
      <c r="L7267" s="43"/>
      <c r="M7267" s="43"/>
      <c r="N7267" s="43"/>
      <c r="O7267" s="43"/>
      <c r="Q7267" s="44"/>
      <c r="R7267" s="44"/>
      <c r="S7267" s="44"/>
      <c r="T7267" s="44"/>
    </row>
    <row r="7268" spans="12:20" x14ac:dyDescent="0.2">
      <c r="L7268" s="43"/>
      <c r="M7268" s="43"/>
      <c r="N7268" s="43"/>
      <c r="O7268" s="43"/>
      <c r="Q7268" s="44"/>
      <c r="R7268" s="44"/>
      <c r="S7268" s="44"/>
      <c r="T7268" s="44"/>
    </row>
    <row r="7269" spans="12:20" x14ac:dyDescent="0.2">
      <c r="L7269" s="43"/>
      <c r="M7269" s="43"/>
      <c r="N7269" s="43"/>
      <c r="O7269" s="43"/>
      <c r="Q7269" s="44"/>
      <c r="R7269" s="44"/>
      <c r="S7269" s="44"/>
      <c r="T7269" s="44"/>
    </row>
    <row r="7270" spans="12:20" x14ac:dyDescent="0.2">
      <c r="L7270" s="43"/>
      <c r="M7270" s="43"/>
      <c r="N7270" s="43"/>
      <c r="O7270" s="43"/>
      <c r="Q7270" s="44"/>
      <c r="R7270" s="44"/>
      <c r="S7270" s="44"/>
      <c r="T7270" s="44"/>
    </row>
    <row r="7271" spans="12:20" x14ac:dyDescent="0.2">
      <c r="L7271" s="43"/>
      <c r="M7271" s="43"/>
      <c r="N7271" s="43"/>
      <c r="O7271" s="43"/>
      <c r="Q7271" s="44"/>
      <c r="R7271" s="44"/>
      <c r="S7271" s="44"/>
      <c r="T7271" s="44"/>
    </row>
    <row r="7272" spans="12:20" x14ac:dyDescent="0.2">
      <c r="L7272" s="43"/>
      <c r="M7272" s="43"/>
      <c r="N7272" s="43"/>
      <c r="O7272" s="43"/>
      <c r="Q7272" s="44"/>
      <c r="R7272" s="44"/>
      <c r="S7272" s="44"/>
      <c r="T7272" s="44"/>
    </row>
    <row r="7273" spans="12:20" x14ac:dyDescent="0.2">
      <c r="L7273" s="43"/>
      <c r="M7273" s="43"/>
      <c r="N7273" s="43"/>
      <c r="O7273" s="43"/>
      <c r="Q7273" s="44"/>
      <c r="R7273" s="44"/>
      <c r="S7273" s="44"/>
      <c r="T7273" s="44"/>
    </row>
    <row r="7274" spans="12:20" x14ac:dyDescent="0.2">
      <c r="L7274" s="43"/>
      <c r="M7274" s="43"/>
      <c r="N7274" s="43"/>
      <c r="O7274" s="43"/>
      <c r="Q7274" s="44"/>
      <c r="R7274" s="44"/>
      <c r="S7274" s="44"/>
      <c r="T7274" s="44"/>
    </row>
    <row r="7275" spans="12:20" x14ac:dyDescent="0.2">
      <c r="L7275" s="43"/>
      <c r="M7275" s="43"/>
      <c r="N7275" s="43"/>
      <c r="O7275" s="43"/>
      <c r="Q7275" s="44"/>
      <c r="R7275" s="44"/>
      <c r="S7275" s="44"/>
      <c r="T7275" s="44"/>
    </row>
    <row r="7276" spans="12:20" x14ac:dyDescent="0.2">
      <c r="L7276" s="43"/>
      <c r="M7276" s="43"/>
      <c r="N7276" s="43"/>
      <c r="O7276" s="43"/>
      <c r="Q7276" s="44"/>
      <c r="R7276" s="44"/>
      <c r="S7276" s="44"/>
      <c r="T7276" s="44"/>
    </row>
    <row r="7277" spans="12:20" x14ac:dyDescent="0.2">
      <c r="L7277" s="43"/>
      <c r="M7277" s="43"/>
      <c r="N7277" s="43"/>
      <c r="O7277" s="43"/>
      <c r="Q7277" s="44"/>
      <c r="R7277" s="44"/>
      <c r="S7277" s="44"/>
      <c r="T7277" s="44"/>
    </row>
    <row r="7278" spans="12:20" x14ac:dyDescent="0.2">
      <c r="L7278" s="43"/>
      <c r="M7278" s="43"/>
      <c r="N7278" s="43"/>
      <c r="O7278" s="43"/>
      <c r="Q7278" s="44"/>
      <c r="R7278" s="44"/>
      <c r="S7278" s="44"/>
      <c r="T7278" s="44"/>
    </row>
    <row r="7279" spans="12:20" x14ac:dyDescent="0.2">
      <c r="L7279" s="43"/>
      <c r="M7279" s="43"/>
      <c r="N7279" s="43"/>
      <c r="O7279" s="43"/>
      <c r="Q7279" s="44"/>
      <c r="R7279" s="44"/>
      <c r="S7279" s="44"/>
      <c r="T7279" s="44"/>
    </row>
    <row r="7280" spans="12:20" x14ac:dyDescent="0.2">
      <c r="L7280" s="43"/>
      <c r="M7280" s="43"/>
      <c r="N7280" s="43"/>
      <c r="O7280" s="43"/>
      <c r="Q7280" s="44"/>
      <c r="R7280" s="44"/>
      <c r="S7280" s="44"/>
      <c r="T7280" s="44"/>
    </row>
    <row r="7281" spans="12:20" x14ac:dyDescent="0.2">
      <c r="L7281" s="43"/>
      <c r="M7281" s="43"/>
      <c r="N7281" s="43"/>
      <c r="O7281" s="43"/>
      <c r="Q7281" s="44"/>
      <c r="R7281" s="44"/>
      <c r="S7281" s="44"/>
      <c r="T7281" s="44"/>
    </row>
    <row r="7282" spans="12:20" x14ac:dyDescent="0.2">
      <c r="L7282" s="43"/>
      <c r="M7282" s="43"/>
      <c r="N7282" s="43"/>
      <c r="O7282" s="43"/>
      <c r="Q7282" s="44"/>
      <c r="R7282" s="44"/>
      <c r="S7282" s="44"/>
      <c r="T7282" s="44"/>
    </row>
    <row r="7283" spans="12:20" x14ac:dyDescent="0.2">
      <c r="L7283" s="43"/>
      <c r="M7283" s="43"/>
      <c r="N7283" s="43"/>
      <c r="O7283" s="43"/>
      <c r="Q7283" s="44"/>
      <c r="R7283" s="44"/>
      <c r="S7283" s="44"/>
      <c r="T7283" s="44"/>
    </row>
    <row r="7284" spans="12:20" x14ac:dyDescent="0.2">
      <c r="L7284" s="43"/>
      <c r="M7284" s="43"/>
      <c r="N7284" s="43"/>
      <c r="O7284" s="43"/>
      <c r="Q7284" s="44"/>
      <c r="R7284" s="44"/>
      <c r="S7284" s="44"/>
      <c r="T7284" s="44"/>
    </row>
    <row r="7285" spans="12:20" x14ac:dyDescent="0.2">
      <c r="L7285" s="43"/>
      <c r="M7285" s="43"/>
      <c r="N7285" s="43"/>
      <c r="O7285" s="43"/>
      <c r="Q7285" s="44"/>
      <c r="R7285" s="44"/>
      <c r="S7285" s="44"/>
      <c r="T7285" s="44"/>
    </row>
    <row r="7286" spans="12:20" x14ac:dyDescent="0.2">
      <c r="L7286" s="43"/>
      <c r="M7286" s="43"/>
      <c r="N7286" s="43"/>
      <c r="O7286" s="43"/>
      <c r="Q7286" s="44"/>
      <c r="R7286" s="44"/>
      <c r="S7286" s="44"/>
      <c r="T7286" s="44"/>
    </row>
    <row r="7287" spans="12:20" x14ac:dyDescent="0.2">
      <c r="L7287" s="43"/>
      <c r="M7287" s="43"/>
      <c r="N7287" s="43"/>
      <c r="O7287" s="43"/>
      <c r="Q7287" s="44"/>
      <c r="R7287" s="44"/>
      <c r="S7287" s="44"/>
      <c r="T7287" s="44"/>
    </row>
    <row r="7288" spans="12:20" x14ac:dyDescent="0.2">
      <c r="L7288" s="43"/>
      <c r="M7288" s="43"/>
      <c r="N7288" s="43"/>
      <c r="O7288" s="43"/>
      <c r="Q7288" s="44"/>
      <c r="R7288" s="44"/>
      <c r="S7288" s="44"/>
      <c r="T7288" s="44"/>
    </row>
    <row r="7289" spans="12:20" x14ac:dyDescent="0.2">
      <c r="L7289" s="43"/>
      <c r="M7289" s="43"/>
      <c r="N7289" s="43"/>
      <c r="O7289" s="43"/>
      <c r="Q7289" s="44"/>
      <c r="R7289" s="44"/>
      <c r="S7289" s="44"/>
      <c r="T7289" s="44"/>
    </row>
    <row r="7290" spans="12:20" x14ac:dyDescent="0.2">
      <c r="L7290" s="43"/>
      <c r="M7290" s="43"/>
      <c r="N7290" s="43"/>
      <c r="O7290" s="43"/>
      <c r="Q7290" s="44"/>
      <c r="R7290" s="44"/>
      <c r="S7290" s="44"/>
      <c r="T7290" s="44"/>
    </row>
    <row r="7291" spans="12:20" x14ac:dyDescent="0.2">
      <c r="L7291" s="43"/>
      <c r="M7291" s="43"/>
      <c r="N7291" s="43"/>
      <c r="O7291" s="43"/>
      <c r="Q7291" s="44"/>
      <c r="R7291" s="44"/>
      <c r="S7291" s="44"/>
      <c r="T7291" s="44"/>
    </row>
    <row r="7292" spans="12:20" x14ac:dyDescent="0.2">
      <c r="L7292" s="43"/>
      <c r="M7292" s="43"/>
      <c r="N7292" s="43"/>
      <c r="O7292" s="43"/>
      <c r="Q7292" s="44"/>
      <c r="R7292" s="44"/>
      <c r="S7292" s="44"/>
      <c r="T7292" s="44"/>
    </row>
    <row r="7293" spans="12:20" x14ac:dyDescent="0.2">
      <c r="L7293" s="43"/>
      <c r="M7293" s="43"/>
      <c r="N7293" s="43"/>
      <c r="O7293" s="43"/>
      <c r="Q7293" s="44"/>
      <c r="R7293" s="44"/>
      <c r="S7293" s="44"/>
      <c r="T7293" s="44"/>
    </row>
    <row r="7294" spans="12:20" x14ac:dyDescent="0.2">
      <c r="L7294" s="43"/>
      <c r="M7294" s="43"/>
      <c r="N7294" s="43"/>
      <c r="O7294" s="43"/>
      <c r="Q7294" s="44"/>
      <c r="R7294" s="44"/>
      <c r="S7294" s="44"/>
      <c r="T7294" s="44"/>
    </row>
    <row r="7295" spans="12:20" x14ac:dyDescent="0.2">
      <c r="L7295" s="43"/>
      <c r="M7295" s="43"/>
      <c r="N7295" s="43"/>
      <c r="O7295" s="43"/>
      <c r="Q7295" s="44"/>
      <c r="R7295" s="44"/>
      <c r="S7295" s="44"/>
      <c r="T7295" s="44"/>
    </row>
    <row r="7296" spans="12:20" x14ac:dyDescent="0.2">
      <c r="L7296" s="43"/>
      <c r="M7296" s="43"/>
      <c r="N7296" s="43"/>
      <c r="O7296" s="43"/>
      <c r="Q7296" s="44"/>
      <c r="R7296" s="44"/>
      <c r="S7296" s="44"/>
      <c r="T7296" s="44"/>
    </row>
    <row r="7297" spans="12:20" x14ac:dyDescent="0.2">
      <c r="L7297" s="43"/>
      <c r="M7297" s="43"/>
      <c r="N7297" s="43"/>
      <c r="O7297" s="43"/>
      <c r="Q7297" s="44"/>
      <c r="R7297" s="44"/>
      <c r="S7297" s="44"/>
      <c r="T7297" s="44"/>
    </row>
    <row r="7298" spans="12:20" x14ac:dyDescent="0.2">
      <c r="L7298" s="43"/>
      <c r="M7298" s="43"/>
      <c r="N7298" s="43"/>
      <c r="O7298" s="43"/>
      <c r="Q7298" s="44"/>
      <c r="R7298" s="44"/>
      <c r="S7298" s="44"/>
      <c r="T7298" s="44"/>
    </row>
    <row r="7299" spans="12:20" x14ac:dyDescent="0.2">
      <c r="L7299" s="43"/>
      <c r="M7299" s="43"/>
      <c r="N7299" s="43"/>
      <c r="O7299" s="43"/>
      <c r="Q7299" s="44"/>
      <c r="R7299" s="44"/>
      <c r="S7299" s="44"/>
      <c r="T7299" s="44"/>
    </row>
    <row r="7300" spans="12:20" x14ac:dyDescent="0.2">
      <c r="L7300" s="43"/>
      <c r="M7300" s="43"/>
      <c r="N7300" s="43"/>
      <c r="O7300" s="43"/>
      <c r="Q7300" s="44"/>
      <c r="R7300" s="44"/>
      <c r="S7300" s="44"/>
      <c r="T7300" s="44"/>
    </row>
    <row r="7301" spans="12:20" x14ac:dyDescent="0.2">
      <c r="L7301" s="43"/>
      <c r="M7301" s="43"/>
      <c r="N7301" s="43"/>
      <c r="O7301" s="43"/>
      <c r="Q7301" s="44"/>
      <c r="R7301" s="44"/>
      <c r="S7301" s="44"/>
      <c r="T7301" s="44"/>
    </row>
    <row r="7302" spans="12:20" x14ac:dyDescent="0.2">
      <c r="L7302" s="43"/>
      <c r="M7302" s="43"/>
      <c r="N7302" s="43"/>
      <c r="O7302" s="43"/>
      <c r="Q7302" s="44"/>
      <c r="R7302" s="44"/>
      <c r="S7302" s="44"/>
      <c r="T7302" s="44"/>
    </row>
    <row r="7303" spans="12:20" x14ac:dyDescent="0.2">
      <c r="L7303" s="43"/>
      <c r="M7303" s="43"/>
      <c r="N7303" s="43"/>
      <c r="O7303" s="43"/>
      <c r="Q7303" s="44"/>
      <c r="R7303" s="44"/>
      <c r="S7303" s="44"/>
      <c r="T7303" s="44"/>
    </row>
    <row r="7304" spans="12:20" x14ac:dyDescent="0.2">
      <c r="L7304" s="43"/>
      <c r="M7304" s="43"/>
      <c r="N7304" s="43"/>
      <c r="O7304" s="43"/>
      <c r="Q7304" s="44"/>
      <c r="R7304" s="44"/>
      <c r="S7304" s="44"/>
      <c r="T7304" s="44"/>
    </row>
    <row r="7305" spans="12:20" x14ac:dyDescent="0.2">
      <c r="L7305" s="43"/>
      <c r="M7305" s="43"/>
      <c r="N7305" s="43"/>
      <c r="O7305" s="43"/>
      <c r="Q7305" s="44"/>
      <c r="R7305" s="44"/>
      <c r="S7305" s="44"/>
      <c r="T7305" s="44"/>
    </row>
    <row r="7306" spans="12:20" x14ac:dyDescent="0.2">
      <c r="L7306" s="43"/>
      <c r="M7306" s="43"/>
      <c r="N7306" s="43"/>
      <c r="O7306" s="43"/>
      <c r="Q7306" s="44"/>
      <c r="R7306" s="44"/>
      <c r="S7306" s="44"/>
      <c r="T7306" s="44"/>
    </row>
    <row r="7307" spans="12:20" x14ac:dyDescent="0.2">
      <c r="L7307" s="43"/>
      <c r="M7307" s="43"/>
      <c r="N7307" s="43"/>
      <c r="O7307" s="43"/>
      <c r="Q7307" s="44"/>
      <c r="R7307" s="44"/>
      <c r="S7307" s="44"/>
      <c r="T7307" s="44"/>
    </row>
    <row r="7308" spans="12:20" x14ac:dyDescent="0.2">
      <c r="L7308" s="43"/>
      <c r="M7308" s="43"/>
      <c r="N7308" s="43"/>
      <c r="O7308" s="43"/>
      <c r="Q7308" s="44"/>
      <c r="R7308" s="44"/>
      <c r="S7308" s="44"/>
      <c r="T7308" s="44"/>
    </row>
    <row r="7309" spans="12:20" x14ac:dyDescent="0.2">
      <c r="L7309" s="43"/>
      <c r="M7309" s="43"/>
      <c r="N7309" s="43"/>
      <c r="O7309" s="43"/>
      <c r="Q7309" s="44"/>
      <c r="R7309" s="44"/>
      <c r="S7309" s="44"/>
      <c r="T7309" s="44"/>
    </row>
    <row r="7310" spans="12:20" x14ac:dyDescent="0.2">
      <c r="L7310" s="43"/>
      <c r="M7310" s="43"/>
      <c r="N7310" s="43"/>
      <c r="O7310" s="43"/>
      <c r="Q7310" s="44"/>
      <c r="R7310" s="44"/>
      <c r="S7310" s="44"/>
      <c r="T7310" s="44"/>
    </row>
    <row r="7311" spans="12:20" x14ac:dyDescent="0.2">
      <c r="L7311" s="43"/>
      <c r="M7311" s="43"/>
      <c r="N7311" s="43"/>
      <c r="O7311" s="43"/>
      <c r="Q7311" s="44"/>
      <c r="R7311" s="44"/>
      <c r="S7311" s="44"/>
      <c r="T7311" s="44"/>
    </row>
    <row r="7312" spans="12:20" x14ac:dyDescent="0.2">
      <c r="L7312" s="43"/>
      <c r="M7312" s="43"/>
      <c r="N7312" s="43"/>
      <c r="O7312" s="43"/>
      <c r="Q7312" s="44"/>
      <c r="R7312" s="44"/>
      <c r="S7312" s="44"/>
      <c r="T7312" s="44"/>
    </row>
    <row r="7313" spans="12:20" x14ac:dyDescent="0.2">
      <c r="L7313" s="43"/>
      <c r="M7313" s="43"/>
      <c r="N7313" s="43"/>
      <c r="O7313" s="43"/>
      <c r="Q7313" s="44"/>
      <c r="R7313" s="44"/>
      <c r="S7313" s="44"/>
      <c r="T7313" s="44"/>
    </row>
    <row r="7314" spans="12:20" x14ac:dyDescent="0.2">
      <c r="L7314" s="43"/>
      <c r="M7314" s="43"/>
      <c r="N7314" s="43"/>
      <c r="O7314" s="43"/>
      <c r="Q7314" s="44"/>
      <c r="R7314" s="44"/>
      <c r="S7314" s="44"/>
      <c r="T7314" s="44"/>
    </row>
    <row r="7315" spans="12:20" x14ac:dyDescent="0.2">
      <c r="L7315" s="43"/>
      <c r="M7315" s="43"/>
      <c r="N7315" s="43"/>
      <c r="O7315" s="43"/>
      <c r="Q7315" s="44"/>
      <c r="R7315" s="44"/>
      <c r="S7315" s="44"/>
      <c r="T7315" s="44"/>
    </row>
    <row r="7316" spans="12:20" x14ac:dyDescent="0.2">
      <c r="L7316" s="43"/>
      <c r="M7316" s="43"/>
      <c r="N7316" s="43"/>
      <c r="O7316" s="43"/>
      <c r="Q7316" s="44"/>
      <c r="R7316" s="44"/>
      <c r="S7316" s="44"/>
      <c r="T7316" s="44"/>
    </row>
    <row r="7317" spans="12:20" x14ac:dyDescent="0.2">
      <c r="L7317" s="43"/>
      <c r="M7317" s="43"/>
      <c r="N7317" s="43"/>
      <c r="O7317" s="43"/>
      <c r="Q7317" s="44"/>
      <c r="R7317" s="44"/>
      <c r="S7317" s="44"/>
      <c r="T7317" s="44"/>
    </row>
    <row r="7318" spans="12:20" x14ac:dyDescent="0.2">
      <c r="L7318" s="43"/>
      <c r="M7318" s="43"/>
      <c r="N7318" s="43"/>
      <c r="O7318" s="43"/>
      <c r="Q7318" s="44"/>
      <c r="R7318" s="44"/>
      <c r="S7318" s="44"/>
      <c r="T7318" s="44"/>
    </row>
    <row r="7319" spans="12:20" x14ac:dyDescent="0.2">
      <c r="L7319" s="43"/>
      <c r="M7319" s="43"/>
      <c r="N7319" s="43"/>
      <c r="O7319" s="43"/>
      <c r="Q7319" s="44"/>
      <c r="R7319" s="44"/>
      <c r="S7319" s="44"/>
      <c r="T7319" s="44"/>
    </row>
    <row r="7320" spans="12:20" x14ac:dyDescent="0.2">
      <c r="L7320" s="43"/>
      <c r="M7320" s="43"/>
      <c r="N7320" s="43"/>
      <c r="O7320" s="43"/>
      <c r="Q7320" s="44"/>
      <c r="R7320" s="44"/>
      <c r="S7320" s="44"/>
      <c r="T7320" s="44"/>
    </row>
    <row r="7321" spans="12:20" x14ac:dyDescent="0.2">
      <c r="L7321" s="43"/>
      <c r="M7321" s="43"/>
      <c r="N7321" s="43"/>
      <c r="O7321" s="43"/>
      <c r="Q7321" s="44"/>
      <c r="R7321" s="44"/>
      <c r="S7321" s="44"/>
      <c r="T7321" s="44"/>
    </row>
    <row r="7322" spans="12:20" x14ac:dyDescent="0.2">
      <c r="L7322" s="43"/>
      <c r="M7322" s="43"/>
      <c r="N7322" s="43"/>
      <c r="O7322" s="43"/>
      <c r="Q7322" s="44"/>
      <c r="R7322" s="44"/>
      <c r="S7322" s="44"/>
      <c r="T7322" s="44"/>
    </row>
    <row r="7323" spans="12:20" x14ac:dyDescent="0.2">
      <c r="L7323" s="43"/>
      <c r="M7323" s="43"/>
      <c r="N7323" s="43"/>
      <c r="O7323" s="43"/>
      <c r="Q7323" s="44"/>
      <c r="R7323" s="44"/>
      <c r="S7323" s="44"/>
      <c r="T7323" s="44"/>
    </row>
    <row r="7324" spans="12:20" x14ac:dyDescent="0.2">
      <c r="L7324" s="43"/>
      <c r="M7324" s="43"/>
      <c r="N7324" s="43"/>
      <c r="O7324" s="43"/>
      <c r="Q7324" s="44"/>
      <c r="R7324" s="44"/>
      <c r="S7324" s="44"/>
      <c r="T7324" s="44"/>
    </row>
    <row r="7325" spans="12:20" x14ac:dyDescent="0.2">
      <c r="L7325" s="43"/>
      <c r="M7325" s="43"/>
      <c r="N7325" s="43"/>
      <c r="O7325" s="43"/>
      <c r="Q7325" s="44"/>
      <c r="R7325" s="44"/>
      <c r="S7325" s="44"/>
      <c r="T7325" s="44"/>
    </row>
    <row r="7326" spans="12:20" x14ac:dyDescent="0.2">
      <c r="L7326" s="43"/>
      <c r="M7326" s="43"/>
      <c r="N7326" s="43"/>
      <c r="O7326" s="43"/>
      <c r="Q7326" s="44"/>
      <c r="R7326" s="44"/>
      <c r="S7326" s="44"/>
      <c r="T7326" s="44"/>
    </row>
    <row r="7327" spans="12:20" x14ac:dyDescent="0.2">
      <c r="L7327" s="43"/>
      <c r="M7327" s="43"/>
      <c r="N7327" s="43"/>
      <c r="O7327" s="43"/>
      <c r="Q7327" s="44"/>
      <c r="R7327" s="44"/>
      <c r="S7327" s="44"/>
      <c r="T7327" s="44"/>
    </row>
    <row r="7328" spans="12:20" x14ac:dyDescent="0.2">
      <c r="L7328" s="43"/>
      <c r="M7328" s="43"/>
      <c r="N7328" s="43"/>
      <c r="O7328" s="43"/>
      <c r="Q7328" s="44"/>
      <c r="R7328" s="44"/>
      <c r="S7328" s="44"/>
      <c r="T7328" s="44"/>
    </row>
    <row r="7329" spans="12:20" x14ac:dyDescent="0.2">
      <c r="L7329" s="43"/>
      <c r="M7329" s="43"/>
      <c r="N7329" s="43"/>
      <c r="O7329" s="43"/>
      <c r="Q7329" s="44"/>
      <c r="R7329" s="44"/>
      <c r="S7329" s="44"/>
      <c r="T7329" s="44"/>
    </row>
    <row r="7330" spans="12:20" x14ac:dyDescent="0.2">
      <c r="L7330" s="43"/>
      <c r="M7330" s="43"/>
      <c r="N7330" s="43"/>
      <c r="O7330" s="43"/>
      <c r="Q7330" s="44"/>
      <c r="R7330" s="44"/>
      <c r="S7330" s="44"/>
      <c r="T7330" s="44"/>
    </row>
    <row r="7331" spans="12:20" x14ac:dyDescent="0.2">
      <c r="L7331" s="43"/>
      <c r="M7331" s="43"/>
      <c r="N7331" s="43"/>
      <c r="O7331" s="43"/>
      <c r="Q7331" s="44"/>
      <c r="R7331" s="44"/>
      <c r="S7331" s="44"/>
      <c r="T7331" s="44"/>
    </row>
    <row r="7332" spans="12:20" x14ac:dyDescent="0.2">
      <c r="L7332" s="43"/>
      <c r="M7332" s="43"/>
      <c r="N7332" s="43"/>
      <c r="O7332" s="43"/>
      <c r="Q7332" s="44"/>
      <c r="R7332" s="44"/>
      <c r="S7332" s="44"/>
      <c r="T7332" s="44"/>
    </row>
    <row r="7333" spans="12:20" x14ac:dyDescent="0.2">
      <c r="L7333" s="43"/>
      <c r="M7333" s="43"/>
      <c r="N7333" s="43"/>
      <c r="O7333" s="43"/>
      <c r="Q7333" s="44"/>
      <c r="R7333" s="44"/>
      <c r="S7333" s="44"/>
      <c r="T7333" s="44"/>
    </row>
    <row r="7334" spans="12:20" x14ac:dyDescent="0.2">
      <c r="L7334" s="43"/>
      <c r="M7334" s="43"/>
      <c r="N7334" s="43"/>
      <c r="O7334" s="43"/>
      <c r="Q7334" s="44"/>
      <c r="R7334" s="44"/>
      <c r="S7334" s="44"/>
      <c r="T7334" s="44"/>
    </row>
    <row r="7335" spans="12:20" x14ac:dyDescent="0.2">
      <c r="L7335" s="43"/>
      <c r="M7335" s="43"/>
      <c r="N7335" s="43"/>
      <c r="O7335" s="43"/>
      <c r="Q7335" s="44"/>
      <c r="R7335" s="44"/>
      <c r="S7335" s="44"/>
      <c r="T7335" s="44"/>
    </row>
    <row r="7336" spans="12:20" x14ac:dyDescent="0.2">
      <c r="L7336" s="43"/>
      <c r="M7336" s="43"/>
      <c r="N7336" s="43"/>
      <c r="O7336" s="43"/>
      <c r="Q7336" s="44"/>
      <c r="R7336" s="44"/>
      <c r="S7336" s="44"/>
      <c r="T7336" s="44"/>
    </row>
    <row r="7337" spans="12:20" x14ac:dyDescent="0.2">
      <c r="L7337" s="43"/>
      <c r="M7337" s="43"/>
      <c r="N7337" s="43"/>
      <c r="O7337" s="43"/>
      <c r="Q7337" s="44"/>
      <c r="R7337" s="44"/>
      <c r="S7337" s="44"/>
      <c r="T7337" s="44"/>
    </row>
    <row r="7338" spans="12:20" x14ac:dyDescent="0.2">
      <c r="L7338" s="43"/>
      <c r="M7338" s="43"/>
      <c r="N7338" s="43"/>
      <c r="O7338" s="43"/>
      <c r="Q7338" s="44"/>
      <c r="R7338" s="44"/>
      <c r="S7338" s="44"/>
      <c r="T7338" s="44"/>
    </row>
    <row r="7339" spans="12:20" x14ac:dyDescent="0.2">
      <c r="L7339" s="43"/>
      <c r="M7339" s="43"/>
      <c r="N7339" s="43"/>
      <c r="O7339" s="43"/>
      <c r="Q7339" s="44"/>
      <c r="R7339" s="44"/>
      <c r="S7339" s="44"/>
      <c r="T7339" s="44"/>
    </row>
    <row r="7340" spans="12:20" x14ac:dyDescent="0.2">
      <c r="L7340" s="43"/>
      <c r="M7340" s="43"/>
      <c r="N7340" s="43"/>
      <c r="O7340" s="43"/>
      <c r="Q7340" s="44"/>
      <c r="R7340" s="44"/>
      <c r="S7340" s="44"/>
      <c r="T7340" s="44"/>
    </row>
    <row r="7341" spans="12:20" x14ac:dyDescent="0.2">
      <c r="L7341" s="43"/>
      <c r="M7341" s="43"/>
      <c r="N7341" s="43"/>
      <c r="O7341" s="43"/>
      <c r="Q7341" s="44"/>
      <c r="R7341" s="44"/>
      <c r="S7341" s="44"/>
      <c r="T7341" s="44"/>
    </row>
    <row r="7342" spans="12:20" x14ac:dyDescent="0.2">
      <c r="L7342" s="43"/>
      <c r="M7342" s="43"/>
      <c r="N7342" s="43"/>
      <c r="O7342" s="43"/>
      <c r="Q7342" s="44"/>
      <c r="R7342" s="44"/>
      <c r="S7342" s="44"/>
      <c r="T7342" s="44"/>
    </row>
    <row r="7343" spans="12:20" x14ac:dyDescent="0.2">
      <c r="L7343" s="43"/>
      <c r="M7343" s="43"/>
      <c r="N7343" s="43"/>
      <c r="O7343" s="43"/>
      <c r="Q7343" s="44"/>
      <c r="R7343" s="44"/>
      <c r="S7343" s="44"/>
      <c r="T7343" s="44"/>
    </row>
    <row r="7344" spans="12:20" x14ac:dyDescent="0.2">
      <c r="L7344" s="43"/>
      <c r="M7344" s="43"/>
      <c r="N7344" s="43"/>
      <c r="O7344" s="43"/>
      <c r="Q7344" s="44"/>
      <c r="R7344" s="44"/>
      <c r="S7344" s="44"/>
      <c r="T7344" s="44"/>
    </row>
    <row r="7345" spans="12:20" x14ac:dyDescent="0.2">
      <c r="L7345" s="43"/>
      <c r="M7345" s="43"/>
      <c r="N7345" s="43"/>
      <c r="O7345" s="43"/>
      <c r="Q7345" s="44"/>
      <c r="R7345" s="44"/>
      <c r="S7345" s="44"/>
      <c r="T7345" s="44"/>
    </row>
    <row r="7346" spans="12:20" x14ac:dyDescent="0.2">
      <c r="L7346" s="43"/>
      <c r="M7346" s="43"/>
      <c r="N7346" s="43"/>
      <c r="O7346" s="43"/>
      <c r="Q7346" s="44"/>
      <c r="R7346" s="44"/>
      <c r="S7346" s="44"/>
      <c r="T7346" s="44"/>
    </row>
    <row r="7347" spans="12:20" x14ac:dyDescent="0.2">
      <c r="L7347" s="43"/>
      <c r="M7347" s="43"/>
      <c r="N7347" s="43"/>
      <c r="O7347" s="43"/>
      <c r="Q7347" s="44"/>
      <c r="R7347" s="44"/>
      <c r="S7347" s="44"/>
      <c r="T7347" s="44"/>
    </row>
    <row r="7348" spans="12:20" x14ac:dyDescent="0.2">
      <c r="L7348" s="43"/>
      <c r="M7348" s="43"/>
      <c r="N7348" s="43"/>
      <c r="O7348" s="43"/>
      <c r="Q7348" s="44"/>
      <c r="R7348" s="44"/>
      <c r="S7348" s="44"/>
      <c r="T7348" s="44"/>
    </row>
    <row r="7349" spans="12:20" x14ac:dyDescent="0.2">
      <c r="L7349" s="43"/>
      <c r="M7349" s="43"/>
      <c r="N7349" s="43"/>
      <c r="O7349" s="43"/>
      <c r="Q7349" s="44"/>
      <c r="R7349" s="44"/>
      <c r="S7349" s="44"/>
      <c r="T7349" s="44"/>
    </row>
    <row r="7350" spans="12:20" x14ac:dyDescent="0.2">
      <c r="L7350" s="43"/>
      <c r="M7350" s="43"/>
      <c r="N7350" s="43"/>
      <c r="O7350" s="43"/>
      <c r="Q7350" s="44"/>
      <c r="R7350" s="44"/>
      <c r="S7350" s="44"/>
      <c r="T7350" s="44"/>
    </row>
    <row r="7351" spans="12:20" x14ac:dyDescent="0.2">
      <c r="L7351" s="43"/>
      <c r="M7351" s="43"/>
      <c r="N7351" s="43"/>
      <c r="O7351" s="43"/>
      <c r="Q7351" s="44"/>
      <c r="R7351" s="44"/>
      <c r="S7351" s="44"/>
      <c r="T7351" s="44"/>
    </row>
    <row r="7352" spans="12:20" x14ac:dyDescent="0.2">
      <c r="L7352" s="43"/>
      <c r="M7352" s="43"/>
      <c r="N7352" s="43"/>
      <c r="O7352" s="43"/>
      <c r="Q7352" s="44"/>
      <c r="R7352" s="44"/>
      <c r="S7352" s="44"/>
      <c r="T7352" s="44"/>
    </row>
    <row r="7353" spans="12:20" x14ac:dyDescent="0.2">
      <c r="L7353" s="43"/>
      <c r="M7353" s="43"/>
      <c r="N7353" s="43"/>
      <c r="O7353" s="43"/>
      <c r="Q7353" s="44"/>
      <c r="R7353" s="44"/>
      <c r="S7353" s="44"/>
      <c r="T7353" s="44"/>
    </row>
    <row r="7354" spans="12:20" x14ac:dyDescent="0.2">
      <c r="L7354" s="43"/>
      <c r="M7354" s="43"/>
      <c r="N7354" s="43"/>
      <c r="O7354" s="43"/>
      <c r="Q7354" s="44"/>
      <c r="R7354" s="44"/>
      <c r="S7354" s="44"/>
      <c r="T7354" s="44"/>
    </row>
    <row r="7355" spans="12:20" x14ac:dyDescent="0.2">
      <c r="L7355" s="43"/>
      <c r="M7355" s="43"/>
      <c r="N7355" s="43"/>
      <c r="O7355" s="43"/>
      <c r="Q7355" s="44"/>
      <c r="R7355" s="44"/>
      <c r="S7355" s="44"/>
      <c r="T7355" s="44"/>
    </row>
    <row r="7356" spans="12:20" x14ac:dyDescent="0.2">
      <c r="L7356" s="43"/>
      <c r="M7356" s="43"/>
      <c r="N7356" s="43"/>
      <c r="O7356" s="43"/>
      <c r="Q7356" s="44"/>
      <c r="R7356" s="44"/>
      <c r="S7356" s="44"/>
      <c r="T7356" s="44"/>
    </row>
    <row r="7357" spans="12:20" x14ac:dyDescent="0.2">
      <c r="L7357" s="43"/>
      <c r="M7357" s="43"/>
      <c r="N7357" s="43"/>
      <c r="O7357" s="43"/>
      <c r="Q7357" s="44"/>
      <c r="R7357" s="44"/>
      <c r="S7357" s="44"/>
      <c r="T7357" s="44"/>
    </row>
    <row r="7358" spans="12:20" x14ac:dyDescent="0.2">
      <c r="L7358" s="43"/>
      <c r="M7358" s="43"/>
      <c r="N7358" s="43"/>
      <c r="O7358" s="43"/>
      <c r="Q7358" s="44"/>
      <c r="R7358" s="44"/>
      <c r="S7358" s="44"/>
      <c r="T7358" s="44"/>
    </row>
    <row r="7359" spans="12:20" x14ac:dyDescent="0.2">
      <c r="L7359" s="43"/>
      <c r="M7359" s="43"/>
      <c r="N7359" s="43"/>
      <c r="O7359" s="43"/>
      <c r="Q7359" s="44"/>
      <c r="R7359" s="44"/>
      <c r="S7359" s="44"/>
      <c r="T7359" s="44"/>
    </row>
    <row r="7360" spans="12:20" x14ac:dyDescent="0.2">
      <c r="L7360" s="43"/>
      <c r="M7360" s="43"/>
      <c r="N7360" s="43"/>
      <c r="O7360" s="43"/>
      <c r="Q7360" s="44"/>
      <c r="R7360" s="44"/>
      <c r="S7360" s="44"/>
      <c r="T7360" s="44"/>
    </row>
    <row r="7361" spans="12:20" x14ac:dyDescent="0.2">
      <c r="L7361" s="43"/>
      <c r="M7361" s="43"/>
      <c r="N7361" s="43"/>
      <c r="O7361" s="43"/>
      <c r="Q7361" s="44"/>
      <c r="R7361" s="44"/>
      <c r="S7361" s="44"/>
      <c r="T7361" s="44"/>
    </row>
    <row r="7362" spans="12:20" x14ac:dyDescent="0.2">
      <c r="L7362" s="43"/>
      <c r="M7362" s="43"/>
      <c r="N7362" s="43"/>
      <c r="O7362" s="43"/>
      <c r="Q7362" s="44"/>
      <c r="R7362" s="44"/>
      <c r="S7362" s="44"/>
      <c r="T7362" s="44"/>
    </row>
    <row r="7363" spans="12:20" x14ac:dyDescent="0.2">
      <c r="L7363" s="43"/>
      <c r="M7363" s="43"/>
      <c r="N7363" s="43"/>
      <c r="O7363" s="43"/>
      <c r="Q7363" s="44"/>
      <c r="R7363" s="44"/>
      <c r="S7363" s="44"/>
      <c r="T7363" s="44"/>
    </row>
    <row r="7364" spans="12:20" x14ac:dyDescent="0.2">
      <c r="L7364" s="43"/>
      <c r="M7364" s="43"/>
      <c r="N7364" s="43"/>
      <c r="O7364" s="43"/>
      <c r="Q7364" s="44"/>
      <c r="R7364" s="44"/>
      <c r="S7364" s="44"/>
      <c r="T7364" s="44"/>
    </row>
    <row r="7365" spans="12:20" x14ac:dyDescent="0.2">
      <c r="L7365" s="43"/>
      <c r="M7365" s="43"/>
      <c r="N7365" s="43"/>
      <c r="O7365" s="43"/>
      <c r="Q7365" s="44"/>
      <c r="R7365" s="44"/>
      <c r="S7365" s="44"/>
      <c r="T7365" s="44"/>
    </row>
    <row r="7366" spans="12:20" x14ac:dyDescent="0.2">
      <c r="L7366" s="43"/>
      <c r="M7366" s="43"/>
      <c r="N7366" s="43"/>
      <c r="O7366" s="43"/>
      <c r="Q7366" s="44"/>
      <c r="R7366" s="44"/>
      <c r="S7366" s="44"/>
      <c r="T7366" s="44"/>
    </row>
    <row r="7367" spans="12:20" x14ac:dyDescent="0.2">
      <c r="L7367" s="43"/>
      <c r="M7367" s="43"/>
      <c r="N7367" s="43"/>
      <c r="O7367" s="43"/>
      <c r="Q7367" s="44"/>
      <c r="R7367" s="44"/>
      <c r="S7367" s="44"/>
      <c r="T7367" s="44"/>
    </row>
    <row r="7368" spans="12:20" x14ac:dyDescent="0.2">
      <c r="L7368" s="43"/>
      <c r="M7368" s="43"/>
      <c r="N7368" s="43"/>
      <c r="O7368" s="43"/>
      <c r="Q7368" s="44"/>
      <c r="R7368" s="44"/>
      <c r="S7368" s="44"/>
      <c r="T7368" s="44"/>
    </row>
    <row r="7369" spans="12:20" x14ac:dyDescent="0.2">
      <c r="L7369" s="43"/>
      <c r="M7369" s="43"/>
      <c r="N7369" s="43"/>
      <c r="O7369" s="43"/>
      <c r="Q7369" s="44"/>
      <c r="R7369" s="44"/>
      <c r="S7369" s="44"/>
      <c r="T7369" s="44"/>
    </row>
    <row r="7370" spans="12:20" x14ac:dyDescent="0.2">
      <c r="L7370" s="43"/>
      <c r="M7370" s="43"/>
      <c r="N7370" s="43"/>
      <c r="O7370" s="43"/>
      <c r="Q7370" s="44"/>
      <c r="R7370" s="44"/>
      <c r="S7370" s="44"/>
      <c r="T7370" s="44"/>
    </row>
    <row r="7371" spans="12:20" x14ac:dyDescent="0.2">
      <c r="L7371" s="43"/>
      <c r="M7371" s="43"/>
      <c r="N7371" s="43"/>
      <c r="O7371" s="43"/>
      <c r="Q7371" s="44"/>
      <c r="R7371" s="44"/>
      <c r="S7371" s="44"/>
      <c r="T7371" s="44"/>
    </row>
    <row r="7372" spans="12:20" x14ac:dyDescent="0.2">
      <c r="L7372" s="43"/>
      <c r="M7372" s="43"/>
      <c r="N7372" s="43"/>
      <c r="O7372" s="43"/>
      <c r="Q7372" s="44"/>
      <c r="R7372" s="44"/>
      <c r="S7372" s="44"/>
      <c r="T7372" s="44"/>
    </row>
    <row r="7373" spans="12:20" x14ac:dyDescent="0.2">
      <c r="L7373" s="43"/>
      <c r="M7373" s="43"/>
      <c r="N7373" s="43"/>
      <c r="O7373" s="43"/>
      <c r="Q7373" s="44"/>
      <c r="R7373" s="44"/>
      <c r="S7373" s="44"/>
      <c r="T7373" s="44"/>
    </row>
    <row r="7374" spans="12:20" x14ac:dyDescent="0.2">
      <c r="L7374" s="43"/>
      <c r="M7374" s="43"/>
      <c r="N7374" s="43"/>
      <c r="O7374" s="43"/>
      <c r="Q7374" s="44"/>
      <c r="R7374" s="44"/>
      <c r="S7374" s="44"/>
      <c r="T7374" s="44"/>
    </row>
    <row r="7375" spans="12:20" x14ac:dyDescent="0.2">
      <c r="L7375" s="43"/>
      <c r="M7375" s="43"/>
      <c r="N7375" s="43"/>
      <c r="O7375" s="43"/>
      <c r="Q7375" s="44"/>
      <c r="R7375" s="44"/>
      <c r="S7375" s="44"/>
      <c r="T7375" s="44"/>
    </row>
    <row r="7376" spans="12:20" x14ac:dyDescent="0.2">
      <c r="L7376" s="43"/>
      <c r="M7376" s="43"/>
      <c r="N7376" s="43"/>
      <c r="O7376" s="43"/>
      <c r="Q7376" s="44"/>
      <c r="R7376" s="44"/>
      <c r="S7376" s="44"/>
      <c r="T7376" s="44"/>
    </row>
    <row r="7377" spans="12:20" x14ac:dyDescent="0.2">
      <c r="L7377" s="43"/>
      <c r="M7377" s="43"/>
      <c r="N7377" s="43"/>
      <c r="O7377" s="43"/>
      <c r="Q7377" s="44"/>
      <c r="R7377" s="44"/>
      <c r="S7377" s="44"/>
      <c r="T7377" s="44"/>
    </row>
    <row r="7378" spans="12:20" x14ac:dyDescent="0.2">
      <c r="L7378" s="43"/>
      <c r="M7378" s="43"/>
      <c r="N7378" s="43"/>
      <c r="O7378" s="43"/>
      <c r="Q7378" s="44"/>
      <c r="R7378" s="44"/>
      <c r="S7378" s="44"/>
      <c r="T7378" s="44"/>
    </row>
    <row r="7379" spans="12:20" x14ac:dyDescent="0.2">
      <c r="L7379" s="43"/>
      <c r="M7379" s="43"/>
      <c r="N7379" s="43"/>
      <c r="O7379" s="43"/>
      <c r="Q7379" s="44"/>
      <c r="R7379" s="44"/>
      <c r="S7379" s="44"/>
      <c r="T7379" s="44"/>
    </row>
    <row r="7380" spans="12:20" x14ac:dyDescent="0.2">
      <c r="L7380" s="43"/>
      <c r="M7380" s="43"/>
      <c r="N7380" s="43"/>
      <c r="O7380" s="43"/>
      <c r="Q7380" s="44"/>
      <c r="R7380" s="44"/>
      <c r="S7380" s="44"/>
      <c r="T7380" s="44"/>
    </row>
    <row r="7381" spans="12:20" x14ac:dyDescent="0.2">
      <c r="L7381" s="43"/>
      <c r="M7381" s="43"/>
      <c r="N7381" s="43"/>
      <c r="O7381" s="43"/>
      <c r="Q7381" s="44"/>
      <c r="R7381" s="44"/>
      <c r="S7381" s="44"/>
      <c r="T7381" s="44"/>
    </row>
    <row r="7382" spans="12:20" x14ac:dyDescent="0.2">
      <c r="L7382" s="43"/>
      <c r="M7382" s="43"/>
      <c r="N7382" s="43"/>
      <c r="O7382" s="43"/>
      <c r="Q7382" s="44"/>
      <c r="R7382" s="44"/>
      <c r="S7382" s="44"/>
      <c r="T7382" s="44"/>
    </row>
    <row r="7383" spans="12:20" x14ac:dyDescent="0.2">
      <c r="L7383" s="43"/>
      <c r="M7383" s="43"/>
      <c r="N7383" s="43"/>
      <c r="O7383" s="43"/>
      <c r="Q7383" s="44"/>
      <c r="R7383" s="44"/>
      <c r="S7383" s="44"/>
      <c r="T7383" s="44"/>
    </row>
    <row r="7384" spans="12:20" x14ac:dyDescent="0.2">
      <c r="L7384" s="43"/>
      <c r="M7384" s="43"/>
      <c r="N7384" s="43"/>
      <c r="O7384" s="43"/>
      <c r="Q7384" s="44"/>
      <c r="R7384" s="44"/>
      <c r="S7384" s="44"/>
      <c r="T7384" s="44"/>
    </row>
    <row r="7385" spans="12:20" x14ac:dyDescent="0.2">
      <c r="L7385" s="43"/>
      <c r="M7385" s="43"/>
      <c r="N7385" s="43"/>
      <c r="O7385" s="43"/>
      <c r="Q7385" s="44"/>
      <c r="R7385" s="44"/>
      <c r="S7385" s="44"/>
      <c r="T7385" s="44"/>
    </row>
    <row r="7386" spans="12:20" x14ac:dyDescent="0.2">
      <c r="L7386" s="43"/>
      <c r="M7386" s="43"/>
      <c r="N7386" s="43"/>
      <c r="O7386" s="43"/>
      <c r="Q7386" s="44"/>
      <c r="R7386" s="44"/>
      <c r="S7386" s="44"/>
      <c r="T7386" s="44"/>
    </row>
    <row r="7387" spans="12:20" x14ac:dyDescent="0.2">
      <c r="L7387" s="43"/>
      <c r="M7387" s="43"/>
      <c r="N7387" s="43"/>
      <c r="O7387" s="43"/>
      <c r="Q7387" s="44"/>
      <c r="R7387" s="44"/>
      <c r="S7387" s="44"/>
      <c r="T7387" s="44"/>
    </row>
    <row r="7388" spans="12:20" x14ac:dyDescent="0.2">
      <c r="L7388" s="43"/>
      <c r="M7388" s="43"/>
      <c r="N7388" s="43"/>
      <c r="O7388" s="43"/>
      <c r="Q7388" s="44"/>
      <c r="R7388" s="44"/>
      <c r="S7388" s="44"/>
      <c r="T7388" s="44"/>
    </row>
    <row r="7389" spans="12:20" x14ac:dyDescent="0.2">
      <c r="L7389" s="43"/>
      <c r="M7389" s="43"/>
      <c r="N7389" s="43"/>
      <c r="O7389" s="43"/>
      <c r="Q7389" s="44"/>
      <c r="R7389" s="44"/>
      <c r="S7389" s="44"/>
      <c r="T7389" s="44"/>
    </row>
    <row r="7390" spans="12:20" x14ac:dyDescent="0.2">
      <c r="L7390" s="43"/>
      <c r="M7390" s="43"/>
      <c r="N7390" s="43"/>
      <c r="O7390" s="43"/>
      <c r="Q7390" s="44"/>
      <c r="R7390" s="44"/>
      <c r="S7390" s="44"/>
      <c r="T7390" s="44"/>
    </row>
    <row r="7391" spans="12:20" x14ac:dyDescent="0.2">
      <c r="L7391" s="43"/>
      <c r="M7391" s="43"/>
      <c r="N7391" s="43"/>
      <c r="O7391" s="43"/>
      <c r="Q7391" s="44"/>
      <c r="R7391" s="44"/>
      <c r="S7391" s="44"/>
      <c r="T7391" s="44"/>
    </row>
    <row r="7392" spans="12:20" x14ac:dyDescent="0.2">
      <c r="L7392" s="43"/>
      <c r="M7392" s="43"/>
      <c r="N7392" s="43"/>
      <c r="O7392" s="43"/>
      <c r="Q7392" s="44"/>
      <c r="R7392" s="44"/>
      <c r="S7392" s="44"/>
      <c r="T7392" s="44"/>
    </row>
    <row r="7393" spans="12:20" x14ac:dyDescent="0.2">
      <c r="L7393" s="43"/>
      <c r="M7393" s="43"/>
      <c r="N7393" s="43"/>
      <c r="O7393" s="43"/>
      <c r="Q7393" s="44"/>
      <c r="R7393" s="44"/>
      <c r="S7393" s="44"/>
      <c r="T7393" s="44"/>
    </row>
    <row r="7394" spans="12:20" x14ac:dyDescent="0.2">
      <c r="L7394" s="43"/>
      <c r="M7394" s="43"/>
      <c r="N7394" s="43"/>
      <c r="O7394" s="43"/>
      <c r="Q7394" s="44"/>
      <c r="R7394" s="44"/>
      <c r="S7394" s="44"/>
      <c r="T7394" s="44"/>
    </row>
    <row r="7395" spans="12:20" x14ac:dyDescent="0.2">
      <c r="L7395" s="43"/>
      <c r="M7395" s="43"/>
      <c r="N7395" s="43"/>
      <c r="O7395" s="43"/>
      <c r="Q7395" s="44"/>
      <c r="R7395" s="44"/>
      <c r="S7395" s="44"/>
      <c r="T7395" s="44"/>
    </row>
    <row r="7396" spans="12:20" x14ac:dyDescent="0.2">
      <c r="L7396" s="43"/>
      <c r="M7396" s="43"/>
      <c r="N7396" s="43"/>
      <c r="O7396" s="43"/>
      <c r="Q7396" s="44"/>
      <c r="R7396" s="44"/>
      <c r="S7396" s="44"/>
      <c r="T7396" s="44"/>
    </row>
    <row r="7397" spans="12:20" x14ac:dyDescent="0.2">
      <c r="L7397" s="43"/>
      <c r="M7397" s="43"/>
      <c r="N7397" s="43"/>
      <c r="O7397" s="43"/>
      <c r="Q7397" s="44"/>
      <c r="R7397" s="44"/>
      <c r="S7397" s="44"/>
      <c r="T7397" s="44"/>
    </row>
    <row r="7398" spans="12:20" x14ac:dyDescent="0.2">
      <c r="L7398" s="43"/>
      <c r="M7398" s="43"/>
      <c r="N7398" s="43"/>
      <c r="O7398" s="43"/>
      <c r="Q7398" s="44"/>
      <c r="R7398" s="44"/>
      <c r="S7398" s="44"/>
      <c r="T7398" s="44"/>
    </row>
    <row r="7399" spans="12:20" x14ac:dyDescent="0.2">
      <c r="L7399" s="43"/>
      <c r="M7399" s="43"/>
      <c r="N7399" s="43"/>
      <c r="O7399" s="43"/>
      <c r="Q7399" s="44"/>
      <c r="R7399" s="44"/>
      <c r="S7399" s="44"/>
      <c r="T7399" s="44"/>
    </row>
    <row r="7400" spans="12:20" x14ac:dyDescent="0.2">
      <c r="L7400" s="43"/>
      <c r="M7400" s="43"/>
      <c r="N7400" s="43"/>
      <c r="O7400" s="43"/>
      <c r="Q7400" s="44"/>
      <c r="R7400" s="44"/>
      <c r="S7400" s="44"/>
      <c r="T7400" s="44"/>
    </row>
    <row r="7401" spans="12:20" x14ac:dyDescent="0.2">
      <c r="L7401" s="43"/>
      <c r="M7401" s="43"/>
      <c r="N7401" s="43"/>
      <c r="O7401" s="43"/>
      <c r="Q7401" s="44"/>
      <c r="R7401" s="44"/>
      <c r="S7401" s="44"/>
      <c r="T7401" s="44"/>
    </row>
    <row r="7402" spans="12:20" x14ac:dyDescent="0.2">
      <c r="L7402" s="43"/>
      <c r="M7402" s="43"/>
      <c r="N7402" s="43"/>
      <c r="O7402" s="43"/>
      <c r="Q7402" s="44"/>
      <c r="R7402" s="44"/>
      <c r="S7402" s="44"/>
      <c r="T7402" s="44"/>
    </row>
    <row r="7403" spans="12:20" x14ac:dyDescent="0.2">
      <c r="L7403" s="43"/>
      <c r="M7403" s="43"/>
      <c r="N7403" s="43"/>
      <c r="O7403" s="43"/>
      <c r="Q7403" s="44"/>
      <c r="R7403" s="44"/>
      <c r="S7403" s="44"/>
      <c r="T7403" s="44"/>
    </row>
    <row r="7404" spans="12:20" x14ac:dyDescent="0.2">
      <c r="L7404" s="43"/>
      <c r="M7404" s="43"/>
      <c r="N7404" s="43"/>
      <c r="O7404" s="43"/>
      <c r="Q7404" s="44"/>
      <c r="R7404" s="44"/>
      <c r="S7404" s="44"/>
      <c r="T7404" s="44"/>
    </row>
    <row r="7405" spans="12:20" x14ac:dyDescent="0.2">
      <c r="L7405" s="43"/>
      <c r="M7405" s="43"/>
      <c r="N7405" s="43"/>
      <c r="O7405" s="43"/>
      <c r="Q7405" s="44"/>
      <c r="R7405" s="44"/>
      <c r="S7405" s="44"/>
      <c r="T7405" s="44"/>
    </row>
    <row r="7406" spans="12:20" x14ac:dyDescent="0.2">
      <c r="L7406" s="43"/>
      <c r="M7406" s="43"/>
      <c r="N7406" s="43"/>
      <c r="O7406" s="43"/>
      <c r="Q7406" s="44"/>
      <c r="R7406" s="44"/>
      <c r="S7406" s="44"/>
      <c r="T7406" s="44"/>
    </row>
    <row r="7407" spans="12:20" x14ac:dyDescent="0.2">
      <c r="L7407" s="43"/>
      <c r="M7407" s="43"/>
      <c r="N7407" s="43"/>
      <c r="O7407" s="43"/>
      <c r="Q7407" s="44"/>
      <c r="R7407" s="44"/>
      <c r="S7407" s="44"/>
      <c r="T7407" s="44"/>
    </row>
    <row r="7408" spans="12:20" x14ac:dyDescent="0.2">
      <c r="L7408" s="43"/>
      <c r="M7408" s="43"/>
      <c r="N7408" s="43"/>
      <c r="O7408" s="43"/>
      <c r="Q7408" s="44"/>
      <c r="R7408" s="44"/>
      <c r="S7408" s="44"/>
      <c r="T7408" s="44"/>
    </row>
    <row r="7409" spans="12:20" x14ac:dyDescent="0.2">
      <c r="L7409" s="43"/>
      <c r="M7409" s="43"/>
      <c r="N7409" s="43"/>
      <c r="O7409" s="43"/>
      <c r="Q7409" s="44"/>
      <c r="R7409" s="44"/>
      <c r="S7409" s="44"/>
      <c r="T7409" s="44"/>
    </row>
    <row r="7410" spans="12:20" x14ac:dyDescent="0.2">
      <c r="L7410" s="43"/>
      <c r="M7410" s="43"/>
      <c r="N7410" s="43"/>
      <c r="O7410" s="43"/>
      <c r="Q7410" s="44"/>
      <c r="R7410" s="44"/>
      <c r="S7410" s="44"/>
      <c r="T7410" s="44"/>
    </row>
    <row r="7411" spans="12:20" x14ac:dyDescent="0.2">
      <c r="L7411" s="43"/>
      <c r="M7411" s="43"/>
      <c r="N7411" s="43"/>
      <c r="O7411" s="43"/>
      <c r="Q7411" s="44"/>
      <c r="R7411" s="44"/>
      <c r="S7411" s="44"/>
      <c r="T7411" s="44"/>
    </row>
    <row r="7412" spans="12:20" x14ac:dyDescent="0.2">
      <c r="L7412" s="43"/>
      <c r="M7412" s="43"/>
      <c r="N7412" s="43"/>
      <c r="O7412" s="43"/>
      <c r="Q7412" s="44"/>
      <c r="R7412" s="44"/>
      <c r="S7412" s="44"/>
      <c r="T7412" s="44"/>
    </row>
    <row r="7413" spans="12:20" x14ac:dyDescent="0.2">
      <c r="L7413" s="43"/>
      <c r="M7413" s="43"/>
      <c r="N7413" s="43"/>
      <c r="O7413" s="43"/>
      <c r="Q7413" s="44"/>
      <c r="R7413" s="44"/>
      <c r="S7413" s="44"/>
      <c r="T7413" s="44"/>
    </row>
    <row r="7414" spans="12:20" x14ac:dyDescent="0.2">
      <c r="L7414" s="43"/>
      <c r="M7414" s="43"/>
      <c r="N7414" s="43"/>
      <c r="O7414" s="43"/>
      <c r="Q7414" s="44"/>
      <c r="R7414" s="44"/>
      <c r="S7414" s="44"/>
      <c r="T7414" s="44"/>
    </row>
    <row r="7415" spans="12:20" x14ac:dyDescent="0.2">
      <c r="L7415" s="43"/>
      <c r="M7415" s="43"/>
      <c r="N7415" s="43"/>
      <c r="O7415" s="43"/>
      <c r="Q7415" s="44"/>
      <c r="R7415" s="44"/>
      <c r="S7415" s="44"/>
      <c r="T7415" s="44"/>
    </row>
    <row r="7416" spans="12:20" x14ac:dyDescent="0.2">
      <c r="L7416" s="43"/>
      <c r="M7416" s="43"/>
      <c r="N7416" s="43"/>
      <c r="O7416" s="43"/>
      <c r="Q7416" s="44"/>
      <c r="R7416" s="44"/>
      <c r="S7416" s="44"/>
      <c r="T7416" s="44"/>
    </row>
    <row r="7417" spans="12:20" x14ac:dyDescent="0.2">
      <c r="L7417" s="43"/>
      <c r="M7417" s="43"/>
      <c r="N7417" s="43"/>
      <c r="O7417" s="43"/>
      <c r="Q7417" s="44"/>
      <c r="R7417" s="44"/>
      <c r="S7417" s="44"/>
      <c r="T7417" s="44"/>
    </row>
    <row r="7418" spans="12:20" x14ac:dyDescent="0.2">
      <c r="L7418" s="43"/>
      <c r="M7418" s="43"/>
      <c r="N7418" s="43"/>
      <c r="O7418" s="43"/>
      <c r="Q7418" s="44"/>
      <c r="R7418" s="44"/>
      <c r="S7418" s="44"/>
      <c r="T7418" s="44"/>
    </row>
    <row r="7419" spans="12:20" x14ac:dyDescent="0.2">
      <c r="L7419" s="43"/>
      <c r="M7419" s="43"/>
      <c r="N7419" s="43"/>
      <c r="O7419" s="43"/>
      <c r="Q7419" s="44"/>
      <c r="R7419" s="44"/>
      <c r="S7419" s="44"/>
      <c r="T7419" s="44"/>
    </row>
    <row r="7420" spans="12:20" x14ac:dyDescent="0.2">
      <c r="L7420" s="43"/>
      <c r="M7420" s="43"/>
      <c r="N7420" s="43"/>
      <c r="O7420" s="43"/>
      <c r="Q7420" s="44"/>
      <c r="R7420" s="44"/>
      <c r="S7420" s="44"/>
      <c r="T7420" s="44"/>
    </row>
    <row r="7421" spans="12:20" x14ac:dyDescent="0.2">
      <c r="L7421" s="43"/>
      <c r="M7421" s="43"/>
      <c r="N7421" s="43"/>
      <c r="O7421" s="43"/>
      <c r="Q7421" s="44"/>
      <c r="R7421" s="44"/>
      <c r="S7421" s="44"/>
      <c r="T7421" s="44"/>
    </row>
    <row r="7422" spans="12:20" x14ac:dyDescent="0.2">
      <c r="L7422" s="43"/>
      <c r="M7422" s="43"/>
      <c r="N7422" s="43"/>
      <c r="O7422" s="43"/>
      <c r="Q7422" s="44"/>
      <c r="R7422" s="44"/>
      <c r="S7422" s="44"/>
      <c r="T7422" s="44"/>
    </row>
    <row r="7423" spans="12:20" x14ac:dyDescent="0.2">
      <c r="L7423" s="43"/>
      <c r="M7423" s="43"/>
      <c r="N7423" s="43"/>
      <c r="O7423" s="43"/>
      <c r="Q7423" s="44"/>
      <c r="R7423" s="44"/>
      <c r="S7423" s="44"/>
      <c r="T7423" s="44"/>
    </row>
    <row r="7424" spans="12:20" x14ac:dyDescent="0.2">
      <c r="L7424" s="43"/>
      <c r="M7424" s="43"/>
      <c r="N7424" s="43"/>
      <c r="O7424" s="43"/>
      <c r="Q7424" s="44"/>
      <c r="R7424" s="44"/>
      <c r="S7424" s="44"/>
      <c r="T7424" s="44"/>
    </row>
    <row r="7425" spans="12:20" x14ac:dyDescent="0.2">
      <c r="L7425" s="43"/>
      <c r="M7425" s="43"/>
      <c r="N7425" s="43"/>
      <c r="O7425" s="43"/>
      <c r="Q7425" s="44"/>
      <c r="R7425" s="44"/>
      <c r="S7425" s="44"/>
      <c r="T7425" s="44"/>
    </row>
    <row r="7426" spans="12:20" x14ac:dyDescent="0.2">
      <c r="L7426" s="43"/>
      <c r="M7426" s="43"/>
      <c r="N7426" s="43"/>
      <c r="O7426" s="43"/>
      <c r="Q7426" s="44"/>
      <c r="R7426" s="44"/>
      <c r="S7426" s="44"/>
      <c r="T7426" s="44"/>
    </row>
    <row r="7427" spans="12:20" x14ac:dyDescent="0.2">
      <c r="L7427" s="43"/>
      <c r="M7427" s="43"/>
      <c r="N7427" s="43"/>
      <c r="O7427" s="43"/>
      <c r="Q7427" s="44"/>
      <c r="R7427" s="44"/>
      <c r="S7427" s="44"/>
      <c r="T7427" s="44"/>
    </row>
    <row r="7428" spans="12:20" x14ac:dyDescent="0.2">
      <c r="L7428" s="43"/>
      <c r="M7428" s="43"/>
      <c r="N7428" s="43"/>
      <c r="O7428" s="43"/>
      <c r="Q7428" s="44"/>
      <c r="R7428" s="44"/>
      <c r="S7428" s="44"/>
      <c r="T7428" s="44"/>
    </row>
    <row r="7429" spans="12:20" x14ac:dyDescent="0.2">
      <c r="L7429" s="43"/>
      <c r="M7429" s="43"/>
      <c r="N7429" s="43"/>
      <c r="O7429" s="43"/>
      <c r="Q7429" s="44"/>
      <c r="R7429" s="44"/>
      <c r="S7429" s="44"/>
      <c r="T7429" s="44"/>
    </row>
    <row r="7430" spans="12:20" x14ac:dyDescent="0.2">
      <c r="L7430" s="43"/>
      <c r="M7430" s="43"/>
      <c r="N7430" s="43"/>
      <c r="O7430" s="43"/>
      <c r="Q7430" s="44"/>
      <c r="R7430" s="44"/>
      <c r="S7430" s="44"/>
      <c r="T7430" s="44"/>
    </row>
    <row r="7431" spans="12:20" x14ac:dyDescent="0.2">
      <c r="L7431" s="43"/>
      <c r="M7431" s="43"/>
      <c r="N7431" s="43"/>
      <c r="O7431" s="43"/>
      <c r="Q7431" s="44"/>
      <c r="R7431" s="44"/>
      <c r="S7431" s="44"/>
      <c r="T7431" s="44"/>
    </row>
    <row r="7432" spans="12:20" x14ac:dyDescent="0.2">
      <c r="L7432" s="43"/>
      <c r="M7432" s="43"/>
      <c r="N7432" s="43"/>
      <c r="O7432" s="43"/>
      <c r="Q7432" s="44"/>
      <c r="R7432" s="44"/>
      <c r="S7432" s="44"/>
      <c r="T7432" s="44"/>
    </row>
    <row r="7433" spans="12:20" x14ac:dyDescent="0.2">
      <c r="L7433" s="43"/>
      <c r="M7433" s="43"/>
      <c r="N7433" s="43"/>
      <c r="O7433" s="43"/>
      <c r="Q7433" s="44"/>
      <c r="R7433" s="44"/>
      <c r="S7433" s="44"/>
      <c r="T7433" s="44"/>
    </row>
    <row r="7434" spans="12:20" x14ac:dyDescent="0.2">
      <c r="L7434" s="43"/>
      <c r="M7434" s="43"/>
      <c r="N7434" s="43"/>
      <c r="O7434" s="43"/>
      <c r="Q7434" s="44"/>
      <c r="R7434" s="44"/>
      <c r="S7434" s="44"/>
      <c r="T7434" s="44"/>
    </row>
    <row r="7435" spans="12:20" x14ac:dyDescent="0.2">
      <c r="L7435" s="43"/>
      <c r="M7435" s="43"/>
      <c r="N7435" s="43"/>
      <c r="O7435" s="43"/>
      <c r="Q7435" s="44"/>
      <c r="R7435" s="44"/>
      <c r="S7435" s="44"/>
      <c r="T7435" s="44"/>
    </row>
    <row r="7436" spans="12:20" x14ac:dyDescent="0.2">
      <c r="L7436" s="43"/>
      <c r="M7436" s="43"/>
      <c r="N7436" s="43"/>
      <c r="O7436" s="43"/>
      <c r="Q7436" s="44"/>
      <c r="R7436" s="44"/>
      <c r="S7436" s="44"/>
      <c r="T7436" s="44"/>
    </row>
    <row r="7437" spans="12:20" x14ac:dyDescent="0.2">
      <c r="L7437" s="43"/>
      <c r="M7437" s="43"/>
      <c r="N7437" s="43"/>
      <c r="O7437" s="43"/>
      <c r="Q7437" s="44"/>
      <c r="R7437" s="44"/>
      <c r="S7437" s="44"/>
      <c r="T7437" s="44"/>
    </row>
    <row r="7438" spans="12:20" x14ac:dyDescent="0.2">
      <c r="L7438" s="43"/>
      <c r="M7438" s="43"/>
      <c r="N7438" s="43"/>
      <c r="O7438" s="43"/>
      <c r="Q7438" s="44"/>
      <c r="R7438" s="44"/>
      <c r="S7438" s="44"/>
      <c r="T7438" s="44"/>
    </row>
    <row r="7439" spans="12:20" x14ac:dyDescent="0.2">
      <c r="L7439" s="43"/>
      <c r="M7439" s="43"/>
      <c r="N7439" s="43"/>
      <c r="O7439" s="43"/>
      <c r="Q7439" s="44"/>
      <c r="R7439" s="44"/>
      <c r="S7439" s="44"/>
      <c r="T7439" s="44"/>
    </row>
    <row r="7440" spans="12:20" x14ac:dyDescent="0.2">
      <c r="L7440" s="43"/>
      <c r="M7440" s="43"/>
      <c r="N7440" s="43"/>
      <c r="O7440" s="43"/>
      <c r="Q7440" s="44"/>
      <c r="R7440" s="44"/>
      <c r="S7440" s="44"/>
      <c r="T7440" s="44"/>
    </row>
    <row r="7441" spans="12:20" x14ac:dyDescent="0.2">
      <c r="L7441" s="43"/>
      <c r="M7441" s="43"/>
      <c r="N7441" s="43"/>
      <c r="O7441" s="43"/>
      <c r="Q7441" s="44"/>
      <c r="R7441" s="44"/>
      <c r="S7441" s="44"/>
      <c r="T7441" s="44"/>
    </row>
    <row r="7442" spans="12:20" x14ac:dyDescent="0.2">
      <c r="L7442" s="43"/>
      <c r="M7442" s="43"/>
      <c r="N7442" s="43"/>
      <c r="O7442" s="43"/>
      <c r="Q7442" s="44"/>
      <c r="R7442" s="44"/>
      <c r="S7442" s="44"/>
      <c r="T7442" s="44"/>
    </row>
    <row r="7443" spans="12:20" x14ac:dyDescent="0.2">
      <c r="L7443" s="43"/>
      <c r="M7443" s="43"/>
      <c r="N7443" s="43"/>
      <c r="O7443" s="43"/>
      <c r="Q7443" s="44"/>
      <c r="R7443" s="44"/>
      <c r="S7443" s="44"/>
      <c r="T7443" s="44"/>
    </row>
    <row r="7444" spans="12:20" x14ac:dyDescent="0.2">
      <c r="L7444" s="43"/>
      <c r="M7444" s="43"/>
      <c r="N7444" s="43"/>
      <c r="O7444" s="43"/>
      <c r="Q7444" s="44"/>
      <c r="R7444" s="44"/>
      <c r="S7444" s="44"/>
      <c r="T7444" s="44"/>
    </row>
    <row r="7445" spans="12:20" x14ac:dyDescent="0.2">
      <c r="L7445" s="43"/>
      <c r="M7445" s="43"/>
      <c r="N7445" s="43"/>
      <c r="O7445" s="43"/>
      <c r="Q7445" s="44"/>
      <c r="R7445" s="44"/>
      <c r="S7445" s="44"/>
      <c r="T7445" s="44"/>
    </row>
    <row r="7446" spans="12:20" x14ac:dyDescent="0.2">
      <c r="L7446" s="43"/>
      <c r="M7446" s="43"/>
      <c r="N7446" s="43"/>
      <c r="O7446" s="43"/>
      <c r="Q7446" s="44"/>
      <c r="R7446" s="44"/>
      <c r="S7446" s="44"/>
      <c r="T7446" s="44"/>
    </row>
    <row r="7447" spans="12:20" x14ac:dyDescent="0.2">
      <c r="L7447" s="43"/>
      <c r="M7447" s="43"/>
      <c r="N7447" s="43"/>
      <c r="O7447" s="43"/>
      <c r="Q7447" s="44"/>
      <c r="R7447" s="44"/>
      <c r="S7447" s="44"/>
      <c r="T7447" s="44"/>
    </row>
    <row r="7448" spans="12:20" x14ac:dyDescent="0.2">
      <c r="L7448" s="43"/>
      <c r="M7448" s="43"/>
      <c r="N7448" s="43"/>
      <c r="O7448" s="43"/>
      <c r="Q7448" s="44"/>
      <c r="R7448" s="44"/>
      <c r="S7448" s="44"/>
      <c r="T7448" s="44"/>
    </row>
    <row r="7449" spans="12:20" x14ac:dyDescent="0.2">
      <c r="L7449" s="43"/>
      <c r="M7449" s="43"/>
      <c r="N7449" s="43"/>
      <c r="O7449" s="43"/>
      <c r="Q7449" s="44"/>
      <c r="R7449" s="44"/>
      <c r="S7449" s="44"/>
      <c r="T7449" s="44"/>
    </row>
    <row r="7450" spans="12:20" x14ac:dyDescent="0.2">
      <c r="L7450" s="43"/>
      <c r="M7450" s="43"/>
      <c r="N7450" s="43"/>
      <c r="O7450" s="43"/>
      <c r="Q7450" s="44"/>
      <c r="R7450" s="44"/>
      <c r="S7450" s="44"/>
      <c r="T7450" s="44"/>
    </row>
    <row r="7451" spans="12:20" x14ac:dyDescent="0.2">
      <c r="L7451" s="43"/>
      <c r="M7451" s="43"/>
      <c r="N7451" s="43"/>
      <c r="O7451" s="43"/>
      <c r="Q7451" s="44"/>
      <c r="R7451" s="44"/>
      <c r="S7451" s="44"/>
      <c r="T7451" s="44"/>
    </row>
    <row r="7452" spans="12:20" x14ac:dyDescent="0.2">
      <c r="L7452" s="43"/>
      <c r="M7452" s="43"/>
      <c r="N7452" s="43"/>
      <c r="O7452" s="43"/>
      <c r="Q7452" s="44"/>
      <c r="R7452" s="44"/>
      <c r="S7452" s="44"/>
      <c r="T7452" s="44"/>
    </row>
    <row r="7453" spans="12:20" x14ac:dyDescent="0.2">
      <c r="L7453" s="43"/>
      <c r="M7453" s="43"/>
      <c r="N7453" s="43"/>
      <c r="O7453" s="43"/>
      <c r="Q7453" s="44"/>
      <c r="R7453" s="44"/>
      <c r="S7453" s="44"/>
      <c r="T7453" s="44"/>
    </row>
    <row r="7454" spans="12:20" x14ac:dyDescent="0.2">
      <c r="L7454" s="43"/>
      <c r="M7454" s="43"/>
      <c r="N7454" s="43"/>
      <c r="O7454" s="43"/>
      <c r="Q7454" s="44"/>
      <c r="R7454" s="44"/>
      <c r="S7454" s="44"/>
      <c r="T7454" s="44"/>
    </row>
    <row r="7455" spans="12:20" x14ac:dyDescent="0.2">
      <c r="L7455" s="43"/>
      <c r="M7455" s="43"/>
      <c r="N7455" s="43"/>
      <c r="O7455" s="43"/>
      <c r="Q7455" s="44"/>
      <c r="R7455" s="44"/>
      <c r="S7455" s="44"/>
      <c r="T7455" s="44"/>
    </row>
    <row r="7456" spans="12:20" x14ac:dyDescent="0.2">
      <c r="L7456" s="43"/>
      <c r="M7456" s="43"/>
      <c r="N7456" s="43"/>
      <c r="O7456" s="43"/>
      <c r="Q7456" s="44"/>
      <c r="R7456" s="44"/>
      <c r="S7456" s="44"/>
      <c r="T7456" s="44"/>
    </row>
    <row r="7457" spans="12:20" x14ac:dyDescent="0.2">
      <c r="L7457" s="43"/>
      <c r="M7457" s="43"/>
      <c r="N7457" s="43"/>
      <c r="O7457" s="43"/>
      <c r="Q7457" s="44"/>
      <c r="R7457" s="44"/>
      <c r="S7457" s="44"/>
      <c r="T7457" s="44"/>
    </row>
    <row r="7458" spans="12:20" x14ac:dyDescent="0.2">
      <c r="L7458" s="43"/>
      <c r="M7458" s="43"/>
      <c r="N7458" s="43"/>
      <c r="O7458" s="43"/>
      <c r="Q7458" s="44"/>
      <c r="R7458" s="44"/>
      <c r="S7458" s="44"/>
      <c r="T7458" s="44"/>
    </row>
    <row r="7459" spans="12:20" x14ac:dyDescent="0.2">
      <c r="L7459" s="43"/>
      <c r="M7459" s="43"/>
      <c r="N7459" s="43"/>
      <c r="O7459" s="43"/>
      <c r="Q7459" s="44"/>
      <c r="R7459" s="44"/>
      <c r="S7459" s="44"/>
      <c r="T7459" s="44"/>
    </row>
    <row r="7460" spans="12:20" x14ac:dyDescent="0.2">
      <c r="L7460" s="43"/>
      <c r="M7460" s="43"/>
      <c r="N7460" s="43"/>
      <c r="O7460" s="43"/>
      <c r="Q7460" s="44"/>
      <c r="R7460" s="44"/>
      <c r="S7460" s="44"/>
      <c r="T7460" s="44"/>
    </row>
    <row r="7461" spans="12:20" x14ac:dyDescent="0.2">
      <c r="L7461" s="43"/>
      <c r="M7461" s="43"/>
      <c r="N7461" s="43"/>
      <c r="O7461" s="43"/>
      <c r="Q7461" s="44"/>
      <c r="R7461" s="44"/>
      <c r="S7461" s="44"/>
      <c r="T7461" s="44"/>
    </row>
    <row r="7462" spans="12:20" x14ac:dyDescent="0.2">
      <c r="L7462" s="43"/>
      <c r="M7462" s="43"/>
      <c r="N7462" s="43"/>
      <c r="O7462" s="43"/>
      <c r="Q7462" s="44"/>
      <c r="R7462" s="44"/>
      <c r="S7462" s="44"/>
      <c r="T7462" s="44"/>
    </row>
    <row r="7463" spans="12:20" x14ac:dyDescent="0.2">
      <c r="L7463" s="43"/>
      <c r="M7463" s="43"/>
      <c r="N7463" s="43"/>
      <c r="O7463" s="43"/>
      <c r="Q7463" s="44"/>
      <c r="R7463" s="44"/>
      <c r="S7463" s="44"/>
      <c r="T7463" s="44"/>
    </row>
    <row r="7464" spans="12:20" x14ac:dyDescent="0.2">
      <c r="L7464" s="43"/>
      <c r="M7464" s="43"/>
      <c r="N7464" s="43"/>
      <c r="O7464" s="43"/>
      <c r="Q7464" s="44"/>
      <c r="R7464" s="44"/>
      <c r="S7464" s="44"/>
      <c r="T7464" s="44"/>
    </row>
    <row r="7465" spans="12:20" x14ac:dyDescent="0.2">
      <c r="L7465" s="43"/>
      <c r="M7465" s="43"/>
      <c r="N7465" s="43"/>
      <c r="O7465" s="43"/>
      <c r="Q7465" s="44"/>
      <c r="R7465" s="44"/>
      <c r="S7465" s="44"/>
      <c r="T7465" s="44"/>
    </row>
    <row r="7466" spans="12:20" x14ac:dyDescent="0.2">
      <c r="L7466" s="43"/>
      <c r="M7466" s="43"/>
      <c r="N7466" s="43"/>
      <c r="O7466" s="43"/>
      <c r="Q7466" s="44"/>
      <c r="R7466" s="44"/>
      <c r="S7466" s="44"/>
      <c r="T7466" s="44"/>
    </row>
    <row r="7467" spans="12:20" x14ac:dyDescent="0.2">
      <c r="L7467" s="43"/>
      <c r="M7467" s="43"/>
      <c r="N7467" s="43"/>
      <c r="O7467" s="43"/>
      <c r="Q7467" s="44"/>
      <c r="R7467" s="44"/>
      <c r="S7467" s="44"/>
      <c r="T7467" s="44"/>
    </row>
    <row r="7468" spans="12:20" x14ac:dyDescent="0.2">
      <c r="L7468" s="43"/>
      <c r="M7468" s="43"/>
      <c r="N7468" s="43"/>
      <c r="O7468" s="43"/>
      <c r="Q7468" s="44"/>
      <c r="R7468" s="44"/>
      <c r="S7468" s="44"/>
      <c r="T7468" s="44"/>
    </row>
    <row r="7469" spans="12:20" x14ac:dyDescent="0.2">
      <c r="L7469" s="43"/>
      <c r="M7469" s="43"/>
      <c r="N7469" s="43"/>
      <c r="O7469" s="43"/>
      <c r="Q7469" s="44"/>
      <c r="R7469" s="44"/>
      <c r="S7469" s="44"/>
      <c r="T7469" s="44"/>
    </row>
    <row r="7470" spans="12:20" x14ac:dyDescent="0.2">
      <c r="L7470" s="43"/>
      <c r="M7470" s="43"/>
      <c r="N7470" s="43"/>
      <c r="O7470" s="43"/>
      <c r="Q7470" s="44"/>
      <c r="R7470" s="44"/>
      <c r="S7470" s="44"/>
      <c r="T7470" s="44"/>
    </row>
    <row r="7471" spans="12:20" x14ac:dyDescent="0.2">
      <c r="L7471" s="43"/>
      <c r="M7471" s="43"/>
      <c r="N7471" s="43"/>
      <c r="O7471" s="43"/>
      <c r="Q7471" s="44"/>
      <c r="R7471" s="44"/>
      <c r="S7471" s="44"/>
      <c r="T7471" s="44"/>
    </row>
    <row r="7472" spans="12:20" x14ac:dyDescent="0.2">
      <c r="L7472" s="43"/>
      <c r="M7472" s="43"/>
      <c r="N7472" s="43"/>
      <c r="O7472" s="43"/>
      <c r="Q7472" s="44"/>
      <c r="R7472" s="44"/>
      <c r="S7472" s="44"/>
      <c r="T7472" s="44"/>
    </row>
    <row r="7473" spans="12:20" x14ac:dyDescent="0.2">
      <c r="L7473" s="43"/>
      <c r="M7473" s="43"/>
      <c r="N7473" s="43"/>
      <c r="O7473" s="43"/>
      <c r="Q7473" s="44"/>
      <c r="R7473" s="44"/>
      <c r="S7473" s="44"/>
      <c r="T7473" s="44"/>
    </row>
    <row r="7474" spans="12:20" x14ac:dyDescent="0.2">
      <c r="L7474" s="43"/>
      <c r="M7474" s="43"/>
      <c r="N7474" s="43"/>
      <c r="O7474" s="43"/>
      <c r="Q7474" s="44"/>
      <c r="R7474" s="44"/>
      <c r="S7474" s="44"/>
      <c r="T7474" s="44"/>
    </row>
    <row r="7475" spans="12:20" x14ac:dyDescent="0.2">
      <c r="L7475" s="43"/>
      <c r="M7475" s="43"/>
      <c r="N7475" s="43"/>
      <c r="O7475" s="43"/>
      <c r="Q7475" s="44"/>
      <c r="R7475" s="44"/>
      <c r="S7475" s="44"/>
      <c r="T7475" s="44"/>
    </row>
    <row r="7476" spans="12:20" x14ac:dyDescent="0.2">
      <c r="L7476" s="43"/>
      <c r="M7476" s="43"/>
      <c r="N7476" s="43"/>
      <c r="O7476" s="43"/>
      <c r="Q7476" s="44"/>
      <c r="R7476" s="44"/>
      <c r="S7476" s="44"/>
      <c r="T7476" s="44"/>
    </row>
    <row r="7477" spans="12:20" x14ac:dyDescent="0.2">
      <c r="L7477" s="43"/>
      <c r="M7477" s="43"/>
      <c r="N7477" s="43"/>
      <c r="O7477" s="43"/>
      <c r="Q7477" s="44"/>
      <c r="R7477" s="44"/>
      <c r="S7477" s="44"/>
      <c r="T7477" s="44"/>
    </row>
    <row r="7478" spans="12:20" x14ac:dyDescent="0.2">
      <c r="L7478" s="43"/>
      <c r="M7478" s="43"/>
      <c r="N7478" s="43"/>
      <c r="O7478" s="43"/>
      <c r="Q7478" s="44"/>
      <c r="R7478" s="44"/>
      <c r="S7478" s="44"/>
      <c r="T7478" s="44"/>
    </row>
    <row r="7479" spans="12:20" x14ac:dyDescent="0.2">
      <c r="L7479" s="43"/>
      <c r="M7479" s="43"/>
      <c r="N7479" s="43"/>
      <c r="O7479" s="43"/>
      <c r="Q7479" s="44"/>
      <c r="R7479" s="44"/>
      <c r="S7479" s="44"/>
      <c r="T7479" s="44"/>
    </row>
    <row r="7480" spans="12:20" x14ac:dyDescent="0.2">
      <c r="L7480" s="43"/>
      <c r="M7480" s="43"/>
      <c r="N7480" s="43"/>
      <c r="O7480" s="43"/>
      <c r="Q7480" s="44"/>
      <c r="R7480" s="44"/>
      <c r="S7480" s="44"/>
      <c r="T7480" s="44"/>
    </row>
    <row r="7481" spans="12:20" x14ac:dyDescent="0.2">
      <c r="L7481" s="43"/>
      <c r="M7481" s="43"/>
      <c r="N7481" s="43"/>
      <c r="O7481" s="43"/>
      <c r="Q7481" s="44"/>
      <c r="R7481" s="44"/>
      <c r="S7481" s="44"/>
      <c r="T7481" s="44"/>
    </row>
    <row r="7482" spans="12:20" x14ac:dyDescent="0.2">
      <c r="L7482" s="43"/>
      <c r="M7482" s="43"/>
      <c r="N7482" s="43"/>
      <c r="O7482" s="43"/>
      <c r="Q7482" s="44"/>
      <c r="R7482" s="44"/>
      <c r="S7482" s="44"/>
      <c r="T7482" s="44"/>
    </row>
    <row r="7483" spans="12:20" x14ac:dyDescent="0.2">
      <c r="L7483" s="43"/>
      <c r="M7483" s="43"/>
      <c r="N7483" s="43"/>
      <c r="O7483" s="43"/>
      <c r="Q7483" s="44"/>
      <c r="R7483" s="44"/>
      <c r="S7483" s="44"/>
      <c r="T7483" s="44"/>
    </row>
    <row r="7484" spans="12:20" x14ac:dyDescent="0.2">
      <c r="L7484" s="43"/>
      <c r="M7484" s="43"/>
      <c r="N7484" s="43"/>
      <c r="O7484" s="43"/>
      <c r="Q7484" s="44"/>
      <c r="R7484" s="44"/>
      <c r="S7484" s="44"/>
      <c r="T7484" s="44"/>
    </row>
    <row r="7485" spans="12:20" x14ac:dyDescent="0.2">
      <c r="L7485" s="43"/>
      <c r="M7485" s="43"/>
      <c r="N7485" s="43"/>
      <c r="O7485" s="43"/>
      <c r="Q7485" s="44"/>
      <c r="R7485" s="44"/>
      <c r="S7485" s="44"/>
      <c r="T7485" s="44"/>
    </row>
    <row r="7486" spans="12:20" x14ac:dyDescent="0.2">
      <c r="L7486" s="43"/>
      <c r="M7486" s="43"/>
      <c r="N7486" s="43"/>
      <c r="O7486" s="43"/>
      <c r="Q7486" s="44"/>
      <c r="R7486" s="44"/>
      <c r="S7486" s="44"/>
      <c r="T7486" s="44"/>
    </row>
    <row r="7487" spans="12:20" x14ac:dyDescent="0.2">
      <c r="L7487" s="43"/>
      <c r="M7487" s="43"/>
      <c r="N7487" s="43"/>
      <c r="O7487" s="43"/>
      <c r="Q7487" s="44"/>
      <c r="R7487" s="44"/>
      <c r="S7487" s="44"/>
      <c r="T7487" s="44"/>
    </row>
    <row r="7488" spans="12:20" x14ac:dyDescent="0.2">
      <c r="L7488" s="43"/>
      <c r="M7488" s="43"/>
      <c r="N7488" s="43"/>
      <c r="O7488" s="43"/>
      <c r="Q7488" s="44"/>
      <c r="R7488" s="44"/>
      <c r="S7488" s="44"/>
      <c r="T7488" s="44"/>
    </row>
    <row r="7489" spans="12:20" x14ac:dyDescent="0.2">
      <c r="L7489" s="43"/>
      <c r="M7489" s="43"/>
      <c r="N7489" s="43"/>
      <c r="O7489" s="43"/>
      <c r="Q7489" s="44"/>
      <c r="R7489" s="44"/>
      <c r="S7489" s="44"/>
      <c r="T7489" s="44"/>
    </row>
    <row r="7490" spans="12:20" x14ac:dyDescent="0.2">
      <c r="L7490" s="43"/>
      <c r="M7490" s="43"/>
      <c r="N7490" s="43"/>
      <c r="O7490" s="43"/>
      <c r="Q7490" s="44"/>
      <c r="R7490" s="44"/>
      <c r="S7490" s="44"/>
      <c r="T7490" s="44"/>
    </row>
    <row r="7491" spans="12:20" x14ac:dyDescent="0.2">
      <c r="L7491" s="43"/>
      <c r="M7491" s="43"/>
      <c r="N7491" s="43"/>
      <c r="O7491" s="43"/>
      <c r="Q7491" s="44"/>
      <c r="R7491" s="44"/>
      <c r="S7491" s="44"/>
      <c r="T7491" s="44"/>
    </row>
    <row r="7492" spans="12:20" x14ac:dyDescent="0.2">
      <c r="L7492" s="43"/>
      <c r="M7492" s="43"/>
      <c r="N7492" s="43"/>
      <c r="O7492" s="43"/>
      <c r="Q7492" s="44"/>
      <c r="R7492" s="44"/>
      <c r="S7492" s="44"/>
      <c r="T7492" s="44"/>
    </row>
    <row r="7493" spans="12:20" x14ac:dyDescent="0.2">
      <c r="L7493" s="43"/>
      <c r="M7493" s="43"/>
      <c r="N7493" s="43"/>
      <c r="O7493" s="43"/>
      <c r="Q7493" s="44"/>
      <c r="R7493" s="44"/>
      <c r="S7493" s="44"/>
      <c r="T7493" s="44"/>
    </row>
    <row r="7494" spans="12:20" x14ac:dyDescent="0.2">
      <c r="L7494" s="43"/>
      <c r="M7494" s="43"/>
      <c r="N7494" s="43"/>
      <c r="O7494" s="43"/>
      <c r="Q7494" s="44"/>
      <c r="R7494" s="44"/>
      <c r="S7494" s="44"/>
      <c r="T7494" s="44"/>
    </row>
    <row r="7495" spans="12:20" x14ac:dyDescent="0.2">
      <c r="L7495" s="43"/>
      <c r="M7495" s="43"/>
      <c r="N7495" s="43"/>
      <c r="O7495" s="43"/>
      <c r="Q7495" s="44"/>
      <c r="R7495" s="44"/>
      <c r="S7495" s="44"/>
      <c r="T7495" s="44"/>
    </row>
    <row r="7496" spans="12:20" x14ac:dyDescent="0.2">
      <c r="L7496" s="43"/>
      <c r="M7496" s="43"/>
      <c r="N7496" s="43"/>
      <c r="O7496" s="43"/>
      <c r="Q7496" s="44"/>
      <c r="R7496" s="44"/>
      <c r="S7496" s="44"/>
      <c r="T7496" s="44"/>
    </row>
    <row r="7497" spans="12:20" x14ac:dyDescent="0.2">
      <c r="L7497" s="43"/>
      <c r="M7497" s="43"/>
      <c r="N7497" s="43"/>
      <c r="O7497" s="43"/>
      <c r="Q7497" s="44"/>
      <c r="R7497" s="44"/>
      <c r="S7497" s="44"/>
      <c r="T7497" s="44"/>
    </row>
    <row r="7498" spans="12:20" x14ac:dyDescent="0.2">
      <c r="L7498" s="43"/>
      <c r="M7498" s="43"/>
      <c r="N7498" s="43"/>
      <c r="O7498" s="43"/>
      <c r="Q7498" s="44"/>
      <c r="R7498" s="44"/>
      <c r="S7498" s="44"/>
      <c r="T7498" s="44"/>
    </row>
    <row r="7499" spans="12:20" x14ac:dyDescent="0.2">
      <c r="L7499" s="43"/>
      <c r="M7499" s="43"/>
      <c r="N7499" s="43"/>
      <c r="O7499" s="43"/>
      <c r="Q7499" s="44"/>
      <c r="R7499" s="44"/>
      <c r="S7499" s="44"/>
      <c r="T7499" s="44"/>
    </row>
    <row r="7500" spans="12:20" x14ac:dyDescent="0.2">
      <c r="L7500" s="43"/>
      <c r="M7500" s="43"/>
      <c r="N7500" s="43"/>
      <c r="O7500" s="43"/>
      <c r="Q7500" s="44"/>
      <c r="R7500" s="44"/>
      <c r="S7500" s="44"/>
      <c r="T7500" s="44"/>
    </row>
    <row r="7501" spans="12:20" x14ac:dyDescent="0.2">
      <c r="L7501" s="43"/>
      <c r="M7501" s="43"/>
      <c r="N7501" s="43"/>
      <c r="O7501" s="43"/>
      <c r="Q7501" s="44"/>
      <c r="R7501" s="44"/>
      <c r="S7501" s="44"/>
      <c r="T7501" s="44"/>
    </row>
    <row r="7502" spans="12:20" x14ac:dyDescent="0.2">
      <c r="L7502" s="43"/>
      <c r="M7502" s="43"/>
      <c r="N7502" s="43"/>
      <c r="O7502" s="43"/>
      <c r="Q7502" s="44"/>
      <c r="R7502" s="44"/>
      <c r="S7502" s="44"/>
      <c r="T7502" s="44"/>
    </row>
    <row r="7503" spans="12:20" x14ac:dyDescent="0.2">
      <c r="L7503" s="43"/>
      <c r="M7503" s="43"/>
      <c r="N7503" s="43"/>
      <c r="O7503" s="43"/>
      <c r="Q7503" s="44"/>
      <c r="R7503" s="44"/>
      <c r="S7503" s="44"/>
      <c r="T7503" s="44"/>
    </row>
    <row r="7504" spans="12:20" x14ac:dyDescent="0.2">
      <c r="L7504" s="43"/>
      <c r="M7504" s="43"/>
      <c r="N7504" s="43"/>
      <c r="O7504" s="43"/>
      <c r="Q7504" s="44"/>
      <c r="R7504" s="44"/>
      <c r="S7504" s="44"/>
      <c r="T7504" s="44"/>
    </row>
    <row r="7505" spans="12:20" x14ac:dyDescent="0.2">
      <c r="L7505" s="43"/>
      <c r="M7505" s="43"/>
      <c r="N7505" s="43"/>
      <c r="O7505" s="43"/>
      <c r="Q7505" s="44"/>
      <c r="R7505" s="44"/>
      <c r="S7505" s="44"/>
      <c r="T7505" s="44"/>
    </row>
    <row r="7506" spans="12:20" x14ac:dyDescent="0.2">
      <c r="L7506" s="43"/>
      <c r="M7506" s="43"/>
      <c r="N7506" s="43"/>
      <c r="O7506" s="43"/>
      <c r="Q7506" s="44"/>
      <c r="R7506" s="44"/>
      <c r="S7506" s="44"/>
      <c r="T7506" s="44"/>
    </row>
    <row r="7507" spans="12:20" x14ac:dyDescent="0.2">
      <c r="L7507" s="43"/>
      <c r="M7507" s="43"/>
      <c r="N7507" s="43"/>
      <c r="O7507" s="43"/>
      <c r="Q7507" s="44"/>
      <c r="R7507" s="44"/>
      <c r="S7507" s="44"/>
      <c r="T7507" s="44"/>
    </row>
    <row r="7508" spans="12:20" x14ac:dyDescent="0.2">
      <c r="L7508" s="43"/>
      <c r="M7508" s="43"/>
      <c r="N7508" s="43"/>
      <c r="O7508" s="43"/>
      <c r="Q7508" s="44"/>
      <c r="R7508" s="44"/>
      <c r="S7508" s="44"/>
      <c r="T7508" s="44"/>
    </row>
    <row r="7509" spans="12:20" x14ac:dyDescent="0.2">
      <c r="L7509" s="43"/>
      <c r="M7509" s="43"/>
      <c r="N7509" s="43"/>
      <c r="O7509" s="43"/>
      <c r="Q7509" s="44"/>
      <c r="R7509" s="44"/>
      <c r="S7509" s="44"/>
      <c r="T7509" s="44"/>
    </row>
    <row r="7510" spans="12:20" x14ac:dyDescent="0.2">
      <c r="L7510" s="43"/>
      <c r="M7510" s="43"/>
      <c r="N7510" s="43"/>
      <c r="O7510" s="43"/>
      <c r="Q7510" s="44"/>
      <c r="R7510" s="44"/>
      <c r="S7510" s="44"/>
      <c r="T7510" s="44"/>
    </row>
    <row r="7511" spans="12:20" x14ac:dyDescent="0.2">
      <c r="L7511" s="43"/>
      <c r="M7511" s="43"/>
      <c r="N7511" s="43"/>
      <c r="O7511" s="43"/>
      <c r="Q7511" s="44"/>
      <c r="R7511" s="44"/>
      <c r="S7511" s="44"/>
      <c r="T7511" s="44"/>
    </row>
    <row r="7512" spans="12:20" x14ac:dyDescent="0.2">
      <c r="L7512" s="43"/>
      <c r="M7512" s="43"/>
      <c r="N7512" s="43"/>
      <c r="O7512" s="43"/>
      <c r="Q7512" s="44"/>
      <c r="R7512" s="44"/>
      <c r="S7512" s="44"/>
      <c r="T7512" s="44"/>
    </row>
    <row r="7513" spans="12:20" x14ac:dyDescent="0.2">
      <c r="L7513" s="43"/>
      <c r="M7513" s="43"/>
      <c r="N7513" s="43"/>
      <c r="O7513" s="43"/>
      <c r="Q7513" s="44"/>
      <c r="R7513" s="44"/>
      <c r="S7513" s="44"/>
      <c r="T7513" s="44"/>
    </row>
    <row r="7514" spans="12:20" x14ac:dyDescent="0.2">
      <c r="L7514" s="43"/>
      <c r="M7514" s="43"/>
      <c r="N7514" s="43"/>
      <c r="O7514" s="43"/>
      <c r="Q7514" s="44"/>
      <c r="R7514" s="44"/>
      <c r="S7514" s="44"/>
      <c r="T7514" s="44"/>
    </row>
    <row r="7515" spans="12:20" x14ac:dyDescent="0.2">
      <c r="L7515" s="43"/>
      <c r="M7515" s="43"/>
      <c r="N7515" s="43"/>
      <c r="O7515" s="43"/>
      <c r="Q7515" s="44"/>
      <c r="R7515" s="44"/>
      <c r="S7515" s="44"/>
      <c r="T7515" s="44"/>
    </row>
    <row r="7516" spans="12:20" x14ac:dyDescent="0.2">
      <c r="L7516" s="43"/>
      <c r="M7516" s="43"/>
      <c r="N7516" s="43"/>
      <c r="O7516" s="43"/>
      <c r="Q7516" s="44"/>
      <c r="R7516" s="44"/>
      <c r="S7516" s="44"/>
      <c r="T7516" s="44"/>
    </row>
    <row r="7517" spans="12:20" x14ac:dyDescent="0.2">
      <c r="L7517" s="43"/>
      <c r="M7517" s="43"/>
      <c r="N7517" s="43"/>
      <c r="O7517" s="43"/>
      <c r="Q7517" s="44"/>
      <c r="R7517" s="44"/>
      <c r="S7517" s="44"/>
      <c r="T7517" s="44"/>
    </row>
    <row r="7518" spans="12:20" x14ac:dyDescent="0.2">
      <c r="L7518" s="43"/>
      <c r="M7518" s="43"/>
      <c r="N7518" s="43"/>
      <c r="O7518" s="43"/>
      <c r="Q7518" s="44"/>
      <c r="R7518" s="44"/>
      <c r="S7518" s="44"/>
      <c r="T7518" s="44"/>
    </row>
    <row r="7519" spans="12:20" x14ac:dyDescent="0.2">
      <c r="L7519" s="43"/>
      <c r="M7519" s="43"/>
      <c r="N7519" s="43"/>
      <c r="O7519" s="43"/>
      <c r="Q7519" s="44"/>
      <c r="R7519" s="44"/>
      <c r="S7519" s="44"/>
      <c r="T7519" s="44"/>
    </row>
    <row r="7520" spans="12:20" x14ac:dyDescent="0.2">
      <c r="L7520" s="43"/>
      <c r="M7520" s="43"/>
      <c r="N7520" s="43"/>
      <c r="O7520" s="43"/>
      <c r="Q7520" s="44"/>
      <c r="R7520" s="44"/>
      <c r="S7520" s="44"/>
      <c r="T7520" s="44"/>
    </row>
    <row r="7521" spans="12:20" x14ac:dyDescent="0.2">
      <c r="L7521" s="43"/>
      <c r="M7521" s="43"/>
      <c r="N7521" s="43"/>
      <c r="O7521" s="43"/>
      <c r="Q7521" s="44"/>
      <c r="R7521" s="44"/>
      <c r="S7521" s="44"/>
      <c r="T7521" s="44"/>
    </row>
    <row r="7522" spans="12:20" x14ac:dyDescent="0.2">
      <c r="L7522" s="43"/>
      <c r="M7522" s="43"/>
      <c r="N7522" s="43"/>
      <c r="O7522" s="43"/>
      <c r="Q7522" s="44"/>
      <c r="R7522" s="44"/>
      <c r="S7522" s="44"/>
      <c r="T7522" s="44"/>
    </row>
    <row r="7523" spans="12:20" x14ac:dyDescent="0.2">
      <c r="L7523" s="43"/>
      <c r="M7523" s="43"/>
      <c r="N7523" s="43"/>
      <c r="O7523" s="43"/>
      <c r="Q7523" s="44"/>
      <c r="R7523" s="44"/>
      <c r="S7523" s="44"/>
      <c r="T7523" s="44"/>
    </row>
    <row r="7524" spans="12:20" x14ac:dyDescent="0.2">
      <c r="L7524" s="43"/>
      <c r="M7524" s="43"/>
      <c r="N7524" s="43"/>
      <c r="O7524" s="43"/>
      <c r="Q7524" s="44"/>
      <c r="R7524" s="44"/>
      <c r="S7524" s="44"/>
      <c r="T7524" s="44"/>
    </row>
    <row r="7525" spans="12:20" x14ac:dyDescent="0.2">
      <c r="L7525" s="43"/>
      <c r="M7525" s="43"/>
      <c r="N7525" s="43"/>
      <c r="O7525" s="43"/>
      <c r="Q7525" s="44"/>
      <c r="R7525" s="44"/>
      <c r="S7525" s="44"/>
      <c r="T7525" s="44"/>
    </row>
    <row r="7526" spans="12:20" x14ac:dyDescent="0.2">
      <c r="L7526" s="43"/>
      <c r="M7526" s="43"/>
      <c r="N7526" s="43"/>
      <c r="O7526" s="43"/>
      <c r="Q7526" s="44"/>
      <c r="R7526" s="44"/>
      <c r="S7526" s="44"/>
      <c r="T7526" s="44"/>
    </row>
    <row r="7527" spans="12:20" x14ac:dyDescent="0.2">
      <c r="L7527" s="43"/>
      <c r="M7527" s="43"/>
      <c r="N7527" s="43"/>
      <c r="O7527" s="43"/>
      <c r="Q7527" s="44"/>
      <c r="R7527" s="44"/>
      <c r="S7527" s="44"/>
      <c r="T7527" s="44"/>
    </row>
    <row r="7528" spans="12:20" x14ac:dyDescent="0.2">
      <c r="L7528" s="43"/>
      <c r="M7528" s="43"/>
      <c r="N7528" s="43"/>
      <c r="O7528" s="43"/>
      <c r="Q7528" s="44"/>
      <c r="R7528" s="44"/>
      <c r="S7528" s="44"/>
      <c r="T7528" s="44"/>
    </row>
    <row r="7529" spans="12:20" x14ac:dyDescent="0.2">
      <c r="L7529" s="43"/>
      <c r="M7529" s="43"/>
      <c r="N7529" s="43"/>
      <c r="O7529" s="43"/>
      <c r="Q7529" s="44"/>
      <c r="R7529" s="44"/>
      <c r="S7529" s="44"/>
      <c r="T7529" s="44"/>
    </row>
    <row r="7530" spans="12:20" x14ac:dyDescent="0.2">
      <c r="L7530" s="43"/>
      <c r="M7530" s="43"/>
      <c r="N7530" s="43"/>
      <c r="O7530" s="43"/>
      <c r="Q7530" s="44"/>
      <c r="R7530" s="44"/>
      <c r="S7530" s="44"/>
      <c r="T7530" s="44"/>
    </row>
    <row r="7531" spans="12:20" x14ac:dyDescent="0.2">
      <c r="L7531" s="43"/>
      <c r="M7531" s="43"/>
      <c r="N7531" s="43"/>
      <c r="O7531" s="43"/>
      <c r="Q7531" s="44"/>
      <c r="R7531" s="44"/>
      <c r="S7531" s="44"/>
      <c r="T7531" s="44"/>
    </row>
    <row r="7532" spans="12:20" x14ac:dyDescent="0.2">
      <c r="L7532" s="43"/>
      <c r="M7532" s="43"/>
      <c r="N7532" s="43"/>
      <c r="O7532" s="43"/>
      <c r="Q7532" s="44"/>
      <c r="R7532" s="44"/>
      <c r="S7532" s="44"/>
      <c r="T7532" s="44"/>
    </row>
    <row r="7533" spans="12:20" x14ac:dyDescent="0.2">
      <c r="L7533" s="43"/>
      <c r="M7533" s="43"/>
      <c r="N7533" s="43"/>
      <c r="O7533" s="43"/>
      <c r="Q7533" s="44"/>
      <c r="R7533" s="44"/>
      <c r="S7533" s="44"/>
      <c r="T7533" s="44"/>
    </row>
    <row r="7534" spans="12:20" x14ac:dyDescent="0.2">
      <c r="L7534" s="43"/>
      <c r="M7534" s="43"/>
      <c r="N7534" s="43"/>
      <c r="O7534" s="43"/>
      <c r="Q7534" s="44"/>
      <c r="R7534" s="44"/>
      <c r="S7534" s="44"/>
      <c r="T7534" s="44"/>
    </row>
    <row r="7535" spans="12:20" x14ac:dyDescent="0.2">
      <c r="L7535" s="43"/>
      <c r="M7535" s="43"/>
      <c r="N7535" s="43"/>
      <c r="O7535" s="43"/>
      <c r="Q7535" s="44"/>
      <c r="R7535" s="44"/>
      <c r="S7535" s="44"/>
      <c r="T7535" s="44"/>
    </row>
    <row r="7536" spans="12:20" x14ac:dyDescent="0.2">
      <c r="L7536" s="43"/>
      <c r="M7536" s="43"/>
      <c r="N7536" s="43"/>
      <c r="O7536" s="43"/>
      <c r="Q7536" s="44"/>
      <c r="R7536" s="44"/>
      <c r="S7536" s="44"/>
      <c r="T7536" s="44"/>
    </row>
    <row r="7537" spans="12:20" x14ac:dyDescent="0.2">
      <c r="L7537" s="43"/>
      <c r="M7537" s="43"/>
      <c r="N7537" s="43"/>
      <c r="O7537" s="43"/>
      <c r="Q7537" s="44"/>
      <c r="R7537" s="44"/>
      <c r="S7537" s="44"/>
      <c r="T7537" s="44"/>
    </row>
    <row r="7538" spans="12:20" x14ac:dyDescent="0.2">
      <c r="L7538" s="43"/>
      <c r="M7538" s="43"/>
      <c r="N7538" s="43"/>
      <c r="O7538" s="43"/>
      <c r="Q7538" s="44"/>
      <c r="R7538" s="44"/>
      <c r="S7538" s="44"/>
      <c r="T7538" s="44"/>
    </row>
    <row r="7539" spans="12:20" x14ac:dyDescent="0.2">
      <c r="L7539" s="43"/>
      <c r="M7539" s="43"/>
      <c r="N7539" s="43"/>
      <c r="O7539" s="43"/>
      <c r="Q7539" s="44"/>
      <c r="R7539" s="44"/>
      <c r="S7539" s="44"/>
      <c r="T7539" s="44"/>
    </row>
    <row r="7540" spans="12:20" x14ac:dyDescent="0.2">
      <c r="L7540" s="43"/>
      <c r="M7540" s="43"/>
      <c r="N7540" s="43"/>
      <c r="O7540" s="43"/>
      <c r="Q7540" s="44"/>
      <c r="R7540" s="44"/>
      <c r="S7540" s="44"/>
      <c r="T7540" s="44"/>
    </row>
    <row r="7541" spans="12:20" x14ac:dyDescent="0.2">
      <c r="L7541" s="43"/>
      <c r="M7541" s="43"/>
      <c r="N7541" s="43"/>
      <c r="O7541" s="43"/>
      <c r="Q7541" s="44"/>
      <c r="R7541" s="44"/>
      <c r="S7541" s="44"/>
      <c r="T7541" s="44"/>
    </row>
    <row r="7542" spans="12:20" x14ac:dyDescent="0.2">
      <c r="L7542" s="43"/>
      <c r="M7542" s="43"/>
      <c r="N7542" s="43"/>
      <c r="O7542" s="43"/>
      <c r="Q7542" s="44"/>
      <c r="R7542" s="44"/>
      <c r="S7542" s="44"/>
      <c r="T7542" s="44"/>
    </row>
    <row r="7543" spans="12:20" x14ac:dyDescent="0.2">
      <c r="L7543" s="43"/>
      <c r="M7543" s="43"/>
      <c r="N7543" s="43"/>
      <c r="O7543" s="43"/>
      <c r="Q7543" s="44"/>
      <c r="R7543" s="44"/>
      <c r="S7543" s="44"/>
      <c r="T7543" s="44"/>
    </row>
    <row r="7544" spans="12:20" x14ac:dyDescent="0.2">
      <c r="L7544" s="43"/>
      <c r="M7544" s="43"/>
      <c r="N7544" s="43"/>
      <c r="O7544" s="43"/>
      <c r="Q7544" s="44"/>
      <c r="R7544" s="44"/>
      <c r="S7544" s="44"/>
      <c r="T7544" s="44"/>
    </row>
    <row r="7545" spans="12:20" x14ac:dyDescent="0.2">
      <c r="L7545" s="43"/>
      <c r="M7545" s="43"/>
      <c r="N7545" s="43"/>
      <c r="O7545" s="43"/>
      <c r="Q7545" s="44"/>
      <c r="R7545" s="44"/>
      <c r="S7545" s="44"/>
      <c r="T7545" s="44"/>
    </row>
    <row r="7546" spans="12:20" x14ac:dyDescent="0.2">
      <c r="L7546" s="43"/>
      <c r="M7546" s="43"/>
      <c r="N7546" s="43"/>
      <c r="O7546" s="43"/>
      <c r="Q7546" s="44"/>
      <c r="R7546" s="44"/>
      <c r="S7546" s="44"/>
      <c r="T7546" s="44"/>
    </row>
    <row r="7547" spans="12:20" x14ac:dyDescent="0.2">
      <c r="L7547" s="43"/>
      <c r="M7547" s="43"/>
      <c r="N7547" s="43"/>
      <c r="O7547" s="43"/>
      <c r="Q7547" s="44"/>
      <c r="R7547" s="44"/>
      <c r="S7547" s="44"/>
      <c r="T7547" s="44"/>
    </row>
    <row r="7548" spans="12:20" x14ac:dyDescent="0.2">
      <c r="L7548" s="43"/>
      <c r="M7548" s="43"/>
      <c r="N7548" s="43"/>
      <c r="O7548" s="43"/>
      <c r="Q7548" s="44"/>
      <c r="R7548" s="44"/>
      <c r="S7548" s="44"/>
      <c r="T7548" s="44"/>
    </row>
    <row r="7549" spans="12:20" x14ac:dyDescent="0.2">
      <c r="L7549" s="43"/>
      <c r="M7549" s="43"/>
      <c r="N7549" s="43"/>
      <c r="O7549" s="43"/>
      <c r="Q7549" s="44"/>
      <c r="R7549" s="44"/>
      <c r="S7549" s="44"/>
      <c r="T7549" s="44"/>
    </row>
    <row r="7550" spans="12:20" x14ac:dyDescent="0.2">
      <c r="L7550" s="43"/>
      <c r="M7550" s="43"/>
      <c r="N7550" s="43"/>
      <c r="O7550" s="43"/>
      <c r="Q7550" s="44"/>
      <c r="R7550" s="44"/>
      <c r="S7550" s="44"/>
      <c r="T7550" s="44"/>
    </row>
    <row r="7551" spans="12:20" x14ac:dyDescent="0.2">
      <c r="L7551" s="43"/>
      <c r="M7551" s="43"/>
      <c r="N7551" s="43"/>
      <c r="O7551" s="43"/>
      <c r="Q7551" s="44"/>
      <c r="R7551" s="44"/>
      <c r="S7551" s="44"/>
      <c r="T7551" s="44"/>
    </row>
    <row r="7552" spans="12:20" x14ac:dyDescent="0.2">
      <c r="L7552" s="43"/>
      <c r="M7552" s="43"/>
      <c r="N7552" s="43"/>
      <c r="O7552" s="43"/>
      <c r="Q7552" s="44"/>
      <c r="R7552" s="44"/>
      <c r="S7552" s="44"/>
      <c r="T7552" s="44"/>
    </row>
    <row r="7553" spans="12:20" x14ac:dyDescent="0.2">
      <c r="L7553" s="43"/>
      <c r="M7553" s="43"/>
      <c r="N7553" s="43"/>
      <c r="O7553" s="43"/>
      <c r="Q7553" s="44"/>
      <c r="R7553" s="44"/>
      <c r="S7553" s="44"/>
      <c r="T7553" s="44"/>
    </row>
    <row r="7554" spans="12:20" x14ac:dyDescent="0.2">
      <c r="L7554" s="43"/>
      <c r="M7554" s="43"/>
      <c r="N7554" s="43"/>
      <c r="O7554" s="43"/>
      <c r="Q7554" s="44"/>
      <c r="R7554" s="44"/>
      <c r="S7554" s="44"/>
      <c r="T7554" s="44"/>
    </row>
    <row r="7555" spans="12:20" x14ac:dyDescent="0.2">
      <c r="L7555" s="43"/>
      <c r="M7555" s="43"/>
      <c r="N7555" s="43"/>
      <c r="O7555" s="43"/>
      <c r="Q7555" s="44"/>
      <c r="R7555" s="44"/>
      <c r="S7555" s="44"/>
      <c r="T7555" s="44"/>
    </row>
    <row r="7556" spans="12:20" x14ac:dyDescent="0.2">
      <c r="L7556" s="43"/>
      <c r="M7556" s="43"/>
      <c r="N7556" s="43"/>
      <c r="O7556" s="43"/>
      <c r="Q7556" s="44"/>
      <c r="R7556" s="44"/>
      <c r="S7556" s="44"/>
      <c r="T7556" s="44"/>
    </row>
    <row r="7557" spans="12:20" x14ac:dyDescent="0.2">
      <c r="L7557" s="43"/>
      <c r="M7557" s="43"/>
      <c r="N7557" s="43"/>
      <c r="O7557" s="43"/>
      <c r="Q7557" s="44"/>
      <c r="R7557" s="44"/>
      <c r="S7557" s="44"/>
      <c r="T7557" s="44"/>
    </row>
    <row r="7558" spans="12:20" x14ac:dyDescent="0.2">
      <c r="L7558" s="43"/>
      <c r="M7558" s="43"/>
      <c r="N7558" s="43"/>
      <c r="O7558" s="43"/>
      <c r="Q7558" s="44"/>
      <c r="R7558" s="44"/>
      <c r="S7558" s="44"/>
      <c r="T7558" s="44"/>
    </row>
    <row r="7559" spans="12:20" x14ac:dyDescent="0.2">
      <c r="L7559" s="43"/>
      <c r="M7559" s="43"/>
      <c r="N7559" s="43"/>
      <c r="O7559" s="43"/>
      <c r="Q7559" s="44"/>
      <c r="R7559" s="44"/>
      <c r="S7559" s="44"/>
      <c r="T7559" s="44"/>
    </row>
    <row r="7560" spans="12:20" x14ac:dyDescent="0.2">
      <c r="L7560" s="43"/>
      <c r="M7560" s="43"/>
      <c r="N7560" s="43"/>
      <c r="O7560" s="43"/>
      <c r="Q7560" s="44"/>
      <c r="R7560" s="44"/>
      <c r="S7560" s="44"/>
      <c r="T7560" s="44"/>
    </row>
    <row r="7561" spans="12:20" x14ac:dyDescent="0.2">
      <c r="L7561" s="43"/>
      <c r="M7561" s="43"/>
      <c r="N7561" s="43"/>
      <c r="O7561" s="43"/>
      <c r="Q7561" s="44"/>
      <c r="R7561" s="44"/>
      <c r="S7561" s="44"/>
      <c r="T7561" s="44"/>
    </row>
    <row r="7562" spans="12:20" x14ac:dyDescent="0.2">
      <c r="L7562" s="43"/>
      <c r="M7562" s="43"/>
      <c r="N7562" s="43"/>
      <c r="O7562" s="43"/>
      <c r="Q7562" s="44"/>
      <c r="R7562" s="44"/>
      <c r="S7562" s="44"/>
      <c r="T7562" s="44"/>
    </row>
    <row r="7563" spans="12:20" x14ac:dyDescent="0.2">
      <c r="L7563" s="43"/>
      <c r="M7563" s="43"/>
      <c r="N7563" s="43"/>
      <c r="O7563" s="43"/>
      <c r="Q7563" s="44"/>
      <c r="R7563" s="44"/>
      <c r="S7563" s="44"/>
      <c r="T7563" s="44"/>
    </row>
    <row r="7564" spans="12:20" x14ac:dyDescent="0.2">
      <c r="L7564" s="43"/>
      <c r="M7564" s="43"/>
      <c r="N7564" s="43"/>
      <c r="O7564" s="43"/>
      <c r="Q7564" s="44"/>
      <c r="R7564" s="44"/>
      <c r="S7564" s="44"/>
      <c r="T7564" s="44"/>
    </row>
    <row r="7565" spans="12:20" x14ac:dyDescent="0.2">
      <c r="L7565" s="43"/>
      <c r="M7565" s="43"/>
      <c r="N7565" s="43"/>
      <c r="O7565" s="43"/>
      <c r="Q7565" s="44"/>
      <c r="R7565" s="44"/>
      <c r="S7565" s="44"/>
      <c r="T7565" s="44"/>
    </row>
    <row r="7566" spans="12:20" x14ac:dyDescent="0.2">
      <c r="L7566" s="43"/>
      <c r="M7566" s="43"/>
      <c r="N7566" s="43"/>
      <c r="O7566" s="43"/>
      <c r="Q7566" s="44"/>
      <c r="R7566" s="44"/>
      <c r="S7566" s="44"/>
      <c r="T7566" s="44"/>
    </row>
    <row r="7567" spans="12:20" x14ac:dyDescent="0.2">
      <c r="L7567" s="43"/>
      <c r="M7567" s="43"/>
      <c r="N7567" s="43"/>
      <c r="O7567" s="43"/>
      <c r="Q7567" s="44"/>
      <c r="R7567" s="44"/>
      <c r="S7567" s="44"/>
      <c r="T7567" s="44"/>
    </row>
    <row r="7568" spans="12:20" x14ac:dyDescent="0.2">
      <c r="L7568" s="43"/>
      <c r="M7568" s="43"/>
      <c r="N7568" s="43"/>
      <c r="O7568" s="43"/>
      <c r="Q7568" s="44"/>
      <c r="R7568" s="44"/>
      <c r="S7568" s="44"/>
      <c r="T7568" s="44"/>
    </row>
    <row r="7569" spans="12:20" x14ac:dyDescent="0.2">
      <c r="L7569" s="43"/>
      <c r="M7569" s="43"/>
      <c r="N7569" s="43"/>
      <c r="O7569" s="43"/>
      <c r="Q7569" s="44"/>
      <c r="R7569" s="44"/>
      <c r="S7569" s="44"/>
      <c r="T7569" s="44"/>
    </row>
    <row r="7570" spans="12:20" x14ac:dyDescent="0.2">
      <c r="L7570" s="43"/>
      <c r="M7570" s="43"/>
      <c r="N7570" s="43"/>
      <c r="O7570" s="43"/>
      <c r="Q7570" s="44"/>
      <c r="R7570" s="44"/>
      <c r="S7570" s="44"/>
      <c r="T7570" s="44"/>
    </row>
    <row r="7571" spans="12:20" x14ac:dyDescent="0.2">
      <c r="L7571" s="43"/>
      <c r="M7571" s="43"/>
      <c r="N7571" s="43"/>
      <c r="O7571" s="43"/>
      <c r="Q7571" s="44"/>
      <c r="R7571" s="44"/>
      <c r="S7571" s="44"/>
      <c r="T7571" s="44"/>
    </row>
    <row r="7572" spans="12:20" x14ac:dyDescent="0.2">
      <c r="L7572" s="43"/>
      <c r="M7572" s="43"/>
      <c r="N7572" s="43"/>
      <c r="O7572" s="43"/>
      <c r="Q7572" s="44"/>
      <c r="R7572" s="44"/>
      <c r="S7572" s="44"/>
      <c r="T7572" s="44"/>
    </row>
    <row r="7573" spans="12:20" x14ac:dyDescent="0.2">
      <c r="L7573" s="43"/>
      <c r="M7573" s="43"/>
      <c r="N7573" s="43"/>
      <c r="O7573" s="43"/>
      <c r="Q7573" s="44"/>
      <c r="R7573" s="44"/>
      <c r="S7573" s="44"/>
      <c r="T7573" s="44"/>
    </row>
    <row r="7574" spans="12:20" x14ac:dyDescent="0.2">
      <c r="L7574" s="43"/>
      <c r="M7574" s="43"/>
      <c r="N7574" s="43"/>
      <c r="O7574" s="43"/>
      <c r="Q7574" s="44"/>
      <c r="R7574" s="44"/>
      <c r="S7574" s="44"/>
      <c r="T7574" s="44"/>
    </row>
    <row r="7575" spans="12:20" x14ac:dyDescent="0.2">
      <c r="L7575" s="43"/>
      <c r="M7575" s="43"/>
      <c r="N7575" s="43"/>
      <c r="O7575" s="43"/>
      <c r="Q7575" s="44"/>
      <c r="R7575" s="44"/>
      <c r="S7575" s="44"/>
      <c r="T7575" s="44"/>
    </row>
    <row r="7576" spans="12:20" x14ac:dyDescent="0.2">
      <c r="L7576" s="43"/>
      <c r="M7576" s="43"/>
      <c r="N7576" s="43"/>
      <c r="O7576" s="43"/>
      <c r="Q7576" s="44"/>
      <c r="R7576" s="44"/>
      <c r="S7576" s="44"/>
      <c r="T7576" s="44"/>
    </row>
    <row r="7577" spans="12:20" x14ac:dyDescent="0.2">
      <c r="L7577" s="43"/>
      <c r="M7577" s="43"/>
      <c r="N7577" s="43"/>
      <c r="O7577" s="43"/>
      <c r="Q7577" s="44"/>
      <c r="R7577" s="44"/>
      <c r="S7577" s="44"/>
      <c r="T7577" s="44"/>
    </row>
    <row r="7578" spans="12:20" x14ac:dyDescent="0.2">
      <c r="L7578" s="43"/>
      <c r="M7578" s="43"/>
      <c r="N7578" s="43"/>
      <c r="O7578" s="43"/>
      <c r="Q7578" s="44"/>
      <c r="R7578" s="44"/>
      <c r="S7578" s="44"/>
      <c r="T7578" s="44"/>
    </row>
    <row r="7579" spans="12:20" x14ac:dyDescent="0.2">
      <c r="L7579" s="43"/>
      <c r="M7579" s="43"/>
      <c r="N7579" s="43"/>
      <c r="O7579" s="43"/>
      <c r="Q7579" s="44"/>
      <c r="R7579" s="44"/>
      <c r="S7579" s="44"/>
      <c r="T7579" s="44"/>
    </row>
    <row r="7580" spans="12:20" x14ac:dyDescent="0.2">
      <c r="L7580" s="43"/>
      <c r="M7580" s="43"/>
      <c r="N7580" s="43"/>
      <c r="O7580" s="43"/>
      <c r="Q7580" s="44"/>
      <c r="R7580" s="44"/>
      <c r="S7580" s="44"/>
      <c r="T7580" s="44"/>
    </row>
    <row r="7581" spans="12:20" x14ac:dyDescent="0.2">
      <c r="L7581" s="43"/>
      <c r="M7581" s="43"/>
      <c r="N7581" s="43"/>
      <c r="O7581" s="43"/>
      <c r="Q7581" s="44"/>
      <c r="R7581" s="44"/>
      <c r="S7581" s="44"/>
      <c r="T7581" s="44"/>
    </row>
    <row r="7582" spans="12:20" x14ac:dyDescent="0.2">
      <c r="L7582" s="43"/>
      <c r="M7582" s="43"/>
      <c r="N7582" s="43"/>
      <c r="O7582" s="43"/>
      <c r="Q7582" s="44"/>
      <c r="R7582" s="44"/>
      <c r="S7582" s="44"/>
      <c r="T7582" s="44"/>
    </row>
    <row r="7583" spans="12:20" x14ac:dyDescent="0.2">
      <c r="L7583" s="43"/>
      <c r="M7583" s="43"/>
      <c r="N7583" s="43"/>
      <c r="O7583" s="43"/>
      <c r="Q7583" s="44"/>
      <c r="R7583" s="44"/>
      <c r="S7583" s="44"/>
      <c r="T7583" s="44"/>
    </row>
    <row r="7584" spans="12:20" x14ac:dyDescent="0.2">
      <c r="L7584" s="43"/>
      <c r="M7584" s="43"/>
      <c r="N7584" s="43"/>
      <c r="O7584" s="43"/>
      <c r="Q7584" s="44"/>
      <c r="R7584" s="44"/>
      <c r="S7584" s="44"/>
      <c r="T7584" s="44"/>
    </row>
    <row r="7585" spans="12:20" x14ac:dyDescent="0.2">
      <c r="L7585" s="43"/>
      <c r="M7585" s="43"/>
      <c r="N7585" s="43"/>
      <c r="O7585" s="43"/>
      <c r="Q7585" s="44"/>
      <c r="R7585" s="44"/>
      <c r="S7585" s="44"/>
      <c r="T7585" s="44"/>
    </row>
    <row r="7586" spans="12:20" x14ac:dyDescent="0.2">
      <c r="L7586" s="43"/>
      <c r="M7586" s="43"/>
      <c r="N7586" s="43"/>
      <c r="O7586" s="43"/>
      <c r="Q7586" s="44"/>
      <c r="R7586" s="44"/>
      <c r="S7586" s="44"/>
      <c r="T7586" s="44"/>
    </row>
    <row r="7587" spans="12:20" x14ac:dyDescent="0.2">
      <c r="L7587" s="43"/>
      <c r="M7587" s="43"/>
      <c r="N7587" s="43"/>
      <c r="O7587" s="43"/>
      <c r="Q7587" s="44"/>
      <c r="R7587" s="44"/>
      <c r="S7587" s="44"/>
      <c r="T7587" s="44"/>
    </row>
    <row r="7588" spans="12:20" x14ac:dyDescent="0.2">
      <c r="L7588" s="43"/>
      <c r="M7588" s="43"/>
      <c r="N7588" s="43"/>
      <c r="O7588" s="43"/>
      <c r="Q7588" s="44"/>
      <c r="R7588" s="44"/>
      <c r="S7588" s="44"/>
      <c r="T7588" s="44"/>
    </row>
    <row r="7589" spans="12:20" x14ac:dyDescent="0.2">
      <c r="L7589" s="43"/>
      <c r="M7589" s="43"/>
      <c r="N7589" s="43"/>
      <c r="O7589" s="43"/>
      <c r="Q7589" s="44"/>
      <c r="R7589" s="44"/>
      <c r="S7589" s="44"/>
      <c r="T7589" s="44"/>
    </row>
    <row r="7590" spans="12:20" x14ac:dyDescent="0.2">
      <c r="L7590" s="43"/>
      <c r="M7590" s="43"/>
      <c r="N7590" s="43"/>
      <c r="O7590" s="43"/>
      <c r="Q7590" s="44"/>
      <c r="R7590" s="44"/>
      <c r="S7590" s="44"/>
      <c r="T7590" s="44"/>
    </row>
    <row r="7591" spans="12:20" x14ac:dyDescent="0.2">
      <c r="L7591" s="43"/>
      <c r="M7591" s="43"/>
      <c r="N7591" s="43"/>
      <c r="O7591" s="43"/>
      <c r="Q7591" s="44"/>
      <c r="R7591" s="44"/>
      <c r="S7591" s="44"/>
      <c r="T7591" s="44"/>
    </row>
    <row r="7592" spans="12:20" x14ac:dyDescent="0.2">
      <c r="L7592" s="43"/>
      <c r="M7592" s="43"/>
      <c r="N7592" s="43"/>
      <c r="O7592" s="43"/>
      <c r="Q7592" s="44"/>
      <c r="R7592" s="44"/>
      <c r="S7592" s="44"/>
      <c r="T7592" s="44"/>
    </row>
    <row r="7593" spans="12:20" x14ac:dyDescent="0.2">
      <c r="L7593" s="43"/>
      <c r="M7593" s="43"/>
      <c r="N7593" s="43"/>
      <c r="O7593" s="43"/>
      <c r="Q7593" s="44"/>
      <c r="R7593" s="44"/>
      <c r="S7593" s="44"/>
      <c r="T7593" s="44"/>
    </row>
    <row r="7594" spans="12:20" x14ac:dyDescent="0.2">
      <c r="L7594" s="43"/>
      <c r="M7594" s="43"/>
      <c r="N7594" s="43"/>
      <c r="O7594" s="43"/>
      <c r="Q7594" s="44"/>
      <c r="R7594" s="44"/>
      <c r="S7594" s="44"/>
      <c r="T7594" s="44"/>
    </row>
    <row r="7595" spans="12:20" x14ac:dyDescent="0.2">
      <c r="L7595" s="43"/>
      <c r="M7595" s="43"/>
      <c r="N7595" s="43"/>
      <c r="O7595" s="43"/>
      <c r="Q7595" s="44"/>
      <c r="R7595" s="44"/>
      <c r="S7595" s="44"/>
      <c r="T7595" s="44"/>
    </row>
    <row r="7596" spans="12:20" x14ac:dyDescent="0.2">
      <c r="L7596" s="43"/>
      <c r="M7596" s="43"/>
      <c r="N7596" s="43"/>
      <c r="O7596" s="43"/>
      <c r="Q7596" s="44"/>
      <c r="R7596" s="44"/>
      <c r="S7596" s="44"/>
      <c r="T7596" s="44"/>
    </row>
    <row r="7597" spans="12:20" x14ac:dyDescent="0.2">
      <c r="L7597" s="43"/>
      <c r="M7597" s="43"/>
      <c r="N7597" s="43"/>
      <c r="O7597" s="43"/>
      <c r="Q7597" s="44"/>
      <c r="R7597" s="44"/>
      <c r="S7597" s="44"/>
      <c r="T7597" s="44"/>
    </row>
    <row r="7598" spans="12:20" x14ac:dyDescent="0.2">
      <c r="L7598" s="43"/>
      <c r="M7598" s="43"/>
      <c r="N7598" s="43"/>
      <c r="O7598" s="43"/>
      <c r="Q7598" s="44"/>
      <c r="R7598" s="44"/>
      <c r="S7598" s="44"/>
      <c r="T7598" s="44"/>
    </row>
    <row r="7599" spans="12:20" x14ac:dyDescent="0.2">
      <c r="L7599" s="43"/>
      <c r="M7599" s="43"/>
      <c r="N7599" s="43"/>
      <c r="O7599" s="43"/>
      <c r="Q7599" s="44"/>
      <c r="R7599" s="44"/>
      <c r="S7599" s="44"/>
      <c r="T7599" s="44"/>
    </row>
    <row r="7600" spans="12:20" x14ac:dyDescent="0.2">
      <c r="L7600" s="43"/>
      <c r="M7600" s="43"/>
      <c r="N7600" s="43"/>
      <c r="O7600" s="43"/>
      <c r="Q7600" s="44"/>
      <c r="R7600" s="44"/>
      <c r="S7600" s="44"/>
      <c r="T7600" s="44"/>
    </row>
    <row r="7601" spans="12:20" x14ac:dyDescent="0.2">
      <c r="L7601" s="43"/>
      <c r="M7601" s="43"/>
      <c r="N7601" s="43"/>
      <c r="O7601" s="43"/>
      <c r="Q7601" s="44"/>
      <c r="R7601" s="44"/>
      <c r="S7601" s="44"/>
      <c r="T7601" s="44"/>
    </row>
    <row r="7602" spans="12:20" x14ac:dyDescent="0.2">
      <c r="L7602" s="43"/>
      <c r="M7602" s="43"/>
      <c r="N7602" s="43"/>
      <c r="O7602" s="43"/>
      <c r="Q7602" s="44"/>
      <c r="R7602" s="44"/>
      <c r="S7602" s="44"/>
      <c r="T7602" s="44"/>
    </row>
    <row r="7603" spans="12:20" x14ac:dyDescent="0.2">
      <c r="L7603" s="43"/>
      <c r="M7603" s="43"/>
      <c r="N7603" s="43"/>
      <c r="O7603" s="43"/>
      <c r="Q7603" s="44"/>
      <c r="R7603" s="44"/>
      <c r="S7603" s="44"/>
      <c r="T7603" s="44"/>
    </row>
    <row r="7604" spans="12:20" x14ac:dyDescent="0.2">
      <c r="L7604" s="43"/>
      <c r="M7604" s="43"/>
      <c r="N7604" s="43"/>
      <c r="O7604" s="43"/>
      <c r="Q7604" s="44"/>
      <c r="R7604" s="44"/>
      <c r="S7604" s="44"/>
      <c r="T7604" s="44"/>
    </row>
    <row r="7605" spans="12:20" x14ac:dyDescent="0.2">
      <c r="L7605" s="43"/>
      <c r="M7605" s="43"/>
      <c r="N7605" s="43"/>
      <c r="O7605" s="43"/>
      <c r="Q7605" s="44"/>
      <c r="R7605" s="44"/>
      <c r="S7605" s="44"/>
      <c r="T7605" s="44"/>
    </row>
    <row r="7606" spans="12:20" x14ac:dyDescent="0.2">
      <c r="L7606" s="43"/>
      <c r="M7606" s="43"/>
      <c r="N7606" s="43"/>
      <c r="O7606" s="43"/>
      <c r="Q7606" s="44"/>
      <c r="R7606" s="44"/>
      <c r="S7606" s="44"/>
      <c r="T7606" s="44"/>
    </row>
    <row r="7607" spans="12:20" x14ac:dyDescent="0.2">
      <c r="L7607" s="43"/>
      <c r="M7607" s="43"/>
      <c r="N7607" s="43"/>
      <c r="O7607" s="43"/>
      <c r="Q7607" s="44"/>
      <c r="R7607" s="44"/>
      <c r="S7607" s="44"/>
      <c r="T7607" s="44"/>
    </row>
    <row r="7608" spans="12:20" x14ac:dyDescent="0.2">
      <c r="L7608" s="43"/>
      <c r="M7608" s="43"/>
      <c r="N7608" s="43"/>
      <c r="O7608" s="43"/>
      <c r="Q7608" s="44"/>
      <c r="R7608" s="44"/>
      <c r="S7608" s="44"/>
      <c r="T7608" s="44"/>
    </row>
    <row r="7609" spans="12:20" x14ac:dyDescent="0.2">
      <c r="L7609" s="43"/>
      <c r="M7609" s="43"/>
      <c r="N7609" s="43"/>
      <c r="O7609" s="43"/>
      <c r="Q7609" s="44"/>
      <c r="R7609" s="44"/>
      <c r="S7609" s="44"/>
      <c r="T7609" s="44"/>
    </row>
    <row r="7610" spans="12:20" x14ac:dyDescent="0.2">
      <c r="L7610" s="43"/>
      <c r="M7610" s="43"/>
      <c r="N7610" s="43"/>
      <c r="O7610" s="43"/>
      <c r="Q7610" s="44"/>
      <c r="R7610" s="44"/>
      <c r="S7610" s="44"/>
      <c r="T7610" s="44"/>
    </row>
    <row r="7611" spans="12:20" x14ac:dyDescent="0.2">
      <c r="L7611" s="43"/>
      <c r="M7611" s="43"/>
      <c r="N7611" s="43"/>
      <c r="O7611" s="43"/>
      <c r="Q7611" s="44"/>
      <c r="R7611" s="44"/>
      <c r="S7611" s="44"/>
      <c r="T7611" s="44"/>
    </row>
    <row r="7612" spans="12:20" x14ac:dyDescent="0.2">
      <c r="L7612" s="43"/>
      <c r="M7612" s="43"/>
      <c r="N7612" s="43"/>
      <c r="O7612" s="43"/>
      <c r="Q7612" s="44"/>
      <c r="R7612" s="44"/>
      <c r="S7612" s="44"/>
      <c r="T7612" s="44"/>
    </row>
    <row r="7613" spans="12:20" x14ac:dyDescent="0.2">
      <c r="L7613" s="43"/>
      <c r="M7613" s="43"/>
      <c r="N7613" s="43"/>
      <c r="O7613" s="43"/>
      <c r="Q7613" s="44"/>
      <c r="R7613" s="44"/>
      <c r="S7613" s="44"/>
      <c r="T7613" s="44"/>
    </row>
    <row r="7614" spans="12:20" x14ac:dyDescent="0.2">
      <c r="L7614" s="43"/>
      <c r="M7614" s="43"/>
      <c r="N7614" s="43"/>
      <c r="O7614" s="43"/>
      <c r="Q7614" s="44"/>
      <c r="R7614" s="44"/>
      <c r="S7614" s="44"/>
      <c r="T7614" s="44"/>
    </row>
    <row r="7615" spans="12:20" x14ac:dyDescent="0.2">
      <c r="L7615" s="43"/>
      <c r="M7615" s="43"/>
      <c r="N7615" s="43"/>
      <c r="O7615" s="43"/>
      <c r="Q7615" s="44"/>
      <c r="R7615" s="44"/>
      <c r="S7615" s="44"/>
      <c r="T7615" s="44"/>
    </row>
    <row r="7616" spans="12:20" x14ac:dyDescent="0.2">
      <c r="L7616" s="43"/>
      <c r="M7616" s="43"/>
      <c r="N7616" s="43"/>
      <c r="O7616" s="43"/>
      <c r="Q7616" s="44"/>
      <c r="R7616" s="44"/>
      <c r="S7616" s="44"/>
      <c r="T7616" s="44"/>
    </row>
    <row r="7617" spans="12:20" x14ac:dyDescent="0.2">
      <c r="L7617" s="43"/>
      <c r="M7617" s="43"/>
      <c r="N7617" s="43"/>
      <c r="O7617" s="43"/>
      <c r="Q7617" s="44"/>
      <c r="R7617" s="44"/>
      <c r="S7617" s="44"/>
      <c r="T7617" s="44"/>
    </row>
    <row r="7618" spans="12:20" x14ac:dyDescent="0.2">
      <c r="L7618" s="43"/>
      <c r="M7618" s="43"/>
      <c r="N7618" s="43"/>
      <c r="O7618" s="43"/>
      <c r="Q7618" s="44"/>
      <c r="R7618" s="44"/>
      <c r="S7618" s="44"/>
      <c r="T7618" s="44"/>
    </row>
    <row r="7619" spans="12:20" x14ac:dyDescent="0.2">
      <c r="L7619" s="43"/>
      <c r="M7619" s="43"/>
      <c r="N7619" s="43"/>
      <c r="O7619" s="43"/>
      <c r="Q7619" s="44"/>
      <c r="R7619" s="44"/>
      <c r="S7619" s="44"/>
      <c r="T7619" s="44"/>
    </row>
    <row r="7620" spans="12:20" x14ac:dyDescent="0.2">
      <c r="L7620" s="43"/>
      <c r="M7620" s="43"/>
      <c r="N7620" s="43"/>
      <c r="O7620" s="43"/>
      <c r="Q7620" s="44"/>
      <c r="R7620" s="44"/>
      <c r="S7620" s="44"/>
      <c r="T7620" s="44"/>
    </row>
    <row r="7621" spans="12:20" x14ac:dyDescent="0.2">
      <c r="L7621" s="43"/>
      <c r="M7621" s="43"/>
      <c r="N7621" s="43"/>
      <c r="O7621" s="43"/>
      <c r="Q7621" s="44"/>
      <c r="R7621" s="44"/>
      <c r="S7621" s="44"/>
      <c r="T7621" s="44"/>
    </row>
    <row r="7622" spans="12:20" x14ac:dyDescent="0.2">
      <c r="L7622" s="43"/>
      <c r="M7622" s="43"/>
      <c r="N7622" s="43"/>
      <c r="O7622" s="43"/>
      <c r="Q7622" s="44"/>
      <c r="R7622" s="44"/>
      <c r="S7622" s="44"/>
      <c r="T7622" s="44"/>
    </row>
    <row r="7623" spans="12:20" x14ac:dyDescent="0.2">
      <c r="L7623" s="43"/>
      <c r="M7623" s="43"/>
      <c r="N7623" s="43"/>
      <c r="O7623" s="43"/>
      <c r="Q7623" s="44"/>
      <c r="R7623" s="44"/>
      <c r="S7623" s="44"/>
      <c r="T7623" s="44"/>
    </row>
    <row r="7624" spans="12:20" x14ac:dyDescent="0.2">
      <c r="L7624" s="43"/>
      <c r="M7624" s="43"/>
      <c r="N7624" s="43"/>
      <c r="O7624" s="43"/>
      <c r="Q7624" s="44"/>
      <c r="R7624" s="44"/>
      <c r="S7624" s="44"/>
      <c r="T7624" s="44"/>
    </row>
    <row r="7625" spans="12:20" x14ac:dyDescent="0.2">
      <c r="L7625" s="43"/>
      <c r="M7625" s="43"/>
      <c r="N7625" s="43"/>
      <c r="O7625" s="43"/>
      <c r="Q7625" s="44"/>
      <c r="R7625" s="44"/>
      <c r="S7625" s="44"/>
      <c r="T7625" s="44"/>
    </row>
    <row r="7626" spans="12:20" x14ac:dyDescent="0.2">
      <c r="L7626" s="43"/>
      <c r="M7626" s="43"/>
      <c r="N7626" s="43"/>
      <c r="O7626" s="43"/>
      <c r="Q7626" s="44"/>
      <c r="R7626" s="44"/>
      <c r="S7626" s="44"/>
      <c r="T7626" s="44"/>
    </row>
    <row r="7627" spans="12:20" x14ac:dyDescent="0.2">
      <c r="L7627" s="43"/>
      <c r="M7627" s="43"/>
      <c r="N7627" s="43"/>
      <c r="O7627" s="43"/>
      <c r="Q7627" s="44"/>
      <c r="R7627" s="44"/>
      <c r="S7627" s="44"/>
      <c r="T7627" s="44"/>
    </row>
    <row r="7628" spans="12:20" x14ac:dyDescent="0.2">
      <c r="L7628" s="43"/>
      <c r="M7628" s="43"/>
      <c r="N7628" s="43"/>
      <c r="O7628" s="43"/>
      <c r="Q7628" s="44"/>
      <c r="R7628" s="44"/>
      <c r="S7628" s="44"/>
      <c r="T7628" s="44"/>
    </row>
    <row r="7629" spans="12:20" x14ac:dyDescent="0.2">
      <c r="L7629" s="43"/>
      <c r="M7629" s="43"/>
      <c r="N7629" s="43"/>
      <c r="O7629" s="43"/>
      <c r="Q7629" s="44"/>
      <c r="R7629" s="44"/>
      <c r="S7629" s="44"/>
      <c r="T7629" s="44"/>
    </row>
    <row r="7630" spans="12:20" x14ac:dyDescent="0.2">
      <c r="L7630" s="43"/>
      <c r="M7630" s="43"/>
      <c r="N7630" s="43"/>
      <c r="O7630" s="43"/>
      <c r="Q7630" s="44"/>
      <c r="R7630" s="44"/>
      <c r="S7630" s="44"/>
      <c r="T7630" s="44"/>
    </row>
    <row r="7631" spans="12:20" x14ac:dyDescent="0.2">
      <c r="L7631" s="43"/>
      <c r="M7631" s="43"/>
      <c r="N7631" s="43"/>
      <c r="O7631" s="43"/>
      <c r="Q7631" s="44"/>
      <c r="R7631" s="44"/>
      <c r="S7631" s="44"/>
      <c r="T7631" s="44"/>
    </row>
    <row r="7632" spans="12:20" x14ac:dyDescent="0.2">
      <c r="L7632" s="43"/>
      <c r="M7632" s="43"/>
      <c r="N7632" s="43"/>
      <c r="O7632" s="43"/>
      <c r="Q7632" s="44"/>
      <c r="R7632" s="44"/>
      <c r="S7632" s="44"/>
      <c r="T7632" s="44"/>
    </row>
    <row r="7633" spans="12:20" x14ac:dyDescent="0.2">
      <c r="L7633" s="43"/>
      <c r="M7633" s="43"/>
      <c r="N7633" s="43"/>
      <c r="O7633" s="43"/>
      <c r="Q7633" s="44"/>
      <c r="R7633" s="44"/>
      <c r="S7633" s="44"/>
      <c r="T7633" s="44"/>
    </row>
    <row r="7634" spans="12:20" x14ac:dyDescent="0.2">
      <c r="L7634" s="43"/>
      <c r="M7634" s="43"/>
      <c r="N7634" s="43"/>
      <c r="O7634" s="43"/>
      <c r="Q7634" s="44"/>
      <c r="R7634" s="44"/>
      <c r="S7634" s="44"/>
      <c r="T7634" s="44"/>
    </row>
    <row r="7635" spans="12:20" x14ac:dyDescent="0.2">
      <c r="L7635" s="43"/>
      <c r="M7635" s="43"/>
      <c r="N7635" s="43"/>
      <c r="O7635" s="43"/>
      <c r="Q7635" s="44"/>
      <c r="R7635" s="44"/>
      <c r="S7635" s="44"/>
      <c r="T7635" s="44"/>
    </row>
    <row r="7636" spans="12:20" x14ac:dyDescent="0.2">
      <c r="L7636" s="43"/>
      <c r="M7636" s="43"/>
      <c r="N7636" s="43"/>
      <c r="O7636" s="43"/>
      <c r="Q7636" s="44"/>
      <c r="R7636" s="44"/>
      <c r="S7636" s="44"/>
      <c r="T7636" s="44"/>
    </row>
    <row r="7637" spans="12:20" x14ac:dyDescent="0.2">
      <c r="L7637" s="43"/>
      <c r="M7637" s="43"/>
      <c r="N7637" s="43"/>
      <c r="O7637" s="43"/>
      <c r="Q7637" s="44"/>
      <c r="R7637" s="44"/>
      <c r="S7637" s="44"/>
      <c r="T7637" s="44"/>
    </row>
    <row r="7638" spans="12:20" x14ac:dyDescent="0.2">
      <c r="L7638" s="43"/>
      <c r="M7638" s="43"/>
      <c r="N7638" s="43"/>
      <c r="O7638" s="43"/>
      <c r="Q7638" s="44"/>
      <c r="R7638" s="44"/>
      <c r="S7638" s="44"/>
      <c r="T7638" s="44"/>
    </row>
    <row r="7639" spans="12:20" x14ac:dyDescent="0.2">
      <c r="L7639" s="43"/>
      <c r="M7639" s="43"/>
      <c r="N7639" s="43"/>
      <c r="O7639" s="43"/>
      <c r="Q7639" s="44"/>
      <c r="R7639" s="44"/>
      <c r="S7639" s="44"/>
      <c r="T7639" s="44"/>
    </row>
    <row r="7640" spans="12:20" x14ac:dyDescent="0.2">
      <c r="L7640" s="43"/>
      <c r="M7640" s="43"/>
      <c r="N7640" s="43"/>
      <c r="O7640" s="43"/>
      <c r="Q7640" s="44"/>
      <c r="R7640" s="44"/>
      <c r="S7640" s="44"/>
      <c r="T7640" s="44"/>
    </row>
    <row r="7641" spans="12:20" x14ac:dyDescent="0.2">
      <c r="L7641" s="43"/>
      <c r="M7641" s="43"/>
      <c r="N7641" s="43"/>
      <c r="O7641" s="43"/>
      <c r="Q7641" s="44"/>
      <c r="R7641" s="44"/>
      <c r="S7641" s="44"/>
      <c r="T7641" s="44"/>
    </row>
    <row r="7642" spans="12:20" x14ac:dyDescent="0.2">
      <c r="L7642" s="43"/>
      <c r="M7642" s="43"/>
      <c r="N7642" s="43"/>
      <c r="O7642" s="43"/>
      <c r="Q7642" s="44"/>
      <c r="R7642" s="44"/>
      <c r="S7642" s="44"/>
      <c r="T7642" s="44"/>
    </row>
    <row r="7643" spans="12:20" x14ac:dyDescent="0.2">
      <c r="L7643" s="43"/>
      <c r="M7643" s="43"/>
      <c r="N7643" s="43"/>
      <c r="O7643" s="43"/>
      <c r="Q7643" s="44"/>
      <c r="R7643" s="44"/>
      <c r="S7643" s="44"/>
      <c r="T7643" s="44"/>
    </row>
    <row r="7644" spans="12:20" x14ac:dyDescent="0.2">
      <c r="L7644" s="43"/>
      <c r="M7644" s="43"/>
      <c r="N7644" s="43"/>
      <c r="O7644" s="43"/>
      <c r="Q7644" s="44"/>
      <c r="R7644" s="44"/>
      <c r="S7644" s="44"/>
      <c r="T7644" s="44"/>
    </row>
    <row r="7645" spans="12:20" x14ac:dyDescent="0.2">
      <c r="L7645" s="43"/>
      <c r="M7645" s="43"/>
      <c r="N7645" s="43"/>
      <c r="O7645" s="43"/>
      <c r="Q7645" s="44"/>
      <c r="R7645" s="44"/>
      <c r="S7645" s="44"/>
      <c r="T7645" s="44"/>
    </row>
    <row r="7646" spans="12:20" x14ac:dyDescent="0.2">
      <c r="L7646" s="43"/>
      <c r="M7646" s="43"/>
      <c r="N7646" s="43"/>
      <c r="O7646" s="43"/>
      <c r="Q7646" s="44"/>
      <c r="R7646" s="44"/>
      <c r="S7646" s="44"/>
      <c r="T7646" s="44"/>
    </row>
    <row r="7647" spans="12:20" x14ac:dyDescent="0.2">
      <c r="L7647" s="43"/>
      <c r="M7647" s="43"/>
      <c r="N7647" s="43"/>
      <c r="O7647" s="43"/>
      <c r="Q7647" s="44"/>
      <c r="R7647" s="44"/>
      <c r="S7647" s="44"/>
      <c r="T7647" s="44"/>
    </row>
    <row r="7648" spans="12:20" x14ac:dyDescent="0.2">
      <c r="L7648" s="43"/>
      <c r="M7648" s="43"/>
      <c r="N7648" s="43"/>
      <c r="O7648" s="43"/>
      <c r="Q7648" s="44"/>
      <c r="R7648" s="44"/>
      <c r="S7648" s="44"/>
      <c r="T7648" s="44"/>
    </row>
    <row r="7649" spans="12:20" x14ac:dyDescent="0.2">
      <c r="L7649" s="43"/>
      <c r="M7649" s="43"/>
      <c r="N7649" s="43"/>
      <c r="O7649" s="43"/>
      <c r="Q7649" s="44"/>
      <c r="R7649" s="44"/>
      <c r="S7649" s="44"/>
      <c r="T7649" s="44"/>
    </row>
    <row r="7650" spans="12:20" x14ac:dyDescent="0.2">
      <c r="L7650" s="43"/>
      <c r="M7650" s="43"/>
      <c r="N7650" s="43"/>
      <c r="O7650" s="43"/>
      <c r="Q7650" s="44"/>
      <c r="R7650" s="44"/>
      <c r="S7650" s="44"/>
      <c r="T7650" s="44"/>
    </row>
    <row r="7651" spans="12:20" x14ac:dyDescent="0.2">
      <c r="L7651" s="43"/>
      <c r="M7651" s="43"/>
      <c r="N7651" s="43"/>
      <c r="O7651" s="43"/>
      <c r="Q7651" s="44"/>
      <c r="R7651" s="44"/>
      <c r="S7651" s="44"/>
      <c r="T7651" s="44"/>
    </row>
    <row r="7652" spans="12:20" x14ac:dyDescent="0.2">
      <c r="L7652" s="43"/>
      <c r="M7652" s="43"/>
      <c r="N7652" s="43"/>
      <c r="O7652" s="43"/>
      <c r="Q7652" s="44"/>
      <c r="R7652" s="44"/>
      <c r="S7652" s="44"/>
      <c r="T7652" s="44"/>
    </row>
    <row r="7653" spans="12:20" x14ac:dyDescent="0.2">
      <c r="L7653" s="43"/>
      <c r="M7653" s="43"/>
      <c r="N7653" s="43"/>
      <c r="O7653" s="43"/>
      <c r="Q7653" s="44"/>
      <c r="R7653" s="44"/>
      <c r="S7653" s="44"/>
      <c r="T7653" s="44"/>
    </row>
    <row r="7654" spans="12:20" x14ac:dyDescent="0.2">
      <c r="L7654" s="43"/>
      <c r="M7654" s="43"/>
      <c r="N7654" s="43"/>
      <c r="O7654" s="43"/>
      <c r="Q7654" s="44"/>
      <c r="R7654" s="44"/>
      <c r="S7654" s="44"/>
      <c r="T7654" s="44"/>
    </row>
    <row r="7655" spans="12:20" x14ac:dyDescent="0.2">
      <c r="L7655" s="43"/>
      <c r="M7655" s="43"/>
      <c r="N7655" s="43"/>
      <c r="O7655" s="43"/>
      <c r="Q7655" s="44"/>
      <c r="R7655" s="44"/>
      <c r="S7655" s="44"/>
      <c r="T7655" s="44"/>
    </row>
    <row r="7656" spans="12:20" x14ac:dyDescent="0.2">
      <c r="L7656" s="43"/>
      <c r="M7656" s="43"/>
      <c r="N7656" s="43"/>
      <c r="O7656" s="43"/>
      <c r="Q7656" s="44"/>
      <c r="R7656" s="44"/>
      <c r="S7656" s="44"/>
      <c r="T7656" s="44"/>
    </row>
    <row r="7657" spans="12:20" x14ac:dyDescent="0.2">
      <c r="L7657" s="43"/>
      <c r="M7657" s="43"/>
      <c r="N7657" s="43"/>
      <c r="O7657" s="43"/>
      <c r="Q7657" s="44"/>
      <c r="R7657" s="44"/>
      <c r="S7657" s="44"/>
      <c r="T7657" s="44"/>
    </row>
    <row r="7658" spans="12:20" x14ac:dyDescent="0.2">
      <c r="L7658" s="43"/>
      <c r="M7658" s="43"/>
      <c r="N7658" s="43"/>
      <c r="O7658" s="43"/>
      <c r="Q7658" s="44"/>
      <c r="R7658" s="44"/>
      <c r="S7658" s="44"/>
      <c r="T7658" s="44"/>
    </row>
    <row r="7659" spans="12:20" x14ac:dyDescent="0.2">
      <c r="L7659" s="43"/>
      <c r="M7659" s="43"/>
      <c r="N7659" s="43"/>
      <c r="O7659" s="43"/>
      <c r="Q7659" s="44"/>
      <c r="R7659" s="44"/>
      <c r="S7659" s="44"/>
      <c r="T7659" s="44"/>
    </row>
    <row r="7660" spans="12:20" x14ac:dyDescent="0.2">
      <c r="L7660" s="43"/>
      <c r="M7660" s="43"/>
      <c r="N7660" s="43"/>
      <c r="O7660" s="43"/>
      <c r="Q7660" s="44"/>
      <c r="R7660" s="44"/>
      <c r="S7660" s="44"/>
      <c r="T7660" s="44"/>
    </row>
    <row r="7661" spans="12:20" x14ac:dyDescent="0.2">
      <c r="L7661" s="43"/>
      <c r="M7661" s="43"/>
      <c r="N7661" s="43"/>
      <c r="O7661" s="43"/>
      <c r="Q7661" s="44"/>
      <c r="R7661" s="44"/>
      <c r="S7661" s="44"/>
      <c r="T7661" s="44"/>
    </row>
    <row r="7662" spans="12:20" x14ac:dyDescent="0.2">
      <c r="L7662" s="43"/>
      <c r="M7662" s="43"/>
      <c r="N7662" s="43"/>
      <c r="O7662" s="43"/>
      <c r="Q7662" s="44"/>
      <c r="R7662" s="44"/>
      <c r="S7662" s="44"/>
      <c r="T7662" s="44"/>
    </row>
    <row r="7663" spans="12:20" x14ac:dyDescent="0.2">
      <c r="L7663" s="43"/>
      <c r="M7663" s="43"/>
      <c r="N7663" s="43"/>
      <c r="O7663" s="43"/>
      <c r="Q7663" s="44"/>
      <c r="R7663" s="44"/>
      <c r="S7663" s="44"/>
      <c r="T7663" s="44"/>
    </row>
    <row r="7664" spans="12:20" x14ac:dyDescent="0.2">
      <c r="L7664" s="43"/>
      <c r="M7664" s="43"/>
      <c r="N7664" s="43"/>
      <c r="O7664" s="43"/>
      <c r="Q7664" s="44"/>
      <c r="R7664" s="44"/>
      <c r="S7664" s="44"/>
      <c r="T7664" s="44"/>
    </row>
    <row r="7665" spans="12:20" x14ac:dyDescent="0.2">
      <c r="L7665" s="43"/>
      <c r="M7665" s="43"/>
      <c r="N7665" s="43"/>
      <c r="O7665" s="43"/>
      <c r="Q7665" s="44"/>
      <c r="R7665" s="44"/>
      <c r="S7665" s="44"/>
      <c r="T7665" s="44"/>
    </row>
    <row r="7666" spans="12:20" x14ac:dyDescent="0.2">
      <c r="L7666" s="43"/>
      <c r="M7666" s="43"/>
      <c r="N7666" s="43"/>
      <c r="O7666" s="43"/>
      <c r="Q7666" s="44"/>
      <c r="R7666" s="44"/>
      <c r="S7666" s="44"/>
      <c r="T7666" s="44"/>
    </row>
    <row r="7667" spans="12:20" x14ac:dyDescent="0.2">
      <c r="L7667" s="43"/>
      <c r="M7667" s="43"/>
      <c r="N7667" s="43"/>
      <c r="O7667" s="43"/>
      <c r="Q7667" s="44"/>
      <c r="R7667" s="44"/>
      <c r="S7667" s="44"/>
      <c r="T7667" s="44"/>
    </row>
    <row r="7668" spans="12:20" x14ac:dyDescent="0.2">
      <c r="L7668" s="43"/>
      <c r="M7668" s="43"/>
      <c r="N7668" s="43"/>
      <c r="O7668" s="43"/>
      <c r="Q7668" s="44"/>
      <c r="R7668" s="44"/>
      <c r="S7668" s="44"/>
      <c r="T7668" s="44"/>
    </row>
    <row r="7669" spans="12:20" x14ac:dyDescent="0.2">
      <c r="L7669" s="43"/>
      <c r="M7669" s="43"/>
      <c r="N7669" s="43"/>
      <c r="O7669" s="43"/>
      <c r="Q7669" s="44"/>
      <c r="R7669" s="44"/>
      <c r="S7669" s="44"/>
      <c r="T7669" s="44"/>
    </row>
    <row r="7670" spans="12:20" x14ac:dyDescent="0.2">
      <c r="L7670" s="43"/>
      <c r="M7670" s="43"/>
      <c r="N7670" s="43"/>
      <c r="O7670" s="43"/>
      <c r="Q7670" s="44"/>
      <c r="R7670" s="44"/>
      <c r="S7670" s="44"/>
      <c r="T7670" s="44"/>
    </row>
    <row r="7671" spans="12:20" x14ac:dyDescent="0.2">
      <c r="L7671" s="43"/>
      <c r="M7671" s="43"/>
      <c r="N7671" s="43"/>
      <c r="O7671" s="43"/>
      <c r="Q7671" s="44"/>
      <c r="R7671" s="44"/>
      <c r="S7671" s="44"/>
      <c r="T7671" s="44"/>
    </row>
    <row r="7672" spans="12:20" x14ac:dyDescent="0.2">
      <c r="L7672" s="43"/>
      <c r="M7672" s="43"/>
      <c r="N7672" s="43"/>
      <c r="O7672" s="43"/>
      <c r="Q7672" s="44"/>
      <c r="R7672" s="44"/>
      <c r="S7672" s="44"/>
      <c r="T7672" s="44"/>
    </row>
    <row r="7673" spans="12:20" x14ac:dyDescent="0.2">
      <c r="L7673" s="43"/>
      <c r="M7673" s="43"/>
      <c r="N7673" s="43"/>
      <c r="O7673" s="43"/>
      <c r="Q7673" s="44"/>
      <c r="R7673" s="44"/>
      <c r="S7673" s="44"/>
      <c r="T7673" s="44"/>
    </row>
    <row r="7674" spans="12:20" x14ac:dyDescent="0.2">
      <c r="L7674" s="43"/>
      <c r="M7674" s="43"/>
      <c r="N7674" s="43"/>
      <c r="O7674" s="43"/>
      <c r="Q7674" s="44"/>
      <c r="R7674" s="44"/>
      <c r="S7674" s="44"/>
      <c r="T7674" s="44"/>
    </row>
    <row r="7675" spans="12:20" x14ac:dyDescent="0.2">
      <c r="L7675" s="43"/>
      <c r="M7675" s="43"/>
      <c r="N7675" s="43"/>
      <c r="O7675" s="43"/>
      <c r="Q7675" s="44"/>
      <c r="R7675" s="44"/>
      <c r="S7675" s="44"/>
      <c r="T7675" s="44"/>
    </row>
    <row r="7676" spans="12:20" x14ac:dyDescent="0.2">
      <c r="L7676" s="43"/>
      <c r="M7676" s="43"/>
      <c r="N7676" s="43"/>
      <c r="O7676" s="43"/>
      <c r="Q7676" s="44"/>
      <c r="R7676" s="44"/>
      <c r="S7676" s="44"/>
      <c r="T7676" s="44"/>
    </row>
    <row r="7677" spans="12:20" x14ac:dyDescent="0.2">
      <c r="L7677" s="43"/>
      <c r="M7677" s="43"/>
      <c r="N7677" s="43"/>
      <c r="O7677" s="43"/>
      <c r="Q7677" s="44"/>
      <c r="R7677" s="44"/>
      <c r="S7677" s="44"/>
      <c r="T7677" s="44"/>
    </row>
    <row r="7678" spans="12:20" x14ac:dyDescent="0.2">
      <c r="L7678" s="43"/>
      <c r="M7678" s="43"/>
      <c r="N7678" s="43"/>
      <c r="O7678" s="43"/>
      <c r="Q7678" s="44"/>
      <c r="R7678" s="44"/>
      <c r="S7678" s="44"/>
      <c r="T7678" s="44"/>
    </row>
    <row r="7679" spans="12:20" x14ac:dyDescent="0.2">
      <c r="L7679" s="43"/>
      <c r="M7679" s="43"/>
      <c r="N7679" s="43"/>
      <c r="O7679" s="43"/>
      <c r="Q7679" s="44"/>
      <c r="R7679" s="44"/>
      <c r="S7679" s="44"/>
      <c r="T7679" s="44"/>
    </row>
    <row r="7680" spans="12:20" x14ac:dyDescent="0.2">
      <c r="L7680" s="43"/>
      <c r="M7680" s="43"/>
      <c r="N7680" s="43"/>
      <c r="O7680" s="43"/>
      <c r="Q7680" s="44"/>
      <c r="R7680" s="44"/>
      <c r="S7680" s="44"/>
      <c r="T7680" s="44"/>
    </row>
    <row r="7681" spans="12:20" x14ac:dyDescent="0.2">
      <c r="L7681" s="43"/>
      <c r="M7681" s="43"/>
      <c r="N7681" s="43"/>
      <c r="O7681" s="43"/>
      <c r="Q7681" s="44"/>
      <c r="R7681" s="44"/>
      <c r="S7681" s="44"/>
      <c r="T7681" s="44"/>
    </row>
    <row r="7682" spans="12:20" x14ac:dyDescent="0.2">
      <c r="L7682" s="43"/>
      <c r="M7682" s="43"/>
      <c r="N7682" s="43"/>
      <c r="O7682" s="43"/>
      <c r="Q7682" s="44"/>
      <c r="R7682" s="44"/>
      <c r="S7682" s="44"/>
      <c r="T7682" s="44"/>
    </row>
    <row r="7683" spans="12:20" x14ac:dyDescent="0.2">
      <c r="L7683" s="43"/>
      <c r="M7683" s="43"/>
      <c r="N7683" s="43"/>
      <c r="O7683" s="43"/>
      <c r="Q7683" s="44"/>
      <c r="R7683" s="44"/>
      <c r="S7683" s="44"/>
      <c r="T7683" s="44"/>
    </row>
    <row r="7684" spans="12:20" x14ac:dyDescent="0.2">
      <c r="L7684" s="43"/>
      <c r="M7684" s="43"/>
      <c r="N7684" s="43"/>
      <c r="O7684" s="43"/>
      <c r="Q7684" s="44"/>
      <c r="R7684" s="44"/>
      <c r="S7684" s="44"/>
      <c r="T7684" s="44"/>
    </row>
    <row r="7685" spans="12:20" x14ac:dyDescent="0.2">
      <c r="L7685" s="43"/>
      <c r="M7685" s="43"/>
      <c r="N7685" s="43"/>
      <c r="O7685" s="43"/>
      <c r="Q7685" s="44"/>
      <c r="R7685" s="44"/>
      <c r="S7685" s="44"/>
      <c r="T7685" s="44"/>
    </row>
    <row r="7686" spans="12:20" x14ac:dyDescent="0.2">
      <c r="L7686" s="43"/>
      <c r="M7686" s="43"/>
      <c r="N7686" s="43"/>
      <c r="O7686" s="43"/>
      <c r="Q7686" s="44"/>
      <c r="R7686" s="44"/>
      <c r="S7686" s="44"/>
      <c r="T7686" s="44"/>
    </row>
    <row r="7687" spans="12:20" x14ac:dyDescent="0.2">
      <c r="L7687" s="43"/>
      <c r="M7687" s="43"/>
      <c r="N7687" s="43"/>
      <c r="O7687" s="43"/>
      <c r="Q7687" s="44"/>
      <c r="R7687" s="44"/>
      <c r="S7687" s="44"/>
      <c r="T7687" s="44"/>
    </row>
    <row r="7688" spans="12:20" x14ac:dyDescent="0.2">
      <c r="L7688" s="43"/>
      <c r="M7688" s="43"/>
      <c r="N7688" s="43"/>
      <c r="O7688" s="43"/>
      <c r="Q7688" s="44"/>
      <c r="R7688" s="44"/>
      <c r="S7688" s="44"/>
      <c r="T7688" s="44"/>
    </row>
    <row r="7689" spans="12:20" x14ac:dyDescent="0.2">
      <c r="L7689" s="43"/>
      <c r="M7689" s="43"/>
      <c r="N7689" s="43"/>
      <c r="O7689" s="43"/>
      <c r="Q7689" s="44"/>
      <c r="R7689" s="44"/>
      <c r="S7689" s="44"/>
      <c r="T7689" s="44"/>
    </row>
    <row r="7690" spans="12:20" x14ac:dyDescent="0.2">
      <c r="L7690" s="43"/>
      <c r="M7690" s="43"/>
      <c r="N7690" s="43"/>
      <c r="O7690" s="43"/>
      <c r="Q7690" s="44"/>
      <c r="R7690" s="44"/>
      <c r="S7690" s="44"/>
      <c r="T7690" s="44"/>
    </row>
    <row r="7691" spans="12:20" x14ac:dyDescent="0.2">
      <c r="L7691" s="43"/>
      <c r="M7691" s="43"/>
      <c r="N7691" s="43"/>
      <c r="O7691" s="43"/>
      <c r="Q7691" s="44"/>
      <c r="R7691" s="44"/>
      <c r="S7691" s="44"/>
      <c r="T7691" s="44"/>
    </row>
    <row r="7692" spans="12:20" x14ac:dyDescent="0.2">
      <c r="L7692" s="43"/>
      <c r="M7692" s="43"/>
      <c r="N7692" s="43"/>
      <c r="O7692" s="43"/>
      <c r="Q7692" s="44"/>
      <c r="R7692" s="44"/>
      <c r="S7692" s="44"/>
      <c r="T7692" s="44"/>
    </row>
    <row r="7693" spans="12:20" x14ac:dyDescent="0.2">
      <c r="L7693" s="43"/>
      <c r="M7693" s="43"/>
      <c r="N7693" s="43"/>
      <c r="O7693" s="43"/>
      <c r="Q7693" s="44"/>
      <c r="R7693" s="44"/>
      <c r="S7693" s="44"/>
      <c r="T7693" s="44"/>
    </row>
    <row r="7694" spans="12:20" x14ac:dyDescent="0.2">
      <c r="L7694" s="43"/>
      <c r="M7694" s="43"/>
      <c r="N7694" s="43"/>
      <c r="O7694" s="43"/>
      <c r="Q7694" s="44"/>
      <c r="R7694" s="44"/>
      <c r="S7694" s="44"/>
      <c r="T7694" s="44"/>
    </row>
    <row r="7695" spans="12:20" x14ac:dyDescent="0.2">
      <c r="L7695" s="43"/>
      <c r="M7695" s="43"/>
      <c r="N7695" s="43"/>
      <c r="O7695" s="43"/>
      <c r="Q7695" s="44"/>
      <c r="R7695" s="44"/>
      <c r="S7695" s="44"/>
      <c r="T7695" s="44"/>
    </row>
    <row r="7696" spans="12:20" x14ac:dyDescent="0.2">
      <c r="L7696" s="43"/>
      <c r="M7696" s="43"/>
      <c r="N7696" s="43"/>
      <c r="O7696" s="43"/>
      <c r="Q7696" s="44"/>
      <c r="R7696" s="44"/>
      <c r="S7696" s="44"/>
      <c r="T7696" s="44"/>
    </row>
    <row r="7697" spans="12:20" x14ac:dyDescent="0.2">
      <c r="L7697" s="43"/>
      <c r="M7697" s="43"/>
      <c r="N7697" s="43"/>
      <c r="O7697" s="43"/>
      <c r="Q7697" s="44"/>
      <c r="R7697" s="44"/>
      <c r="S7697" s="44"/>
      <c r="T7697" s="44"/>
    </row>
    <row r="7698" spans="12:20" x14ac:dyDescent="0.2">
      <c r="L7698" s="43"/>
      <c r="M7698" s="43"/>
      <c r="N7698" s="43"/>
      <c r="O7698" s="43"/>
      <c r="Q7698" s="44"/>
      <c r="R7698" s="44"/>
      <c r="S7698" s="44"/>
      <c r="T7698" s="44"/>
    </row>
    <row r="7699" spans="12:20" x14ac:dyDescent="0.2">
      <c r="L7699" s="43"/>
      <c r="M7699" s="43"/>
      <c r="N7699" s="43"/>
      <c r="O7699" s="43"/>
      <c r="Q7699" s="44"/>
      <c r="R7699" s="44"/>
      <c r="S7699" s="44"/>
      <c r="T7699" s="44"/>
    </row>
    <row r="7700" spans="12:20" x14ac:dyDescent="0.2">
      <c r="L7700" s="43"/>
      <c r="M7700" s="43"/>
      <c r="N7700" s="43"/>
      <c r="O7700" s="43"/>
      <c r="Q7700" s="44"/>
      <c r="R7700" s="44"/>
      <c r="S7700" s="44"/>
      <c r="T7700" s="44"/>
    </row>
    <row r="7701" spans="12:20" x14ac:dyDescent="0.2">
      <c r="L7701" s="43"/>
      <c r="M7701" s="43"/>
      <c r="N7701" s="43"/>
      <c r="O7701" s="43"/>
      <c r="Q7701" s="44"/>
      <c r="R7701" s="44"/>
      <c r="S7701" s="44"/>
      <c r="T7701" s="44"/>
    </row>
    <row r="7702" spans="12:20" x14ac:dyDescent="0.2">
      <c r="L7702" s="43"/>
      <c r="M7702" s="43"/>
      <c r="N7702" s="43"/>
      <c r="O7702" s="43"/>
      <c r="Q7702" s="44"/>
      <c r="R7702" s="44"/>
      <c r="S7702" s="44"/>
      <c r="T7702" s="44"/>
    </row>
    <row r="7703" spans="12:20" x14ac:dyDescent="0.2">
      <c r="L7703" s="43"/>
      <c r="M7703" s="43"/>
      <c r="N7703" s="43"/>
      <c r="O7703" s="43"/>
      <c r="Q7703" s="44"/>
      <c r="R7703" s="44"/>
      <c r="S7703" s="44"/>
      <c r="T7703" s="44"/>
    </row>
    <row r="7704" spans="12:20" x14ac:dyDescent="0.2">
      <c r="L7704" s="43"/>
      <c r="M7704" s="43"/>
      <c r="N7704" s="43"/>
      <c r="O7704" s="43"/>
      <c r="Q7704" s="44"/>
      <c r="R7704" s="44"/>
      <c r="S7704" s="44"/>
      <c r="T7704" s="44"/>
    </row>
    <row r="7705" spans="12:20" x14ac:dyDescent="0.2">
      <c r="L7705" s="43"/>
      <c r="M7705" s="43"/>
      <c r="N7705" s="43"/>
      <c r="O7705" s="43"/>
      <c r="Q7705" s="44"/>
      <c r="R7705" s="44"/>
      <c r="S7705" s="44"/>
      <c r="T7705" s="44"/>
    </row>
    <row r="7706" spans="12:20" x14ac:dyDescent="0.2">
      <c r="L7706" s="43"/>
      <c r="M7706" s="43"/>
      <c r="N7706" s="43"/>
      <c r="O7706" s="43"/>
      <c r="Q7706" s="44"/>
      <c r="R7706" s="44"/>
      <c r="S7706" s="44"/>
      <c r="T7706" s="44"/>
    </row>
    <row r="7707" spans="12:20" x14ac:dyDescent="0.2">
      <c r="L7707" s="43"/>
      <c r="M7707" s="43"/>
      <c r="N7707" s="43"/>
      <c r="O7707" s="43"/>
      <c r="Q7707" s="44"/>
      <c r="R7707" s="44"/>
      <c r="S7707" s="44"/>
      <c r="T7707" s="44"/>
    </row>
    <row r="7708" spans="12:20" x14ac:dyDescent="0.2">
      <c r="L7708" s="43"/>
      <c r="M7708" s="43"/>
      <c r="N7708" s="43"/>
      <c r="O7708" s="43"/>
      <c r="Q7708" s="44"/>
      <c r="R7708" s="44"/>
      <c r="S7708" s="44"/>
      <c r="T7708" s="44"/>
    </row>
    <row r="7709" spans="12:20" x14ac:dyDescent="0.2">
      <c r="L7709" s="43"/>
      <c r="M7709" s="43"/>
      <c r="N7709" s="43"/>
      <c r="O7709" s="43"/>
      <c r="Q7709" s="44"/>
      <c r="R7709" s="44"/>
      <c r="S7709" s="44"/>
      <c r="T7709" s="44"/>
    </row>
    <row r="7710" spans="12:20" x14ac:dyDescent="0.2">
      <c r="L7710" s="43"/>
      <c r="M7710" s="43"/>
      <c r="N7710" s="43"/>
      <c r="O7710" s="43"/>
      <c r="Q7710" s="44"/>
      <c r="R7710" s="44"/>
      <c r="S7710" s="44"/>
      <c r="T7710" s="44"/>
    </row>
    <row r="7711" spans="12:20" x14ac:dyDescent="0.2">
      <c r="L7711" s="43"/>
      <c r="M7711" s="43"/>
      <c r="N7711" s="43"/>
      <c r="O7711" s="43"/>
      <c r="Q7711" s="44"/>
      <c r="R7711" s="44"/>
      <c r="S7711" s="44"/>
      <c r="T7711" s="44"/>
    </row>
    <row r="7712" spans="12:20" x14ac:dyDescent="0.2">
      <c r="L7712" s="43"/>
      <c r="M7712" s="43"/>
      <c r="N7712" s="43"/>
      <c r="O7712" s="43"/>
      <c r="Q7712" s="44"/>
      <c r="R7712" s="44"/>
      <c r="S7712" s="44"/>
      <c r="T7712" s="44"/>
    </row>
    <row r="7713" spans="12:20" x14ac:dyDescent="0.2">
      <c r="L7713" s="43"/>
      <c r="M7713" s="43"/>
      <c r="N7713" s="43"/>
      <c r="O7713" s="43"/>
      <c r="Q7713" s="44"/>
      <c r="R7713" s="44"/>
      <c r="S7713" s="44"/>
      <c r="T7713" s="44"/>
    </row>
    <row r="7714" spans="12:20" x14ac:dyDescent="0.2">
      <c r="L7714" s="43"/>
      <c r="M7714" s="43"/>
      <c r="N7714" s="43"/>
      <c r="O7714" s="43"/>
      <c r="Q7714" s="44"/>
      <c r="R7714" s="44"/>
      <c r="S7714" s="44"/>
      <c r="T7714" s="44"/>
    </row>
    <row r="7715" spans="12:20" x14ac:dyDescent="0.2">
      <c r="L7715" s="43"/>
      <c r="M7715" s="43"/>
      <c r="N7715" s="43"/>
      <c r="O7715" s="43"/>
      <c r="Q7715" s="44"/>
      <c r="R7715" s="44"/>
      <c r="S7715" s="44"/>
      <c r="T7715" s="44"/>
    </row>
    <row r="7716" spans="12:20" x14ac:dyDescent="0.2">
      <c r="L7716" s="43"/>
      <c r="M7716" s="43"/>
      <c r="N7716" s="43"/>
      <c r="O7716" s="43"/>
      <c r="Q7716" s="44"/>
      <c r="R7716" s="44"/>
      <c r="S7716" s="44"/>
      <c r="T7716" s="44"/>
    </row>
    <row r="7717" spans="12:20" x14ac:dyDescent="0.2">
      <c r="L7717" s="43"/>
      <c r="M7717" s="43"/>
      <c r="N7717" s="43"/>
      <c r="O7717" s="43"/>
      <c r="Q7717" s="44"/>
      <c r="R7717" s="44"/>
      <c r="S7717" s="44"/>
      <c r="T7717" s="44"/>
    </row>
    <row r="7718" spans="12:20" x14ac:dyDescent="0.2">
      <c r="L7718" s="43"/>
      <c r="M7718" s="43"/>
      <c r="N7718" s="43"/>
      <c r="O7718" s="43"/>
      <c r="Q7718" s="44"/>
      <c r="R7718" s="44"/>
      <c r="S7718" s="44"/>
      <c r="T7718" s="44"/>
    </row>
    <row r="7719" spans="12:20" x14ac:dyDescent="0.2">
      <c r="L7719" s="43"/>
      <c r="M7719" s="43"/>
      <c r="N7719" s="43"/>
      <c r="O7719" s="43"/>
      <c r="Q7719" s="44"/>
      <c r="R7719" s="44"/>
      <c r="S7719" s="44"/>
      <c r="T7719" s="44"/>
    </row>
    <row r="7720" spans="12:20" x14ac:dyDescent="0.2">
      <c r="L7720" s="43"/>
      <c r="M7720" s="43"/>
      <c r="N7720" s="43"/>
      <c r="O7720" s="43"/>
      <c r="Q7720" s="44"/>
      <c r="R7720" s="44"/>
      <c r="S7720" s="44"/>
      <c r="T7720" s="44"/>
    </row>
    <row r="7721" spans="12:20" x14ac:dyDescent="0.2">
      <c r="L7721" s="43"/>
      <c r="M7721" s="43"/>
      <c r="N7721" s="43"/>
      <c r="O7721" s="43"/>
      <c r="Q7721" s="44"/>
      <c r="R7721" s="44"/>
      <c r="S7721" s="44"/>
      <c r="T7721" s="44"/>
    </row>
    <row r="7722" spans="12:20" x14ac:dyDescent="0.2">
      <c r="L7722" s="43"/>
      <c r="M7722" s="43"/>
      <c r="N7722" s="43"/>
      <c r="O7722" s="43"/>
      <c r="Q7722" s="44"/>
      <c r="R7722" s="44"/>
      <c r="S7722" s="44"/>
      <c r="T7722" s="44"/>
    </row>
    <row r="7723" spans="12:20" x14ac:dyDescent="0.2">
      <c r="L7723" s="43"/>
      <c r="M7723" s="43"/>
      <c r="N7723" s="43"/>
      <c r="O7723" s="43"/>
      <c r="Q7723" s="44"/>
      <c r="R7723" s="44"/>
      <c r="S7723" s="44"/>
      <c r="T7723" s="44"/>
    </row>
    <row r="7724" spans="12:20" x14ac:dyDescent="0.2">
      <c r="L7724" s="43"/>
      <c r="M7724" s="43"/>
      <c r="N7724" s="43"/>
      <c r="O7724" s="43"/>
      <c r="Q7724" s="44"/>
      <c r="R7724" s="44"/>
      <c r="S7724" s="44"/>
      <c r="T7724" s="44"/>
    </row>
    <row r="7725" spans="12:20" x14ac:dyDescent="0.2">
      <c r="L7725" s="43"/>
      <c r="M7725" s="43"/>
      <c r="N7725" s="43"/>
      <c r="O7725" s="43"/>
      <c r="Q7725" s="44"/>
      <c r="R7725" s="44"/>
      <c r="S7725" s="44"/>
      <c r="T7725" s="44"/>
    </row>
    <row r="7726" spans="12:20" x14ac:dyDescent="0.2">
      <c r="L7726" s="43"/>
      <c r="M7726" s="43"/>
      <c r="N7726" s="43"/>
      <c r="O7726" s="43"/>
      <c r="Q7726" s="44"/>
      <c r="R7726" s="44"/>
      <c r="S7726" s="44"/>
      <c r="T7726" s="44"/>
    </row>
    <row r="7727" spans="12:20" x14ac:dyDescent="0.2">
      <c r="L7727" s="43"/>
      <c r="M7727" s="43"/>
      <c r="N7727" s="43"/>
      <c r="O7727" s="43"/>
      <c r="Q7727" s="44"/>
      <c r="R7727" s="44"/>
      <c r="S7727" s="44"/>
      <c r="T7727" s="44"/>
    </row>
    <row r="7728" spans="12:20" x14ac:dyDescent="0.2">
      <c r="L7728" s="43"/>
      <c r="M7728" s="43"/>
      <c r="N7728" s="43"/>
      <c r="O7728" s="43"/>
      <c r="Q7728" s="44"/>
      <c r="R7728" s="44"/>
      <c r="S7728" s="44"/>
      <c r="T7728" s="44"/>
    </row>
    <row r="7729" spans="12:20" x14ac:dyDescent="0.2">
      <c r="L7729" s="43"/>
      <c r="M7729" s="43"/>
      <c r="N7729" s="43"/>
      <c r="O7729" s="43"/>
      <c r="Q7729" s="44"/>
      <c r="R7729" s="44"/>
      <c r="S7729" s="44"/>
      <c r="T7729" s="44"/>
    </row>
    <row r="7730" spans="12:20" x14ac:dyDescent="0.2">
      <c r="L7730" s="43"/>
      <c r="M7730" s="43"/>
      <c r="N7730" s="43"/>
      <c r="O7730" s="43"/>
      <c r="Q7730" s="44"/>
      <c r="R7730" s="44"/>
      <c r="S7730" s="44"/>
      <c r="T7730" s="44"/>
    </row>
    <row r="7731" spans="12:20" x14ac:dyDescent="0.2">
      <c r="L7731" s="43"/>
      <c r="M7731" s="43"/>
      <c r="N7731" s="43"/>
      <c r="O7731" s="43"/>
      <c r="Q7731" s="44"/>
      <c r="R7731" s="44"/>
      <c r="S7731" s="44"/>
      <c r="T7731" s="44"/>
    </row>
    <row r="7732" spans="12:20" x14ac:dyDescent="0.2">
      <c r="L7732" s="43"/>
      <c r="M7732" s="43"/>
      <c r="N7732" s="43"/>
      <c r="O7732" s="43"/>
      <c r="Q7732" s="44"/>
      <c r="R7732" s="44"/>
      <c r="S7732" s="44"/>
      <c r="T7732" s="44"/>
    </row>
    <row r="7733" spans="12:20" x14ac:dyDescent="0.2">
      <c r="L7733" s="43"/>
      <c r="M7733" s="43"/>
      <c r="N7733" s="43"/>
      <c r="O7733" s="43"/>
      <c r="Q7733" s="44"/>
      <c r="R7733" s="44"/>
      <c r="S7733" s="44"/>
      <c r="T7733" s="44"/>
    </row>
    <row r="7734" spans="12:20" x14ac:dyDescent="0.2">
      <c r="L7734" s="43"/>
      <c r="M7734" s="43"/>
      <c r="N7734" s="43"/>
      <c r="O7734" s="43"/>
      <c r="Q7734" s="44"/>
      <c r="R7734" s="44"/>
      <c r="S7734" s="44"/>
      <c r="T7734" s="44"/>
    </row>
    <row r="7735" spans="12:20" x14ac:dyDescent="0.2">
      <c r="L7735" s="43"/>
      <c r="M7735" s="43"/>
      <c r="N7735" s="43"/>
      <c r="O7735" s="43"/>
      <c r="Q7735" s="44"/>
      <c r="R7735" s="44"/>
      <c r="S7735" s="44"/>
      <c r="T7735" s="44"/>
    </row>
    <row r="7736" spans="12:20" x14ac:dyDescent="0.2">
      <c r="L7736" s="43"/>
      <c r="M7736" s="43"/>
      <c r="N7736" s="43"/>
      <c r="O7736" s="43"/>
      <c r="Q7736" s="44"/>
      <c r="R7736" s="44"/>
      <c r="S7736" s="44"/>
      <c r="T7736" s="44"/>
    </row>
    <row r="7737" spans="12:20" x14ac:dyDescent="0.2">
      <c r="L7737" s="43"/>
      <c r="M7737" s="43"/>
      <c r="N7737" s="43"/>
      <c r="O7737" s="43"/>
      <c r="Q7737" s="44"/>
      <c r="R7737" s="44"/>
      <c r="S7737" s="44"/>
      <c r="T7737" s="44"/>
    </row>
    <row r="7738" spans="12:20" x14ac:dyDescent="0.2">
      <c r="L7738" s="43"/>
      <c r="M7738" s="43"/>
      <c r="N7738" s="43"/>
      <c r="O7738" s="43"/>
      <c r="Q7738" s="44"/>
      <c r="R7738" s="44"/>
      <c r="S7738" s="44"/>
      <c r="T7738" s="44"/>
    </row>
    <row r="7739" spans="12:20" x14ac:dyDescent="0.2">
      <c r="L7739" s="43"/>
      <c r="M7739" s="43"/>
      <c r="N7739" s="43"/>
      <c r="O7739" s="43"/>
      <c r="Q7739" s="44"/>
      <c r="R7739" s="44"/>
      <c r="S7739" s="44"/>
      <c r="T7739" s="44"/>
    </row>
    <row r="7740" spans="12:20" x14ac:dyDescent="0.2">
      <c r="L7740" s="43"/>
      <c r="M7740" s="43"/>
      <c r="N7740" s="43"/>
      <c r="O7740" s="43"/>
      <c r="Q7740" s="44"/>
      <c r="R7740" s="44"/>
      <c r="S7740" s="44"/>
      <c r="T7740" s="44"/>
    </row>
    <row r="7741" spans="12:20" x14ac:dyDescent="0.2">
      <c r="L7741" s="43"/>
      <c r="M7741" s="43"/>
      <c r="N7741" s="43"/>
      <c r="O7741" s="43"/>
      <c r="Q7741" s="44"/>
      <c r="R7741" s="44"/>
      <c r="S7741" s="44"/>
      <c r="T7741" s="44"/>
    </row>
    <row r="7742" spans="12:20" x14ac:dyDescent="0.2">
      <c r="L7742" s="43"/>
      <c r="M7742" s="43"/>
      <c r="N7742" s="43"/>
      <c r="O7742" s="43"/>
      <c r="Q7742" s="44"/>
      <c r="R7742" s="44"/>
      <c r="S7742" s="44"/>
      <c r="T7742" s="44"/>
    </row>
    <row r="7743" spans="12:20" x14ac:dyDescent="0.2">
      <c r="L7743" s="43"/>
      <c r="M7743" s="43"/>
      <c r="N7743" s="43"/>
      <c r="O7743" s="43"/>
      <c r="Q7743" s="44"/>
      <c r="R7743" s="44"/>
      <c r="S7743" s="44"/>
      <c r="T7743" s="44"/>
    </row>
    <row r="7744" spans="12:20" x14ac:dyDescent="0.2">
      <c r="L7744" s="43"/>
      <c r="M7744" s="43"/>
      <c r="N7744" s="43"/>
      <c r="O7744" s="43"/>
      <c r="Q7744" s="44"/>
      <c r="R7744" s="44"/>
      <c r="S7744" s="44"/>
      <c r="T7744" s="44"/>
    </row>
    <row r="7745" spans="12:20" x14ac:dyDescent="0.2">
      <c r="L7745" s="43"/>
      <c r="M7745" s="43"/>
      <c r="N7745" s="43"/>
      <c r="O7745" s="43"/>
      <c r="Q7745" s="44"/>
      <c r="R7745" s="44"/>
      <c r="S7745" s="44"/>
      <c r="T7745" s="44"/>
    </row>
    <row r="7746" spans="12:20" x14ac:dyDescent="0.2">
      <c r="L7746" s="43"/>
      <c r="M7746" s="43"/>
      <c r="N7746" s="43"/>
      <c r="O7746" s="43"/>
      <c r="Q7746" s="44"/>
      <c r="R7746" s="44"/>
      <c r="S7746" s="44"/>
      <c r="T7746" s="44"/>
    </row>
    <row r="7747" spans="12:20" x14ac:dyDescent="0.2">
      <c r="L7747" s="43"/>
      <c r="M7747" s="43"/>
      <c r="N7747" s="43"/>
      <c r="O7747" s="43"/>
      <c r="Q7747" s="44"/>
      <c r="R7747" s="44"/>
      <c r="S7747" s="44"/>
      <c r="T7747" s="44"/>
    </row>
    <row r="7748" spans="12:20" x14ac:dyDescent="0.2">
      <c r="L7748" s="43"/>
      <c r="M7748" s="43"/>
      <c r="N7748" s="43"/>
      <c r="O7748" s="43"/>
      <c r="Q7748" s="44"/>
      <c r="R7748" s="44"/>
      <c r="S7748" s="44"/>
      <c r="T7748" s="44"/>
    </row>
    <row r="7749" spans="12:20" x14ac:dyDescent="0.2">
      <c r="L7749" s="43"/>
      <c r="M7749" s="43"/>
      <c r="N7749" s="43"/>
      <c r="O7749" s="43"/>
      <c r="Q7749" s="44"/>
      <c r="R7749" s="44"/>
      <c r="S7749" s="44"/>
      <c r="T7749" s="44"/>
    </row>
    <row r="7750" spans="12:20" x14ac:dyDescent="0.2">
      <c r="L7750" s="43"/>
      <c r="M7750" s="43"/>
      <c r="N7750" s="43"/>
      <c r="O7750" s="43"/>
      <c r="Q7750" s="44"/>
      <c r="R7750" s="44"/>
      <c r="S7750" s="44"/>
      <c r="T7750" s="44"/>
    </row>
    <row r="7751" spans="12:20" x14ac:dyDescent="0.2">
      <c r="L7751" s="43"/>
      <c r="M7751" s="43"/>
      <c r="N7751" s="43"/>
      <c r="O7751" s="43"/>
      <c r="Q7751" s="44"/>
      <c r="R7751" s="44"/>
      <c r="S7751" s="44"/>
      <c r="T7751" s="44"/>
    </row>
    <row r="7752" spans="12:20" x14ac:dyDescent="0.2">
      <c r="L7752" s="43"/>
      <c r="M7752" s="43"/>
      <c r="N7752" s="43"/>
      <c r="O7752" s="43"/>
      <c r="Q7752" s="44"/>
      <c r="R7752" s="44"/>
      <c r="S7752" s="44"/>
      <c r="T7752" s="44"/>
    </row>
    <row r="7753" spans="12:20" x14ac:dyDescent="0.2">
      <c r="L7753" s="43"/>
      <c r="M7753" s="43"/>
      <c r="N7753" s="43"/>
      <c r="O7753" s="43"/>
      <c r="Q7753" s="44"/>
      <c r="R7753" s="44"/>
      <c r="S7753" s="44"/>
      <c r="T7753" s="44"/>
    </row>
    <row r="7754" spans="12:20" x14ac:dyDescent="0.2">
      <c r="L7754" s="43"/>
      <c r="M7754" s="43"/>
      <c r="N7754" s="43"/>
      <c r="O7754" s="43"/>
      <c r="Q7754" s="44"/>
      <c r="R7754" s="44"/>
      <c r="S7754" s="44"/>
      <c r="T7754" s="44"/>
    </row>
    <row r="7755" spans="12:20" x14ac:dyDescent="0.2">
      <c r="L7755" s="43"/>
      <c r="M7755" s="43"/>
      <c r="N7755" s="43"/>
      <c r="O7755" s="43"/>
      <c r="Q7755" s="44"/>
      <c r="R7755" s="44"/>
      <c r="S7755" s="44"/>
      <c r="T7755" s="44"/>
    </row>
    <row r="7756" spans="12:20" x14ac:dyDescent="0.2">
      <c r="L7756" s="43"/>
      <c r="M7756" s="43"/>
      <c r="N7756" s="43"/>
      <c r="O7756" s="43"/>
      <c r="Q7756" s="44"/>
      <c r="R7756" s="44"/>
      <c r="S7756" s="44"/>
      <c r="T7756" s="44"/>
    </row>
    <row r="7757" spans="12:20" x14ac:dyDescent="0.2">
      <c r="L7757" s="43"/>
      <c r="M7757" s="43"/>
      <c r="N7757" s="43"/>
      <c r="O7757" s="43"/>
      <c r="Q7757" s="44"/>
      <c r="R7757" s="44"/>
      <c r="S7757" s="44"/>
      <c r="T7757" s="44"/>
    </row>
    <row r="7758" spans="12:20" x14ac:dyDescent="0.2">
      <c r="L7758" s="43"/>
      <c r="M7758" s="43"/>
      <c r="N7758" s="43"/>
      <c r="O7758" s="43"/>
      <c r="Q7758" s="44"/>
      <c r="R7758" s="44"/>
      <c r="S7758" s="44"/>
      <c r="T7758" s="44"/>
    </row>
    <row r="7759" spans="12:20" x14ac:dyDescent="0.2">
      <c r="L7759" s="43"/>
      <c r="M7759" s="43"/>
      <c r="N7759" s="43"/>
      <c r="O7759" s="43"/>
      <c r="Q7759" s="44"/>
      <c r="R7759" s="44"/>
      <c r="S7759" s="44"/>
      <c r="T7759" s="44"/>
    </row>
    <row r="7760" spans="12:20" x14ac:dyDescent="0.2">
      <c r="L7760" s="43"/>
      <c r="M7760" s="43"/>
      <c r="N7760" s="43"/>
      <c r="O7760" s="43"/>
      <c r="Q7760" s="44"/>
      <c r="R7760" s="44"/>
      <c r="S7760" s="44"/>
      <c r="T7760" s="44"/>
    </row>
    <row r="7761" spans="12:20" x14ac:dyDescent="0.2">
      <c r="L7761" s="43"/>
      <c r="M7761" s="43"/>
      <c r="N7761" s="43"/>
      <c r="O7761" s="43"/>
      <c r="Q7761" s="44"/>
      <c r="R7761" s="44"/>
      <c r="S7761" s="44"/>
      <c r="T7761" s="44"/>
    </row>
    <row r="7762" spans="12:20" x14ac:dyDescent="0.2">
      <c r="L7762" s="43"/>
      <c r="M7762" s="43"/>
      <c r="N7762" s="43"/>
      <c r="O7762" s="43"/>
      <c r="Q7762" s="44"/>
      <c r="R7762" s="44"/>
      <c r="S7762" s="44"/>
      <c r="T7762" s="44"/>
    </row>
    <row r="7763" spans="12:20" x14ac:dyDescent="0.2">
      <c r="L7763" s="43"/>
      <c r="M7763" s="43"/>
      <c r="N7763" s="43"/>
      <c r="O7763" s="43"/>
      <c r="Q7763" s="44"/>
      <c r="R7763" s="44"/>
      <c r="S7763" s="44"/>
      <c r="T7763" s="44"/>
    </row>
    <row r="7764" spans="12:20" x14ac:dyDescent="0.2">
      <c r="L7764" s="43"/>
      <c r="M7764" s="43"/>
      <c r="N7764" s="43"/>
      <c r="O7764" s="43"/>
      <c r="Q7764" s="44"/>
      <c r="R7764" s="44"/>
      <c r="S7764" s="44"/>
      <c r="T7764" s="44"/>
    </row>
    <row r="7765" spans="12:20" x14ac:dyDescent="0.2">
      <c r="L7765" s="43"/>
      <c r="M7765" s="43"/>
      <c r="N7765" s="43"/>
      <c r="O7765" s="43"/>
      <c r="Q7765" s="44"/>
      <c r="R7765" s="44"/>
      <c r="S7765" s="44"/>
      <c r="T7765" s="44"/>
    </row>
    <row r="7766" spans="12:20" x14ac:dyDescent="0.2">
      <c r="L7766" s="43"/>
      <c r="M7766" s="43"/>
      <c r="N7766" s="43"/>
      <c r="O7766" s="43"/>
      <c r="Q7766" s="44"/>
      <c r="R7766" s="44"/>
      <c r="S7766" s="44"/>
      <c r="T7766" s="44"/>
    </row>
    <row r="7767" spans="12:20" x14ac:dyDescent="0.2">
      <c r="L7767" s="43"/>
      <c r="M7767" s="43"/>
      <c r="N7767" s="43"/>
      <c r="O7767" s="43"/>
      <c r="Q7767" s="44"/>
      <c r="R7767" s="44"/>
      <c r="S7767" s="44"/>
      <c r="T7767" s="44"/>
    </row>
    <row r="7768" spans="12:20" x14ac:dyDescent="0.2">
      <c r="L7768" s="43"/>
      <c r="M7768" s="43"/>
      <c r="N7768" s="43"/>
      <c r="O7768" s="43"/>
      <c r="Q7768" s="44"/>
      <c r="R7768" s="44"/>
      <c r="S7768" s="44"/>
      <c r="T7768" s="44"/>
    </row>
    <row r="7769" spans="12:20" x14ac:dyDescent="0.2">
      <c r="L7769" s="43"/>
      <c r="M7769" s="43"/>
      <c r="N7769" s="43"/>
      <c r="O7769" s="43"/>
      <c r="Q7769" s="44"/>
      <c r="R7769" s="44"/>
      <c r="S7769" s="44"/>
      <c r="T7769" s="44"/>
    </row>
    <row r="7770" spans="12:20" x14ac:dyDescent="0.2">
      <c r="L7770" s="43"/>
      <c r="M7770" s="43"/>
      <c r="N7770" s="43"/>
      <c r="O7770" s="43"/>
      <c r="Q7770" s="44"/>
      <c r="R7770" s="44"/>
      <c r="S7770" s="44"/>
      <c r="T7770" s="44"/>
    </row>
    <row r="7771" spans="12:20" x14ac:dyDescent="0.2">
      <c r="L7771" s="43"/>
      <c r="M7771" s="43"/>
      <c r="N7771" s="43"/>
      <c r="O7771" s="43"/>
      <c r="Q7771" s="44"/>
      <c r="R7771" s="44"/>
      <c r="S7771" s="44"/>
      <c r="T7771" s="44"/>
    </row>
    <row r="7772" spans="12:20" x14ac:dyDescent="0.2">
      <c r="L7772" s="43"/>
      <c r="M7772" s="43"/>
      <c r="N7772" s="43"/>
      <c r="O7772" s="43"/>
      <c r="Q7772" s="44"/>
      <c r="R7772" s="44"/>
      <c r="S7772" s="44"/>
      <c r="T7772" s="44"/>
    </row>
    <row r="7773" spans="12:20" x14ac:dyDescent="0.2">
      <c r="L7773" s="43"/>
      <c r="M7773" s="43"/>
      <c r="N7773" s="43"/>
      <c r="O7773" s="43"/>
      <c r="Q7773" s="44"/>
      <c r="R7773" s="44"/>
      <c r="S7773" s="44"/>
      <c r="T7773" s="44"/>
    </row>
    <row r="7774" spans="12:20" x14ac:dyDescent="0.2">
      <c r="L7774" s="43"/>
      <c r="M7774" s="43"/>
      <c r="N7774" s="43"/>
      <c r="O7774" s="43"/>
      <c r="Q7774" s="44"/>
      <c r="R7774" s="44"/>
      <c r="S7774" s="44"/>
      <c r="T7774" s="44"/>
    </row>
    <row r="7775" spans="12:20" x14ac:dyDescent="0.2">
      <c r="L7775" s="43"/>
      <c r="M7775" s="43"/>
      <c r="N7775" s="43"/>
      <c r="O7775" s="43"/>
      <c r="Q7775" s="44"/>
      <c r="R7775" s="44"/>
      <c r="S7775" s="44"/>
      <c r="T7775" s="44"/>
    </row>
    <row r="7776" spans="12:20" x14ac:dyDescent="0.2">
      <c r="L7776" s="43"/>
      <c r="M7776" s="43"/>
      <c r="N7776" s="43"/>
      <c r="O7776" s="43"/>
      <c r="Q7776" s="44"/>
      <c r="R7776" s="44"/>
      <c r="S7776" s="44"/>
      <c r="T7776" s="44"/>
    </row>
    <row r="7777" spans="12:20" x14ac:dyDescent="0.2">
      <c r="L7777" s="43"/>
      <c r="M7777" s="43"/>
      <c r="N7777" s="43"/>
      <c r="O7777" s="43"/>
      <c r="Q7777" s="44"/>
      <c r="R7777" s="44"/>
      <c r="S7777" s="44"/>
      <c r="T7777" s="44"/>
    </row>
    <row r="7778" spans="12:20" x14ac:dyDescent="0.2">
      <c r="L7778" s="43"/>
      <c r="M7778" s="43"/>
      <c r="N7778" s="43"/>
      <c r="O7778" s="43"/>
      <c r="Q7778" s="44"/>
      <c r="R7778" s="44"/>
      <c r="S7778" s="44"/>
      <c r="T7778" s="44"/>
    </row>
    <row r="7779" spans="12:20" x14ac:dyDescent="0.2">
      <c r="L7779" s="43"/>
      <c r="M7779" s="43"/>
      <c r="N7779" s="43"/>
      <c r="O7779" s="43"/>
      <c r="Q7779" s="44"/>
      <c r="R7779" s="44"/>
      <c r="S7779" s="44"/>
      <c r="T7779" s="44"/>
    </row>
    <row r="7780" spans="12:20" x14ac:dyDescent="0.2">
      <c r="L7780" s="43"/>
      <c r="M7780" s="43"/>
      <c r="N7780" s="43"/>
      <c r="O7780" s="43"/>
      <c r="Q7780" s="44"/>
      <c r="R7780" s="44"/>
      <c r="S7780" s="44"/>
      <c r="T7780" s="44"/>
    </row>
    <row r="7781" spans="12:20" x14ac:dyDescent="0.2">
      <c r="L7781" s="43"/>
      <c r="M7781" s="43"/>
      <c r="N7781" s="43"/>
      <c r="O7781" s="43"/>
      <c r="Q7781" s="44"/>
      <c r="R7781" s="44"/>
      <c r="S7781" s="44"/>
      <c r="T7781" s="44"/>
    </row>
    <row r="7782" spans="12:20" x14ac:dyDescent="0.2">
      <c r="L7782" s="43"/>
      <c r="M7782" s="43"/>
      <c r="N7782" s="43"/>
      <c r="O7782" s="43"/>
      <c r="Q7782" s="44"/>
      <c r="R7782" s="44"/>
      <c r="S7782" s="44"/>
      <c r="T7782" s="44"/>
    </row>
    <row r="7783" spans="12:20" x14ac:dyDescent="0.2">
      <c r="L7783" s="43"/>
      <c r="M7783" s="43"/>
      <c r="N7783" s="43"/>
      <c r="O7783" s="43"/>
      <c r="Q7783" s="44"/>
      <c r="R7783" s="44"/>
      <c r="S7783" s="44"/>
      <c r="T7783" s="44"/>
    </row>
    <row r="7784" spans="12:20" x14ac:dyDescent="0.2">
      <c r="L7784" s="43"/>
      <c r="M7784" s="43"/>
      <c r="N7784" s="43"/>
      <c r="O7784" s="43"/>
      <c r="Q7784" s="44"/>
      <c r="R7784" s="44"/>
      <c r="S7784" s="44"/>
      <c r="T7784" s="44"/>
    </row>
    <row r="7785" spans="12:20" x14ac:dyDescent="0.2">
      <c r="L7785" s="43"/>
      <c r="M7785" s="43"/>
      <c r="N7785" s="43"/>
      <c r="O7785" s="43"/>
      <c r="Q7785" s="44"/>
      <c r="R7785" s="44"/>
      <c r="S7785" s="44"/>
      <c r="T7785" s="44"/>
    </row>
    <row r="7786" spans="12:20" x14ac:dyDescent="0.2">
      <c r="L7786" s="43"/>
      <c r="M7786" s="43"/>
      <c r="N7786" s="43"/>
      <c r="O7786" s="43"/>
      <c r="Q7786" s="44"/>
      <c r="R7786" s="44"/>
      <c r="S7786" s="44"/>
      <c r="T7786" s="44"/>
    </row>
    <row r="7787" spans="12:20" x14ac:dyDescent="0.2">
      <c r="L7787" s="43"/>
      <c r="M7787" s="43"/>
      <c r="N7787" s="43"/>
      <c r="O7787" s="43"/>
      <c r="Q7787" s="44"/>
      <c r="R7787" s="44"/>
      <c r="S7787" s="44"/>
      <c r="T7787" s="44"/>
    </row>
    <row r="7788" spans="12:20" x14ac:dyDescent="0.2">
      <c r="L7788" s="43"/>
      <c r="M7788" s="43"/>
      <c r="N7788" s="43"/>
      <c r="O7788" s="43"/>
      <c r="Q7788" s="44"/>
      <c r="R7788" s="44"/>
      <c r="S7788" s="44"/>
      <c r="T7788" s="44"/>
    </row>
    <row r="7789" spans="12:20" x14ac:dyDescent="0.2">
      <c r="L7789" s="43"/>
      <c r="M7789" s="43"/>
      <c r="N7789" s="43"/>
      <c r="O7789" s="43"/>
      <c r="Q7789" s="44"/>
      <c r="R7789" s="44"/>
      <c r="S7789" s="44"/>
      <c r="T7789" s="44"/>
    </row>
    <row r="7790" spans="12:20" x14ac:dyDescent="0.2">
      <c r="L7790" s="43"/>
      <c r="M7790" s="43"/>
      <c r="N7790" s="43"/>
      <c r="O7790" s="43"/>
      <c r="Q7790" s="44"/>
      <c r="R7790" s="44"/>
      <c r="S7790" s="44"/>
      <c r="T7790" s="44"/>
    </row>
    <row r="7791" spans="12:20" x14ac:dyDescent="0.2">
      <c r="L7791" s="43"/>
      <c r="M7791" s="43"/>
      <c r="N7791" s="43"/>
      <c r="O7791" s="43"/>
      <c r="Q7791" s="44"/>
      <c r="R7791" s="44"/>
      <c r="S7791" s="44"/>
      <c r="T7791" s="44"/>
    </row>
    <row r="7792" spans="12:20" x14ac:dyDescent="0.2">
      <c r="L7792" s="43"/>
      <c r="M7792" s="43"/>
      <c r="N7792" s="43"/>
      <c r="O7792" s="43"/>
      <c r="Q7792" s="44"/>
      <c r="R7792" s="44"/>
      <c r="S7792" s="44"/>
      <c r="T7792" s="44"/>
    </row>
    <row r="7793" spans="12:20" x14ac:dyDescent="0.2">
      <c r="L7793" s="43"/>
      <c r="M7793" s="43"/>
      <c r="N7793" s="43"/>
      <c r="O7793" s="43"/>
      <c r="Q7793" s="44"/>
      <c r="R7793" s="44"/>
      <c r="S7793" s="44"/>
      <c r="T7793" s="44"/>
    </row>
    <row r="7794" spans="12:20" x14ac:dyDescent="0.2">
      <c r="L7794" s="43"/>
      <c r="M7794" s="43"/>
      <c r="N7794" s="43"/>
      <c r="O7794" s="43"/>
      <c r="Q7794" s="44"/>
      <c r="R7794" s="44"/>
      <c r="S7794" s="44"/>
      <c r="T7794" s="44"/>
    </row>
    <row r="7795" spans="12:20" x14ac:dyDescent="0.2">
      <c r="L7795" s="43"/>
      <c r="M7795" s="43"/>
      <c r="N7795" s="43"/>
      <c r="O7795" s="43"/>
      <c r="Q7795" s="44"/>
      <c r="R7795" s="44"/>
      <c r="S7795" s="44"/>
      <c r="T7795" s="44"/>
    </row>
    <row r="7796" spans="12:20" x14ac:dyDescent="0.2">
      <c r="L7796" s="43"/>
      <c r="M7796" s="43"/>
      <c r="N7796" s="43"/>
      <c r="O7796" s="43"/>
      <c r="Q7796" s="44"/>
      <c r="R7796" s="44"/>
      <c r="S7796" s="44"/>
      <c r="T7796" s="44"/>
    </row>
    <row r="7797" spans="12:20" x14ac:dyDescent="0.2">
      <c r="L7797" s="43"/>
      <c r="M7797" s="43"/>
      <c r="N7797" s="43"/>
      <c r="O7797" s="43"/>
      <c r="Q7797" s="44"/>
      <c r="R7797" s="44"/>
      <c r="S7797" s="44"/>
      <c r="T7797" s="44"/>
    </row>
    <row r="7798" spans="12:20" x14ac:dyDescent="0.2">
      <c r="L7798" s="43"/>
      <c r="M7798" s="43"/>
      <c r="N7798" s="43"/>
      <c r="O7798" s="43"/>
      <c r="Q7798" s="44"/>
      <c r="R7798" s="44"/>
      <c r="S7798" s="44"/>
      <c r="T7798" s="44"/>
    </row>
    <row r="7799" spans="12:20" x14ac:dyDescent="0.2">
      <c r="L7799" s="43"/>
      <c r="M7799" s="43"/>
      <c r="N7799" s="43"/>
      <c r="O7799" s="43"/>
      <c r="Q7799" s="44"/>
      <c r="R7799" s="44"/>
      <c r="S7799" s="44"/>
      <c r="T7799" s="44"/>
    </row>
    <row r="7800" spans="12:20" x14ac:dyDescent="0.2">
      <c r="L7800" s="43"/>
      <c r="M7800" s="43"/>
      <c r="N7800" s="43"/>
      <c r="O7800" s="43"/>
      <c r="Q7800" s="44"/>
      <c r="R7800" s="44"/>
      <c r="S7800" s="44"/>
      <c r="T7800" s="44"/>
    </row>
    <row r="7801" spans="12:20" x14ac:dyDescent="0.2">
      <c r="L7801" s="43"/>
      <c r="M7801" s="43"/>
      <c r="N7801" s="43"/>
      <c r="O7801" s="43"/>
      <c r="Q7801" s="44"/>
      <c r="R7801" s="44"/>
      <c r="S7801" s="44"/>
      <c r="T7801" s="44"/>
    </row>
    <row r="7802" spans="12:20" x14ac:dyDescent="0.2">
      <c r="L7802" s="43"/>
      <c r="M7802" s="43"/>
      <c r="N7802" s="43"/>
      <c r="O7802" s="43"/>
      <c r="Q7802" s="44"/>
      <c r="R7802" s="44"/>
      <c r="S7802" s="44"/>
      <c r="T7802" s="44"/>
    </row>
    <row r="7803" spans="12:20" x14ac:dyDescent="0.2">
      <c r="L7803" s="43"/>
      <c r="M7803" s="43"/>
      <c r="N7803" s="43"/>
      <c r="O7803" s="43"/>
      <c r="Q7803" s="44"/>
      <c r="R7803" s="44"/>
      <c r="S7803" s="44"/>
      <c r="T7803" s="44"/>
    </row>
    <row r="7804" spans="12:20" x14ac:dyDescent="0.2">
      <c r="L7804" s="43"/>
      <c r="M7804" s="43"/>
      <c r="N7804" s="43"/>
      <c r="O7804" s="43"/>
      <c r="Q7804" s="44"/>
      <c r="R7804" s="44"/>
      <c r="S7804" s="44"/>
      <c r="T7804" s="44"/>
    </row>
    <row r="7805" spans="12:20" x14ac:dyDescent="0.2">
      <c r="L7805" s="43"/>
      <c r="M7805" s="43"/>
      <c r="N7805" s="43"/>
      <c r="O7805" s="43"/>
      <c r="Q7805" s="44"/>
      <c r="R7805" s="44"/>
      <c r="S7805" s="44"/>
      <c r="T7805" s="44"/>
    </row>
    <row r="7806" spans="12:20" x14ac:dyDescent="0.2">
      <c r="L7806" s="43"/>
      <c r="M7806" s="43"/>
      <c r="N7806" s="43"/>
      <c r="O7806" s="43"/>
      <c r="Q7806" s="44"/>
      <c r="R7806" s="44"/>
      <c r="S7806" s="44"/>
      <c r="T7806" s="44"/>
    </row>
    <row r="7807" spans="12:20" x14ac:dyDescent="0.2">
      <c r="L7807" s="43"/>
      <c r="M7807" s="43"/>
      <c r="N7807" s="43"/>
      <c r="O7807" s="43"/>
      <c r="Q7807" s="44"/>
      <c r="R7807" s="44"/>
      <c r="S7807" s="44"/>
      <c r="T7807" s="44"/>
    </row>
    <row r="7808" spans="12:20" x14ac:dyDescent="0.2">
      <c r="L7808" s="43"/>
      <c r="M7808" s="43"/>
      <c r="N7808" s="43"/>
      <c r="O7808" s="43"/>
      <c r="Q7808" s="44"/>
      <c r="R7808" s="44"/>
      <c r="S7808" s="44"/>
      <c r="T7808" s="44"/>
    </row>
    <row r="7809" spans="12:20" x14ac:dyDescent="0.2">
      <c r="L7809" s="43"/>
      <c r="M7809" s="43"/>
      <c r="N7809" s="43"/>
      <c r="O7809" s="43"/>
      <c r="Q7809" s="44"/>
      <c r="R7809" s="44"/>
      <c r="S7809" s="44"/>
      <c r="T7809" s="44"/>
    </row>
    <row r="7810" spans="12:20" x14ac:dyDescent="0.2">
      <c r="L7810" s="43"/>
      <c r="M7810" s="43"/>
      <c r="N7810" s="43"/>
      <c r="O7810" s="43"/>
      <c r="Q7810" s="44"/>
      <c r="R7810" s="44"/>
      <c r="S7810" s="44"/>
      <c r="T7810" s="44"/>
    </row>
    <row r="7811" spans="12:20" x14ac:dyDescent="0.2">
      <c r="L7811" s="43"/>
      <c r="M7811" s="43"/>
      <c r="N7811" s="43"/>
      <c r="O7811" s="43"/>
      <c r="Q7811" s="44"/>
      <c r="R7811" s="44"/>
      <c r="S7811" s="44"/>
      <c r="T7811" s="44"/>
    </row>
    <row r="7812" spans="12:20" x14ac:dyDescent="0.2">
      <c r="L7812" s="43"/>
      <c r="M7812" s="43"/>
      <c r="N7812" s="43"/>
      <c r="O7812" s="43"/>
      <c r="Q7812" s="44"/>
      <c r="R7812" s="44"/>
      <c r="S7812" s="44"/>
      <c r="T7812" s="44"/>
    </row>
    <row r="7813" spans="12:20" x14ac:dyDescent="0.2">
      <c r="L7813" s="43"/>
      <c r="M7813" s="43"/>
      <c r="N7813" s="43"/>
      <c r="O7813" s="43"/>
      <c r="Q7813" s="44"/>
      <c r="R7813" s="44"/>
      <c r="S7813" s="44"/>
      <c r="T7813" s="44"/>
    </row>
    <row r="7814" spans="12:20" x14ac:dyDescent="0.2">
      <c r="L7814" s="43"/>
      <c r="M7814" s="43"/>
      <c r="N7814" s="43"/>
      <c r="O7814" s="43"/>
      <c r="Q7814" s="44"/>
      <c r="R7814" s="44"/>
      <c r="S7814" s="44"/>
      <c r="T7814" s="44"/>
    </row>
    <row r="7815" spans="12:20" x14ac:dyDescent="0.2">
      <c r="L7815" s="43"/>
      <c r="M7815" s="43"/>
      <c r="N7815" s="43"/>
      <c r="O7815" s="43"/>
      <c r="Q7815" s="44"/>
      <c r="R7815" s="44"/>
      <c r="S7815" s="44"/>
      <c r="T7815" s="44"/>
    </row>
    <row r="7816" spans="12:20" x14ac:dyDescent="0.2">
      <c r="L7816" s="43"/>
      <c r="M7816" s="43"/>
      <c r="N7816" s="43"/>
      <c r="O7816" s="43"/>
      <c r="Q7816" s="44"/>
      <c r="R7816" s="44"/>
      <c r="S7816" s="44"/>
      <c r="T7816" s="44"/>
    </row>
    <row r="7817" spans="12:20" x14ac:dyDescent="0.2">
      <c r="L7817" s="43"/>
      <c r="M7817" s="43"/>
      <c r="N7817" s="43"/>
      <c r="O7817" s="43"/>
      <c r="Q7817" s="44"/>
      <c r="R7817" s="44"/>
      <c r="S7817" s="44"/>
      <c r="T7817" s="44"/>
    </row>
    <row r="7818" spans="12:20" x14ac:dyDescent="0.2">
      <c r="L7818" s="43"/>
      <c r="M7818" s="43"/>
      <c r="N7818" s="43"/>
      <c r="O7818" s="43"/>
      <c r="Q7818" s="44"/>
      <c r="R7818" s="44"/>
      <c r="S7818" s="44"/>
      <c r="T7818" s="44"/>
    </row>
    <row r="7819" spans="12:20" x14ac:dyDescent="0.2">
      <c r="L7819" s="43"/>
      <c r="M7819" s="43"/>
      <c r="N7819" s="43"/>
      <c r="O7819" s="43"/>
      <c r="Q7819" s="44"/>
      <c r="R7819" s="44"/>
      <c r="S7819" s="44"/>
      <c r="T7819" s="44"/>
    </row>
    <row r="7820" spans="12:20" x14ac:dyDescent="0.2">
      <c r="L7820" s="43"/>
      <c r="M7820" s="43"/>
      <c r="N7820" s="43"/>
      <c r="O7820" s="43"/>
      <c r="Q7820" s="44"/>
      <c r="R7820" s="44"/>
      <c r="S7820" s="44"/>
      <c r="T7820" s="44"/>
    </row>
    <row r="7821" spans="12:20" x14ac:dyDescent="0.2">
      <c r="L7821" s="43"/>
      <c r="M7821" s="43"/>
      <c r="N7821" s="43"/>
      <c r="O7821" s="43"/>
      <c r="Q7821" s="44"/>
      <c r="R7821" s="44"/>
      <c r="S7821" s="44"/>
      <c r="T7821" s="44"/>
    </row>
    <row r="7822" spans="12:20" x14ac:dyDescent="0.2">
      <c r="L7822" s="43"/>
      <c r="M7822" s="43"/>
      <c r="N7822" s="43"/>
      <c r="O7822" s="43"/>
      <c r="Q7822" s="44"/>
      <c r="R7822" s="44"/>
      <c r="S7822" s="44"/>
      <c r="T7822" s="44"/>
    </row>
    <row r="7823" spans="12:20" x14ac:dyDescent="0.2">
      <c r="L7823" s="43"/>
      <c r="M7823" s="43"/>
      <c r="N7823" s="43"/>
      <c r="O7823" s="43"/>
      <c r="Q7823" s="44"/>
      <c r="R7823" s="44"/>
      <c r="S7823" s="44"/>
      <c r="T7823" s="44"/>
    </row>
    <row r="7824" spans="12:20" x14ac:dyDescent="0.2">
      <c r="L7824" s="43"/>
      <c r="M7824" s="43"/>
      <c r="N7824" s="43"/>
      <c r="O7824" s="43"/>
      <c r="Q7824" s="44"/>
      <c r="R7824" s="44"/>
      <c r="S7824" s="44"/>
      <c r="T7824" s="44"/>
    </row>
    <row r="7825" spans="12:20" x14ac:dyDescent="0.2">
      <c r="L7825" s="43"/>
      <c r="M7825" s="43"/>
      <c r="N7825" s="43"/>
      <c r="O7825" s="43"/>
      <c r="Q7825" s="44"/>
      <c r="R7825" s="44"/>
      <c r="S7825" s="44"/>
      <c r="T7825" s="44"/>
    </row>
    <row r="7826" spans="12:20" x14ac:dyDescent="0.2">
      <c r="L7826" s="43"/>
      <c r="M7826" s="43"/>
      <c r="N7826" s="43"/>
      <c r="O7826" s="43"/>
      <c r="Q7826" s="44"/>
      <c r="R7826" s="44"/>
      <c r="S7826" s="44"/>
      <c r="T7826" s="44"/>
    </row>
    <row r="7827" spans="12:20" x14ac:dyDescent="0.2">
      <c r="L7827" s="43"/>
      <c r="M7827" s="43"/>
      <c r="N7827" s="43"/>
      <c r="O7827" s="43"/>
      <c r="Q7827" s="44"/>
      <c r="R7827" s="44"/>
      <c r="S7827" s="44"/>
      <c r="T7827" s="44"/>
    </row>
    <row r="7828" spans="12:20" x14ac:dyDescent="0.2">
      <c r="L7828" s="43"/>
      <c r="M7828" s="43"/>
      <c r="N7828" s="43"/>
      <c r="O7828" s="43"/>
      <c r="Q7828" s="44"/>
      <c r="R7828" s="44"/>
      <c r="S7828" s="44"/>
      <c r="T7828" s="44"/>
    </row>
    <row r="7829" spans="12:20" x14ac:dyDescent="0.2">
      <c r="L7829" s="43"/>
      <c r="M7829" s="43"/>
      <c r="N7829" s="43"/>
      <c r="O7829" s="43"/>
      <c r="Q7829" s="44"/>
      <c r="R7829" s="44"/>
      <c r="S7829" s="44"/>
      <c r="T7829" s="44"/>
    </row>
    <row r="7830" spans="12:20" x14ac:dyDescent="0.2">
      <c r="L7830" s="43"/>
      <c r="M7830" s="43"/>
      <c r="N7830" s="43"/>
      <c r="O7830" s="43"/>
      <c r="Q7830" s="44"/>
      <c r="R7830" s="44"/>
      <c r="S7830" s="44"/>
      <c r="T7830" s="44"/>
    </row>
    <row r="7831" spans="12:20" x14ac:dyDescent="0.2">
      <c r="L7831" s="43"/>
      <c r="M7831" s="43"/>
      <c r="N7831" s="43"/>
      <c r="O7831" s="43"/>
      <c r="Q7831" s="44"/>
      <c r="R7831" s="44"/>
      <c r="S7831" s="44"/>
      <c r="T7831" s="44"/>
    </row>
    <row r="7832" spans="12:20" x14ac:dyDescent="0.2">
      <c r="L7832" s="43"/>
      <c r="M7832" s="43"/>
      <c r="N7832" s="43"/>
      <c r="O7832" s="43"/>
      <c r="Q7832" s="44"/>
      <c r="R7832" s="44"/>
      <c r="S7832" s="44"/>
      <c r="T7832" s="44"/>
    </row>
    <row r="7833" spans="12:20" x14ac:dyDescent="0.2">
      <c r="L7833" s="43"/>
      <c r="M7833" s="43"/>
      <c r="N7833" s="43"/>
      <c r="O7833" s="43"/>
      <c r="Q7833" s="44"/>
      <c r="R7833" s="44"/>
      <c r="S7833" s="44"/>
      <c r="T7833" s="44"/>
    </row>
    <row r="7834" spans="12:20" x14ac:dyDescent="0.2">
      <c r="L7834" s="43"/>
      <c r="M7834" s="43"/>
      <c r="N7834" s="43"/>
      <c r="O7834" s="43"/>
      <c r="Q7834" s="44"/>
      <c r="R7834" s="44"/>
      <c r="S7834" s="44"/>
      <c r="T7834" s="44"/>
    </row>
    <row r="7835" spans="12:20" x14ac:dyDescent="0.2">
      <c r="L7835" s="43"/>
      <c r="M7835" s="43"/>
      <c r="N7835" s="43"/>
      <c r="O7835" s="43"/>
      <c r="Q7835" s="44"/>
      <c r="R7835" s="44"/>
      <c r="S7835" s="44"/>
      <c r="T7835" s="44"/>
    </row>
    <row r="7836" spans="12:20" x14ac:dyDescent="0.2">
      <c r="L7836" s="43"/>
      <c r="M7836" s="43"/>
      <c r="N7836" s="43"/>
      <c r="O7836" s="43"/>
      <c r="Q7836" s="44"/>
      <c r="R7836" s="44"/>
      <c r="S7836" s="44"/>
      <c r="T7836" s="44"/>
    </row>
    <row r="7837" spans="12:20" x14ac:dyDescent="0.2">
      <c r="L7837" s="43"/>
      <c r="M7837" s="43"/>
      <c r="N7837" s="43"/>
      <c r="O7837" s="43"/>
      <c r="Q7837" s="44"/>
      <c r="R7837" s="44"/>
      <c r="S7837" s="44"/>
      <c r="T7837" s="44"/>
    </row>
    <row r="7838" spans="12:20" x14ac:dyDescent="0.2">
      <c r="L7838" s="43"/>
      <c r="M7838" s="43"/>
      <c r="N7838" s="43"/>
      <c r="O7838" s="43"/>
      <c r="Q7838" s="44"/>
      <c r="R7838" s="44"/>
      <c r="S7838" s="44"/>
      <c r="T7838" s="44"/>
    </row>
    <row r="7839" spans="12:20" x14ac:dyDescent="0.2">
      <c r="L7839" s="43"/>
      <c r="M7839" s="43"/>
      <c r="N7839" s="43"/>
      <c r="O7839" s="43"/>
      <c r="Q7839" s="44"/>
      <c r="R7839" s="44"/>
      <c r="S7839" s="44"/>
      <c r="T7839" s="44"/>
    </row>
    <row r="7840" spans="12:20" x14ac:dyDescent="0.2">
      <c r="L7840" s="43"/>
      <c r="M7840" s="43"/>
      <c r="N7840" s="43"/>
      <c r="O7840" s="43"/>
      <c r="Q7840" s="44"/>
      <c r="R7840" s="44"/>
      <c r="S7840" s="44"/>
      <c r="T7840" s="44"/>
    </row>
    <row r="7841" spans="12:20" x14ac:dyDescent="0.2">
      <c r="L7841" s="43"/>
      <c r="M7841" s="43"/>
      <c r="N7841" s="43"/>
      <c r="O7841" s="43"/>
      <c r="Q7841" s="44"/>
      <c r="R7841" s="44"/>
      <c r="S7841" s="44"/>
      <c r="T7841" s="44"/>
    </row>
    <row r="7842" spans="12:20" x14ac:dyDescent="0.2">
      <c r="L7842" s="43"/>
      <c r="M7842" s="43"/>
      <c r="N7842" s="43"/>
      <c r="O7842" s="43"/>
      <c r="Q7842" s="44"/>
      <c r="R7842" s="44"/>
      <c r="S7842" s="44"/>
      <c r="T7842" s="44"/>
    </row>
    <row r="7843" spans="12:20" x14ac:dyDescent="0.2">
      <c r="L7843" s="43"/>
      <c r="M7843" s="43"/>
      <c r="N7843" s="43"/>
      <c r="O7843" s="43"/>
      <c r="Q7843" s="44"/>
      <c r="R7843" s="44"/>
      <c r="S7843" s="44"/>
      <c r="T7843" s="44"/>
    </row>
    <row r="7844" spans="12:20" x14ac:dyDescent="0.2">
      <c r="L7844" s="43"/>
      <c r="M7844" s="43"/>
      <c r="N7844" s="43"/>
      <c r="O7844" s="43"/>
      <c r="Q7844" s="44"/>
      <c r="R7844" s="44"/>
      <c r="S7844" s="44"/>
      <c r="T7844" s="44"/>
    </row>
    <row r="7845" spans="12:20" x14ac:dyDescent="0.2">
      <c r="L7845" s="43"/>
      <c r="M7845" s="43"/>
      <c r="N7845" s="43"/>
      <c r="O7845" s="43"/>
      <c r="Q7845" s="44"/>
      <c r="R7845" s="44"/>
      <c r="S7845" s="44"/>
      <c r="T7845" s="44"/>
    </row>
    <row r="7846" spans="12:20" x14ac:dyDescent="0.2">
      <c r="L7846" s="43"/>
      <c r="M7846" s="43"/>
      <c r="N7846" s="43"/>
      <c r="O7846" s="43"/>
      <c r="Q7846" s="44"/>
      <c r="R7846" s="44"/>
      <c r="S7846" s="44"/>
      <c r="T7846" s="44"/>
    </row>
    <row r="7847" spans="12:20" x14ac:dyDescent="0.2">
      <c r="L7847" s="43"/>
      <c r="M7847" s="43"/>
      <c r="N7847" s="43"/>
      <c r="O7847" s="43"/>
      <c r="Q7847" s="44"/>
      <c r="R7847" s="44"/>
      <c r="S7847" s="44"/>
      <c r="T7847" s="44"/>
    </row>
    <row r="7848" spans="12:20" x14ac:dyDescent="0.2">
      <c r="L7848" s="43"/>
      <c r="M7848" s="43"/>
      <c r="N7848" s="43"/>
      <c r="O7848" s="43"/>
      <c r="Q7848" s="44"/>
      <c r="R7848" s="44"/>
      <c r="S7848" s="44"/>
      <c r="T7848" s="44"/>
    </row>
    <row r="7849" spans="12:20" x14ac:dyDescent="0.2">
      <c r="L7849" s="43"/>
      <c r="M7849" s="43"/>
      <c r="N7849" s="43"/>
      <c r="O7849" s="43"/>
      <c r="Q7849" s="44"/>
      <c r="R7849" s="44"/>
      <c r="S7849" s="44"/>
      <c r="T7849" s="44"/>
    </row>
    <row r="7850" spans="12:20" x14ac:dyDescent="0.2">
      <c r="L7850" s="43"/>
      <c r="M7850" s="43"/>
      <c r="N7850" s="43"/>
      <c r="O7850" s="43"/>
      <c r="Q7850" s="44"/>
      <c r="R7850" s="44"/>
      <c r="S7850" s="44"/>
      <c r="T7850" s="44"/>
    </row>
    <row r="7851" spans="12:20" x14ac:dyDescent="0.2">
      <c r="L7851" s="43"/>
      <c r="M7851" s="43"/>
      <c r="N7851" s="43"/>
      <c r="O7851" s="43"/>
      <c r="Q7851" s="44"/>
      <c r="R7851" s="44"/>
      <c r="S7851" s="44"/>
      <c r="T7851" s="44"/>
    </row>
    <row r="7852" spans="12:20" x14ac:dyDescent="0.2">
      <c r="L7852" s="43"/>
      <c r="M7852" s="43"/>
      <c r="N7852" s="43"/>
      <c r="O7852" s="43"/>
      <c r="Q7852" s="44"/>
      <c r="R7852" s="44"/>
      <c r="S7852" s="44"/>
      <c r="T7852" s="44"/>
    </row>
    <row r="7853" spans="12:20" x14ac:dyDescent="0.2">
      <c r="L7853" s="43"/>
      <c r="M7853" s="43"/>
      <c r="N7853" s="43"/>
      <c r="O7853" s="43"/>
      <c r="Q7853" s="44"/>
      <c r="R7853" s="44"/>
      <c r="S7853" s="44"/>
      <c r="T7853" s="44"/>
    </row>
    <row r="7854" spans="12:20" x14ac:dyDescent="0.2">
      <c r="L7854" s="43"/>
      <c r="M7854" s="43"/>
      <c r="N7854" s="43"/>
      <c r="O7854" s="43"/>
      <c r="Q7854" s="44"/>
      <c r="R7854" s="44"/>
      <c r="S7854" s="44"/>
      <c r="T7854" s="44"/>
    </row>
    <row r="7855" spans="12:20" x14ac:dyDescent="0.2">
      <c r="L7855" s="43"/>
      <c r="M7855" s="43"/>
      <c r="N7855" s="43"/>
      <c r="O7855" s="43"/>
      <c r="Q7855" s="44"/>
      <c r="R7855" s="44"/>
      <c r="S7855" s="44"/>
      <c r="T7855" s="44"/>
    </row>
    <row r="7856" spans="12:20" x14ac:dyDescent="0.2">
      <c r="L7856" s="43"/>
      <c r="M7856" s="43"/>
      <c r="N7856" s="43"/>
      <c r="O7856" s="43"/>
      <c r="Q7856" s="44"/>
      <c r="R7856" s="44"/>
      <c r="S7856" s="44"/>
      <c r="T7856" s="44"/>
    </row>
    <row r="7857" spans="12:20" x14ac:dyDescent="0.2">
      <c r="L7857" s="43"/>
      <c r="M7857" s="43"/>
      <c r="N7857" s="43"/>
      <c r="O7857" s="43"/>
      <c r="Q7857" s="44"/>
      <c r="R7857" s="44"/>
      <c r="S7857" s="44"/>
      <c r="T7857" s="44"/>
    </row>
    <row r="7858" spans="12:20" x14ac:dyDescent="0.2">
      <c r="L7858" s="43"/>
      <c r="M7858" s="43"/>
      <c r="N7858" s="43"/>
      <c r="O7858" s="43"/>
      <c r="Q7858" s="44"/>
      <c r="R7858" s="44"/>
      <c r="S7858" s="44"/>
      <c r="T7858" s="44"/>
    </row>
    <row r="7859" spans="12:20" x14ac:dyDescent="0.2">
      <c r="L7859" s="43"/>
      <c r="M7859" s="43"/>
      <c r="N7859" s="43"/>
      <c r="O7859" s="43"/>
      <c r="Q7859" s="44"/>
      <c r="R7859" s="44"/>
      <c r="S7859" s="44"/>
      <c r="T7859" s="44"/>
    </row>
    <row r="7860" spans="12:20" x14ac:dyDescent="0.2">
      <c r="L7860" s="43"/>
      <c r="M7860" s="43"/>
      <c r="N7860" s="43"/>
      <c r="O7860" s="43"/>
      <c r="Q7860" s="44"/>
      <c r="R7860" s="44"/>
      <c r="S7860" s="44"/>
      <c r="T7860" s="44"/>
    </row>
    <row r="7861" spans="12:20" x14ac:dyDescent="0.2">
      <c r="L7861" s="43"/>
      <c r="M7861" s="43"/>
      <c r="N7861" s="43"/>
      <c r="O7861" s="43"/>
      <c r="Q7861" s="44"/>
      <c r="R7861" s="44"/>
      <c r="S7861" s="44"/>
      <c r="T7861" s="44"/>
    </row>
    <row r="7862" spans="12:20" x14ac:dyDescent="0.2">
      <c r="L7862" s="43"/>
      <c r="M7862" s="43"/>
      <c r="N7862" s="43"/>
      <c r="O7862" s="43"/>
      <c r="Q7862" s="44"/>
      <c r="R7862" s="44"/>
      <c r="S7862" s="44"/>
      <c r="T7862" s="44"/>
    </row>
    <row r="7863" spans="12:20" x14ac:dyDescent="0.2">
      <c r="L7863" s="43"/>
      <c r="M7863" s="43"/>
      <c r="N7863" s="43"/>
      <c r="O7863" s="43"/>
      <c r="Q7863" s="44"/>
      <c r="R7863" s="44"/>
      <c r="S7863" s="44"/>
      <c r="T7863" s="44"/>
    </row>
    <row r="7864" spans="12:20" x14ac:dyDescent="0.2">
      <c r="L7864" s="43"/>
      <c r="M7864" s="43"/>
      <c r="N7864" s="43"/>
      <c r="O7864" s="43"/>
      <c r="Q7864" s="44"/>
      <c r="R7864" s="44"/>
      <c r="S7864" s="44"/>
      <c r="T7864" s="44"/>
    </row>
    <row r="7865" spans="12:20" x14ac:dyDescent="0.2">
      <c r="L7865" s="43"/>
      <c r="M7865" s="43"/>
      <c r="N7865" s="43"/>
      <c r="O7865" s="43"/>
      <c r="Q7865" s="44"/>
      <c r="R7865" s="44"/>
      <c r="S7865" s="44"/>
      <c r="T7865" s="44"/>
    </row>
    <row r="7866" spans="12:20" x14ac:dyDescent="0.2">
      <c r="L7866" s="43"/>
      <c r="M7866" s="43"/>
      <c r="N7866" s="43"/>
      <c r="O7866" s="43"/>
      <c r="Q7866" s="44"/>
      <c r="R7866" s="44"/>
      <c r="S7866" s="44"/>
      <c r="T7866" s="44"/>
    </row>
    <row r="7867" spans="12:20" x14ac:dyDescent="0.2">
      <c r="L7867" s="43"/>
      <c r="M7867" s="43"/>
      <c r="N7867" s="43"/>
      <c r="O7867" s="43"/>
      <c r="Q7867" s="44"/>
      <c r="R7867" s="44"/>
      <c r="S7867" s="44"/>
      <c r="T7867" s="44"/>
    </row>
    <row r="7868" spans="12:20" x14ac:dyDescent="0.2">
      <c r="L7868" s="43"/>
      <c r="M7868" s="43"/>
      <c r="N7868" s="43"/>
      <c r="O7868" s="43"/>
      <c r="Q7868" s="44"/>
      <c r="R7868" s="44"/>
      <c r="S7868" s="44"/>
      <c r="T7868" s="44"/>
    </row>
    <row r="7869" spans="12:20" x14ac:dyDescent="0.2">
      <c r="L7869" s="43"/>
      <c r="M7869" s="43"/>
      <c r="N7869" s="43"/>
      <c r="O7869" s="43"/>
      <c r="Q7869" s="44"/>
      <c r="R7869" s="44"/>
      <c r="S7869" s="44"/>
      <c r="T7869" s="44"/>
    </row>
    <row r="7870" spans="12:20" x14ac:dyDescent="0.2">
      <c r="L7870" s="43"/>
      <c r="M7870" s="43"/>
      <c r="N7870" s="43"/>
      <c r="O7870" s="43"/>
      <c r="Q7870" s="44"/>
      <c r="R7870" s="44"/>
      <c r="S7870" s="44"/>
      <c r="T7870" s="44"/>
    </row>
    <row r="7871" spans="12:20" x14ac:dyDescent="0.2">
      <c r="L7871" s="43"/>
      <c r="M7871" s="43"/>
      <c r="N7871" s="43"/>
      <c r="O7871" s="43"/>
      <c r="Q7871" s="44"/>
      <c r="R7871" s="44"/>
      <c r="S7871" s="44"/>
      <c r="T7871" s="44"/>
    </row>
    <row r="7872" spans="12:20" x14ac:dyDescent="0.2">
      <c r="L7872" s="43"/>
      <c r="M7872" s="43"/>
      <c r="N7872" s="43"/>
      <c r="O7872" s="43"/>
      <c r="Q7872" s="44"/>
      <c r="R7872" s="44"/>
      <c r="S7872" s="44"/>
      <c r="T7872" s="44"/>
    </row>
    <row r="7873" spans="12:20" x14ac:dyDescent="0.2">
      <c r="L7873" s="43"/>
      <c r="M7873" s="43"/>
      <c r="N7873" s="43"/>
      <c r="O7873" s="43"/>
      <c r="Q7873" s="44"/>
      <c r="R7873" s="44"/>
      <c r="S7873" s="44"/>
      <c r="T7873" s="44"/>
    </row>
    <row r="7874" spans="12:20" x14ac:dyDescent="0.2">
      <c r="L7874" s="43"/>
      <c r="M7874" s="43"/>
      <c r="N7874" s="43"/>
      <c r="O7874" s="43"/>
      <c r="Q7874" s="44"/>
      <c r="R7874" s="44"/>
      <c r="S7874" s="44"/>
      <c r="T7874" s="44"/>
    </row>
    <row r="7875" spans="12:20" x14ac:dyDescent="0.2">
      <c r="L7875" s="43"/>
      <c r="M7875" s="43"/>
      <c r="N7875" s="43"/>
      <c r="O7875" s="43"/>
      <c r="Q7875" s="44"/>
      <c r="R7875" s="44"/>
      <c r="S7875" s="44"/>
      <c r="T7875" s="44"/>
    </row>
    <row r="7876" spans="12:20" x14ac:dyDescent="0.2">
      <c r="L7876" s="43"/>
      <c r="M7876" s="43"/>
      <c r="N7876" s="43"/>
      <c r="O7876" s="43"/>
      <c r="Q7876" s="44"/>
      <c r="R7876" s="44"/>
      <c r="S7876" s="44"/>
      <c r="T7876" s="44"/>
    </row>
    <row r="7877" spans="12:20" x14ac:dyDescent="0.2">
      <c r="L7877" s="43"/>
      <c r="M7877" s="43"/>
      <c r="N7877" s="43"/>
      <c r="O7877" s="43"/>
      <c r="Q7877" s="44"/>
      <c r="R7877" s="44"/>
      <c r="S7877" s="44"/>
      <c r="T7877" s="44"/>
    </row>
    <row r="7878" spans="12:20" x14ac:dyDescent="0.2">
      <c r="L7878" s="43"/>
      <c r="M7878" s="43"/>
      <c r="N7878" s="43"/>
      <c r="O7878" s="43"/>
      <c r="Q7878" s="44"/>
      <c r="R7878" s="44"/>
      <c r="S7878" s="44"/>
      <c r="T7878" s="44"/>
    </row>
    <row r="7879" spans="12:20" x14ac:dyDescent="0.2">
      <c r="L7879" s="43"/>
      <c r="M7879" s="43"/>
      <c r="N7879" s="43"/>
      <c r="O7879" s="43"/>
      <c r="Q7879" s="44"/>
      <c r="R7879" s="44"/>
      <c r="S7879" s="44"/>
      <c r="T7879" s="44"/>
    </row>
    <row r="7880" spans="12:20" x14ac:dyDescent="0.2">
      <c r="L7880" s="43"/>
      <c r="M7880" s="43"/>
      <c r="N7880" s="43"/>
      <c r="O7880" s="43"/>
      <c r="Q7880" s="44"/>
      <c r="R7880" s="44"/>
      <c r="S7880" s="44"/>
      <c r="T7880" s="44"/>
    </row>
    <row r="7881" spans="12:20" x14ac:dyDescent="0.2">
      <c r="L7881" s="43"/>
      <c r="M7881" s="43"/>
      <c r="N7881" s="43"/>
      <c r="O7881" s="43"/>
      <c r="Q7881" s="44"/>
      <c r="R7881" s="44"/>
      <c r="S7881" s="44"/>
      <c r="T7881" s="44"/>
    </row>
    <row r="7882" spans="12:20" x14ac:dyDescent="0.2">
      <c r="L7882" s="43"/>
      <c r="M7882" s="43"/>
      <c r="N7882" s="43"/>
      <c r="O7882" s="43"/>
      <c r="Q7882" s="44"/>
      <c r="R7882" s="44"/>
      <c r="S7882" s="44"/>
      <c r="T7882" s="44"/>
    </row>
    <row r="7883" spans="12:20" x14ac:dyDescent="0.2">
      <c r="L7883" s="43"/>
      <c r="M7883" s="43"/>
      <c r="N7883" s="43"/>
      <c r="O7883" s="43"/>
      <c r="Q7883" s="44"/>
      <c r="R7883" s="44"/>
      <c r="S7883" s="44"/>
      <c r="T7883" s="44"/>
    </row>
    <row r="7884" spans="12:20" x14ac:dyDescent="0.2">
      <c r="L7884" s="43"/>
      <c r="M7884" s="43"/>
      <c r="N7884" s="43"/>
      <c r="O7884" s="43"/>
      <c r="Q7884" s="44"/>
      <c r="R7884" s="44"/>
      <c r="S7884" s="44"/>
      <c r="T7884" s="44"/>
    </row>
    <row r="7885" spans="12:20" x14ac:dyDescent="0.2">
      <c r="L7885" s="43"/>
      <c r="M7885" s="43"/>
      <c r="N7885" s="43"/>
      <c r="O7885" s="43"/>
      <c r="Q7885" s="44"/>
      <c r="R7885" s="44"/>
      <c r="S7885" s="44"/>
      <c r="T7885" s="44"/>
    </row>
    <row r="7886" spans="12:20" x14ac:dyDescent="0.2">
      <c r="L7886" s="43"/>
      <c r="M7886" s="43"/>
      <c r="N7886" s="43"/>
      <c r="O7886" s="43"/>
      <c r="Q7886" s="44"/>
      <c r="R7886" s="44"/>
      <c r="S7886" s="44"/>
      <c r="T7886" s="44"/>
    </row>
    <row r="7887" spans="12:20" x14ac:dyDescent="0.2">
      <c r="L7887" s="43"/>
      <c r="M7887" s="43"/>
      <c r="N7887" s="43"/>
      <c r="O7887" s="43"/>
      <c r="Q7887" s="44"/>
      <c r="R7887" s="44"/>
      <c r="S7887" s="44"/>
      <c r="T7887" s="44"/>
    </row>
    <row r="7888" spans="12:20" x14ac:dyDescent="0.2">
      <c r="L7888" s="43"/>
      <c r="M7888" s="43"/>
      <c r="N7888" s="43"/>
      <c r="O7888" s="43"/>
      <c r="Q7888" s="44"/>
      <c r="R7888" s="44"/>
      <c r="S7888" s="44"/>
      <c r="T7888" s="44"/>
    </row>
    <row r="7889" spans="12:20" x14ac:dyDescent="0.2">
      <c r="L7889" s="43"/>
      <c r="M7889" s="43"/>
      <c r="N7889" s="43"/>
      <c r="O7889" s="43"/>
      <c r="Q7889" s="44"/>
      <c r="R7889" s="44"/>
      <c r="S7889" s="44"/>
      <c r="T7889" s="44"/>
    </row>
    <row r="7890" spans="12:20" x14ac:dyDescent="0.2">
      <c r="L7890" s="43"/>
      <c r="M7890" s="43"/>
      <c r="N7890" s="43"/>
      <c r="O7890" s="43"/>
      <c r="Q7890" s="44"/>
      <c r="R7890" s="44"/>
      <c r="S7890" s="44"/>
      <c r="T7890" s="44"/>
    </row>
    <row r="7891" spans="12:20" x14ac:dyDescent="0.2">
      <c r="L7891" s="43"/>
      <c r="M7891" s="43"/>
      <c r="N7891" s="43"/>
      <c r="O7891" s="43"/>
      <c r="Q7891" s="44"/>
      <c r="R7891" s="44"/>
      <c r="S7891" s="44"/>
      <c r="T7891" s="44"/>
    </row>
    <row r="7892" spans="12:20" x14ac:dyDescent="0.2">
      <c r="L7892" s="43"/>
      <c r="M7892" s="43"/>
      <c r="N7892" s="43"/>
      <c r="O7892" s="43"/>
      <c r="Q7892" s="44"/>
      <c r="R7892" s="44"/>
      <c r="S7892" s="44"/>
      <c r="T7892" s="44"/>
    </row>
    <row r="7893" spans="12:20" x14ac:dyDescent="0.2">
      <c r="L7893" s="43"/>
      <c r="M7893" s="43"/>
      <c r="N7893" s="43"/>
      <c r="O7893" s="43"/>
      <c r="Q7893" s="44"/>
      <c r="R7893" s="44"/>
      <c r="S7893" s="44"/>
      <c r="T7893" s="44"/>
    </row>
    <row r="7894" spans="12:20" x14ac:dyDescent="0.2">
      <c r="L7894" s="43"/>
      <c r="M7894" s="43"/>
      <c r="N7894" s="43"/>
      <c r="O7894" s="43"/>
      <c r="Q7894" s="44"/>
      <c r="R7894" s="44"/>
      <c r="S7894" s="44"/>
      <c r="T7894" s="44"/>
    </row>
    <row r="7895" spans="12:20" x14ac:dyDescent="0.2">
      <c r="L7895" s="43"/>
      <c r="M7895" s="43"/>
      <c r="N7895" s="43"/>
      <c r="O7895" s="43"/>
      <c r="Q7895" s="44"/>
      <c r="R7895" s="44"/>
      <c r="S7895" s="44"/>
      <c r="T7895" s="44"/>
    </row>
    <row r="7896" spans="12:20" x14ac:dyDescent="0.2">
      <c r="L7896" s="43"/>
      <c r="M7896" s="43"/>
      <c r="N7896" s="43"/>
      <c r="O7896" s="43"/>
      <c r="Q7896" s="44"/>
      <c r="R7896" s="44"/>
      <c r="S7896" s="44"/>
      <c r="T7896" s="44"/>
    </row>
    <row r="7897" spans="12:20" x14ac:dyDescent="0.2">
      <c r="L7897" s="43"/>
      <c r="M7897" s="43"/>
      <c r="N7897" s="43"/>
      <c r="O7897" s="43"/>
      <c r="Q7897" s="44"/>
      <c r="R7897" s="44"/>
      <c r="S7897" s="44"/>
      <c r="T7897" s="44"/>
    </row>
    <row r="7898" spans="12:20" x14ac:dyDescent="0.2">
      <c r="L7898" s="43"/>
      <c r="M7898" s="43"/>
      <c r="N7898" s="43"/>
      <c r="O7898" s="43"/>
      <c r="Q7898" s="44"/>
      <c r="R7898" s="44"/>
      <c r="S7898" s="44"/>
      <c r="T7898" s="44"/>
    </row>
    <row r="7899" spans="12:20" x14ac:dyDescent="0.2">
      <c r="L7899" s="43"/>
      <c r="M7899" s="43"/>
      <c r="N7899" s="43"/>
      <c r="O7899" s="43"/>
      <c r="Q7899" s="44"/>
      <c r="R7899" s="44"/>
      <c r="S7899" s="44"/>
      <c r="T7899" s="44"/>
    </row>
    <row r="7900" spans="12:20" x14ac:dyDescent="0.2">
      <c r="L7900" s="43"/>
      <c r="M7900" s="43"/>
      <c r="N7900" s="43"/>
      <c r="O7900" s="43"/>
      <c r="Q7900" s="44"/>
      <c r="R7900" s="44"/>
      <c r="S7900" s="44"/>
      <c r="T7900" s="44"/>
    </row>
    <row r="7901" spans="12:20" x14ac:dyDescent="0.2">
      <c r="L7901" s="43"/>
      <c r="M7901" s="43"/>
      <c r="N7901" s="43"/>
      <c r="O7901" s="43"/>
      <c r="Q7901" s="44"/>
      <c r="R7901" s="44"/>
      <c r="S7901" s="44"/>
      <c r="T7901" s="44"/>
    </row>
    <row r="7902" spans="12:20" x14ac:dyDescent="0.2">
      <c r="L7902" s="43"/>
      <c r="M7902" s="43"/>
      <c r="N7902" s="43"/>
      <c r="O7902" s="43"/>
      <c r="Q7902" s="44"/>
      <c r="R7902" s="44"/>
      <c r="S7902" s="44"/>
      <c r="T7902" s="44"/>
    </row>
    <row r="7903" spans="12:20" x14ac:dyDescent="0.2">
      <c r="L7903" s="43"/>
      <c r="M7903" s="43"/>
      <c r="N7903" s="43"/>
      <c r="O7903" s="43"/>
      <c r="Q7903" s="44"/>
      <c r="R7903" s="44"/>
      <c r="S7903" s="44"/>
      <c r="T7903" s="44"/>
    </row>
    <row r="7904" spans="12:20" x14ac:dyDescent="0.2">
      <c r="L7904" s="43"/>
      <c r="M7904" s="43"/>
      <c r="N7904" s="43"/>
      <c r="O7904" s="43"/>
      <c r="Q7904" s="44"/>
      <c r="R7904" s="44"/>
      <c r="S7904" s="44"/>
      <c r="T7904" s="44"/>
    </row>
    <row r="7905" spans="12:20" x14ac:dyDescent="0.2">
      <c r="L7905" s="43"/>
      <c r="M7905" s="43"/>
      <c r="N7905" s="43"/>
      <c r="O7905" s="43"/>
      <c r="Q7905" s="44"/>
      <c r="R7905" s="44"/>
      <c r="S7905" s="44"/>
      <c r="T7905" s="44"/>
    </row>
    <row r="7906" spans="12:20" x14ac:dyDescent="0.2">
      <c r="L7906" s="43"/>
      <c r="M7906" s="43"/>
      <c r="N7906" s="43"/>
      <c r="O7906" s="43"/>
      <c r="Q7906" s="44"/>
      <c r="R7906" s="44"/>
      <c r="S7906" s="44"/>
      <c r="T7906" s="44"/>
    </row>
    <row r="7907" spans="12:20" x14ac:dyDescent="0.2">
      <c r="L7907" s="43"/>
      <c r="M7907" s="43"/>
      <c r="N7907" s="43"/>
      <c r="O7907" s="43"/>
      <c r="Q7907" s="44"/>
      <c r="R7907" s="44"/>
      <c r="S7907" s="44"/>
      <c r="T7907" s="44"/>
    </row>
    <row r="7908" spans="12:20" x14ac:dyDescent="0.2">
      <c r="L7908" s="43"/>
      <c r="M7908" s="43"/>
      <c r="N7908" s="43"/>
      <c r="O7908" s="43"/>
      <c r="Q7908" s="44"/>
      <c r="R7908" s="44"/>
      <c r="S7908" s="44"/>
      <c r="T7908" s="44"/>
    </row>
    <row r="7909" spans="12:20" x14ac:dyDescent="0.2">
      <c r="L7909" s="43"/>
      <c r="M7909" s="43"/>
      <c r="N7909" s="43"/>
      <c r="O7909" s="43"/>
      <c r="Q7909" s="44"/>
      <c r="R7909" s="44"/>
      <c r="S7909" s="44"/>
      <c r="T7909" s="44"/>
    </row>
    <row r="7910" spans="12:20" x14ac:dyDescent="0.2">
      <c r="L7910" s="43"/>
      <c r="M7910" s="43"/>
      <c r="N7910" s="43"/>
      <c r="O7910" s="43"/>
      <c r="Q7910" s="44"/>
      <c r="R7910" s="44"/>
      <c r="S7910" s="44"/>
      <c r="T7910" s="44"/>
    </row>
    <row r="7911" spans="12:20" x14ac:dyDescent="0.2">
      <c r="L7911" s="43"/>
      <c r="M7911" s="43"/>
      <c r="N7911" s="43"/>
      <c r="O7911" s="43"/>
      <c r="Q7911" s="44"/>
      <c r="R7911" s="44"/>
      <c r="S7911" s="44"/>
      <c r="T7911" s="44"/>
    </row>
    <row r="7912" spans="12:20" x14ac:dyDescent="0.2">
      <c r="L7912" s="43"/>
      <c r="M7912" s="43"/>
      <c r="N7912" s="43"/>
      <c r="O7912" s="43"/>
      <c r="Q7912" s="44"/>
      <c r="R7912" s="44"/>
      <c r="S7912" s="44"/>
      <c r="T7912" s="44"/>
    </row>
    <row r="7913" spans="12:20" x14ac:dyDescent="0.2">
      <c r="L7913" s="43"/>
      <c r="M7913" s="43"/>
      <c r="N7913" s="43"/>
      <c r="O7913" s="43"/>
      <c r="Q7913" s="44"/>
      <c r="R7913" s="44"/>
      <c r="S7913" s="44"/>
      <c r="T7913" s="44"/>
    </row>
    <row r="7914" spans="12:20" x14ac:dyDescent="0.2">
      <c r="L7914" s="43"/>
      <c r="M7914" s="43"/>
      <c r="N7914" s="43"/>
      <c r="O7914" s="43"/>
      <c r="Q7914" s="44"/>
      <c r="R7914" s="44"/>
      <c r="S7914" s="44"/>
      <c r="T7914" s="44"/>
    </row>
    <row r="7915" spans="12:20" x14ac:dyDescent="0.2">
      <c r="L7915" s="43"/>
      <c r="M7915" s="43"/>
      <c r="N7915" s="43"/>
      <c r="O7915" s="43"/>
      <c r="Q7915" s="44"/>
      <c r="R7915" s="44"/>
      <c r="S7915" s="44"/>
      <c r="T7915" s="44"/>
    </row>
    <row r="7916" spans="12:20" x14ac:dyDescent="0.2">
      <c r="L7916" s="43"/>
      <c r="M7916" s="43"/>
      <c r="N7916" s="43"/>
      <c r="O7916" s="43"/>
      <c r="Q7916" s="44"/>
      <c r="R7916" s="44"/>
      <c r="S7916" s="44"/>
      <c r="T7916" s="44"/>
    </row>
    <row r="7917" spans="12:20" x14ac:dyDescent="0.2">
      <c r="L7917" s="43"/>
      <c r="M7917" s="43"/>
      <c r="N7917" s="43"/>
      <c r="O7917" s="43"/>
      <c r="Q7917" s="44"/>
      <c r="R7917" s="44"/>
      <c r="S7917" s="44"/>
      <c r="T7917" s="44"/>
    </row>
    <row r="7918" spans="12:20" x14ac:dyDescent="0.2">
      <c r="L7918" s="43"/>
      <c r="M7918" s="43"/>
      <c r="N7918" s="43"/>
      <c r="O7918" s="43"/>
      <c r="Q7918" s="44"/>
      <c r="R7918" s="44"/>
      <c r="S7918" s="44"/>
      <c r="T7918" s="44"/>
    </row>
    <row r="7919" spans="12:20" x14ac:dyDescent="0.2">
      <c r="L7919" s="43"/>
      <c r="M7919" s="43"/>
      <c r="N7919" s="43"/>
      <c r="O7919" s="43"/>
      <c r="Q7919" s="44"/>
      <c r="R7919" s="44"/>
      <c r="S7919" s="44"/>
      <c r="T7919" s="44"/>
    </row>
    <row r="7920" spans="12:20" x14ac:dyDescent="0.2">
      <c r="L7920" s="43"/>
      <c r="M7920" s="43"/>
      <c r="N7920" s="43"/>
      <c r="O7920" s="43"/>
      <c r="Q7920" s="44"/>
      <c r="R7920" s="44"/>
      <c r="S7920" s="44"/>
      <c r="T7920" s="44"/>
    </row>
    <row r="7921" spans="12:20" x14ac:dyDescent="0.2">
      <c r="L7921" s="43"/>
      <c r="M7921" s="43"/>
      <c r="N7921" s="43"/>
      <c r="O7921" s="43"/>
      <c r="Q7921" s="44"/>
      <c r="R7921" s="44"/>
      <c r="S7921" s="44"/>
      <c r="T7921" s="44"/>
    </row>
    <row r="7922" spans="12:20" x14ac:dyDescent="0.2">
      <c r="L7922" s="43"/>
      <c r="M7922" s="43"/>
      <c r="N7922" s="43"/>
      <c r="O7922" s="43"/>
      <c r="Q7922" s="44"/>
      <c r="R7922" s="44"/>
      <c r="S7922" s="44"/>
      <c r="T7922" s="44"/>
    </row>
    <row r="7923" spans="12:20" x14ac:dyDescent="0.2">
      <c r="L7923" s="43"/>
      <c r="M7923" s="43"/>
      <c r="N7923" s="43"/>
      <c r="O7923" s="43"/>
      <c r="Q7923" s="44"/>
      <c r="R7923" s="44"/>
      <c r="S7923" s="44"/>
      <c r="T7923" s="44"/>
    </row>
    <row r="7924" spans="12:20" x14ac:dyDescent="0.2">
      <c r="L7924" s="43"/>
      <c r="M7924" s="43"/>
      <c r="N7924" s="43"/>
      <c r="O7924" s="43"/>
      <c r="Q7924" s="44"/>
      <c r="R7924" s="44"/>
      <c r="S7924" s="44"/>
      <c r="T7924" s="44"/>
    </row>
    <row r="7925" spans="12:20" x14ac:dyDescent="0.2">
      <c r="L7925" s="43"/>
      <c r="M7925" s="43"/>
      <c r="N7925" s="43"/>
      <c r="O7925" s="43"/>
      <c r="Q7925" s="44"/>
      <c r="R7925" s="44"/>
      <c r="S7925" s="44"/>
      <c r="T7925" s="44"/>
    </row>
    <row r="7926" spans="12:20" x14ac:dyDescent="0.2">
      <c r="L7926" s="43"/>
      <c r="M7926" s="43"/>
      <c r="N7926" s="43"/>
      <c r="O7926" s="43"/>
      <c r="Q7926" s="44"/>
      <c r="R7926" s="44"/>
      <c r="S7926" s="44"/>
      <c r="T7926" s="44"/>
    </row>
    <row r="7927" spans="12:20" x14ac:dyDescent="0.2">
      <c r="L7927" s="43"/>
      <c r="M7927" s="43"/>
      <c r="N7927" s="43"/>
      <c r="O7927" s="43"/>
      <c r="Q7927" s="44"/>
      <c r="R7927" s="44"/>
      <c r="S7927" s="44"/>
      <c r="T7927" s="44"/>
    </row>
    <row r="7928" spans="12:20" x14ac:dyDescent="0.2">
      <c r="L7928" s="43"/>
      <c r="M7928" s="43"/>
      <c r="N7928" s="43"/>
      <c r="O7928" s="43"/>
      <c r="Q7928" s="44"/>
      <c r="R7928" s="44"/>
      <c r="S7928" s="44"/>
      <c r="T7928" s="44"/>
    </row>
    <row r="7929" spans="12:20" x14ac:dyDescent="0.2">
      <c r="L7929" s="43"/>
      <c r="M7929" s="43"/>
      <c r="N7929" s="43"/>
      <c r="O7929" s="43"/>
      <c r="Q7929" s="44"/>
      <c r="R7929" s="44"/>
      <c r="S7929" s="44"/>
      <c r="T7929" s="44"/>
    </row>
    <row r="7930" spans="12:20" x14ac:dyDescent="0.2">
      <c r="L7930" s="43"/>
      <c r="M7930" s="43"/>
      <c r="N7930" s="43"/>
      <c r="O7930" s="43"/>
      <c r="Q7930" s="44"/>
      <c r="R7930" s="44"/>
      <c r="S7930" s="44"/>
      <c r="T7930" s="44"/>
    </row>
    <row r="7931" spans="12:20" x14ac:dyDescent="0.2">
      <c r="L7931" s="43"/>
      <c r="M7931" s="43"/>
      <c r="N7931" s="43"/>
      <c r="O7931" s="43"/>
      <c r="Q7931" s="44"/>
      <c r="R7931" s="44"/>
      <c r="S7931" s="44"/>
      <c r="T7931" s="44"/>
    </row>
    <row r="7932" spans="12:20" x14ac:dyDescent="0.2">
      <c r="L7932" s="43"/>
      <c r="M7932" s="43"/>
      <c r="N7932" s="43"/>
      <c r="O7932" s="43"/>
      <c r="Q7932" s="44"/>
      <c r="R7932" s="44"/>
      <c r="S7932" s="44"/>
      <c r="T7932" s="44"/>
    </row>
    <row r="7933" spans="12:20" x14ac:dyDescent="0.2">
      <c r="L7933" s="43"/>
      <c r="M7933" s="43"/>
      <c r="N7933" s="43"/>
      <c r="O7933" s="43"/>
      <c r="Q7933" s="44"/>
      <c r="R7933" s="44"/>
      <c r="S7933" s="44"/>
      <c r="T7933" s="44"/>
    </row>
    <row r="7934" spans="12:20" x14ac:dyDescent="0.2">
      <c r="L7934" s="43"/>
      <c r="M7934" s="43"/>
      <c r="N7934" s="43"/>
      <c r="O7934" s="43"/>
      <c r="Q7934" s="44"/>
      <c r="R7934" s="44"/>
      <c r="S7934" s="44"/>
      <c r="T7934" s="44"/>
    </row>
    <row r="7935" spans="12:20" x14ac:dyDescent="0.2">
      <c r="L7935" s="43"/>
      <c r="M7935" s="43"/>
      <c r="N7935" s="43"/>
      <c r="O7935" s="43"/>
      <c r="Q7935" s="44"/>
      <c r="R7935" s="44"/>
      <c r="S7935" s="44"/>
      <c r="T7935" s="44"/>
    </row>
    <row r="7936" spans="12:20" x14ac:dyDescent="0.2">
      <c r="L7936" s="43"/>
      <c r="M7936" s="43"/>
      <c r="N7936" s="43"/>
      <c r="O7936" s="43"/>
      <c r="Q7936" s="44"/>
      <c r="R7936" s="44"/>
      <c r="S7936" s="44"/>
      <c r="T7936" s="44"/>
    </row>
    <row r="7937" spans="12:20" x14ac:dyDescent="0.2">
      <c r="L7937" s="43"/>
      <c r="M7937" s="43"/>
      <c r="N7937" s="43"/>
      <c r="O7937" s="43"/>
      <c r="Q7937" s="44"/>
      <c r="R7937" s="44"/>
      <c r="S7937" s="44"/>
      <c r="T7937" s="44"/>
    </row>
    <row r="7938" spans="12:20" x14ac:dyDescent="0.2">
      <c r="L7938" s="43"/>
      <c r="M7938" s="43"/>
      <c r="N7938" s="43"/>
      <c r="O7938" s="43"/>
      <c r="Q7938" s="44"/>
      <c r="R7938" s="44"/>
      <c r="S7938" s="44"/>
      <c r="T7938" s="44"/>
    </row>
    <row r="7939" spans="12:20" x14ac:dyDescent="0.2">
      <c r="L7939" s="43"/>
      <c r="M7939" s="43"/>
      <c r="N7939" s="43"/>
      <c r="O7939" s="43"/>
      <c r="Q7939" s="44"/>
      <c r="R7939" s="44"/>
      <c r="S7939" s="44"/>
      <c r="T7939" s="44"/>
    </row>
    <row r="7940" spans="12:20" x14ac:dyDescent="0.2">
      <c r="L7940" s="43"/>
      <c r="M7940" s="43"/>
      <c r="N7940" s="43"/>
      <c r="O7940" s="43"/>
      <c r="Q7940" s="44"/>
      <c r="R7940" s="44"/>
      <c r="S7940" s="44"/>
      <c r="T7940" s="44"/>
    </row>
    <row r="7941" spans="12:20" x14ac:dyDescent="0.2">
      <c r="L7941" s="43"/>
      <c r="M7941" s="43"/>
      <c r="N7941" s="43"/>
      <c r="O7941" s="43"/>
      <c r="Q7941" s="44"/>
      <c r="R7941" s="44"/>
      <c r="S7941" s="44"/>
      <c r="T7941" s="44"/>
    </row>
    <row r="7942" spans="12:20" x14ac:dyDescent="0.2">
      <c r="L7942" s="43"/>
      <c r="M7942" s="43"/>
      <c r="N7942" s="43"/>
      <c r="O7942" s="43"/>
      <c r="Q7942" s="44"/>
      <c r="R7942" s="44"/>
      <c r="S7942" s="44"/>
      <c r="T7942" s="44"/>
    </row>
    <row r="7943" spans="12:20" x14ac:dyDescent="0.2">
      <c r="L7943" s="43"/>
      <c r="M7943" s="43"/>
      <c r="N7943" s="43"/>
      <c r="O7943" s="43"/>
      <c r="Q7943" s="44"/>
      <c r="R7943" s="44"/>
      <c r="S7943" s="44"/>
      <c r="T7943" s="44"/>
    </row>
    <row r="7944" spans="12:20" x14ac:dyDescent="0.2">
      <c r="L7944" s="43"/>
      <c r="M7944" s="43"/>
      <c r="N7944" s="43"/>
      <c r="O7944" s="43"/>
      <c r="Q7944" s="44"/>
      <c r="R7944" s="44"/>
      <c r="S7944" s="44"/>
      <c r="T7944" s="44"/>
    </row>
    <row r="7945" spans="12:20" x14ac:dyDescent="0.2">
      <c r="L7945" s="43"/>
      <c r="M7945" s="43"/>
      <c r="N7945" s="43"/>
      <c r="O7945" s="43"/>
      <c r="Q7945" s="44"/>
      <c r="R7945" s="44"/>
      <c r="S7945" s="44"/>
      <c r="T7945" s="44"/>
    </row>
    <row r="7946" spans="12:20" x14ac:dyDescent="0.2">
      <c r="L7946" s="43"/>
      <c r="M7946" s="43"/>
      <c r="N7946" s="43"/>
      <c r="O7946" s="43"/>
      <c r="Q7946" s="44"/>
      <c r="R7946" s="44"/>
      <c r="S7946" s="44"/>
      <c r="T7946" s="44"/>
    </row>
    <row r="7947" spans="12:20" x14ac:dyDescent="0.2">
      <c r="L7947" s="43"/>
      <c r="M7947" s="43"/>
      <c r="N7947" s="43"/>
      <c r="O7947" s="43"/>
      <c r="Q7947" s="44"/>
      <c r="R7947" s="44"/>
      <c r="S7947" s="44"/>
      <c r="T7947" s="44"/>
    </row>
    <row r="7948" spans="12:20" x14ac:dyDescent="0.2">
      <c r="L7948" s="43"/>
      <c r="M7948" s="43"/>
      <c r="N7948" s="43"/>
      <c r="O7948" s="43"/>
      <c r="Q7948" s="44"/>
      <c r="R7948" s="44"/>
      <c r="S7948" s="44"/>
      <c r="T7948" s="44"/>
    </row>
    <row r="7949" spans="12:20" x14ac:dyDescent="0.2">
      <c r="L7949" s="43"/>
      <c r="M7949" s="43"/>
      <c r="N7949" s="43"/>
      <c r="O7949" s="43"/>
      <c r="Q7949" s="44"/>
      <c r="R7949" s="44"/>
      <c r="S7949" s="44"/>
      <c r="T7949" s="44"/>
    </row>
    <row r="7950" spans="12:20" x14ac:dyDescent="0.2">
      <c r="L7950" s="43"/>
      <c r="M7950" s="43"/>
      <c r="N7950" s="43"/>
      <c r="O7950" s="43"/>
      <c r="Q7950" s="44"/>
      <c r="R7950" s="44"/>
      <c r="S7950" s="44"/>
      <c r="T7950" s="44"/>
    </row>
    <row r="7951" spans="12:20" x14ac:dyDescent="0.2">
      <c r="L7951" s="43"/>
      <c r="M7951" s="43"/>
      <c r="N7951" s="43"/>
      <c r="O7951" s="43"/>
      <c r="Q7951" s="44"/>
      <c r="R7951" s="44"/>
      <c r="S7951" s="44"/>
      <c r="T7951" s="44"/>
    </row>
    <row r="7952" spans="12:20" x14ac:dyDescent="0.2">
      <c r="L7952" s="43"/>
      <c r="M7952" s="43"/>
      <c r="N7952" s="43"/>
      <c r="O7952" s="43"/>
      <c r="Q7952" s="44"/>
      <c r="R7952" s="44"/>
      <c r="S7952" s="44"/>
      <c r="T7952" s="44"/>
    </row>
    <row r="7953" spans="12:20" x14ac:dyDescent="0.2">
      <c r="L7953" s="43"/>
      <c r="M7953" s="43"/>
      <c r="N7953" s="43"/>
      <c r="O7953" s="43"/>
      <c r="Q7953" s="44"/>
      <c r="R7953" s="44"/>
      <c r="S7953" s="44"/>
      <c r="T7953" s="44"/>
    </row>
    <row r="7954" spans="12:20" x14ac:dyDescent="0.2">
      <c r="L7954" s="43"/>
      <c r="M7954" s="43"/>
      <c r="N7954" s="43"/>
      <c r="O7954" s="43"/>
      <c r="Q7954" s="44"/>
      <c r="R7954" s="44"/>
      <c r="S7954" s="44"/>
      <c r="T7954" s="44"/>
    </row>
    <row r="7955" spans="12:20" x14ac:dyDescent="0.2">
      <c r="L7955" s="43"/>
      <c r="M7955" s="43"/>
      <c r="N7955" s="43"/>
      <c r="O7955" s="43"/>
      <c r="Q7955" s="44"/>
      <c r="R7955" s="44"/>
      <c r="S7955" s="44"/>
      <c r="T7955" s="44"/>
    </row>
    <row r="7956" spans="12:20" x14ac:dyDescent="0.2">
      <c r="L7956" s="43"/>
      <c r="M7956" s="43"/>
      <c r="N7956" s="43"/>
      <c r="O7956" s="43"/>
      <c r="Q7956" s="44"/>
      <c r="R7956" s="44"/>
      <c r="S7956" s="44"/>
      <c r="T7956" s="44"/>
    </row>
    <row r="7957" spans="12:20" x14ac:dyDescent="0.2">
      <c r="L7957" s="43"/>
      <c r="M7957" s="43"/>
      <c r="N7957" s="43"/>
      <c r="O7957" s="43"/>
      <c r="Q7957" s="44"/>
      <c r="R7957" s="44"/>
      <c r="S7957" s="44"/>
      <c r="T7957" s="44"/>
    </row>
    <row r="7958" spans="12:20" x14ac:dyDescent="0.2">
      <c r="L7958" s="43"/>
      <c r="M7958" s="43"/>
      <c r="N7958" s="43"/>
      <c r="O7958" s="43"/>
      <c r="Q7958" s="44"/>
      <c r="R7958" s="44"/>
      <c r="S7958" s="44"/>
      <c r="T7958" s="44"/>
    </row>
    <row r="7959" spans="12:20" x14ac:dyDescent="0.2">
      <c r="L7959" s="43"/>
      <c r="M7959" s="43"/>
      <c r="N7959" s="43"/>
      <c r="O7959" s="43"/>
      <c r="Q7959" s="44"/>
      <c r="R7959" s="44"/>
      <c r="S7959" s="44"/>
      <c r="T7959" s="44"/>
    </row>
    <row r="7960" spans="12:20" x14ac:dyDescent="0.2">
      <c r="L7960" s="43"/>
      <c r="M7960" s="43"/>
      <c r="N7960" s="43"/>
      <c r="O7960" s="43"/>
      <c r="Q7960" s="44"/>
      <c r="R7960" s="44"/>
      <c r="S7960" s="44"/>
      <c r="T7960" s="44"/>
    </row>
    <row r="7961" spans="12:20" x14ac:dyDescent="0.2">
      <c r="L7961" s="43"/>
      <c r="M7961" s="43"/>
      <c r="N7961" s="43"/>
      <c r="O7961" s="43"/>
      <c r="Q7961" s="44"/>
      <c r="R7961" s="44"/>
      <c r="S7961" s="44"/>
      <c r="T7961" s="44"/>
    </row>
    <row r="7962" spans="12:20" x14ac:dyDescent="0.2">
      <c r="L7962" s="43"/>
      <c r="M7962" s="43"/>
      <c r="N7962" s="43"/>
      <c r="O7962" s="43"/>
      <c r="Q7962" s="44"/>
      <c r="R7962" s="44"/>
      <c r="S7962" s="44"/>
      <c r="T7962" s="44"/>
    </row>
    <row r="7963" spans="12:20" x14ac:dyDescent="0.2">
      <c r="L7963" s="43"/>
      <c r="M7963" s="43"/>
      <c r="N7963" s="43"/>
      <c r="O7963" s="43"/>
      <c r="Q7963" s="44"/>
      <c r="R7963" s="44"/>
      <c r="S7963" s="44"/>
      <c r="T7963" s="44"/>
    </row>
    <row r="7964" spans="12:20" x14ac:dyDescent="0.2">
      <c r="L7964" s="43"/>
      <c r="M7964" s="43"/>
      <c r="N7964" s="43"/>
      <c r="O7964" s="43"/>
      <c r="Q7964" s="44"/>
      <c r="R7964" s="44"/>
      <c r="S7964" s="44"/>
      <c r="T7964" s="44"/>
    </row>
    <row r="7965" spans="12:20" x14ac:dyDescent="0.2">
      <c r="L7965" s="43"/>
      <c r="M7965" s="43"/>
      <c r="N7965" s="43"/>
      <c r="O7965" s="43"/>
      <c r="Q7965" s="44"/>
      <c r="R7965" s="44"/>
      <c r="S7965" s="44"/>
      <c r="T7965" s="44"/>
    </row>
    <row r="7966" spans="12:20" x14ac:dyDescent="0.2">
      <c r="L7966" s="43"/>
      <c r="M7966" s="43"/>
      <c r="N7966" s="43"/>
      <c r="O7966" s="43"/>
      <c r="Q7966" s="44"/>
      <c r="R7966" s="44"/>
      <c r="S7966" s="44"/>
      <c r="T7966" s="44"/>
    </row>
    <row r="7967" spans="12:20" x14ac:dyDescent="0.2">
      <c r="L7967" s="43"/>
      <c r="M7967" s="43"/>
      <c r="N7967" s="43"/>
      <c r="O7967" s="43"/>
      <c r="Q7967" s="44"/>
      <c r="R7967" s="44"/>
      <c r="S7967" s="44"/>
      <c r="T7967" s="44"/>
    </row>
    <row r="7968" spans="12:20" x14ac:dyDescent="0.2">
      <c r="L7968" s="43"/>
      <c r="M7968" s="43"/>
      <c r="N7968" s="43"/>
      <c r="O7968" s="43"/>
      <c r="Q7968" s="44"/>
      <c r="R7968" s="44"/>
      <c r="S7968" s="44"/>
      <c r="T7968" s="44"/>
    </row>
    <row r="7969" spans="12:20" x14ac:dyDescent="0.2">
      <c r="L7969" s="43"/>
      <c r="M7969" s="43"/>
      <c r="N7969" s="43"/>
      <c r="O7969" s="43"/>
      <c r="Q7969" s="44"/>
      <c r="R7969" s="44"/>
      <c r="S7969" s="44"/>
      <c r="T7969" s="44"/>
    </row>
    <row r="7970" spans="12:20" x14ac:dyDescent="0.2">
      <c r="L7970" s="43"/>
      <c r="M7970" s="43"/>
      <c r="N7970" s="43"/>
      <c r="O7970" s="43"/>
      <c r="Q7970" s="44"/>
      <c r="R7970" s="44"/>
      <c r="S7970" s="44"/>
      <c r="T7970" s="44"/>
    </row>
    <row r="7971" spans="12:20" x14ac:dyDescent="0.2">
      <c r="L7971" s="43"/>
      <c r="M7971" s="43"/>
      <c r="N7971" s="43"/>
      <c r="O7971" s="43"/>
      <c r="Q7971" s="44"/>
      <c r="R7971" s="44"/>
      <c r="S7971" s="44"/>
      <c r="T7971" s="44"/>
    </row>
    <row r="7972" spans="12:20" x14ac:dyDescent="0.2">
      <c r="L7972" s="43"/>
      <c r="M7972" s="43"/>
      <c r="N7972" s="43"/>
      <c r="O7972" s="43"/>
      <c r="Q7972" s="44"/>
      <c r="R7972" s="44"/>
      <c r="S7972" s="44"/>
      <c r="T7972" s="44"/>
    </row>
    <row r="7973" spans="12:20" x14ac:dyDescent="0.2">
      <c r="L7973" s="43"/>
      <c r="M7973" s="43"/>
      <c r="N7973" s="43"/>
      <c r="O7973" s="43"/>
      <c r="Q7973" s="44"/>
      <c r="R7973" s="44"/>
      <c r="S7973" s="44"/>
      <c r="T7973" s="44"/>
    </row>
    <row r="7974" spans="12:20" x14ac:dyDescent="0.2">
      <c r="L7974" s="43"/>
      <c r="M7974" s="43"/>
      <c r="N7974" s="43"/>
      <c r="O7974" s="43"/>
      <c r="Q7974" s="44"/>
      <c r="R7974" s="44"/>
      <c r="S7974" s="44"/>
      <c r="T7974" s="44"/>
    </row>
    <row r="7975" spans="12:20" x14ac:dyDescent="0.2">
      <c r="L7975" s="43"/>
      <c r="M7975" s="43"/>
      <c r="N7975" s="43"/>
      <c r="O7975" s="43"/>
      <c r="Q7975" s="44"/>
      <c r="R7975" s="44"/>
      <c r="S7975" s="44"/>
      <c r="T7975" s="44"/>
    </row>
    <row r="7976" spans="12:20" x14ac:dyDescent="0.2">
      <c r="L7976" s="43"/>
      <c r="M7976" s="43"/>
      <c r="N7976" s="43"/>
      <c r="O7976" s="43"/>
      <c r="Q7976" s="44"/>
      <c r="R7976" s="44"/>
      <c r="S7976" s="44"/>
      <c r="T7976" s="44"/>
    </row>
    <row r="7977" spans="12:20" x14ac:dyDescent="0.2">
      <c r="L7977" s="43"/>
      <c r="M7977" s="43"/>
      <c r="N7977" s="43"/>
      <c r="O7977" s="43"/>
      <c r="Q7977" s="44"/>
      <c r="R7977" s="44"/>
      <c r="S7977" s="44"/>
      <c r="T7977" s="44"/>
    </row>
    <row r="7978" spans="12:20" x14ac:dyDescent="0.2">
      <c r="L7978" s="43"/>
      <c r="M7978" s="43"/>
      <c r="N7978" s="43"/>
      <c r="O7978" s="43"/>
      <c r="Q7978" s="44"/>
      <c r="R7978" s="44"/>
      <c r="S7978" s="44"/>
      <c r="T7978" s="44"/>
    </row>
    <row r="7979" spans="12:20" x14ac:dyDescent="0.2">
      <c r="L7979" s="43"/>
      <c r="M7979" s="43"/>
      <c r="N7979" s="43"/>
      <c r="O7979" s="43"/>
      <c r="Q7979" s="44"/>
      <c r="R7979" s="44"/>
      <c r="S7979" s="44"/>
      <c r="T7979" s="44"/>
    </row>
    <row r="7980" spans="12:20" x14ac:dyDescent="0.2">
      <c r="L7980" s="43"/>
      <c r="M7980" s="43"/>
      <c r="N7980" s="43"/>
      <c r="O7980" s="43"/>
      <c r="Q7980" s="44"/>
      <c r="R7980" s="44"/>
      <c r="S7980" s="44"/>
      <c r="T7980" s="44"/>
    </row>
    <row r="7981" spans="12:20" x14ac:dyDescent="0.2">
      <c r="L7981" s="43"/>
      <c r="M7981" s="43"/>
      <c r="N7981" s="43"/>
      <c r="O7981" s="43"/>
      <c r="Q7981" s="44"/>
      <c r="R7981" s="44"/>
      <c r="S7981" s="44"/>
      <c r="T7981" s="44"/>
    </row>
    <row r="7982" spans="12:20" x14ac:dyDescent="0.2">
      <c r="L7982" s="43"/>
      <c r="M7982" s="43"/>
      <c r="N7982" s="43"/>
      <c r="O7982" s="43"/>
      <c r="Q7982" s="44"/>
      <c r="R7982" s="44"/>
      <c r="S7982" s="44"/>
      <c r="T7982" s="44"/>
    </row>
    <row r="7983" spans="12:20" x14ac:dyDescent="0.2">
      <c r="L7983" s="43"/>
      <c r="M7983" s="43"/>
      <c r="N7983" s="43"/>
      <c r="O7983" s="43"/>
      <c r="Q7983" s="44"/>
      <c r="R7983" s="44"/>
      <c r="S7983" s="44"/>
      <c r="T7983" s="44"/>
    </row>
    <row r="7984" spans="12:20" x14ac:dyDescent="0.2">
      <c r="L7984" s="43"/>
      <c r="M7984" s="43"/>
      <c r="N7984" s="43"/>
      <c r="O7984" s="43"/>
      <c r="Q7984" s="44"/>
      <c r="R7984" s="44"/>
      <c r="S7984" s="44"/>
      <c r="T7984" s="44"/>
    </row>
    <row r="7985" spans="12:20" x14ac:dyDescent="0.2">
      <c r="L7985" s="43"/>
      <c r="M7985" s="43"/>
      <c r="N7985" s="43"/>
      <c r="O7985" s="43"/>
      <c r="Q7985" s="44"/>
      <c r="R7985" s="44"/>
      <c r="S7985" s="44"/>
      <c r="T7985" s="44"/>
    </row>
    <row r="7986" spans="12:20" x14ac:dyDescent="0.2">
      <c r="L7986" s="43"/>
      <c r="M7986" s="43"/>
      <c r="N7986" s="43"/>
      <c r="O7986" s="43"/>
      <c r="Q7986" s="44"/>
      <c r="R7986" s="44"/>
      <c r="S7986" s="44"/>
      <c r="T7986" s="44"/>
    </row>
    <row r="7987" spans="12:20" x14ac:dyDescent="0.2">
      <c r="L7987" s="43"/>
      <c r="M7987" s="43"/>
      <c r="N7987" s="43"/>
      <c r="O7987" s="43"/>
      <c r="Q7987" s="44"/>
      <c r="R7987" s="44"/>
      <c r="S7987" s="44"/>
      <c r="T7987" s="44"/>
    </row>
    <row r="7988" spans="12:20" x14ac:dyDescent="0.2">
      <c r="L7988" s="43"/>
      <c r="M7988" s="43"/>
      <c r="N7988" s="43"/>
      <c r="O7988" s="43"/>
      <c r="Q7988" s="44"/>
      <c r="R7988" s="44"/>
      <c r="S7988" s="44"/>
      <c r="T7988" s="44"/>
    </row>
    <row r="7989" spans="12:20" x14ac:dyDescent="0.2">
      <c r="L7989" s="43"/>
      <c r="M7989" s="43"/>
      <c r="N7989" s="43"/>
      <c r="O7989" s="43"/>
      <c r="Q7989" s="44"/>
      <c r="R7989" s="44"/>
      <c r="S7989" s="44"/>
      <c r="T7989" s="44"/>
    </row>
    <row r="7990" spans="12:20" x14ac:dyDescent="0.2">
      <c r="L7990" s="43"/>
      <c r="M7990" s="43"/>
      <c r="N7990" s="43"/>
      <c r="O7990" s="43"/>
      <c r="Q7990" s="44"/>
      <c r="R7990" s="44"/>
      <c r="S7990" s="44"/>
      <c r="T7990" s="44"/>
    </row>
    <row r="7991" spans="12:20" x14ac:dyDescent="0.2">
      <c r="L7991" s="43"/>
      <c r="M7991" s="43"/>
      <c r="N7991" s="43"/>
      <c r="O7991" s="43"/>
      <c r="Q7991" s="44"/>
      <c r="R7991" s="44"/>
      <c r="S7991" s="44"/>
      <c r="T7991" s="44"/>
    </row>
    <row r="7992" spans="12:20" x14ac:dyDescent="0.2">
      <c r="L7992" s="43"/>
      <c r="M7992" s="43"/>
      <c r="N7992" s="43"/>
      <c r="O7992" s="43"/>
      <c r="Q7992" s="44"/>
      <c r="R7992" s="44"/>
      <c r="S7992" s="44"/>
      <c r="T7992" s="44"/>
    </row>
    <row r="7993" spans="12:20" x14ac:dyDescent="0.2">
      <c r="L7993" s="43"/>
      <c r="M7993" s="43"/>
      <c r="N7993" s="43"/>
      <c r="O7993" s="43"/>
      <c r="Q7993" s="44"/>
      <c r="R7993" s="44"/>
      <c r="S7993" s="44"/>
      <c r="T7993" s="44"/>
    </row>
    <row r="7994" spans="12:20" x14ac:dyDescent="0.2">
      <c r="L7994" s="43"/>
      <c r="M7994" s="43"/>
      <c r="N7994" s="43"/>
      <c r="O7994" s="43"/>
      <c r="Q7994" s="44"/>
      <c r="R7994" s="44"/>
      <c r="S7994" s="44"/>
      <c r="T7994" s="44"/>
    </row>
    <row r="7995" spans="12:20" x14ac:dyDescent="0.2">
      <c r="L7995" s="43"/>
      <c r="M7995" s="43"/>
      <c r="N7995" s="43"/>
      <c r="O7995" s="43"/>
      <c r="Q7995" s="44"/>
      <c r="R7995" s="44"/>
      <c r="S7995" s="44"/>
      <c r="T7995" s="44"/>
    </row>
    <row r="7996" spans="12:20" x14ac:dyDescent="0.2">
      <c r="L7996" s="43"/>
      <c r="M7996" s="43"/>
      <c r="N7996" s="43"/>
      <c r="O7996" s="43"/>
      <c r="Q7996" s="44"/>
      <c r="R7996" s="44"/>
      <c r="S7996" s="44"/>
      <c r="T7996" s="44"/>
    </row>
    <row r="7997" spans="12:20" x14ac:dyDescent="0.2">
      <c r="L7997" s="43"/>
      <c r="M7997" s="43"/>
      <c r="N7997" s="43"/>
      <c r="O7997" s="43"/>
      <c r="Q7997" s="44"/>
      <c r="R7997" s="44"/>
      <c r="S7997" s="44"/>
      <c r="T7997" s="44"/>
    </row>
    <row r="7998" spans="12:20" x14ac:dyDescent="0.2">
      <c r="L7998" s="43"/>
      <c r="M7998" s="43"/>
      <c r="N7998" s="43"/>
      <c r="O7998" s="43"/>
      <c r="Q7998" s="44"/>
      <c r="R7998" s="44"/>
      <c r="S7998" s="44"/>
      <c r="T7998" s="44"/>
    </row>
    <row r="7999" spans="12:20" x14ac:dyDescent="0.2">
      <c r="L7999" s="43"/>
      <c r="M7999" s="43"/>
      <c r="N7999" s="43"/>
      <c r="O7999" s="43"/>
      <c r="Q7999" s="44"/>
      <c r="R7999" s="44"/>
      <c r="S7999" s="44"/>
      <c r="T7999" s="44"/>
    </row>
    <row r="8000" spans="12:20" x14ac:dyDescent="0.2">
      <c r="L8000" s="43"/>
      <c r="M8000" s="43"/>
      <c r="N8000" s="43"/>
      <c r="O8000" s="43"/>
      <c r="Q8000" s="44"/>
      <c r="R8000" s="44"/>
      <c r="S8000" s="44"/>
      <c r="T8000" s="44"/>
    </row>
    <row r="8001" spans="12:20" x14ac:dyDescent="0.2">
      <c r="L8001" s="43"/>
      <c r="M8001" s="43"/>
      <c r="N8001" s="43"/>
      <c r="O8001" s="43"/>
      <c r="Q8001" s="44"/>
      <c r="R8001" s="44"/>
      <c r="S8001" s="44"/>
      <c r="T8001" s="44"/>
    </row>
    <row r="8002" spans="12:20" x14ac:dyDescent="0.2">
      <c r="L8002" s="43"/>
      <c r="M8002" s="43"/>
      <c r="N8002" s="43"/>
      <c r="O8002" s="43"/>
      <c r="Q8002" s="44"/>
      <c r="R8002" s="44"/>
      <c r="S8002" s="44"/>
      <c r="T8002" s="44"/>
    </row>
    <row r="8003" spans="12:20" x14ac:dyDescent="0.2">
      <c r="L8003" s="43"/>
      <c r="M8003" s="43"/>
      <c r="N8003" s="43"/>
      <c r="O8003" s="43"/>
      <c r="Q8003" s="44"/>
      <c r="R8003" s="44"/>
      <c r="S8003" s="44"/>
      <c r="T8003" s="44"/>
    </row>
    <row r="8004" spans="12:20" x14ac:dyDescent="0.2">
      <c r="L8004" s="43"/>
      <c r="M8004" s="43"/>
      <c r="N8004" s="43"/>
      <c r="O8004" s="43"/>
      <c r="Q8004" s="44"/>
      <c r="R8004" s="44"/>
      <c r="S8004" s="44"/>
      <c r="T8004" s="44"/>
    </row>
    <row r="8005" spans="12:20" x14ac:dyDescent="0.2">
      <c r="L8005" s="43"/>
      <c r="M8005" s="43"/>
      <c r="N8005" s="43"/>
      <c r="O8005" s="43"/>
      <c r="Q8005" s="44"/>
      <c r="R8005" s="44"/>
      <c r="S8005" s="44"/>
      <c r="T8005" s="44"/>
    </row>
    <row r="8006" spans="12:20" x14ac:dyDescent="0.2">
      <c r="L8006" s="43"/>
      <c r="M8006" s="43"/>
      <c r="N8006" s="43"/>
      <c r="O8006" s="43"/>
      <c r="Q8006" s="44"/>
      <c r="R8006" s="44"/>
      <c r="S8006" s="44"/>
      <c r="T8006" s="44"/>
    </row>
    <row r="8007" spans="12:20" x14ac:dyDescent="0.2">
      <c r="L8007" s="43"/>
      <c r="M8007" s="43"/>
      <c r="N8007" s="43"/>
      <c r="O8007" s="43"/>
      <c r="Q8007" s="44"/>
      <c r="R8007" s="44"/>
      <c r="S8007" s="44"/>
      <c r="T8007" s="44"/>
    </row>
    <row r="8008" spans="12:20" x14ac:dyDescent="0.2">
      <c r="L8008" s="43"/>
      <c r="M8008" s="43"/>
      <c r="N8008" s="43"/>
      <c r="O8008" s="43"/>
      <c r="Q8008" s="44"/>
      <c r="R8008" s="44"/>
      <c r="S8008" s="44"/>
      <c r="T8008" s="44"/>
    </row>
    <row r="8009" spans="12:20" x14ac:dyDescent="0.2">
      <c r="L8009" s="43"/>
      <c r="M8009" s="43"/>
      <c r="N8009" s="43"/>
      <c r="O8009" s="43"/>
      <c r="Q8009" s="44"/>
      <c r="R8009" s="44"/>
      <c r="S8009" s="44"/>
      <c r="T8009" s="44"/>
    </row>
    <row r="8010" spans="12:20" x14ac:dyDescent="0.2">
      <c r="L8010" s="43"/>
      <c r="M8010" s="43"/>
      <c r="N8010" s="43"/>
      <c r="O8010" s="43"/>
      <c r="Q8010" s="44"/>
      <c r="R8010" s="44"/>
      <c r="S8010" s="44"/>
      <c r="T8010" s="44"/>
    </row>
    <row r="8011" spans="12:20" x14ac:dyDescent="0.2">
      <c r="L8011" s="43"/>
      <c r="M8011" s="43"/>
      <c r="N8011" s="43"/>
      <c r="O8011" s="43"/>
      <c r="Q8011" s="44"/>
      <c r="R8011" s="44"/>
      <c r="S8011" s="44"/>
      <c r="T8011" s="44"/>
    </row>
    <row r="8012" spans="12:20" x14ac:dyDescent="0.2">
      <c r="L8012" s="43"/>
      <c r="M8012" s="43"/>
      <c r="N8012" s="43"/>
      <c r="O8012" s="43"/>
      <c r="Q8012" s="44"/>
      <c r="R8012" s="44"/>
      <c r="S8012" s="44"/>
      <c r="T8012" s="44"/>
    </row>
    <row r="8013" spans="12:20" x14ac:dyDescent="0.2">
      <c r="L8013" s="43"/>
      <c r="M8013" s="43"/>
      <c r="N8013" s="43"/>
      <c r="O8013" s="43"/>
      <c r="Q8013" s="44"/>
      <c r="R8013" s="44"/>
      <c r="S8013" s="44"/>
      <c r="T8013" s="44"/>
    </row>
    <row r="8014" spans="12:20" x14ac:dyDescent="0.2">
      <c r="L8014" s="43"/>
      <c r="M8014" s="43"/>
      <c r="N8014" s="43"/>
      <c r="O8014" s="43"/>
      <c r="Q8014" s="44"/>
      <c r="R8014" s="44"/>
      <c r="S8014" s="44"/>
      <c r="T8014" s="44"/>
    </row>
    <row r="8015" spans="12:20" x14ac:dyDescent="0.2">
      <c r="L8015" s="43"/>
      <c r="M8015" s="43"/>
      <c r="N8015" s="43"/>
      <c r="O8015" s="43"/>
      <c r="Q8015" s="44"/>
      <c r="R8015" s="44"/>
      <c r="S8015" s="44"/>
      <c r="T8015" s="44"/>
    </row>
    <row r="8016" spans="12:20" x14ac:dyDescent="0.2">
      <c r="L8016" s="43"/>
      <c r="M8016" s="43"/>
      <c r="N8016" s="43"/>
      <c r="O8016" s="43"/>
      <c r="Q8016" s="44"/>
      <c r="R8016" s="44"/>
      <c r="S8016" s="44"/>
      <c r="T8016" s="44"/>
    </row>
    <row r="8017" spans="12:20" x14ac:dyDescent="0.2">
      <c r="L8017" s="43"/>
      <c r="M8017" s="43"/>
      <c r="N8017" s="43"/>
      <c r="O8017" s="43"/>
      <c r="Q8017" s="44"/>
      <c r="R8017" s="44"/>
      <c r="S8017" s="44"/>
      <c r="T8017" s="44"/>
    </row>
    <row r="8018" spans="12:20" x14ac:dyDescent="0.2">
      <c r="L8018" s="43"/>
      <c r="M8018" s="43"/>
      <c r="N8018" s="43"/>
      <c r="O8018" s="43"/>
      <c r="Q8018" s="44"/>
      <c r="R8018" s="44"/>
      <c r="S8018" s="44"/>
      <c r="T8018" s="44"/>
    </row>
    <row r="8019" spans="12:20" x14ac:dyDescent="0.2">
      <c r="L8019" s="43"/>
      <c r="M8019" s="43"/>
      <c r="N8019" s="43"/>
      <c r="O8019" s="43"/>
      <c r="Q8019" s="44"/>
      <c r="R8019" s="44"/>
      <c r="S8019" s="44"/>
      <c r="T8019" s="44"/>
    </row>
    <row r="8020" spans="12:20" x14ac:dyDescent="0.2">
      <c r="L8020" s="43"/>
      <c r="M8020" s="43"/>
      <c r="N8020" s="43"/>
      <c r="O8020" s="43"/>
      <c r="Q8020" s="44"/>
      <c r="R8020" s="44"/>
      <c r="S8020" s="44"/>
      <c r="T8020" s="44"/>
    </row>
    <row r="8021" spans="12:20" x14ac:dyDescent="0.2">
      <c r="L8021" s="43"/>
      <c r="M8021" s="43"/>
      <c r="N8021" s="43"/>
      <c r="O8021" s="43"/>
      <c r="Q8021" s="44"/>
      <c r="R8021" s="44"/>
      <c r="S8021" s="44"/>
      <c r="T8021" s="44"/>
    </row>
    <row r="8022" spans="12:20" x14ac:dyDescent="0.2">
      <c r="L8022" s="43"/>
      <c r="M8022" s="43"/>
      <c r="N8022" s="43"/>
      <c r="O8022" s="43"/>
      <c r="Q8022" s="44"/>
      <c r="R8022" s="44"/>
      <c r="S8022" s="44"/>
      <c r="T8022" s="44"/>
    </row>
    <row r="8023" spans="12:20" x14ac:dyDescent="0.2">
      <c r="L8023" s="43"/>
      <c r="M8023" s="43"/>
      <c r="N8023" s="43"/>
      <c r="O8023" s="43"/>
      <c r="Q8023" s="44"/>
      <c r="R8023" s="44"/>
      <c r="S8023" s="44"/>
      <c r="T8023" s="44"/>
    </row>
    <row r="8024" spans="12:20" x14ac:dyDescent="0.2">
      <c r="L8024" s="43"/>
      <c r="M8024" s="43"/>
      <c r="N8024" s="43"/>
      <c r="O8024" s="43"/>
      <c r="Q8024" s="44"/>
      <c r="R8024" s="44"/>
      <c r="S8024" s="44"/>
      <c r="T8024" s="44"/>
    </row>
    <row r="8025" spans="12:20" x14ac:dyDescent="0.2">
      <c r="L8025" s="43"/>
      <c r="M8025" s="43"/>
      <c r="N8025" s="43"/>
      <c r="O8025" s="43"/>
      <c r="Q8025" s="44"/>
      <c r="R8025" s="44"/>
      <c r="S8025" s="44"/>
      <c r="T8025" s="44"/>
    </row>
    <row r="8026" spans="12:20" x14ac:dyDescent="0.2">
      <c r="L8026" s="43"/>
      <c r="M8026" s="43"/>
      <c r="N8026" s="43"/>
      <c r="O8026" s="43"/>
      <c r="Q8026" s="44"/>
      <c r="R8026" s="44"/>
      <c r="S8026" s="44"/>
      <c r="T8026" s="44"/>
    </row>
    <row r="8027" spans="12:20" x14ac:dyDescent="0.2">
      <c r="L8027" s="43"/>
      <c r="M8027" s="43"/>
      <c r="N8027" s="43"/>
      <c r="O8027" s="43"/>
      <c r="Q8027" s="44"/>
      <c r="R8027" s="44"/>
      <c r="S8027" s="44"/>
      <c r="T8027" s="44"/>
    </row>
    <row r="8028" spans="12:20" x14ac:dyDescent="0.2">
      <c r="L8028" s="43"/>
      <c r="M8028" s="43"/>
      <c r="N8028" s="43"/>
      <c r="O8028" s="43"/>
      <c r="Q8028" s="44"/>
      <c r="R8028" s="44"/>
      <c r="S8028" s="44"/>
      <c r="T8028" s="44"/>
    </row>
    <row r="8029" spans="12:20" x14ac:dyDescent="0.2">
      <c r="L8029" s="43"/>
      <c r="M8029" s="43"/>
      <c r="N8029" s="43"/>
      <c r="O8029" s="43"/>
      <c r="Q8029" s="44"/>
      <c r="R8029" s="44"/>
      <c r="S8029" s="44"/>
      <c r="T8029" s="44"/>
    </row>
    <row r="8030" spans="12:20" x14ac:dyDescent="0.2">
      <c r="L8030" s="43"/>
      <c r="M8030" s="43"/>
      <c r="N8030" s="43"/>
      <c r="O8030" s="43"/>
      <c r="Q8030" s="44"/>
      <c r="R8030" s="44"/>
      <c r="S8030" s="44"/>
      <c r="T8030" s="44"/>
    </row>
    <row r="8031" spans="12:20" x14ac:dyDescent="0.2">
      <c r="L8031" s="43"/>
      <c r="M8031" s="43"/>
      <c r="N8031" s="43"/>
      <c r="O8031" s="43"/>
      <c r="Q8031" s="44"/>
      <c r="R8031" s="44"/>
      <c r="S8031" s="44"/>
      <c r="T8031" s="44"/>
    </row>
    <row r="8032" spans="12:20" x14ac:dyDescent="0.2">
      <c r="L8032" s="43"/>
      <c r="M8032" s="43"/>
      <c r="N8032" s="43"/>
      <c r="O8032" s="43"/>
      <c r="Q8032" s="44"/>
      <c r="R8032" s="44"/>
      <c r="S8032" s="44"/>
      <c r="T8032" s="44"/>
    </row>
    <row r="8033" spans="12:20" x14ac:dyDescent="0.2">
      <c r="L8033" s="43"/>
      <c r="M8033" s="43"/>
      <c r="N8033" s="43"/>
      <c r="O8033" s="43"/>
      <c r="Q8033" s="44"/>
      <c r="R8033" s="44"/>
      <c r="S8033" s="44"/>
      <c r="T8033" s="44"/>
    </row>
    <row r="8034" spans="12:20" x14ac:dyDescent="0.2">
      <c r="L8034" s="43"/>
      <c r="M8034" s="43"/>
      <c r="N8034" s="43"/>
      <c r="O8034" s="43"/>
      <c r="Q8034" s="44"/>
      <c r="R8034" s="44"/>
      <c r="S8034" s="44"/>
      <c r="T8034" s="44"/>
    </row>
    <row r="8035" spans="12:20" x14ac:dyDescent="0.2">
      <c r="L8035" s="43"/>
      <c r="M8035" s="43"/>
      <c r="N8035" s="43"/>
      <c r="O8035" s="43"/>
      <c r="Q8035" s="44"/>
      <c r="R8035" s="44"/>
      <c r="S8035" s="44"/>
      <c r="T8035" s="44"/>
    </row>
    <row r="8036" spans="12:20" x14ac:dyDescent="0.2">
      <c r="L8036" s="43"/>
      <c r="M8036" s="43"/>
      <c r="N8036" s="43"/>
      <c r="O8036" s="43"/>
      <c r="Q8036" s="44"/>
      <c r="R8036" s="44"/>
      <c r="S8036" s="44"/>
      <c r="T8036" s="44"/>
    </row>
    <row r="8037" spans="12:20" x14ac:dyDescent="0.2">
      <c r="L8037" s="43"/>
      <c r="M8037" s="43"/>
      <c r="N8037" s="43"/>
      <c r="O8037" s="43"/>
      <c r="Q8037" s="44"/>
      <c r="R8037" s="44"/>
      <c r="S8037" s="44"/>
      <c r="T8037" s="44"/>
    </row>
    <row r="8038" spans="12:20" x14ac:dyDescent="0.2">
      <c r="L8038" s="43"/>
      <c r="M8038" s="43"/>
      <c r="N8038" s="43"/>
      <c r="O8038" s="43"/>
      <c r="Q8038" s="44"/>
      <c r="R8038" s="44"/>
      <c r="S8038" s="44"/>
      <c r="T8038" s="44"/>
    </row>
    <row r="8039" spans="12:20" x14ac:dyDescent="0.2">
      <c r="L8039" s="43"/>
      <c r="M8039" s="43"/>
      <c r="N8039" s="43"/>
      <c r="O8039" s="43"/>
      <c r="Q8039" s="44"/>
      <c r="R8039" s="44"/>
      <c r="S8039" s="44"/>
      <c r="T8039" s="44"/>
    </row>
    <row r="8040" spans="12:20" x14ac:dyDescent="0.2">
      <c r="L8040" s="43"/>
      <c r="M8040" s="43"/>
      <c r="N8040" s="43"/>
      <c r="O8040" s="43"/>
      <c r="Q8040" s="44"/>
      <c r="R8040" s="44"/>
      <c r="S8040" s="44"/>
      <c r="T8040" s="44"/>
    </row>
    <row r="8041" spans="12:20" x14ac:dyDescent="0.2">
      <c r="L8041" s="43"/>
      <c r="M8041" s="43"/>
      <c r="N8041" s="43"/>
      <c r="O8041" s="43"/>
      <c r="Q8041" s="44"/>
      <c r="R8041" s="44"/>
      <c r="S8041" s="44"/>
      <c r="T8041" s="44"/>
    </row>
    <row r="8042" spans="12:20" x14ac:dyDescent="0.2">
      <c r="L8042" s="43"/>
      <c r="M8042" s="43"/>
      <c r="N8042" s="43"/>
      <c r="O8042" s="43"/>
      <c r="Q8042" s="44"/>
      <c r="R8042" s="44"/>
      <c r="S8042" s="44"/>
      <c r="T8042" s="44"/>
    </row>
    <row r="8043" spans="12:20" x14ac:dyDescent="0.2">
      <c r="L8043" s="43"/>
      <c r="M8043" s="43"/>
      <c r="N8043" s="43"/>
      <c r="O8043" s="43"/>
      <c r="Q8043" s="44"/>
      <c r="R8043" s="44"/>
      <c r="S8043" s="44"/>
      <c r="T8043" s="44"/>
    </row>
    <row r="8044" spans="12:20" x14ac:dyDescent="0.2">
      <c r="L8044" s="43"/>
      <c r="M8044" s="43"/>
      <c r="N8044" s="43"/>
      <c r="O8044" s="43"/>
      <c r="Q8044" s="44"/>
      <c r="R8044" s="44"/>
      <c r="S8044" s="44"/>
      <c r="T8044" s="44"/>
    </row>
    <row r="8045" spans="12:20" x14ac:dyDescent="0.2">
      <c r="L8045" s="43"/>
      <c r="M8045" s="43"/>
      <c r="N8045" s="43"/>
      <c r="O8045" s="43"/>
      <c r="Q8045" s="44"/>
      <c r="R8045" s="44"/>
      <c r="S8045" s="44"/>
      <c r="T8045" s="44"/>
    </row>
    <row r="8046" spans="12:20" x14ac:dyDescent="0.2">
      <c r="L8046" s="43"/>
      <c r="M8046" s="43"/>
      <c r="N8046" s="43"/>
      <c r="O8046" s="43"/>
      <c r="Q8046" s="44"/>
      <c r="R8046" s="44"/>
      <c r="S8046" s="44"/>
      <c r="T8046" s="44"/>
    </row>
    <row r="8047" spans="12:20" x14ac:dyDescent="0.2">
      <c r="L8047" s="43"/>
      <c r="M8047" s="43"/>
      <c r="N8047" s="43"/>
      <c r="O8047" s="43"/>
      <c r="Q8047" s="44"/>
      <c r="R8047" s="44"/>
      <c r="S8047" s="44"/>
      <c r="T8047" s="44"/>
    </row>
    <row r="8048" spans="12:20" x14ac:dyDescent="0.2">
      <c r="L8048" s="43"/>
      <c r="M8048" s="43"/>
      <c r="N8048" s="43"/>
      <c r="O8048" s="43"/>
      <c r="Q8048" s="44"/>
      <c r="R8048" s="44"/>
      <c r="S8048" s="44"/>
      <c r="T8048" s="44"/>
    </row>
    <row r="8049" spans="12:20" x14ac:dyDescent="0.2">
      <c r="L8049" s="43"/>
      <c r="M8049" s="43"/>
      <c r="N8049" s="43"/>
      <c r="O8049" s="43"/>
      <c r="Q8049" s="44"/>
      <c r="R8049" s="44"/>
      <c r="S8049" s="44"/>
      <c r="T8049" s="44"/>
    </row>
    <row r="8050" spans="12:20" x14ac:dyDescent="0.2">
      <c r="L8050" s="43"/>
      <c r="M8050" s="43"/>
      <c r="N8050" s="43"/>
      <c r="O8050" s="43"/>
      <c r="Q8050" s="44"/>
      <c r="R8050" s="44"/>
      <c r="S8050" s="44"/>
      <c r="T8050" s="44"/>
    </row>
    <row r="8051" spans="12:20" x14ac:dyDescent="0.2">
      <c r="L8051" s="43"/>
      <c r="M8051" s="43"/>
      <c r="N8051" s="43"/>
      <c r="O8051" s="43"/>
      <c r="Q8051" s="44"/>
      <c r="R8051" s="44"/>
      <c r="S8051" s="44"/>
      <c r="T8051" s="44"/>
    </row>
    <row r="8052" spans="12:20" x14ac:dyDescent="0.2">
      <c r="L8052" s="43"/>
      <c r="M8052" s="43"/>
      <c r="N8052" s="43"/>
      <c r="O8052" s="43"/>
      <c r="Q8052" s="44"/>
      <c r="R8052" s="44"/>
      <c r="S8052" s="44"/>
      <c r="T8052" s="44"/>
    </row>
    <row r="8053" spans="12:20" x14ac:dyDescent="0.2">
      <c r="L8053" s="43"/>
      <c r="M8053" s="43"/>
      <c r="N8053" s="43"/>
      <c r="O8053" s="43"/>
      <c r="Q8053" s="44"/>
      <c r="R8053" s="44"/>
      <c r="S8053" s="44"/>
      <c r="T8053" s="44"/>
    </row>
    <row r="8054" spans="12:20" x14ac:dyDescent="0.2">
      <c r="L8054" s="43"/>
      <c r="M8054" s="43"/>
      <c r="N8054" s="43"/>
      <c r="O8054" s="43"/>
      <c r="Q8054" s="44"/>
      <c r="R8054" s="44"/>
      <c r="S8054" s="44"/>
      <c r="T8054" s="44"/>
    </row>
    <row r="8055" spans="12:20" x14ac:dyDescent="0.2">
      <c r="L8055" s="43"/>
      <c r="M8055" s="43"/>
      <c r="N8055" s="43"/>
      <c r="O8055" s="43"/>
      <c r="Q8055" s="44"/>
      <c r="R8055" s="44"/>
      <c r="S8055" s="44"/>
      <c r="T8055" s="44"/>
    </row>
    <row r="8056" spans="12:20" x14ac:dyDescent="0.2">
      <c r="L8056" s="43"/>
      <c r="M8056" s="43"/>
      <c r="N8056" s="43"/>
      <c r="O8056" s="43"/>
      <c r="Q8056" s="44"/>
      <c r="R8056" s="44"/>
      <c r="S8056" s="44"/>
      <c r="T8056" s="44"/>
    </row>
    <row r="8057" spans="12:20" x14ac:dyDescent="0.2">
      <c r="L8057" s="43"/>
      <c r="M8057" s="43"/>
      <c r="N8057" s="43"/>
      <c r="O8057" s="43"/>
      <c r="Q8057" s="44"/>
      <c r="R8057" s="44"/>
      <c r="S8057" s="44"/>
      <c r="T8057" s="44"/>
    </row>
    <row r="8058" spans="12:20" x14ac:dyDescent="0.2">
      <c r="L8058" s="43"/>
      <c r="M8058" s="43"/>
      <c r="N8058" s="43"/>
      <c r="O8058" s="43"/>
      <c r="Q8058" s="44"/>
      <c r="R8058" s="44"/>
      <c r="S8058" s="44"/>
      <c r="T8058" s="44"/>
    </row>
    <row r="8059" spans="12:20" x14ac:dyDescent="0.2">
      <c r="L8059" s="43"/>
      <c r="M8059" s="43"/>
      <c r="N8059" s="43"/>
      <c r="O8059" s="43"/>
      <c r="Q8059" s="44"/>
      <c r="R8059" s="44"/>
      <c r="S8059" s="44"/>
      <c r="T8059" s="44"/>
    </row>
    <row r="8060" spans="12:20" x14ac:dyDescent="0.2">
      <c r="L8060" s="43"/>
      <c r="M8060" s="43"/>
      <c r="N8060" s="43"/>
      <c r="O8060" s="43"/>
      <c r="Q8060" s="44"/>
      <c r="R8060" s="44"/>
      <c r="S8060" s="44"/>
      <c r="T8060" s="44"/>
    </row>
    <row r="8061" spans="12:20" x14ac:dyDescent="0.2">
      <c r="L8061" s="43"/>
      <c r="M8061" s="43"/>
      <c r="N8061" s="43"/>
      <c r="O8061" s="43"/>
      <c r="Q8061" s="44"/>
      <c r="R8061" s="44"/>
      <c r="S8061" s="44"/>
      <c r="T8061" s="44"/>
    </row>
    <row r="8062" spans="12:20" x14ac:dyDescent="0.2">
      <c r="L8062" s="43"/>
      <c r="M8062" s="43"/>
      <c r="N8062" s="43"/>
      <c r="O8062" s="43"/>
      <c r="Q8062" s="44"/>
      <c r="R8062" s="44"/>
      <c r="S8062" s="44"/>
      <c r="T8062" s="44"/>
    </row>
    <row r="8063" spans="12:20" x14ac:dyDescent="0.2">
      <c r="L8063" s="43"/>
      <c r="M8063" s="43"/>
      <c r="N8063" s="43"/>
      <c r="O8063" s="43"/>
      <c r="Q8063" s="44"/>
      <c r="R8063" s="44"/>
      <c r="S8063" s="44"/>
      <c r="T8063" s="44"/>
    </row>
    <row r="8064" spans="12:20" x14ac:dyDescent="0.2">
      <c r="L8064" s="43"/>
      <c r="M8064" s="43"/>
      <c r="N8064" s="43"/>
      <c r="O8064" s="43"/>
      <c r="Q8064" s="44"/>
      <c r="R8064" s="44"/>
      <c r="S8064" s="44"/>
      <c r="T8064" s="44"/>
    </row>
    <row r="8065" spans="12:20" x14ac:dyDescent="0.2">
      <c r="L8065" s="43"/>
      <c r="M8065" s="43"/>
      <c r="N8065" s="43"/>
      <c r="O8065" s="43"/>
      <c r="Q8065" s="44"/>
      <c r="R8065" s="44"/>
      <c r="S8065" s="44"/>
      <c r="T8065" s="44"/>
    </row>
    <row r="8066" spans="12:20" x14ac:dyDescent="0.2">
      <c r="L8066" s="43"/>
      <c r="M8066" s="43"/>
      <c r="N8066" s="43"/>
      <c r="O8066" s="43"/>
      <c r="Q8066" s="44"/>
      <c r="R8066" s="44"/>
      <c r="S8066" s="44"/>
      <c r="T8066" s="44"/>
    </row>
    <row r="8067" spans="12:20" x14ac:dyDescent="0.2">
      <c r="L8067" s="43"/>
      <c r="M8067" s="43"/>
      <c r="N8067" s="43"/>
      <c r="O8067" s="43"/>
      <c r="Q8067" s="44"/>
      <c r="R8067" s="44"/>
      <c r="S8067" s="44"/>
      <c r="T8067" s="44"/>
    </row>
    <row r="8068" spans="12:20" x14ac:dyDescent="0.2">
      <c r="L8068" s="43"/>
      <c r="M8068" s="43"/>
      <c r="N8068" s="43"/>
      <c r="O8068" s="43"/>
      <c r="Q8068" s="44"/>
      <c r="R8068" s="44"/>
      <c r="S8068" s="44"/>
      <c r="T8068" s="44"/>
    </row>
    <row r="8069" spans="12:20" x14ac:dyDescent="0.2">
      <c r="L8069" s="43"/>
      <c r="M8069" s="43"/>
      <c r="N8069" s="43"/>
      <c r="O8069" s="43"/>
      <c r="Q8069" s="44"/>
      <c r="R8069" s="44"/>
      <c r="S8069" s="44"/>
      <c r="T8069" s="44"/>
    </row>
    <row r="8070" spans="12:20" x14ac:dyDescent="0.2">
      <c r="L8070" s="43"/>
      <c r="M8070" s="43"/>
      <c r="N8070" s="43"/>
      <c r="O8070" s="43"/>
      <c r="Q8070" s="44"/>
      <c r="R8070" s="44"/>
      <c r="S8070" s="44"/>
      <c r="T8070" s="44"/>
    </row>
    <row r="8071" spans="12:20" x14ac:dyDescent="0.2">
      <c r="L8071" s="43"/>
      <c r="M8071" s="43"/>
      <c r="N8071" s="43"/>
      <c r="O8071" s="43"/>
      <c r="Q8071" s="44"/>
      <c r="R8071" s="44"/>
      <c r="S8071" s="44"/>
      <c r="T8071" s="44"/>
    </row>
    <row r="8072" spans="12:20" x14ac:dyDescent="0.2">
      <c r="L8072" s="43"/>
      <c r="M8072" s="43"/>
      <c r="N8072" s="43"/>
      <c r="O8072" s="43"/>
      <c r="Q8072" s="44"/>
      <c r="R8072" s="44"/>
      <c r="S8072" s="44"/>
      <c r="T8072" s="44"/>
    </row>
    <row r="8073" spans="12:20" x14ac:dyDescent="0.2">
      <c r="L8073" s="43"/>
      <c r="M8073" s="43"/>
      <c r="N8073" s="43"/>
      <c r="O8073" s="43"/>
      <c r="Q8073" s="44"/>
      <c r="R8073" s="44"/>
      <c r="S8073" s="44"/>
      <c r="T8073" s="44"/>
    </row>
    <row r="8074" spans="12:20" x14ac:dyDescent="0.2">
      <c r="L8074" s="43"/>
      <c r="M8074" s="43"/>
      <c r="N8074" s="43"/>
      <c r="O8074" s="43"/>
      <c r="Q8074" s="44"/>
      <c r="R8074" s="44"/>
      <c r="S8074" s="44"/>
      <c r="T8074" s="44"/>
    </row>
    <row r="8075" spans="12:20" x14ac:dyDescent="0.2">
      <c r="L8075" s="43"/>
      <c r="M8075" s="43"/>
      <c r="N8075" s="43"/>
      <c r="O8075" s="43"/>
      <c r="Q8075" s="44"/>
      <c r="R8075" s="44"/>
      <c r="S8075" s="44"/>
      <c r="T8075" s="44"/>
    </row>
    <row r="8076" spans="12:20" x14ac:dyDescent="0.2">
      <c r="L8076" s="43"/>
      <c r="M8076" s="43"/>
      <c r="N8076" s="43"/>
      <c r="O8076" s="43"/>
      <c r="Q8076" s="44"/>
      <c r="R8076" s="44"/>
      <c r="S8076" s="44"/>
      <c r="T8076" s="44"/>
    </row>
    <row r="8077" spans="12:20" x14ac:dyDescent="0.2">
      <c r="L8077" s="43"/>
      <c r="M8077" s="43"/>
      <c r="N8077" s="43"/>
      <c r="O8077" s="43"/>
      <c r="Q8077" s="44"/>
      <c r="R8077" s="44"/>
      <c r="S8077" s="44"/>
      <c r="T8077" s="44"/>
    </row>
    <row r="8078" spans="12:20" x14ac:dyDescent="0.2">
      <c r="L8078" s="43"/>
      <c r="M8078" s="43"/>
      <c r="N8078" s="43"/>
      <c r="O8078" s="43"/>
      <c r="Q8078" s="44"/>
      <c r="R8078" s="44"/>
      <c r="S8078" s="44"/>
      <c r="T8078" s="44"/>
    </row>
    <row r="8079" spans="12:20" x14ac:dyDescent="0.2">
      <c r="L8079" s="43"/>
      <c r="M8079" s="43"/>
      <c r="N8079" s="43"/>
      <c r="O8079" s="43"/>
      <c r="Q8079" s="44"/>
      <c r="R8079" s="44"/>
      <c r="S8079" s="44"/>
      <c r="T8079" s="44"/>
    </row>
    <row r="8080" spans="12:20" x14ac:dyDescent="0.2">
      <c r="L8080" s="43"/>
      <c r="M8080" s="43"/>
      <c r="N8080" s="43"/>
      <c r="O8080" s="43"/>
      <c r="Q8080" s="44"/>
      <c r="R8080" s="44"/>
      <c r="S8080" s="44"/>
      <c r="T8080" s="44"/>
    </row>
    <row r="8081" spans="12:20" x14ac:dyDescent="0.2">
      <c r="L8081" s="43"/>
      <c r="M8081" s="43"/>
      <c r="N8081" s="43"/>
      <c r="O8081" s="43"/>
      <c r="Q8081" s="44"/>
      <c r="R8081" s="44"/>
      <c r="S8081" s="44"/>
      <c r="T8081" s="44"/>
    </row>
    <row r="8082" spans="12:20" x14ac:dyDescent="0.2">
      <c r="L8082" s="43"/>
      <c r="M8082" s="43"/>
      <c r="N8082" s="43"/>
      <c r="O8082" s="43"/>
      <c r="Q8082" s="44"/>
      <c r="R8082" s="44"/>
      <c r="S8082" s="44"/>
      <c r="T8082" s="44"/>
    </row>
    <row r="8083" spans="12:20" x14ac:dyDescent="0.2">
      <c r="L8083" s="43"/>
      <c r="M8083" s="43"/>
      <c r="N8083" s="43"/>
      <c r="O8083" s="43"/>
      <c r="Q8083" s="44"/>
      <c r="R8083" s="44"/>
      <c r="S8083" s="44"/>
      <c r="T8083" s="44"/>
    </row>
    <row r="8084" spans="12:20" x14ac:dyDescent="0.2">
      <c r="L8084" s="43"/>
      <c r="M8084" s="43"/>
      <c r="N8084" s="43"/>
      <c r="O8084" s="43"/>
      <c r="Q8084" s="44"/>
      <c r="R8084" s="44"/>
      <c r="S8084" s="44"/>
      <c r="T8084" s="44"/>
    </row>
    <row r="8085" spans="12:20" x14ac:dyDescent="0.2">
      <c r="L8085" s="43"/>
      <c r="M8085" s="43"/>
      <c r="N8085" s="43"/>
      <c r="O8085" s="43"/>
      <c r="Q8085" s="44"/>
      <c r="R8085" s="44"/>
      <c r="S8085" s="44"/>
      <c r="T8085" s="44"/>
    </row>
    <row r="8086" spans="12:20" x14ac:dyDescent="0.2">
      <c r="L8086" s="43"/>
      <c r="M8086" s="43"/>
      <c r="N8086" s="43"/>
      <c r="O8086" s="43"/>
      <c r="Q8086" s="44"/>
      <c r="R8086" s="44"/>
      <c r="S8086" s="44"/>
      <c r="T8086" s="44"/>
    </row>
    <row r="8087" spans="12:20" x14ac:dyDescent="0.2">
      <c r="L8087" s="43"/>
      <c r="M8087" s="43"/>
      <c r="N8087" s="43"/>
      <c r="O8087" s="43"/>
      <c r="Q8087" s="44"/>
      <c r="R8087" s="44"/>
      <c r="S8087" s="44"/>
      <c r="T8087" s="44"/>
    </row>
    <row r="8088" spans="12:20" x14ac:dyDescent="0.2">
      <c r="L8088" s="43"/>
      <c r="M8088" s="43"/>
      <c r="N8088" s="43"/>
      <c r="O8088" s="43"/>
      <c r="Q8088" s="44"/>
      <c r="R8088" s="44"/>
      <c r="S8088" s="44"/>
      <c r="T8088" s="44"/>
    </row>
    <row r="8089" spans="12:20" x14ac:dyDescent="0.2">
      <c r="L8089" s="43"/>
      <c r="M8089" s="43"/>
      <c r="N8089" s="43"/>
      <c r="O8089" s="43"/>
      <c r="Q8089" s="44"/>
      <c r="R8089" s="44"/>
      <c r="S8089" s="44"/>
      <c r="T8089" s="44"/>
    </row>
    <row r="8090" spans="12:20" x14ac:dyDescent="0.2">
      <c r="L8090" s="43"/>
      <c r="M8090" s="43"/>
      <c r="N8090" s="43"/>
      <c r="O8090" s="43"/>
      <c r="Q8090" s="44"/>
      <c r="R8090" s="44"/>
      <c r="S8090" s="44"/>
      <c r="T8090" s="44"/>
    </row>
    <row r="8091" spans="12:20" x14ac:dyDescent="0.2">
      <c r="L8091" s="43"/>
      <c r="M8091" s="43"/>
      <c r="N8091" s="43"/>
      <c r="O8091" s="43"/>
      <c r="Q8091" s="44"/>
      <c r="R8091" s="44"/>
      <c r="S8091" s="44"/>
      <c r="T8091" s="44"/>
    </row>
    <row r="8092" spans="12:20" x14ac:dyDescent="0.2">
      <c r="L8092" s="43"/>
      <c r="M8092" s="43"/>
      <c r="N8092" s="43"/>
      <c r="O8092" s="43"/>
      <c r="Q8092" s="44"/>
      <c r="R8092" s="44"/>
      <c r="S8092" s="44"/>
      <c r="T8092" s="44"/>
    </row>
    <row r="8093" spans="12:20" x14ac:dyDescent="0.2">
      <c r="L8093" s="43"/>
      <c r="M8093" s="43"/>
      <c r="N8093" s="43"/>
      <c r="O8093" s="43"/>
      <c r="Q8093" s="44"/>
      <c r="R8093" s="44"/>
      <c r="S8093" s="44"/>
      <c r="T8093" s="44"/>
    </row>
    <row r="8094" spans="12:20" x14ac:dyDescent="0.2">
      <c r="L8094" s="43"/>
      <c r="M8094" s="43"/>
      <c r="N8094" s="43"/>
      <c r="O8094" s="43"/>
      <c r="Q8094" s="44"/>
      <c r="R8094" s="44"/>
      <c r="S8094" s="44"/>
      <c r="T8094" s="44"/>
    </row>
    <row r="8095" spans="12:20" x14ac:dyDescent="0.2">
      <c r="L8095" s="43"/>
      <c r="M8095" s="43"/>
      <c r="N8095" s="43"/>
      <c r="O8095" s="43"/>
      <c r="Q8095" s="44"/>
      <c r="R8095" s="44"/>
      <c r="S8095" s="44"/>
      <c r="T8095" s="44"/>
    </row>
    <row r="8096" spans="12:20" x14ac:dyDescent="0.2">
      <c r="L8096" s="43"/>
      <c r="M8096" s="43"/>
      <c r="N8096" s="43"/>
      <c r="O8096" s="43"/>
      <c r="Q8096" s="44"/>
      <c r="R8096" s="44"/>
      <c r="S8096" s="44"/>
      <c r="T8096" s="44"/>
    </row>
    <row r="8097" spans="12:20" x14ac:dyDescent="0.2">
      <c r="L8097" s="43"/>
      <c r="M8097" s="43"/>
      <c r="N8097" s="43"/>
      <c r="O8097" s="43"/>
      <c r="Q8097" s="44"/>
      <c r="R8097" s="44"/>
      <c r="S8097" s="44"/>
      <c r="T8097" s="44"/>
    </row>
    <row r="8098" spans="12:20" x14ac:dyDescent="0.2">
      <c r="L8098" s="43"/>
      <c r="M8098" s="43"/>
      <c r="N8098" s="43"/>
      <c r="O8098" s="43"/>
      <c r="Q8098" s="44"/>
      <c r="R8098" s="44"/>
      <c r="S8098" s="44"/>
      <c r="T8098" s="44"/>
    </row>
    <row r="8099" spans="12:20" x14ac:dyDescent="0.2">
      <c r="L8099" s="43"/>
      <c r="M8099" s="43"/>
      <c r="N8099" s="43"/>
      <c r="O8099" s="43"/>
      <c r="Q8099" s="44"/>
      <c r="R8099" s="44"/>
      <c r="S8099" s="44"/>
      <c r="T8099" s="44"/>
    </row>
    <row r="8100" spans="12:20" x14ac:dyDescent="0.2">
      <c r="L8100" s="43"/>
      <c r="M8100" s="43"/>
      <c r="N8100" s="43"/>
      <c r="O8100" s="43"/>
      <c r="Q8100" s="44"/>
      <c r="R8100" s="44"/>
      <c r="S8100" s="44"/>
      <c r="T8100" s="44"/>
    </row>
    <row r="8101" spans="12:20" x14ac:dyDescent="0.2">
      <c r="L8101" s="43"/>
      <c r="M8101" s="43"/>
      <c r="N8101" s="43"/>
      <c r="O8101" s="43"/>
      <c r="Q8101" s="44"/>
      <c r="R8101" s="44"/>
      <c r="S8101" s="44"/>
      <c r="T8101" s="44"/>
    </row>
    <row r="8102" spans="12:20" x14ac:dyDescent="0.2">
      <c r="L8102" s="43"/>
      <c r="M8102" s="43"/>
      <c r="N8102" s="43"/>
      <c r="O8102" s="43"/>
      <c r="Q8102" s="44"/>
      <c r="R8102" s="44"/>
      <c r="S8102" s="44"/>
      <c r="T8102" s="44"/>
    </row>
    <row r="8103" spans="12:20" x14ac:dyDescent="0.2">
      <c r="L8103" s="43"/>
      <c r="M8103" s="43"/>
      <c r="N8103" s="43"/>
      <c r="O8103" s="43"/>
      <c r="Q8103" s="44"/>
      <c r="R8103" s="44"/>
      <c r="S8103" s="44"/>
      <c r="T8103" s="44"/>
    </row>
    <row r="8104" spans="12:20" x14ac:dyDescent="0.2">
      <c r="L8104" s="43"/>
      <c r="M8104" s="43"/>
      <c r="N8104" s="43"/>
      <c r="O8104" s="43"/>
      <c r="Q8104" s="44"/>
      <c r="R8104" s="44"/>
      <c r="S8104" s="44"/>
      <c r="T8104" s="44"/>
    </row>
    <row r="8105" spans="12:20" x14ac:dyDescent="0.2">
      <c r="L8105" s="43"/>
      <c r="M8105" s="43"/>
      <c r="N8105" s="43"/>
      <c r="O8105" s="43"/>
      <c r="Q8105" s="44"/>
      <c r="R8105" s="44"/>
      <c r="S8105" s="44"/>
      <c r="T8105" s="44"/>
    </row>
    <row r="8106" spans="12:20" x14ac:dyDescent="0.2">
      <c r="L8106" s="43"/>
      <c r="M8106" s="43"/>
      <c r="N8106" s="43"/>
      <c r="O8106" s="43"/>
      <c r="Q8106" s="44"/>
      <c r="R8106" s="44"/>
      <c r="S8106" s="44"/>
      <c r="T8106" s="44"/>
    </row>
    <row r="8107" spans="12:20" x14ac:dyDescent="0.2">
      <c r="L8107" s="43"/>
      <c r="M8107" s="43"/>
      <c r="N8107" s="43"/>
      <c r="O8107" s="43"/>
      <c r="Q8107" s="44"/>
      <c r="R8107" s="44"/>
      <c r="S8107" s="44"/>
      <c r="T8107" s="44"/>
    </row>
    <row r="8108" spans="12:20" x14ac:dyDescent="0.2">
      <c r="L8108" s="43"/>
      <c r="M8108" s="43"/>
      <c r="N8108" s="43"/>
      <c r="O8108" s="43"/>
      <c r="Q8108" s="44"/>
      <c r="R8108" s="44"/>
      <c r="S8108" s="44"/>
      <c r="T8108" s="44"/>
    </row>
    <row r="8109" spans="12:20" x14ac:dyDescent="0.2">
      <c r="L8109" s="43"/>
      <c r="M8109" s="43"/>
      <c r="N8109" s="43"/>
      <c r="O8109" s="43"/>
      <c r="Q8109" s="44"/>
      <c r="R8109" s="44"/>
      <c r="S8109" s="44"/>
      <c r="T8109" s="44"/>
    </row>
    <row r="8110" spans="12:20" x14ac:dyDescent="0.2">
      <c r="L8110" s="43"/>
      <c r="M8110" s="43"/>
      <c r="N8110" s="43"/>
      <c r="O8110" s="43"/>
      <c r="Q8110" s="44"/>
      <c r="R8110" s="44"/>
      <c r="S8110" s="44"/>
      <c r="T8110" s="44"/>
    </row>
    <row r="8111" spans="12:20" x14ac:dyDescent="0.2">
      <c r="L8111" s="43"/>
      <c r="M8111" s="43"/>
      <c r="N8111" s="43"/>
      <c r="O8111" s="43"/>
      <c r="Q8111" s="44"/>
      <c r="R8111" s="44"/>
      <c r="S8111" s="44"/>
      <c r="T8111" s="44"/>
    </row>
    <row r="8112" spans="12:20" x14ac:dyDescent="0.2">
      <c r="L8112" s="43"/>
      <c r="M8112" s="43"/>
      <c r="N8112" s="43"/>
      <c r="O8112" s="43"/>
      <c r="Q8112" s="44"/>
      <c r="R8112" s="44"/>
      <c r="S8112" s="44"/>
      <c r="T8112" s="44"/>
    </row>
    <row r="8113" spans="12:20" x14ac:dyDescent="0.2">
      <c r="L8113" s="43"/>
      <c r="M8113" s="43"/>
      <c r="N8113" s="43"/>
      <c r="O8113" s="43"/>
      <c r="Q8113" s="44"/>
      <c r="R8113" s="44"/>
      <c r="S8113" s="44"/>
      <c r="T8113" s="44"/>
    </row>
    <row r="8114" spans="12:20" x14ac:dyDescent="0.2">
      <c r="L8114" s="43"/>
      <c r="M8114" s="43"/>
      <c r="N8114" s="43"/>
      <c r="O8114" s="43"/>
      <c r="Q8114" s="44"/>
      <c r="R8114" s="44"/>
      <c r="S8114" s="44"/>
      <c r="T8114" s="44"/>
    </row>
    <row r="8115" spans="12:20" x14ac:dyDescent="0.2">
      <c r="L8115" s="43"/>
      <c r="M8115" s="43"/>
      <c r="N8115" s="43"/>
      <c r="O8115" s="43"/>
      <c r="Q8115" s="44"/>
      <c r="R8115" s="44"/>
      <c r="S8115" s="44"/>
      <c r="T8115" s="44"/>
    </row>
    <row r="8116" spans="12:20" x14ac:dyDescent="0.2">
      <c r="L8116" s="43"/>
      <c r="M8116" s="43"/>
      <c r="N8116" s="43"/>
      <c r="O8116" s="43"/>
      <c r="Q8116" s="44"/>
      <c r="R8116" s="44"/>
      <c r="S8116" s="44"/>
      <c r="T8116" s="44"/>
    </row>
    <row r="8117" spans="12:20" x14ac:dyDescent="0.2">
      <c r="L8117" s="43"/>
      <c r="M8117" s="43"/>
      <c r="N8117" s="43"/>
      <c r="O8117" s="43"/>
      <c r="Q8117" s="44"/>
      <c r="R8117" s="44"/>
      <c r="S8117" s="44"/>
      <c r="T8117" s="44"/>
    </row>
    <row r="8118" spans="12:20" x14ac:dyDescent="0.2">
      <c r="L8118" s="43"/>
      <c r="M8118" s="43"/>
      <c r="N8118" s="43"/>
      <c r="O8118" s="43"/>
      <c r="Q8118" s="44"/>
      <c r="R8118" s="44"/>
      <c r="S8118" s="44"/>
      <c r="T8118" s="44"/>
    </row>
    <row r="8119" spans="12:20" x14ac:dyDescent="0.2">
      <c r="L8119" s="43"/>
      <c r="M8119" s="43"/>
      <c r="N8119" s="43"/>
      <c r="O8119" s="43"/>
      <c r="Q8119" s="44"/>
      <c r="R8119" s="44"/>
      <c r="S8119" s="44"/>
      <c r="T8119" s="44"/>
    </row>
    <row r="8120" spans="12:20" x14ac:dyDescent="0.2">
      <c r="L8120" s="43"/>
      <c r="M8120" s="43"/>
      <c r="N8120" s="43"/>
      <c r="O8120" s="43"/>
      <c r="Q8120" s="44"/>
      <c r="R8120" s="44"/>
      <c r="S8120" s="44"/>
      <c r="T8120" s="44"/>
    </row>
    <row r="8121" spans="12:20" x14ac:dyDescent="0.2">
      <c r="L8121" s="43"/>
      <c r="M8121" s="43"/>
      <c r="N8121" s="43"/>
      <c r="O8121" s="43"/>
      <c r="Q8121" s="44"/>
      <c r="R8121" s="44"/>
      <c r="S8121" s="44"/>
      <c r="T8121" s="44"/>
    </row>
    <row r="8122" spans="12:20" x14ac:dyDescent="0.2">
      <c r="L8122" s="43"/>
      <c r="M8122" s="43"/>
      <c r="N8122" s="43"/>
      <c r="O8122" s="43"/>
      <c r="Q8122" s="44"/>
      <c r="R8122" s="44"/>
      <c r="S8122" s="44"/>
      <c r="T8122" s="44"/>
    </row>
    <row r="8123" spans="12:20" x14ac:dyDescent="0.2">
      <c r="L8123" s="43"/>
      <c r="M8123" s="43"/>
      <c r="N8123" s="43"/>
      <c r="O8123" s="43"/>
      <c r="Q8123" s="44"/>
      <c r="R8123" s="44"/>
      <c r="S8123" s="44"/>
      <c r="T8123" s="44"/>
    </row>
    <row r="8124" spans="12:20" x14ac:dyDescent="0.2">
      <c r="L8124" s="43"/>
      <c r="M8124" s="43"/>
      <c r="N8124" s="43"/>
      <c r="O8124" s="43"/>
      <c r="Q8124" s="44"/>
      <c r="R8124" s="44"/>
      <c r="S8124" s="44"/>
      <c r="T8124" s="44"/>
    </row>
    <row r="8125" spans="12:20" x14ac:dyDescent="0.2">
      <c r="L8125" s="43"/>
      <c r="M8125" s="43"/>
      <c r="N8125" s="43"/>
      <c r="O8125" s="43"/>
      <c r="Q8125" s="44"/>
      <c r="R8125" s="44"/>
      <c r="S8125" s="44"/>
      <c r="T8125" s="44"/>
    </row>
    <row r="8126" spans="12:20" x14ac:dyDescent="0.2">
      <c r="L8126" s="43"/>
      <c r="M8126" s="43"/>
      <c r="N8126" s="43"/>
      <c r="O8126" s="43"/>
      <c r="Q8126" s="44"/>
      <c r="R8126" s="44"/>
      <c r="S8126" s="44"/>
      <c r="T8126" s="44"/>
    </row>
    <row r="8127" spans="12:20" x14ac:dyDescent="0.2">
      <c r="L8127" s="43"/>
      <c r="M8127" s="43"/>
      <c r="N8127" s="43"/>
      <c r="O8127" s="43"/>
      <c r="Q8127" s="44"/>
      <c r="R8127" s="44"/>
      <c r="S8127" s="44"/>
      <c r="T8127" s="44"/>
    </row>
    <row r="8128" spans="12:20" x14ac:dyDescent="0.2">
      <c r="L8128" s="43"/>
      <c r="M8128" s="43"/>
      <c r="N8128" s="43"/>
      <c r="O8128" s="43"/>
      <c r="Q8128" s="44"/>
      <c r="R8128" s="44"/>
      <c r="S8128" s="44"/>
      <c r="T8128" s="44"/>
    </row>
    <row r="8129" spans="12:20" x14ac:dyDescent="0.2">
      <c r="L8129" s="43"/>
      <c r="M8129" s="43"/>
      <c r="N8129" s="43"/>
      <c r="O8129" s="43"/>
      <c r="Q8129" s="44"/>
      <c r="R8129" s="44"/>
      <c r="S8129" s="44"/>
      <c r="T8129" s="44"/>
    </row>
    <row r="8130" spans="12:20" x14ac:dyDescent="0.2">
      <c r="L8130" s="43"/>
      <c r="M8130" s="43"/>
      <c r="N8130" s="43"/>
      <c r="O8130" s="43"/>
      <c r="Q8130" s="44"/>
      <c r="R8130" s="44"/>
      <c r="S8130" s="44"/>
      <c r="T8130" s="44"/>
    </row>
    <row r="8131" spans="12:20" x14ac:dyDescent="0.2">
      <c r="L8131" s="43"/>
      <c r="M8131" s="43"/>
      <c r="N8131" s="43"/>
      <c r="O8131" s="43"/>
      <c r="Q8131" s="44"/>
      <c r="R8131" s="44"/>
      <c r="S8131" s="44"/>
      <c r="T8131" s="44"/>
    </row>
    <row r="8132" spans="12:20" x14ac:dyDescent="0.2">
      <c r="L8132" s="43"/>
      <c r="M8132" s="43"/>
      <c r="N8132" s="43"/>
      <c r="O8132" s="43"/>
      <c r="Q8132" s="44"/>
      <c r="R8132" s="44"/>
      <c r="S8132" s="44"/>
      <c r="T8132" s="44"/>
    </row>
    <row r="8133" spans="12:20" x14ac:dyDescent="0.2">
      <c r="L8133" s="43"/>
      <c r="M8133" s="43"/>
      <c r="N8133" s="43"/>
      <c r="O8133" s="43"/>
      <c r="Q8133" s="44"/>
      <c r="R8133" s="44"/>
      <c r="S8133" s="44"/>
      <c r="T8133" s="44"/>
    </row>
    <row r="8134" spans="12:20" x14ac:dyDescent="0.2">
      <c r="L8134" s="43"/>
      <c r="M8134" s="43"/>
      <c r="N8134" s="43"/>
      <c r="O8134" s="43"/>
      <c r="Q8134" s="44"/>
      <c r="R8134" s="44"/>
      <c r="S8134" s="44"/>
      <c r="T8134" s="44"/>
    </row>
    <row r="8135" spans="12:20" x14ac:dyDescent="0.2">
      <c r="L8135" s="43"/>
      <c r="M8135" s="43"/>
      <c r="N8135" s="43"/>
      <c r="O8135" s="43"/>
      <c r="Q8135" s="44"/>
      <c r="R8135" s="44"/>
      <c r="S8135" s="44"/>
      <c r="T8135" s="44"/>
    </row>
    <row r="8136" spans="12:20" x14ac:dyDescent="0.2">
      <c r="L8136" s="43"/>
      <c r="M8136" s="43"/>
      <c r="N8136" s="43"/>
      <c r="O8136" s="43"/>
      <c r="Q8136" s="44"/>
      <c r="R8136" s="44"/>
      <c r="S8136" s="44"/>
      <c r="T8136" s="44"/>
    </row>
    <row r="8137" spans="12:20" x14ac:dyDescent="0.2">
      <c r="L8137" s="43"/>
      <c r="M8137" s="43"/>
      <c r="N8137" s="43"/>
      <c r="O8137" s="43"/>
      <c r="Q8137" s="44"/>
      <c r="R8137" s="44"/>
      <c r="S8137" s="44"/>
      <c r="T8137" s="44"/>
    </row>
    <row r="8138" spans="12:20" x14ac:dyDescent="0.2">
      <c r="L8138" s="43"/>
      <c r="M8138" s="43"/>
      <c r="N8138" s="43"/>
      <c r="O8138" s="43"/>
      <c r="Q8138" s="44"/>
      <c r="R8138" s="44"/>
      <c r="S8138" s="44"/>
      <c r="T8138" s="44"/>
    </row>
    <row r="8139" spans="12:20" x14ac:dyDescent="0.2">
      <c r="L8139" s="43"/>
      <c r="M8139" s="43"/>
      <c r="N8139" s="43"/>
      <c r="O8139" s="43"/>
      <c r="Q8139" s="44"/>
      <c r="R8139" s="44"/>
      <c r="S8139" s="44"/>
      <c r="T8139" s="44"/>
    </row>
    <row r="8140" spans="12:20" x14ac:dyDescent="0.2">
      <c r="L8140" s="43"/>
      <c r="M8140" s="43"/>
      <c r="N8140" s="43"/>
      <c r="O8140" s="43"/>
      <c r="Q8140" s="44"/>
      <c r="R8140" s="44"/>
      <c r="S8140" s="44"/>
      <c r="T8140" s="44"/>
    </row>
    <row r="8141" spans="12:20" x14ac:dyDescent="0.2">
      <c r="L8141" s="43"/>
      <c r="M8141" s="43"/>
      <c r="N8141" s="43"/>
      <c r="O8141" s="43"/>
      <c r="Q8141" s="44"/>
      <c r="R8141" s="44"/>
      <c r="S8141" s="44"/>
      <c r="T8141" s="44"/>
    </row>
    <row r="8142" spans="12:20" x14ac:dyDescent="0.2">
      <c r="L8142" s="43"/>
      <c r="M8142" s="43"/>
      <c r="N8142" s="43"/>
      <c r="O8142" s="43"/>
      <c r="Q8142" s="44"/>
      <c r="R8142" s="44"/>
      <c r="S8142" s="44"/>
      <c r="T8142" s="44"/>
    </row>
    <row r="8143" spans="12:20" x14ac:dyDescent="0.2">
      <c r="L8143" s="43"/>
      <c r="M8143" s="43"/>
      <c r="N8143" s="43"/>
      <c r="O8143" s="43"/>
      <c r="Q8143" s="44"/>
      <c r="R8143" s="44"/>
      <c r="S8143" s="44"/>
      <c r="T8143" s="44"/>
    </row>
    <row r="8144" spans="12:20" x14ac:dyDescent="0.2">
      <c r="L8144" s="43"/>
      <c r="M8144" s="43"/>
      <c r="N8144" s="43"/>
      <c r="O8144" s="43"/>
      <c r="Q8144" s="44"/>
      <c r="R8144" s="44"/>
      <c r="S8144" s="44"/>
      <c r="T8144" s="44"/>
    </row>
    <row r="8145" spans="12:20" x14ac:dyDescent="0.2">
      <c r="L8145" s="43"/>
      <c r="M8145" s="43"/>
      <c r="N8145" s="43"/>
      <c r="O8145" s="43"/>
      <c r="Q8145" s="44"/>
      <c r="R8145" s="44"/>
      <c r="S8145" s="44"/>
      <c r="T8145" s="44"/>
    </row>
    <row r="8146" spans="12:20" x14ac:dyDescent="0.2">
      <c r="L8146" s="43"/>
      <c r="M8146" s="43"/>
      <c r="N8146" s="43"/>
      <c r="O8146" s="43"/>
      <c r="Q8146" s="44"/>
      <c r="R8146" s="44"/>
      <c r="S8146" s="44"/>
      <c r="T8146" s="44"/>
    </row>
    <row r="8147" spans="12:20" x14ac:dyDescent="0.2">
      <c r="L8147" s="43"/>
      <c r="M8147" s="43"/>
      <c r="N8147" s="43"/>
      <c r="O8147" s="43"/>
      <c r="Q8147" s="44"/>
      <c r="R8147" s="44"/>
      <c r="S8147" s="44"/>
      <c r="T8147" s="44"/>
    </row>
    <row r="8148" spans="12:20" x14ac:dyDescent="0.2">
      <c r="L8148" s="43"/>
      <c r="M8148" s="43"/>
      <c r="N8148" s="43"/>
      <c r="O8148" s="43"/>
      <c r="Q8148" s="44"/>
      <c r="R8148" s="44"/>
      <c r="S8148" s="44"/>
      <c r="T8148" s="44"/>
    </row>
    <row r="8149" spans="12:20" x14ac:dyDescent="0.2">
      <c r="L8149" s="43"/>
      <c r="M8149" s="43"/>
      <c r="N8149" s="43"/>
      <c r="O8149" s="43"/>
      <c r="Q8149" s="44"/>
      <c r="R8149" s="44"/>
      <c r="S8149" s="44"/>
      <c r="T8149" s="44"/>
    </row>
    <row r="8150" spans="12:20" x14ac:dyDescent="0.2">
      <c r="L8150" s="43"/>
      <c r="M8150" s="43"/>
      <c r="N8150" s="43"/>
      <c r="O8150" s="43"/>
      <c r="Q8150" s="44"/>
      <c r="R8150" s="44"/>
      <c r="S8150" s="44"/>
      <c r="T8150" s="44"/>
    </row>
    <row r="8151" spans="12:20" x14ac:dyDescent="0.2">
      <c r="L8151" s="43"/>
      <c r="M8151" s="43"/>
      <c r="N8151" s="43"/>
      <c r="O8151" s="43"/>
      <c r="Q8151" s="44"/>
      <c r="R8151" s="44"/>
      <c r="S8151" s="44"/>
      <c r="T8151" s="44"/>
    </row>
    <row r="8152" spans="12:20" x14ac:dyDescent="0.2">
      <c r="L8152" s="43"/>
      <c r="M8152" s="43"/>
      <c r="N8152" s="43"/>
      <c r="O8152" s="43"/>
      <c r="Q8152" s="44"/>
      <c r="R8152" s="44"/>
      <c r="S8152" s="44"/>
      <c r="T8152" s="44"/>
    </row>
    <row r="8153" spans="12:20" x14ac:dyDescent="0.2">
      <c r="L8153" s="43"/>
      <c r="M8153" s="43"/>
      <c r="N8153" s="43"/>
      <c r="O8153" s="43"/>
      <c r="Q8153" s="44"/>
      <c r="R8153" s="44"/>
      <c r="S8153" s="44"/>
      <c r="T8153" s="44"/>
    </row>
    <row r="8154" spans="12:20" x14ac:dyDescent="0.2">
      <c r="L8154" s="43"/>
      <c r="M8154" s="43"/>
      <c r="N8154" s="43"/>
      <c r="O8154" s="43"/>
      <c r="Q8154" s="44"/>
      <c r="R8154" s="44"/>
      <c r="S8154" s="44"/>
      <c r="T8154" s="44"/>
    </row>
    <row r="8155" spans="12:20" x14ac:dyDescent="0.2">
      <c r="L8155" s="43"/>
      <c r="M8155" s="43"/>
      <c r="N8155" s="43"/>
      <c r="O8155" s="43"/>
      <c r="Q8155" s="44"/>
      <c r="R8155" s="44"/>
      <c r="S8155" s="44"/>
      <c r="T8155" s="44"/>
    </row>
    <row r="8156" spans="12:20" x14ac:dyDescent="0.2">
      <c r="L8156" s="43"/>
      <c r="M8156" s="43"/>
      <c r="N8156" s="43"/>
      <c r="O8156" s="43"/>
      <c r="Q8156" s="44"/>
      <c r="R8156" s="44"/>
      <c r="S8156" s="44"/>
      <c r="T8156" s="44"/>
    </row>
    <row r="8157" spans="12:20" x14ac:dyDescent="0.2">
      <c r="L8157" s="43"/>
      <c r="M8157" s="43"/>
      <c r="N8157" s="43"/>
      <c r="O8157" s="43"/>
      <c r="Q8157" s="44"/>
      <c r="R8157" s="44"/>
      <c r="S8157" s="44"/>
      <c r="T8157" s="44"/>
    </row>
    <row r="8158" spans="12:20" x14ac:dyDescent="0.2">
      <c r="L8158" s="43"/>
      <c r="M8158" s="43"/>
      <c r="N8158" s="43"/>
      <c r="O8158" s="43"/>
      <c r="Q8158" s="44"/>
      <c r="R8158" s="44"/>
      <c r="S8158" s="44"/>
      <c r="T8158" s="44"/>
    </row>
    <row r="8159" spans="12:20" x14ac:dyDescent="0.2">
      <c r="L8159" s="43"/>
      <c r="M8159" s="43"/>
      <c r="N8159" s="43"/>
      <c r="O8159" s="43"/>
      <c r="Q8159" s="44"/>
      <c r="R8159" s="44"/>
      <c r="S8159" s="44"/>
      <c r="T8159" s="44"/>
    </row>
    <row r="8160" spans="12:20" x14ac:dyDescent="0.2">
      <c r="L8160" s="43"/>
      <c r="M8160" s="43"/>
      <c r="N8160" s="43"/>
      <c r="O8160" s="43"/>
      <c r="Q8160" s="44"/>
      <c r="R8160" s="44"/>
      <c r="S8160" s="44"/>
      <c r="T8160" s="44"/>
    </row>
    <row r="8161" spans="12:20" x14ac:dyDescent="0.2">
      <c r="L8161" s="43"/>
      <c r="M8161" s="43"/>
      <c r="N8161" s="43"/>
      <c r="O8161" s="43"/>
      <c r="Q8161" s="44"/>
      <c r="R8161" s="44"/>
      <c r="S8161" s="44"/>
      <c r="T8161" s="44"/>
    </row>
    <row r="8162" spans="12:20" x14ac:dyDescent="0.2">
      <c r="L8162" s="43"/>
      <c r="M8162" s="43"/>
      <c r="N8162" s="43"/>
      <c r="O8162" s="43"/>
      <c r="Q8162" s="44"/>
      <c r="R8162" s="44"/>
      <c r="S8162" s="44"/>
      <c r="T8162" s="44"/>
    </row>
    <row r="8163" spans="12:20" x14ac:dyDescent="0.2">
      <c r="L8163" s="43"/>
      <c r="M8163" s="43"/>
      <c r="N8163" s="43"/>
      <c r="O8163" s="43"/>
      <c r="Q8163" s="44"/>
      <c r="R8163" s="44"/>
      <c r="S8163" s="44"/>
      <c r="T8163" s="44"/>
    </row>
    <row r="8164" spans="12:20" x14ac:dyDescent="0.2">
      <c r="L8164" s="43"/>
      <c r="M8164" s="43"/>
      <c r="N8164" s="43"/>
      <c r="O8164" s="43"/>
      <c r="Q8164" s="44"/>
      <c r="R8164" s="44"/>
      <c r="S8164" s="44"/>
      <c r="T8164" s="44"/>
    </row>
    <row r="8165" spans="12:20" x14ac:dyDescent="0.2">
      <c r="L8165" s="43"/>
      <c r="M8165" s="43"/>
      <c r="N8165" s="43"/>
      <c r="O8165" s="43"/>
      <c r="Q8165" s="44"/>
      <c r="R8165" s="44"/>
      <c r="S8165" s="44"/>
      <c r="T8165" s="44"/>
    </row>
    <row r="8166" spans="12:20" x14ac:dyDescent="0.2">
      <c r="L8166" s="43"/>
      <c r="M8166" s="43"/>
      <c r="N8166" s="43"/>
      <c r="O8166" s="43"/>
      <c r="Q8166" s="44"/>
      <c r="R8166" s="44"/>
      <c r="S8166" s="44"/>
      <c r="T8166" s="44"/>
    </row>
    <row r="8167" spans="12:20" x14ac:dyDescent="0.2">
      <c r="L8167" s="43"/>
      <c r="M8167" s="43"/>
      <c r="N8167" s="43"/>
      <c r="O8167" s="43"/>
      <c r="Q8167" s="44"/>
      <c r="R8167" s="44"/>
      <c r="S8167" s="44"/>
      <c r="T8167" s="44"/>
    </row>
    <row r="8168" spans="12:20" x14ac:dyDescent="0.2">
      <c r="L8168" s="43"/>
      <c r="M8168" s="43"/>
      <c r="N8168" s="43"/>
      <c r="O8168" s="43"/>
      <c r="Q8168" s="44"/>
      <c r="R8168" s="44"/>
      <c r="S8168" s="44"/>
      <c r="T8168" s="44"/>
    </row>
    <row r="8169" spans="12:20" x14ac:dyDescent="0.2">
      <c r="L8169" s="43"/>
      <c r="M8169" s="43"/>
      <c r="N8169" s="43"/>
      <c r="O8169" s="43"/>
      <c r="Q8169" s="44"/>
      <c r="R8169" s="44"/>
      <c r="S8169" s="44"/>
      <c r="T8169" s="44"/>
    </row>
    <row r="8170" spans="12:20" x14ac:dyDescent="0.2">
      <c r="L8170" s="43"/>
      <c r="M8170" s="43"/>
      <c r="N8170" s="43"/>
      <c r="O8170" s="43"/>
      <c r="Q8170" s="44"/>
      <c r="R8170" s="44"/>
      <c r="S8170" s="44"/>
      <c r="T8170" s="44"/>
    </row>
    <row r="8171" spans="12:20" x14ac:dyDescent="0.2">
      <c r="L8171" s="43"/>
      <c r="M8171" s="43"/>
      <c r="N8171" s="43"/>
      <c r="O8171" s="43"/>
      <c r="Q8171" s="44"/>
      <c r="R8171" s="44"/>
      <c r="S8171" s="44"/>
      <c r="T8171" s="44"/>
    </row>
    <row r="8172" spans="12:20" x14ac:dyDescent="0.2">
      <c r="L8172" s="43"/>
      <c r="M8172" s="43"/>
      <c r="N8172" s="43"/>
      <c r="O8172" s="43"/>
      <c r="Q8172" s="44"/>
      <c r="R8172" s="44"/>
      <c r="S8172" s="44"/>
      <c r="T8172" s="44"/>
    </row>
    <row r="8173" spans="12:20" x14ac:dyDescent="0.2">
      <c r="L8173" s="43"/>
      <c r="M8173" s="43"/>
      <c r="N8173" s="43"/>
      <c r="O8173" s="43"/>
      <c r="Q8173" s="44"/>
      <c r="R8173" s="44"/>
      <c r="S8173" s="44"/>
      <c r="T8173" s="44"/>
    </row>
    <row r="8174" spans="12:20" x14ac:dyDescent="0.2">
      <c r="L8174" s="43"/>
      <c r="M8174" s="43"/>
      <c r="N8174" s="43"/>
      <c r="O8174" s="43"/>
      <c r="Q8174" s="44"/>
      <c r="R8174" s="44"/>
      <c r="S8174" s="44"/>
      <c r="T8174" s="44"/>
    </row>
    <row r="8175" spans="12:20" x14ac:dyDescent="0.2">
      <c r="L8175" s="43"/>
      <c r="M8175" s="43"/>
      <c r="N8175" s="43"/>
      <c r="O8175" s="43"/>
      <c r="Q8175" s="44"/>
      <c r="R8175" s="44"/>
      <c r="S8175" s="44"/>
      <c r="T8175" s="44"/>
    </row>
    <row r="8176" spans="12:20" x14ac:dyDescent="0.2">
      <c r="L8176" s="43"/>
      <c r="M8176" s="43"/>
      <c r="N8176" s="43"/>
      <c r="O8176" s="43"/>
      <c r="Q8176" s="44"/>
      <c r="R8176" s="44"/>
      <c r="S8176" s="44"/>
      <c r="T8176" s="44"/>
    </row>
    <row r="8177" spans="12:20" x14ac:dyDescent="0.2">
      <c r="L8177" s="43"/>
      <c r="M8177" s="43"/>
      <c r="N8177" s="43"/>
      <c r="O8177" s="43"/>
      <c r="Q8177" s="44"/>
      <c r="R8177" s="44"/>
      <c r="S8177" s="44"/>
      <c r="T8177" s="44"/>
    </row>
    <row r="8178" spans="12:20" x14ac:dyDescent="0.2">
      <c r="L8178" s="43"/>
      <c r="M8178" s="43"/>
      <c r="N8178" s="43"/>
      <c r="O8178" s="43"/>
      <c r="Q8178" s="44"/>
      <c r="R8178" s="44"/>
      <c r="S8178" s="44"/>
      <c r="T8178" s="44"/>
    </row>
    <row r="8179" spans="12:20" x14ac:dyDescent="0.2">
      <c r="L8179" s="43"/>
      <c r="M8179" s="43"/>
      <c r="N8179" s="43"/>
      <c r="O8179" s="43"/>
      <c r="Q8179" s="44"/>
      <c r="R8179" s="44"/>
      <c r="S8179" s="44"/>
      <c r="T8179" s="44"/>
    </row>
    <row r="8180" spans="12:20" x14ac:dyDescent="0.2">
      <c r="L8180" s="43"/>
      <c r="M8180" s="43"/>
      <c r="N8180" s="43"/>
      <c r="O8180" s="43"/>
      <c r="Q8180" s="44"/>
      <c r="R8180" s="44"/>
      <c r="S8180" s="44"/>
      <c r="T8180" s="44"/>
    </row>
    <row r="8181" spans="12:20" x14ac:dyDescent="0.2">
      <c r="L8181" s="43"/>
      <c r="M8181" s="43"/>
      <c r="N8181" s="43"/>
      <c r="O8181" s="43"/>
      <c r="Q8181" s="44"/>
      <c r="R8181" s="44"/>
      <c r="S8181" s="44"/>
      <c r="T8181" s="44"/>
    </row>
    <row r="8182" spans="12:20" x14ac:dyDescent="0.2">
      <c r="L8182" s="43"/>
      <c r="M8182" s="43"/>
      <c r="N8182" s="43"/>
      <c r="O8182" s="43"/>
      <c r="Q8182" s="44"/>
      <c r="R8182" s="44"/>
      <c r="S8182" s="44"/>
      <c r="T8182" s="44"/>
    </row>
    <row r="8183" spans="12:20" x14ac:dyDescent="0.2">
      <c r="L8183" s="43"/>
      <c r="M8183" s="43"/>
      <c r="N8183" s="43"/>
      <c r="O8183" s="43"/>
      <c r="Q8183" s="44"/>
      <c r="R8183" s="44"/>
      <c r="S8183" s="44"/>
      <c r="T8183" s="44"/>
    </row>
    <row r="8184" spans="12:20" x14ac:dyDescent="0.2">
      <c r="L8184" s="43"/>
      <c r="M8184" s="43"/>
      <c r="N8184" s="43"/>
      <c r="O8184" s="43"/>
      <c r="Q8184" s="44"/>
      <c r="R8184" s="44"/>
      <c r="S8184" s="44"/>
      <c r="T8184" s="44"/>
    </row>
    <row r="8185" spans="12:20" x14ac:dyDescent="0.2">
      <c r="L8185" s="43"/>
      <c r="M8185" s="43"/>
      <c r="N8185" s="43"/>
      <c r="O8185" s="43"/>
      <c r="Q8185" s="44"/>
      <c r="R8185" s="44"/>
      <c r="S8185" s="44"/>
      <c r="T8185" s="44"/>
    </row>
    <row r="8186" spans="12:20" x14ac:dyDescent="0.2">
      <c r="L8186" s="43"/>
      <c r="M8186" s="43"/>
      <c r="N8186" s="43"/>
      <c r="O8186" s="43"/>
      <c r="Q8186" s="44"/>
      <c r="R8186" s="44"/>
      <c r="S8186" s="44"/>
      <c r="T8186" s="44"/>
    </row>
    <row r="8187" spans="12:20" x14ac:dyDescent="0.2">
      <c r="L8187" s="43"/>
      <c r="M8187" s="43"/>
      <c r="N8187" s="43"/>
      <c r="O8187" s="43"/>
      <c r="Q8187" s="44"/>
      <c r="R8187" s="44"/>
      <c r="S8187" s="44"/>
      <c r="T8187" s="44"/>
    </row>
    <row r="8188" spans="12:20" x14ac:dyDescent="0.2">
      <c r="L8188" s="43"/>
      <c r="M8188" s="43"/>
      <c r="N8188" s="43"/>
      <c r="O8188" s="43"/>
      <c r="Q8188" s="44"/>
      <c r="R8188" s="44"/>
      <c r="S8188" s="44"/>
      <c r="T8188" s="44"/>
    </row>
    <row r="8189" spans="12:20" x14ac:dyDescent="0.2">
      <c r="L8189" s="43"/>
      <c r="M8189" s="43"/>
      <c r="N8189" s="43"/>
      <c r="O8189" s="43"/>
      <c r="Q8189" s="44"/>
      <c r="R8189" s="44"/>
      <c r="S8189" s="44"/>
      <c r="T8189" s="44"/>
    </row>
    <row r="8190" spans="12:20" x14ac:dyDescent="0.2">
      <c r="L8190" s="43"/>
      <c r="M8190" s="43"/>
      <c r="N8190" s="43"/>
      <c r="O8190" s="43"/>
      <c r="Q8190" s="44"/>
      <c r="R8190" s="44"/>
      <c r="S8190" s="44"/>
      <c r="T8190" s="44"/>
    </row>
    <row r="8191" spans="12:20" x14ac:dyDescent="0.2">
      <c r="L8191" s="43"/>
      <c r="M8191" s="43"/>
      <c r="N8191" s="43"/>
      <c r="O8191" s="43"/>
      <c r="Q8191" s="44"/>
      <c r="R8191" s="44"/>
      <c r="S8191" s="44"/>
      <c r="T8191" s="44"/>
    </row>
    <row r="8192" spans="12:20" x14ac:dyDescent="0.2">
      <c r="L8192" s="43"/>
      <c r="M8192" s="43"/>
      <c r="N8192" s="43"/>
      <c r="O8192" s="43"/>
      <c r="Q8192" s="44"/>
      <c r="R8192" s="44"/>
      <c r="S8192" s="44"/>
      <c r="T8192" s="44"/>
    </row>
    <row r="8193" spans="12:20" x14ac:dyDescent="0.2">
      <c r="L8193" s="43"/>
      <c r="M8193" s="43"/>
      <c r="N8193" s="43"/>
      <c r="O8193" s="43"/>
      <c r="Q8193" s="44"/>
      <c r="R8193" s="44"/>
      <c r="S8193" s="44"/>
      <c r="T8193" s="44"/>
    </row>
    <row r="8194" spans="12:20" x14ac:dyDescent="0.2">
      <c r="L8194" s="43"/>
      <c r="M8194" s="43"/>
      <c r="N8194" s="43"/>
      <c r="O8194" s="43"/>
      <c r="Q8194" s="44"/>
      <c r="R8194" s="44"/>
      <c r="S8194" s="44"/>
      <c r="T8194" s="44"/>
    </row>
    <row r="8195" spans="12:20" x14ac:dyDescent="0.2">
      <c r="L8195" s="43"/>
      <c r="M8195" s="43"/>
      <c r="N8195" s="43"/>
      <c r="O8195" s="43"/>
      <c r="Q8195" s="44"/>
      <c r="R8195" s="44"/>
      <c r="S8195" s="44"/>
      <c r="T8195" s="44"/>
    </row>
    <row r="8196" spans="12:20" x14ac:dyDescent="0.2">
      <c r="L8196" s="43"/>
      <c r="M8196" s="43"/>
      <c r="N8196" s="43"/>
      <c r="O8196" s="43"/>
      <c r="Q8196" s="44"/>
      <c r="R8196" s="44"/>
      <c r="S8196" s="44"/>
      <c r="T8196" s="44"/>
    </row>
    <row r="8197" spans="12:20" x14ac:dyDescent="0.2">
      <c r="L8197" s="43"/>
      <c r="M8197" s="43"/>
      <c r="N8197" s="43"/>
      <c r="O8197" s="43"/>
      <c r="Q8197" s="44"/>
      <c r="R8197" s="44"/>
      <c r="S8197" s="44"/>
      <c r="T8197" s="44"/>
    </row>
    <row r="8198" spans="12:20" x14ac:dyDescent="0.2">
      <c r="L8198" s="43"/>
      <c r="M8198" s="43"/>
      <c r="N8198" s="43"/>
      <c r="O8198" s="43"/>
      <c r="Q8198" s="44"/>
      <c r="R8198" s="44"/>
      <c r="S8198" s="44"/>
      <c r="T8198" s="44"/>
    </row>
    <row r="8199" spans="12:20" x14ac:dyDescent="0.2">
      <c r="L8199" s="43"/>
      <c r="M8199" s="43"/>
      <c r="N8199" s="43"/>
      <c r="O8199" s="43"/>
      <c r="Q8199" s="44"/>
      <c r="R8199" s="44"/>
      <c r="S8199" s="44"/>
      <c r="T8199" s="44"/>
    </row>
    <row r="8200" spans="12:20" x14ac:dyDescent="0.2">
      <c r="L8200" s="43"/>
      <c r="M8200" s="43"/>
      <c r="N8200" s="43"/>
      <c r="O8200" s="43"/>
      <c r="Q8200" s="44"/>
      <c r="R8200" s="44"/>
      <c r="S8200" s="44"/>
      <c r="T8200" s="44"/>
    </row>
    <row r="8201" spans="12:20" x14ac:dyDescent="0.2">
      <c r="L8201" s="43"/>
      <c r="M8201" s="43"/>
      <c r="N8201" s="43"/>
      <c r="O8201" s="43"/>
      <c r="Q8201" s="44"/>
      <c r="R8201" s="44"/>
      <c r="S8201" s="44"/>
      <c r="T8201" s="44"/>
    </row>
    <row r="8202" spans="12:20" x14ac:dyDescent="0.2">
      <c r="L8202" s="43"/>
      <c r="M8202" s="43"/>
      <c r="N8202" s="43"/>
      <c r="O8202" s="43"/>
      <c r="Q8202" s="44"/>
      <c r="R8202" s="44"/>
      <c r="S8202" s="44"/>
      <c r="T8202" s="44"/>
    </row>
    <row r="8203" spans="12:20" x14ac:dyDescent="0.2">
      <c r="L8203" s="43"/>
      <c r="M8203" s="43"/>
      <c r="N8203" s="43"/>
      <c r="O8203" s="43"/>
      <c r="Q8203" s="44"/>
      <c r="R8203" s="44"/>
      <c r="S8203" s="44"/>
      <c r="T8203" s="44"/>
    </row>
    <row r="8204" spans="12:20" x14ac:dyDescent="0.2">
      <c r="L8204" s="43"/>
      <c r="M8204" s="43"/>
      <c r="N8204" s="43"/>
      <c r="O8204" s="43"/>
      <c r="Q8204" s="44"/>
      <c r="R8204" s="44"/>
      <c r="S8204" s="44"/>
      <c r="T8204" s="44"/>
    </row>
    <row r="8205" spans="12:20" x14ac:dyDescent="0.2">
      <c r="L8205" s="43"/>
      <c r="M8205" s="43"/>
      <c r="N8205" s="43"/>
      <c r="O8205" s="43"/>
      <c r="Q8205" s="44"/>
      <c r="R8205" s="44"/>
      <c r="S8205" s="44"/>
      <c r="T8205" s="44"/>
    </row>
    <row r="8206" spans="12:20" x14ac:dyDescent="0.2">
      <c r="L8206" s="43"/>
      <c r="M8206" s="43"/>
      <c r="N8206" s="43"/>
      <c r="O8206" s="43"/>
      <c r="Q8206" s="44"/>
      <c r="R8206" s="44"/>
      <c r="S8206" s="44"/>
      <c r="T8206" s="44"/>
    </row>
    <row r="8207" spans="12:20" x14ac:dyDescent="0.2">
      <c r="L8207" s="43"/>
      <c r="M8207" s="43"/>
      <c r="N8207" s="43"/>
      <c r="O8207" s="43"/>
      <c r="Q8207" s="44"/>
      <c r="R8207" s="44"/>
      <c r="S8207" s="44"/>
      <c r="T8207" s="44"/>
    </row>
    <row r="8208" spans="12:20" x14ac:dyDescent="0.2">
      <c r="L8208" s="43"/>
      <c r="M8208" s="43"/>
      <c r="N8208" s="43"/>
      <c r="O8208" s="43"/>
      <c r="Q8208" s="44"/>
      <c r="R8208" s="44"/>
      <c r="S8208" s="44"/>
      <c r="T8208" s="44"/>
    </row>
    <row r="8209" spans="12:20" x14ac:dyDescent="0.2">
      <c r="L8209" s="43"/>
      <c r="M8209" s="43"/>
      <c r="N8209" s="43"/>
      <c r="O8209" s="43"/>
      <c r="Q8209" s="44"/>
      <c r="R8209" s="44"/>
      <c r="S8209" s="44"/>
      <c r="T8209" s="44"/>
    </row>
    <row r="8210" spans="12:20" x14ac:dyDescent="0.2">
      <c r="L8210" s="43"/>
      <c r="M8210" s="43"/>
      <c r="N8210" s="43"/>
      <c r="O8210" s="43"/>
      <c r="Q8210" s="44"/>
      <c r="R8210" s="44"/>
      <c r="S8210" s="44"/>
      <c r="T8210" s="44"/>
    </row>
    <row r="8211" spans="12:20" x14ac:dyDescent="0.2">
      <c r="L8211" s="43"/>
      <c r="M8211" s="43"/>
      <c r="N8211" s="43"/>
      <c r="O8211" s="43"/>
      <c r="Q8211" s="44"/>
      <c r="R8211" s="44"/>
      <c r="S8211" s="44"/>
      <c r="T8211" s="44"/>
    </row>
    <row r="8212" spans="12:20" x14ac:dyDescent="0.2">
      <c r="L8212" s="43"/>
      <c r="M8212" s="43"/>
      <c r="N8212" s="43"/>
      <c r="O8212" s="43"/>
      <c r="Q8212" s="44"/>
      <c r="R8212" s="44"/>
      <c r="S8212" s="44"/>
      <c r="T8212" s="44"/>
    </row>
    <row r="8213" spans="12:20" x14ac:dyDescent="0.2">
      <c r="L8213" s="43"/>
      <c r="M8213" s="43"/>
      <c r="N8213" s="43"/>
      <c r="O8213" s="43"/>
      <c r="Q8213" s="44"/>
      <c r="R8213" s="44"/>
      <c r="S8213" s="44"/>
      <c r="T8213" s="44"/>
    </row>
    <row r="8214" spans="12:20" x14ac:dyDescent="0.2">
      <c r="L8214" s="43"/>
      <c r="M8214" s="43"/>
      <c r="N8214" s="43"/>
      <c r="O8214" s="43"/>
      <c r="Q8214" s="44"/>
      <c r="R8214" s="44"/>
      <c r="S8214" s="44"/>
      <c r="T8214" s="44"/>
    </row>
    <row r="8215" spans="12:20" x14ac:dyDescent="0.2">
      <c r="L8215" s="43"/>
      <c r="M8215" s="43"/>
      <c r="N8215" s="43"/>
      <c r="O8215" s="43"/>
      <c r="Q8215" s="44"/>
      <c r="R8215" s="44"/>
      <c r="S8215" s="44"/>
      <c r="T8215" s="44"/>
    </row>
    <row r="8216" spans="12:20" x14ac:dyDescent="0.2">
      <c r="L8216" s="43"/>
      <c r="M8216" s="43"/>
      <c r="N8216" s="43"/>
      <c r="O8216" s="43"/>
      <c r="Q8216" s="44"/>
      <c r="R8216" s="44"/>
      <c r="S8216" s="44"/>
      <c r="T8216" s="44"/>
    </row>
    <row r="8217" spans="12:20" x14ac:dyDescent="0.2">
      <c r="L8217" s="43"/>
      <c r="M8217" s="43"/>
      <c r="N8217" s="43"/>
      <c r="O8217" s="43"/>
      <c r="Q8217" s="44"/>
      <c r="R8217" s="44"/>
      <c r="S8217" s="44"/>
      <c r="T8217" s="44"/>
    </row>
    <row r="8218" spans="12:20" x14ac:dyDescent="0.2">
      <c r="L8218" s="43"/>
      <c r="M8218" s="43"/>
      <c r="N8218" s="43"/>
      <c r="O8218" s="43"/>
      <c r="Q8218" s="44"/>
      <c r="R8218" s="44"/>
      <c r="S8218" s="44"/>
      <c r="T8218" s="44"/>
    </row>
    <row r="8219" spans="12:20" x14ac:dyDescent="0.2">
      <c r="L8219" s="43"/>
      <c r="M8219" s="43"/>
      <c r="N8219" s="43"/>
      <c r="O8219" s="43"/>
      <c r="Q8219" s="44"/>
      <c r="R8219" s="44"/>
      <c r="S8219" s="44"/>
      <c r="T8219" s="44"/>
    </row>
    <row r="8220" spans="12:20" x14ac:dyDescent="0.2">
      <c r="L8220" s="43"/>
      <c r="M8220" s="43"/>
      <c r="N8220" s="43"/>
      <c r="O8220" s="43"/>
      <c r="Q8220" s="44"/>
      <c r="R8220" s="44"/>
      <c r="S8220" s="44"/>
      <c r="T8220" s="44"/>
    </row>
    <row r="8221" spans="12:20" x14ac:dyDescent="0.2">
      <c r="L8221" s="43"/>
      <c r="M8221" s="43"/>
      <c r="N8221" s="43"/>
      <c r="O8221" s="43"/>
      <c r="Q8221" s="44"/>
      <c r="R8221" s="44"/>
      <c r="S8221" s="44"/>
      <c r="T8221" s="44"/>
    </row>
    <row r="8222" spans="12:20" x14ac:dyDescent="0.2">
      <c r="L8222" s="43"/>
      <c r="M8222" s="43"/>
      <c r="N8222" s="43"/>
      <c r="O8222" s="43"/>
      <c r="Q8222" s="44"/>
      <c r="R8222" s="44"/>
      <c r="S8222" s="44"/>
      <c r="T8222" s="44"/>
    </row>
    <row r="8223" spans="12:20" x14ac:dyDescent="0.2">
      <c r="L8223" s="43"/>
      <c r="M8223" s="43"/>
      <c r="N8223" s="43"/>
      <c r="O8223" s="43"/>
      <c r="Q8223" s="44"/>
      <c r="R8223" s="44"/>
      <c r="S8223" s="44"/>
      <c r="T8223" s="44"/>
    </row>
    <row r="8224" spans="12:20" x14ac:dyDescent="0.2">
      <c r="L8224" s="43"/>
      <c r="M8224" s="43"/>
      <c r="N8224" s="43"/>
      <c r="O8224" s="43"/>
      <c r="Q8224" s="44"/>
      <c r="R8224" s="44"/>
      <c r="S8224" s="44"/>
      <c r="T8224" s="44"/>
    </row>
    <row r="8225" spans="12:20" x14ac:dyDescent="0.2">
      <c r="L8225" s="43"/>
      <c r="M8225" s="43"/>
      <c r="N8225" s="43"/>
      <c r="O8225" s="43"/>
      <c r="Q8225" s="44"/>
      <c r="R8225" s="44"/>
      <c r="S8225" s="44"/>
      <c r="T8225" s="44"/>
    </row>
    <row r="8226" spans="12:20" x14ac:dyDescent="0.2">
      <c r="L8226" s="43"/>
      <c r="M8226" s="43"/>
      <c r="N8226" s="43"/>
      <c r="O8226" s="43"/>
      <c r="Q8226" s="44"/>
      <c r="R8226" s="44"/>
      <c r="S8226" s="44"/>
      <c r="T8226" s="44"/>
    </row>
    <row r="8227" spans="12:20" x14ac:dyDescent="0.2">
      <c r="L8227" s="43"/>
      <c r="M8227" s="43"/>
      <c r="N8227" s="43"/>
      <c r="O8227" s="43"/>
      <c r="Q8227" s="44"/>
      <c r="R8227" s="44"/>
      <c r="S8227" s="44"/>
      <c r="T8227" s="44"/>
    </row>
    <row r="8228" spans="12:20" x14ac:dyDescent="0.2">
      <c r="L8228" s="43"/>
      <c r="M8228" s="43"/>
      <c r="N8228" s="43"/>
      <c r="O8228" s="43"/>
      <c r="Q8228" s="44"/>
      <c r="R8228" s="44"/>
      <c r="S8228" s="44"/>
      <c r="T8228" s="44"/>
    </row>
    <row r="8229" spans="12:20" x14ac:dyDescent="0.2">
      <c r="L8229" s="43"/>
      <c r="M8229" s="43"/>
      <c r="N8229" s="43"/>
      <c r="O8229" s="43"/>
      <c r="Q8229" s="44"/>
      <c r="R8229" s="44"/>
      <c r="S8229" s="44"/>
      <c r="T8229" s="44"/>
    </row>
    <row r="8230" spans="12:20" x14ac:dyDescent="0.2">
      <c r="L8230" s="43"/>
      <c r="M8230" s="43"/>
      <c r="N8230" s="43"/>
      <c r="O8230" s="43"/>
      <c r="Q8230" s="44"/>
      <c r="R8230" s="44"/>
      <c r="S8230" s="44"/>
      <c r="T8230" s="44"/>
    </row>
    <row r="8231" spans="12:20" x14ac:dyDescent="0.2">
      <c r="L8231" s="43"/>
      <c r="M8231" s="43"/>
      <c r="N8231" s="43"/>
      <c r="O8231" s="43"/>
      <c r="Q8231" s="44"/>
      <c r="R8231" s="44"/>
      <c r="S8231" s="44"/>
      <c r="T8231" s="44"/>
    </row>
    <row r="8232" spans="12:20" x14ac:dyDescent="0.2">
      <c r="L8232" s="43"/>
      <c r="M8232" s="43"/>
      <c r="N8232" s="43"/>
      <c r="O8232" s="43"/>
      <c r="Q8232" s="44"/>
      <c r="R8232" s="44"/>
      <c r="S8232" s="44"/>
      <c r="T8232" s="44"/>
    </row>
    <row r="8233" spans="12:20" x14ac:dyDescent="0.2">
      <c r="L8233" s="43"/>
      <c r="M8233" s="43"/>
      <c r="N8233" s="43"/>
      <c r="O8233" s="43"/>
      <c r="Q8233" s="44"/>
      <c r="R8233" s="44"/>
      <c r="S8233" s="44"/>
      <c r="T8233" s="44"/>
    </row>
    <row r="8234" spans="12:20" x14ac:dyDescent="0.2">
      <c r="L8234" s="43"/>
      <c r="M8234" s="43"/>
      <c r="N8234" s="43"/>
      <c r="O8234" s="43"/>
      <c r="Q8234" s="44"/>
      <c r="R8234" s="44"/>
      <c r="S8234" s="44"/>
      <c r="T8234" s="44"/>
    </row>
    <row r="8235" spans="12:20" x14ac:dyDescent="0.2">
      <c r="L8235" s="43"/>
      <c r="M8235" s="43"/>
      <c r="N8235" s="43"/>
      <c r="O8235" s="43"/>
      <c r="Q8235" s="44"/>
      <c r="R8235" s="44"/>
      <c r="S8235" s="44"/>
      <c r="T8235" s="44"/>
    </row>
    <row r="8236" spans="12:20" x14ac:dyDescent="0.2">
      <c r="L8236" s="43"/>
      <c r="M8236" s="43"/>
      <c r="N8236" s="43"/>
      <c r="O8236" s="43"/>
      <c r="Q8236" s="44"/>
      <c r="R8236" s="44"/>
      <c r="S8236" s="44"/>
      <c r="T8236" s="44"/>
    </row>
    <row r="8237" spans="12:20" x14ac:dyDescent="0.2">
      <c r="L8237" s="43"/>
      <c r="M8237" s="43"/>
      <c r="N8237" s="43"/>
      <c r="O8237" s="43"/>
      <c r="Q8237" s="44"/>
      <c r="R8237" s="44"/>
      <c r="S8237" s="44"/>
      <c r="T8237" s="44"/>
    </row>
    <row r="8238" spans="12:20" x14ac:dyDescent="0.2">
      <c r="L8238" s="43"/>
      <c r="M8238" s="43"/>
      <c r="N8238" s="43"/>
      <c r="O8238" s="43"/>
      <c r="Q8238" s="44"/>
      <c r="R8238" s="44"/>
      <c r="S8238" s="44"/>
      <c r="T8238" s="44"/>
    </row>
    <row r="8239" spans="12:20" x14ac:dyDescent="0.2">
      <c r="L8239" s="43"/>
      <c r="M8239" s="43"/>
      <c r="N8239" s="43"/>
      <c r="O8239" s="43"/>
      <c r="Q8239" s="44"/>
      <c r="R8239" s="44"/>
      <c r="S8239" s="44"/>
      <c r="T8239" s="44"/>
    </row>
    <row r="8240" spans="12:20" x14ac:dyDescent="0.2">
      <c r="L8240" s="43"/>
      <c r="M8240" s="43"/>
      <c r="N8240" s="43"/>
      <c r="O8240" s="43"/>
      <c r="Q8240" s="44"/>
      <c r="R8240" s="44"/>
      <c r="S8240" s="44"/>
      <c r="T8240" s="44"/>
    </row>
    <row r="8241" spans="12:20" x14ac:dyDescent="0.2">
      <c r="L8241" s="43"/>
      <c r="M8241" s="43"/>
      <c r="N8241" s="43"/>
      <c r="O8241" s="43"/>
      <c r="Q8241" s="44"/>
      <c r="R8241" s="44"/>
      <c r="S8241" s="44"/>
      <c r="T8241" s="44"/>
    </row>
    <row r="8242" spans="12:20" x14ac:dyDescent="0.2">
      <c r="L8242" s="43"/>
      <c r="M8242" s="43"/>
      <c r="N8242" s="43"/>
      <c r="O8242" s="43"/>
      <c r="Q8242" s="44"/>
      <c r="R8242" s="44"/>
      <c r="S8242" s="44"/>
      <c r="T8242" s="44"/>
    </row>
    <row r="8243" spans="12:20" x14ac:dyDescent="0.2">
      <c r="L8243" s="43"/>
      <c r="M8243" s="43"/>
      <c r="N8243" s="43"/>
      <c r="O8243" s="43"/>
      <c r="Q8243" s="44"/>
      <c r="R8243" s="44"/>
      <c r="S8243" s="44"/>
      <c r="T8243" s="44"/>
    </row>
    <row r="8244" spans="12:20" x14ac:dyDescent="0.2">
      <c r="L8244" s="43"/>
      <c r="M8244" s="43"/>
      <c r="N8244" s="43"/>
      <c r="O8244" s="43"/>
      <c r="Q8244" s="44"/>
      <c r="R8244" s="44"/>
      <c r="S8244" s="44"/>
      <c r="T8244" s="44"/>
    </row>
    <row r="8245" spans="12:20" x14ac:dyDescent="0.2">
      <c r="L8245" s="43"/>
      <c r="M8245" s="43"/>
      <c r="N8245" s="43"/>
      <c r="O8245" s="43"/>
      <c r="Q8245" s="44"/>
      <c r="R8245" s="44"/>
      <c r="S8245" s="44"/>
      <c r="T8245" s="44"/>
    </row>
    <row r="8246" spans="12:20" x14ac:dyDescent="0.2">
      <c r="L8246" s="43"/>
      <c r="M8246" s="43"/>
      <c r="N8246" s="43"/>
      <c r="O8246" s="43"/>
      <c r="Q8246" s="44"/>
      <c r="R8246" s="44"/>
      <c r="S8246" s="44"/>
      <c r="T8246" s="44"/>
    </row>
    <row r="8247" spans="12:20" x14ac:dyDescent="0.2">
      <c r="L8247" s="43"/>
      <c r="M8247" s="43"/>
      <c r="N8247" s="43"/>
      <c r="O8247" s="43"/>
      <c r="Q8247" s="44"/>
      <c r="R8247" s="44"/>
      <c r="S8247" s="44"/>
      <c r="T8247" s="44"/>
    </row>
    <row r="8248" spans="12:20" x14ac:dyDescent="0.2">
      <c r="L8248" s="43"/>
      <c r="M8248" s="43"/>
      <c r="N8248" s="43"/>
      <c r="O8248" s="43"/>
      <c r="Q8248" s="44"/>
      <c r="R8248" s="44"/>
      <c r="S8248" s="44"/>
      <c r="T8248" s="44"/>
    </row>
    <row r="8249" spans="12:20" x14ac:dyDescent="0.2">
      <c r="L8249" s="43"/>
      <c r="M8249" s="43"/>
      <c r="N8249" s="43"/>
      <c r="O8249" s="43"/>
      <c r="Q8249" s="44"/>
      <c r="R8249" s="44"/>
      <c r="S8249" s="44"/>
      <c r="T8249" s="44"/>
    </row>
    <row r="8250" spans="12:20" x14ac:dyDescent="0.2">
      <c r="L8250" s="43"/>
      <c r="M8250" s="43"/>
      <c r="N8250" s="43"/>
      <c r="O8250" s="43"/>
      <c r="Q8250" s="44"/>
      <c r="R8250" s="44"/>
      <c r="S8250" s="44"/>
      <c r="T8250" s="44"/>
    </row>
    <row r="8251" spans="12:20" x14ac:dyDescent="0.2">
      <c r="L8251" s="43"/>
      <c r="M8251" s="43"/>
      <c r="N8251" s="43"/>
      <c r="O8251" s="43"/>
      <c r="Q8251" s="44"/>
      <c r="R8251" s="44"/>
      <c r="S8251" s="44"/>
      <c r="T8251" s="44"/>
    </row>
    <row r="8252" spans="12:20" x14ac:dyDescent="0.2">
      <c r="L8252" s="43"/>
      <c r="M8252" s="43"/>
      <c r="N8252" s="43"/>
      <c r="O8252" s="43"/>
      <c r="Q8252" s="44"/>
      <c r="R8252" s="44"/>
      <c r="S8252" s="44"/>
      <c r="T8252" s="44"/>
    </row>
    <row r="8253" spans="12:20" x14ac:dyDescent="0.2">
      <c r="L8253" s="43"/>
      <c r="M8253" s="43"/>
      <c r="N8253" s="43"/>
      <c r="O8253" s="43"/>
      <c r="Q8253" s="44"/>
      <c r="R8253" s="44"/>
      <c r="S8253" s="44"/>
      <c r="T8253" s="44"/>
    </row>
    <row r="8254" spans="12:20" x14ac:dyDescent="0.2">
      <c r="L8254" s="43"/>
      <c r="M8254" s="43"/>
      <c r="N8254" s="43"/>
      <c r="O8254" s="43"/>
      <c r="Q8254" s="44"/>
      <c r="R8254" s="44"/>
      <c r="S8254" s="44"/>
      <c r="T8254" s="44"/>
    </row>
    <row r="8255" spans="12:20" x14ac:dyDescent="0.2">
      <c r="L8255" s="43"/>
      <c r="M8255" s="43"/>
      <c r="N8255" s="43"/>
      <c r="O8255" s="43"/>
      <c r="Q8255" s="44"/>
      <c r="R8255" s="44"/>
      <c r="S8255" s="44"/>
      <c r="T8255" s="44"/>
    </row>
    <row r="8256" spans="12:20" x14ac:dyDescent="0.2">
      <c r="L8256" s="43"/>
      <c r="M8256" s="43"/>
      <c r="N8256" s="43"/>
      <c r="O8256" s="43"/>
      <c r="Q8256" s="44"/>
      <c r="R8256" s="44"/>
      <c r="S8256" s="44"/>
      <c r="T8256" s="44"/>
    </row>
    <row r="8257" spans="12:20" x14ac:dyDescent="0.2">
      <c r="L8257" s="43"/>
      <c r="M8257" s="43"/>
      <c r="N8257" s="43"/>
      <c r="O8257" s="43"/>
      <c r="Q8257" s="44"/>
      <c r="R8257" s="44"/>
      <c r="S8257" s="44"/>
      <c r="T8257" s="44"/>
    </row>
    <row r="8258" spans="12:20" x14ac:dyDescent="0.2">
      <c r="L8258" s="43"/>
      <c r="M8258" s="43"/>
      <c r="N8258" s="43"/>
      <c r="O8258" s="43"/>
      <c r="Q8258" s="44"/>
      <c r="R8258" s="44"/>
      <c r="S8258" s="44"/>
      <c r="T8258" s="44"/>
    </row>
    <row r="8259" spans="12:20" x14ac:dyDescent="0.2">
      <c r="L8259" s="43"/>
      <c r="M8259" s="43"/>
      <c r="N8259" s="43"/>
      <c r="O8259" s="43"/>
      <c r="Q8259" s="44"/>
      <c r="R8259" s="44"/>
      <c r="S8259" s="44"/>
      <c r="T8259" s="44"/>
    </row>
    <row r="8260" spans="12:20" x14ac:dyDescent="0.2">
      <c r="L8260" s="43"/>
      <c r="M8260" s="43"/>
      <c r="N8260" s="43"/>
      <c r="O8260" s="43"/>
      <c r="Q8260" s="44"/>
      <c r="R8260" s="44"/>
      <c r="S8260" s="44"/>
      <c r="T8260" s="44"/>
    </row>
    <row r="8261" spans="12:20" x14ac:dyDescent="0.2">
      <c r="L8261" s="43"/>
      <c r="M8261" s="43"/>
      <c r="N8261" s="43"/>
      <c r="O8261" s="43"/>
      <c r="Q8261" s="44"/>
      <c r="R8261" s="44"/>
      <c r="S8261" s="44"/>
      <c r="T8261" s="44"/>
    </row>
    <row r="8262" spans="12:20" x14ac:dyDescent="0.2">
      <c r="L8262" s="43"/>
      <c r="M8262" s="43"/>
      <c r="N8262" s="43"/>
      <c r="O8262" s="43"/>
      <c r="Q8262" s="44"/>
      <c r="R8262" s="44"/>
      <c r="S8262" s="44"/>
      <c r="T8262" s="44"/>
    </row>
    <row r="8263" spans="12:20" x14ac:dyDescent="0.2">
      <c r="L8263" s="43"/>
      <c r="M8263" s="43"/>
      <c r="N8263" s="43"/>
      <c r="O8263" s="43"/>
      <c r="Q8263" s="44"/>
      <c r="R8263" s="44"/>
      <c r="S8263" s="44"/>
      <c r="T8263" s="44"/>
    </row>
    <row r="8264" spans="12:20" x14ac:dyDescent="0.2">
      <c r="L8264" s="43"/>
      <c r="M8264" s="43"/>
      <c r="N8264" s="43"/>
      <c r="O8264" s="43"/>
      <c r="Q8264" s="44"/>
      <c r="R8264" s="44"/>
      <c r="S8264" s="44"/>
      <c r="T8264" s="44"/>
    </row>
    <row r="8265" spans="12:20" x14ac:dyDescent="0.2">
      <c r="L8265" s="43"/>
      <c r="M8265" s="43"/>
      <c r="N8265" s="43"/>
      <c r="O8265" s="43"/>
      <c r="Q8265" s="44"/>
      <c r="R8265" s="44"/>
      <c r="S8265" s="44"/>
      <c r="T8265" s="44"/>
    </row>
    <row r="8266" spans="12:20" x14ac:dyDescent="0.2">
      <c r="L8266" s="43"/>
      <c r="M8266" s="43"/>
      <c r="N8266" s="43"/>
      <c r="O8266" s="43"/>
      <c r="Q8266" s="44"/>
      <c r="R8266" s="44"/>
      <c r="S8266" s="44"/>
      <c r="T8266" s="44"/>
    </row>
    <row r="8267" spans="12:20" x14ac:dyDescent="0.2">
      <c r="L8267" s="43"/>
      <c r="M8267" s="43"/>
      <c r="N8267" s="43"/>
      <c r="O8267" s="43"/>
      <c r="Q8267" s="44"/>
      <c r="R8267" s="44"/>
      <c r="S8267" s="44"/>
      <c r="T8267" s="44"/>
    </row>
    <row r="8268" spans="12:20" x14ac:dyDescent="0.2">
      <c r="L8268" s="43"/>
      <c r="M8268" s="43"/>
      <c r="N8268" s="43"/>
      <c r="O8268" s="43"/>
      <c r="Q8268" s="44"/>
      <c r="R8268" s="44"/>
      <c r="S8268" s="44"/>
      <c r="T8268" s="44"/>
    </row>
    <row r="8269" spans="12:20" x14ac:dyDescent="0.2">
      <c r="L8269" s="43"/>
      <c r="M8269" s="43"/>
      <c r="N8269" s="43"/>
      <c r="O8269" s="43"/>
      <c r="Q8269" s="44"/>
      <c r="R8269" s="44"/>
      <c r="S8269" s="44"/>
      <c r="T8269" s="44"/>
    </row>
    <row r="8270" spans="12:20" x14ac:dyDescent="0.2">
      <c r="L8270" s="43"/>
      <c r="M8270" s="43"/>
      <c r="N8270" s="43"/>
      <c r="O8270" s="43"/>
      <c r="Q8270" s="44"/>
      <c r="R8270" s="44"/>
      <c r="S8270" s="44"/>
      <c r="T8270" s="44"/>
    </row>
    <row r="8271" spans="12:20" x14ac:dyDescent="0.2">
      <c r="L8271" s="43"/>
      <c r="M8271" s="43"/>
      <c r="N8271" s="43"/>
      <c r="O8271" s="43"/>
      <c r="Q8271" s="44"/>
      <c r="R8271" s="44"/>
      <c r="S8271" s="44"/>
      <c r="T8271" s="44"/>
    </row>
    <row r="8272" spans="12:20" x14ac:dyDescent="0.2">
      <c r="L8272" s="43"/>
      <c r="M8272" s="43"/>
      <c r="N8272" s="43"/>
      <c r="O8272" s="43"/>
      <c r="Q8272" s="44"/>
      <c r="R8272" s="44"/>
      <c r="S8272" s="44"/>
      <c r="T8272" s="44"/>
    </row>
    <row r="8273" spans="12:20" x14ac:dyDescent="0.2">
      <c r="L8273" s="43"/>
      <c r="M8273" s="43"/>
      <c r="N8273" s="43"/>
      <c r="O8273" s="43"/>
      <c r="Q8273" s="44"/>
      <c r="R8273" s="44"/>
      <c r="S8273" s="44"/>
      <c r="T8273" s="44"/>
    </row>
    <row r="8274" spans="12:20" x14ac:dyDescent="0.2">
      <c r="L8274" s="43"/>
      <c r="M8274" s="43"/>
      <c r="N8274" s="43"/>
      <c r="O8274" s="43"/>
      <c r="Q8274" s="44"/>
      <c r="R8274" s="44"/>
      <c r="S8274" s="44"/>
      <c r="T8274" s="44"/>
    </row>
    <row r="8275" spans="12:20" x14ac:dyDescent="0.2">
      <c r="L8275" s="43"/>
      <c r="M8275" s="43"/>
      <c r="N8275" s="43"/>
      <c r="O8275" s="43"/>
      <c r="Q8275" s="44"/>
      <c r="R8275" s="44"/>
      <c r="S8275" s="44"/>
      <c r="T8275" s="44"/>
    </row>
    <row r="8276" spans="12:20" x14ac:dyDescent="0.2">
      <c r="L8276" s="43"/>
      <c r="M8276" s="43"/>
      <c r="N8276" s="43"/>
      <c r="O8276" s="43"/>
      <c r="Q8276" s="44"/>
      <c r="R8276" s="44"/>
      <c r="S8276" s="44"/>
      <c r="T8276" s="44"/>
    </row>
    <row r="8277" spans="12:20" x14ac:dyDescent="0.2">
      <c r="L8277" s="43"/>
      <c r="M8277" s="43"/>
      <c r="N8277" s="43"/>
      <c r="O8277" s="43"/>
      <c r="Q8277" s="44"/>
      <c r="R8277" s="44"/>
      <c r="S8277" s="44"/>
      <c r="T8277" s="44"/>
    </row>
    <row r="8278" spans="12:20" x14ac:dyDescent="0.2">
      <c r="L8278" s="43"/>
      <c r="M8278" s="43"/>
      <c r="N8278" s="43"/>
      <c r="O8278" s="43"/>
      <c r="Q8278" s="44"/>
      <c r="R8278" s="44"/>
      <c r="S8278" s="44"/>
      <c r="T8278" s="44"/>
    </row>
    <row r="8279" spans="12:20" x14ac:dyDescent="0.2">
      <c r="L8279" s="43"/>
      <c r="M8279" s="43"/>
      <c r="N8279" s="43"/>
      <c r="O8279" s="43"/>
      <c r="Q8279" s="44"/>
      <c r="R8279" s="44"/>
      <c r="S8279" s="44"/>
      <c r="T8279" s="44"/>
    </row>
    <row r="8280" spans="12:20" x14ac:dyDescent="0.2">
      <c r="L8280" s="43"/>
      <c r="M8280" s="43"/>
      <c r="N8280" s="43"/>
      <c r="O8280" s="43"/>
      <c r="Q8280" s="44"/>
      <c r="R8280" s="44"/>
      <c r="S8280" s="44"/>
      <c r="T8280" s="44"/>
    </row>
    <row r="8281" spans="12:20" x14ac:dyDescent="0.2">
      <c r="L8281" s="43"/>
      <c r="M8281" s="43"/>
      <c r="N8281" s="43"/>
      <c r="O8281" s="43"/>
      <c r="Q8281" s="44"/>
      <c r="R8281" s="44"/>
      <c r="S8281" s="44"/>
      <c r="T8281" s="44"/>
    </row>
    <row r="8282" spans="12:20" x14ac:dyDescent="0.2">
      <c r="L8282" s="43"/>
      <c r="M8282" s="43"/>
      <c r="N8282" s="43"/>
      <c r="O8282" s="43"/>
      <c r="Q8282" s="44"/>
      <c r="R8282" s="44"/>
      <c r="S8282" s="44"/>
      <c r="T8282" s="44"/>
    </row>
    <row r="8283" spans="12:20" x14ac:dyDescent="0.2">
      <c r="L8283" s="43"/>
      <c r="M8283" s="43"/>
      <c r="N8283" s="43"/>
      <c r="O8283" s="43"/>
      <c r="Q8283" s="44"/>
      <c r="R8283" s="44"/>
      <c r="S8283" s="44"/>
      <c r="T8283" s="44"/>
    </row>
    <row r="8284" spans="12:20" x14ac:dyDescent="0.2">
      <c r="L8284" s="43"/>
      <c r="M8284" s="43"/>
      <c r="N8284" s="43"/>
      <c r="O8284" s="43"/>
      <c r="Q8284" s="44"/>
      <c r="R8284" s="44"/>
      <c r="S8284" s="44"/>
      <c r="T8284" s="44"/>
    </row>
    <row r="8285" spans="12:20" x14ac:dyDescent="0.2">
      <c r="L8285" s="43"/>
      <c r="M8285" s="43"/>
      <c r="N8285" s="43"/>
      <c r="O8285" s="43"/>
      <c r="Q8285" s="44"/>
      <c r="R8285" s="44"/>
      <c r="S8285" s="44"/>
      <c r="T8285" s="44"/>
    </row>
    <row r="8286" spans="12:20" x14ac:dyDescent="0.2">
      <c r="L8286" s="43"/>
      <c r="M8286" s="43"/>
      <c r="N8286" s="43"/>
      <c r="O8286" s="43"/>
      <c r="Q8286" s="44"/>
      <c r="R8286" s="44"/>
      <c r="S8286" s="44"/>
      <c r="T8286" s="44"/>
    </row>
    <row r="8287" spans="12:20" x14ac:dyDescent="0.2">
      <c r="L8287" s="43"/>
      <c r="M8287" s="43"/>
      <c r="N8287" s="43"/>
      <c r="O8287" s="43"/>
      <c r="Q8287" s="44"/>
      <c r="R8287" s="44"/>
      <c r="S8287" s="44"/>
      <c r="T8287" s="44"/>
    </row>
    <row r="8288" spans="12:20" x14ac:dyDescent="0.2">
      <c r="L8288" s="43"/>
      <c r="M8288" s="43"/>
      <c r="N8288" s="43"/>
      <c r="O8288" s="43"/>
      <c r="Q8288" s="44"/>
      <c r="R8288" s="44"/>
      <c r="S8288" s="44"/>
      <c r="T8288" s="44"/>
    </row>
    <row r="8289" spans="12:20" x14ac:dyDescent="0.2">
      <c r="L8289" s="43"/>
      <c r="M8289" s="43"/>
      <c r="N8289" s="43"/>
      <c r="O8289" s="43"/>
      <c r="Q8289" s="44"/>
      <c r="R8289" s="44"/>
      <c r="S8289" s="44"/>
      <c r="T8289" s="44"/>
    </row>
    <row r="8290" spans="12:20" x14ac:dyDescent="0.2">
      <c r="L8290" s="43"/>
      <c r="M8290" s="43"/>
      <c r="N8290" s="43"/>
      <c r="O8290" s="43"/>
      <c r="Q8290" s="44"/>
      <c r="R8290" s="44"/>
      <c r="S8290" s="44"/>
      <c r="T8290" s="44"/>
    </row>
    <row r="8291" spans="12:20" x14ac:dyDescent="0.2">
      <c r="L8291" s="43"/>
      <c r="M8291" s="43"/>
      <c r="N8291" s="43"/>
      <c r="O8291" s="43"/>
      <c r="Q8291" s="44"/>
      <c r="R8291" s="44"/>
      <c r="S8291" s="44"/>
      <c r="T8291" s="44"/>
    </row>
    <row r="8292" spans="12:20" x14ac:dyDescent="0.2">
      <c r="L8292" s="43"/>
      <c r="M8292" s="43"/>
      <c r="N8292" s="43"/>
      <c r="O8292" s="43"/>
      <c r="Q8292" s="44"/>
      <c r="R8292" s="44"/>
      <c r="S8292" s="44"/>
      <c r="T8292" s="44"/>
    </row>
    <row r="8293" spans="12:20" x14ac:dyDescent="0.2">
      <c r="L8293" s="43"/>
      <c r="M8293" s="43"/>
      <c r="N8293" s="43"/>
      <c r="O8293" s="43"/>
      <c r="Q8293" s="44"/>
      <c r="R8293" s="44"/>
      <c r="S8293" s="44"/>
      <c r="T8293" s="44"/>
    </row>
    <row r="8294" spans="12:20" x14ac:dyDescent="0.2">
      <c r="L8294" s="43"/>
      <c r="M8294" s="43"/>
      <c r="N8294" s="43"/>
      <c r="O8294" s="43"/>
      <c r="Q8294" s="44"/>
      <c r="R8294" s="44"/>
      <c r="S8294" s="44"/>
      <c r="T8294" s="44"/>
    </row>
    <row r="8295" spans="12:20" x14ac:dyDescent="0.2">
      <c r="L8295" s="43"/>
      <c r="M8295" s="43"/>
      <c r="N8295" s="43"/>
      <c r="O8295" s="43"/>
      <c r="Q8295" s="44"/>
      <c r="R8295" s="44"/>
      <c r="S8295" s="44"/>
      <c r="T8295" s="44"/>
    </row>
    <row r="8296" spans="12:20" x14ac:dyDescent="0.2">
      <c r="L8296" s="43"/>
      <c r="M8296" s="43"/>
      <c r="N8296" s="43"/>
      <c r="O8296" s="43"/>
      <c r="Q8296" s="44"/>
      <c r="R8296" s="44"/>
      <c r="S8296" s="44"/>
      <c r="T8296" s="44"/>
    </row>
    <row r="8297" spans="12:20" x14ac:dyDescent="0.2">
      <c r="L8297" s="43"/>
      <c r="M8297" s="43"/>
      <c r="N8297" s="43"/>
      <c r="O8297" s="43"/>
      <c r="Q8297" s="44"/>
      <c r="R8297" s="44"/>
      <c r="S8297" s="44"/>
      <c r="T8297" s="44"/>
    </row>
    <row r="8298" spans="12:20" x14ac:dyDescent="0.2">
      <c r="L8298" s="43"/>
      <c r="M8298" s="43"/>
      <c r="N8298" s="43"/>
      <c r="O8298" s="43"/>
      <c r="Q8298" s="44"/>
      <c r="R8298" s="44"/>
      <c r="S8298" s="44"/>
      <c r="T8298" s="44"/>
    </row>
    <row r="8299" spans="12:20" x14ac:dyDescent="0.2">
      <c r="L8299" s="43"/>
      <c r="M8299" s="43"/>
      <c r="N8299" s="43"/>
      <c r="O8299" s="43"/>
      <c r="Q8299" s="44"/>
      <c r="R8299" s="44"/>
      <c r="S8299" s="44"/>
      <c r="T8299" s="44"/>
    </row>
    <row r="8300" spans="12:20" x14ac:dyDescent="0.2">
      <c r="L8300" s="43"/>
      <c r="M8300" s="43"/>
      <c r="N8300" s="43"/>
      <c r="O8300" s="43"/>
      <c r="Q8300" s="44"/>
      <c r="R8300" s="44"/>
      <c r="S8300" s="44"/>
      <c r="T8300" s="44"/>
    </row>
    <row r="8301" spans="12:20" x14ac:dyDescent="0.2">
      <c r="L8301" s="43"/>
      <c r="M8301" s="43"/>
      <c r="N8301" s="43"/>
      <c r="O8301" s="43"/>
      <c r="Q8301" s="44"/>
      <c r="R8301" s="44"/>
      <c r="S8301" s="44"/>
      <c r="T8301" s="44"/>
    </row>
    <row r="8302" spans="12:20" x14ac:dyDescent="0.2">
      <c r="L8302" s="43"/>
      <c r="M8302" s="43"/>
      <c r="N8302" s="43"/>
      <c r="O8302" s="43"/>
      <c r="Q8302" s="44"/>
      <c r="R8302" s="44"/>
      <c r="S8302" s="44"/>
      <c r="T8302" s="44"/>
    </row>
    <row r="8303" spans="12:20" x14ac:dyDescent="0.2">
      <c r="L8303" s="43"/>
      <c r="M8303" s="43"/>
      <c r="N8303" s="43"/>
      <c r="O8303" s="43"/>
      <c r="Q8303" s="44"/>
      <c r="R8303" s="44"/>
      <c r="S8303" s="44"/>
      <c r="T8303" s="44"/>
    </row>
    <row r="8304" spans="12:20" x14ac:dyDescent="0.2">
      <c r="L8304" s="43"/>
      <c r="M8304" s="43"/>
      <c r="N8304" s="43"/>
      <c r="O8304" s="43"/>
      <c r="Q8304" s="44"/>
      <c r="R8304" s="44"/>
      <c r="S8304" s="44"/>
      <c r="T8304" s="44"/>
    </row>
    <row r="8305" spans="12:20" x14ac:dyDescent="0.2">
      <c r="L8305" s="43"/>
      <c r="M8305" s="43"/>
      <c r="N8305" s="43"/>
      <c r="O8305" s="43"/>
      <c r="Q8305" s="44"/>
      <c r="R8305" s="44"/>
      <c r="S8305" s="44"/>
      <c r="T8305" s="44"/>
    </row>
    <row r="8306" spans="12:20" x14ac:dyDescent="0.2">
      <c r="L8306" s="43"/>
      <c r="M8306" s="43"/>
      <c r="N8306" s="43"/>
      <c r="O8306" s="43"/>
      <c r="Q8306" s="44"/>
      <c r="R8306" s="44"/>
      <c r="S8306" s="44"/>
      <c r="T8306" s="44"/>
    </row>
    <row r="8307" spans="12:20" x14ac:dyDescent="0.2">
      <c r="L8307" s="43"/>
      <c r="M8307" s="43"/>
      <c r="N8307" s="43"/>
      <c r="O8307" s="43"/>
      <c r="Q8307" s="44"/>
      <c r="R8307" s="44"/>
      <c r="S8307" s="44"/>
      <c r="T8307" s="44"/>
    </row>
    <row r="8308" spans="12:20" x14ac:dyDescent="0.2">
      <c r="L8308" s="43"/>
      <c r="M8308" s="43"/>
      <c r="N8308" s="43"/>
      <c r="O8308" s="43"/>
      <c r="Q8308" s="44"/>
      <c r="R8308" s="44"/>
      <c r="S8308" s="44"/>
      <c r="T8308" s="44"/>
    </row>
    <row r="8309" spans="12:20" x14ac:dyDescent="0.2">
      <c r="L8309" s="43"/>
      <c r="M8309" s="43"/>
      <c r="N8309" s="43"/>
      <c r="O8309" s="43"/>
      <c r="Q8309" s="44"/>
      <c r="R8309" s="44"/>
      <c r="S8309" s="44"/>
      <c r="T8309" s="44"/>
    </row>
    <row r="8310" spans="12:20" x14ac:dyDescent="0.2">
      <c r="L8310" s="43"/>
      <c r="M8310" s="43"/>
      <c r="N8310" s="43"/>
      <c r="O8310" s="43"/>
      <c r="Q8310" s="44"/>
      <c r="R8310" s="44"/>
      <c r="S8310" s="44"/>
      <c r="T8310" s="44"/>
    </row>
    <row r="8311" spans="12:20" x14ac:dyDescent="0.2">
      <c r="L8311" s="43"/>
      <c r="M8311" s="43"/>
      <c r="N8311" s="43"/>
      <c r="O8311" s="43"/>
      <c r="Q8311" s="44"/>
      <c r="R8311" s="44"/>
      <c r="S8311" s="44"/>
      <c r="T8311" s="44"/>
    </row>
    <row r="8312" spans="12:20" x14ac:dyDescent="0.2">
      <c r="L8312" s="43"/>
      <c r="M8312" s="43"/>
      <c r="N8312" s="43"/>
      <c r="O8312" s="43"/>
      <c r="Q8312" s="44"/>
      <c r="R8312" s="44"/>
      <c r="S8312" s="44"/>
      <c r="T8312" s="44"/>
    </row>
    <row r="8313" spans="12:20" x14ac:dyDescent="0.2">
      <c r="L8313" s="43"/>
      <c r="M8313" s="43"/>
      <c r="N8313" s="43"/>
      <c r="O8313" s="43"/>
      <c r="Q8313" s="44"/>
      <c r="R8313" s="44"/>
      <c r="S8313" s="44"/>
      <c r="T8313" s="44"/>
    </row>
    <row r="8314" spans="12:20" x14ac:dyDescent="0.2">
      <c r="L8314" s="43"/>
      <c r="M8314" s="43"/>
      <c r="N8314" s="43"/>
      <c r="O8314" s="43"/>
      <c r="Q8314" s="44"/>
      <c r="R8314" s="44"/>
      <c r="S8314" s="44"/>
      <c r="T8314" s="44"/>
    </row>
    <row r="8315" spans="12:20" x14ac:dyDescent="0.2">
      <c r="L8315" s="43"/>
      <c r="M8315" s="43"/>
      <c r="N8315" s="43"/>
      <c r="O8315" s="43"/>
      <c r="Q8315" s="44"/>
      <c r="R8315" s="44"/>
      <c r="S8315" s="44"/>
      <c r="T8315" s="44"/>
    </row>
    <row r="8316" spans="12:20" x14ac:dyDescent="0.2">
      <c r="L8316" s="43"/>
      <c r="M8316" s="43"/>
      <c r="N8316" s="43"/>
      <c r="O8316" s="43"/>
      <c r="Q8316" s="44"/>
      <c r="R8316" s="44"/>
      <c r="S8316" s="44"/>
      <c r="T8316" s="44"/>
    </row>
    <row r="8317" spans="12:20" x14ac:dyDescent="0.2">
      <c r="L8317" s="43"/>
      <c r="M8317" s="43"/>
      <c r="N8317" s="43"/>
      <c r="O8317" s="43"/>
      <c r="Q8317" s="44"/>
      <c r="R8317" s="44"/>
      <c r="S8317" s="44"/>
      <c r="T8317" s="44"/>
    </row>
    <row r="8318" spans="12:20" x14ac:dyDescent="0.2">
      <c r="L8318" s="43"/>
      <c r="M8318" s="43"/>
      <c r="N8318" s="43"/>
      <c r="O8318" s="43"/>
      <c r="Q8318" s="44"/>
      <c r="R8318" s="44"/>
      <c r="S8318" s="44"/>
      <c r="T8318" s="44"/>
    </row>
    <row r="8319" spans="12:20" x14ac:dyDescent="0.2">
      <c r="L8319" s="43"/>
      <c r="M8319" s="43"/>
      <c r="N8319" s="43"/>
      <c r="O8319" s="43"/>
      <c r="Q8319" s="44"/>
      <c r="R8319" s="44"/>
      <c r="S8319" s="44"/>
      <c r="T8319" s="44"/>
    </row>
    <row r="8320" spans="12:20" x14ac:dyDescent="0.2">
      <c r="L8320" s="43"/>
      <c r="M8320" s="43"/>
      <c r="N8320" s="43"/>
      <c r="O8320" s="43"/>
      <c r="Q8320" s="44"/>
      <c r="R8320" s="44"/>
      <c r="S8320" s="44"/>
      <c r="T8320" s="44"/>
    </row>
    <row r="8321" spans="12:20" x14ac:dyDescent="0.2">
      <c r="L8321" s="43"/>
      <c r="M8321" s="43"/>
      <c r="N8321" s="43"/>
      <c r="O8321" s="43"/>
      <c r="Q8321" s="44"/>
      <c r="R8321" s="44"/>
      <c r="S8321" s="44"/>
      <c r="T8321" s="44"/>
    </row>
    <row r="8322" spans="12:20" x14ac:dyDescent="0.2">
      <c r="L8322" s="43"/>
      <c r="M8322" s="43"/>
      <c r="N8322" s="43"/>
      <c r="O8322" s="43"/>
      <c r="Q8322" s="44"/>
      <c r="R8322" s="44"/>
      <c r="S8322" s="44"/>
      <c r="T8322" s="44"/>
    </row>
    <row r="8323" spans="12:20" x14ac:dyDescent="0.2">
      <c r="L8323" s="43"/>
      <c r="M8323" s="43"/>
      <c r="N8323" s="43"/>
      <c r="O8323" s="43"/>
      <c r="Q8323" s="44"/>
      <c r="R8323" s="44"/>
      <c r="S8323" s="44"/>
      <c r="T8323" s="44"/>
    </row>
    <row r="8324" spans="12:20" x14ac:dyDescent="0.2">
      <c r="L8324" s="43"/>
      <c r="M8324" s="43"/>
      <c r="N8324" s="43"/>
      <c r="O8324" s="43"/>
      <c r="Q8324" s="44"/>
      <c r="R8324" s="44"/>
      <c r="S8324" s="44"/>
      <c r="T8324" s="44"/>
    </row>
    <row r="8325" spans="12:20" x14ac:dyDescent="0.2">
      <c r="L8325" s="43"/>
      <c r="M8325" s="43"/>
      <c r="N8325" s="43"/>
      <c r="O8325" s="43"/>
      <c r="Q8325" s="44"/>
      <c r="R8325" s="44"/>
      <c r="S8325" s="44"/>
      <c r="T8325" s="44"/>
    </row>
    <row r="8326" spans="12:20" x14ac:dyDescent="0.2">
      <c r="L8326" s="43"/>
      <c r="M8326" s="43"/>
      <c r="N8326" s="43"/>
      <c r="O8326" s="43"/>
      <c r="Q8326" s="44"/>
      <c r="R8326" s="44"/>
      <c r="S8326" s="44"/>
      <c r="T8326" s="44"/>
    </row>
    <row r="8327" spans="12:20" x14ac:dyDescent="0.2">
      <c r="L8327" s="43"/>
      <c r="M8327" s="43"/>
      <c r="N8327" s="43"/>
      <c r="O8327" s="43"/>
      <c r="Q8327" s="44"/>
      <c r="R8327" s="44"/>
      <c r="S8327" s="44"/>
      <c r="T8327" s="44"/>
    </row>
    <row r="8328" spans="12:20" x14ac:dyDescent="0.2">
      <c r="L8328" s="43"/>
      <c r="M8328" s="43"/>
      <c r="N8328" s="43"/>
      <c r="O8328" s="43"/>
      <c r="Q8328" s="44"/>
      <c r="R8328" s="44"/>
      <c r="S8328" s="44"/>
      <c r="T8328" s="44"/>
    </row>
    <row r="8329" spans="12:20" x14ac:dyDescent="0.2">
      <c r="L8329" s="43"/>
      <c r="M8329" s="43"/>
      <c r="N8329" s="43"/>
      <c r="O8329" s="43"/>
      <c r="Q8329" s="44"/>
      <c r="R8329" s="44"/>
      <c r="S8329" s="44"/>
      <c r="T8329" s="44"/>
    </row>
    <row r="8330" spans="12:20" x14ac:dyDescent="0.2">
      <c r="L8330" s="43"/>
      <c r="M8330" s="43"/>
      <c r="N8330" s="43"/>
      <c r="O8330" s="43"/>
      <c r="Q8330" s="44"/>
      <c r="R8330" s="44"/>
      <c r="S8330" s="44"/>
      <c r="T8330" s="44"/>
    </row>
    <row r="8331" spans="12:20" x14ac:dyDescent="0.2">
      <c r="L8331" s="43"/>
      <c r="M8331" s="43"/>
      <c r="N8331" s="43"/>
      <c r="O8331" s="43"/>
      <c r="Q8331" s="44"/>
      <c r="R8331" s="44"/>
      <c r="S8331" s="44"/>
      <c r="T8331" s="44"/>
    </row>
    <row r="8332" spans="12:20" x14ac:dyDescent="0.2">
      <c r="L8332" s="43"/>
      <c r="M8332" s="43"/>
      <c r="N8332" s="43"/>
      <c r="O8332" s="43"/>
      <c r="Q8332" s="44"/>
      <c r="R8332" s="44"/>
      <c r="S8332" s="44"/>
      <c r="T8332" s="44"/>
    </row>
    <row r="8333" spans="12:20" x14ac:dyDescent="0.2">
      <c r="L8333" s="43"/>
      <c r="M8333" s="43"/>
      <c r="N8333" s="43"/>
      <c r="O8333" s="43"/>
      <c r="Q8333" s="44"/>
      <c r="R8333" s="44"/>
      <c r="S8333" s="44"/>
      <c r="T8333" s="44"/>
    </row>
    <row r="8334" spans="12:20" x14ac:dyDescent="0.2">
      <c r="L8334" s="43"/>
      <c r="M8334" s="43"/>
      <c r="N8334" s="43"/>
      <c r="O8334" s="43"/>
      <c r="Q8334" s="44"/>
      <c r="R8334" s="44"/>
      <c r="S8334" s="44"/>
      <c r="T8334" s="44"/>
    </row>
    <row r="8335" spans="12:20" x14ac:dyDescent="0.2">
      <c r="L8335" s="43"/>
      <c r="M8335" s="43"/>
      <c r="N8335" s="43"/>
      <c r="O8335" s="43"/>
      <c r="Q8335" s="44"/>
      <c r="R8335" s="44"/>
      <c r="S8335" s="44"/>
      <c r="T8335" s="44"/>
    </row>
    <row r="8336" spans="12:20" x14ac:dyDescent="0.2">
      <c r="L8336" s="43"/>
      <c r="M8336" s="43"/>
      <c r="N8336" s="43"/>
      <c r="O8336" s="43"/>
      <c r="Q8336" s="44"/>
      <c r="R8336" s="44"/>
      <c r="S8336" s="44"/>
      <c r="T8336" s="44"/>
    </row>
    <row r="8337" spans="12:20" x14ac:dyDescent="0.2">
      <c r="L8337" s="43"/>
      <c r="M8337" s="43"/>
      <c r="N8337" s="43"/>
      <c r="O8337" s="43"/>
      <c r="Q8337" s="44"/>
      <c r="R8337" s="44"/>
      <c r="S8337" s="44"/>
      <c r="T8337" s="44"/>
    </row>
    <row r="8338" spans="12:20" x14ac:dyDescent="0.2">
      <c r="L8338" s="43"/>
      <c r="M8338" s="43"/>
      <c r="N8338" s="43"/>
      <c r="O8338" s="43"/>
      <c r="Q8338" s="44"/>
      <c r="R8338" s="44"/>
      <c r="S8338" s="44"/>
      <c r="T8338" s="44"/>
    </row>
    <row r="8339" spans="12:20" x14ac:dyDescent="0.2">
      <c r="L8339" s="43"/>
      <c r="M8339" s="43"/>
      <c r="N8339" s="43"/>
      <c r="O8339" s="43"/>
      <c r="Q8339" s="44"/>
      <c r="R8339" s="44"/>
      <c r="S8339" s="44"/>
      <c r="T8339" s="44"/>
    </row>
    <row r="8340" spans="12:20" x14ac:dyDescent="0.2">
      <c r="L8340" s="43"/>
      <c r="M8340" s="43"/>
      <c r="N8340" s="43"/>
      <c r="O8340" s="43"/>
      <c r="Q8340" s="44"/>
      <c r="R8340" s="44"/>
      <c r="S8340" s="44"/>
      <c r="T8340" s="44"/>
    </row>
    <row r="8341" spans="12:20" x14ac:dyDescent="0.2">
      <c r="L8341" s="43"/>
      <c r="M8341" s="43"/>
      <c r="N8341" s="43"/>
      <c r="O8341" s="43"/>
      <c r="Q8341" s="44"/>
      <c r="R8341" s="44"/>
      <c r="S8341" s="44"/>
      <c r="T8341" s="44"/>
    </row>
    <row r="8342" spans="12:20" x14ac:dyDescent="0.2">
      <c r="L8342" s="43"/>
      <c r="M8342" s="43"/>
      <c r="N8342" s="43"/>
      <c r="O8342" s="43"/>
      <c r="Q8342" s="44"/>
      <c r="R8342" s="44"/>
      <c r="S8342" s="44"/>
      <c r="T8342" s="44"/>
    </row>
    <row r="8343" spans="12:20" x14ac:dyDescent="0.2">
      <c r="L8343" s="43"/>
      <c r="M8343" s="43"/>
      <c r="N8343" s="43"/>
      <c r="O8343" s="43"/>
      <c r="Q8343" s="44"/>
      <c r="R8343" s="44"/>
      <c r="S8343" s="44"/>
      <c r="T8343" s="44"/>
    </row>
    <row r="8344" spans="12:20" x14ac:dyDescent="0.2">
      <c r="L8344" s="43"/>
      <c r="M8344" s="43"/>
      <c r="N8344" s="43"/>
      <c r="O8344" s="43"/>
      <c r="Q8344" s="44"/>
      <c r="R8344" s="44"/>
      <c r="S8344" s="44"/>
      <c r="T8344" s="44"/>
    </row>
    <row r="8345" spans="12:20" x14ac:dyDescent="0.2">
      <c r="L8345" s="43"/>
      <c r="M8345" s="43"/>
      <c r="N8345" s="43"/>
      <c r="O8345" s="43"/>
      <c r="Q8345" s="44"/>
      <c r="R8345" s="44"/>
      <c r="S8345" s="44"/>
      <c r="T8345" s="44"/>
    </row>
    <row r="8346" spans="12:20" x14ac:dyDescent="0.2">
      <c r="L8346" s="43"/>
      <c r="M8346" s="43"/>
      <c r="N8346" s="43"/>
      <c r="O8346" s="43"/>
      <c r="Q8346" s="44"/>
      <c r="R8346" s="44"/>
      <c r="S8346" s="44"/>
      <c r="T8346" s="44"/>
    </row>
    <row r="8347" spans="12:20" x14ac:dyDescent="0.2">
      <c r="L8347" s="43"/>
      <c r="M8347" s="43"/>
      <c r="N8347" s="43"/>
      <c r="O8347" s="43"/>
      <c r="Q8347" s="44"/>
      <c r="R8347" s="44"/>
      <c r="S8347" s="44"/>
      <c r="T8347" s="44"/>
    </row>
    <row r="8348" spans="12:20" x14ac:dyDescent="0.2">
      <c r="L8348" s="43"/>
      <c r="M8348" s="43"/>
      <c r="N8348" s="43"/>
      <c r="O8348" s="43"/>
      <c r="Q8348" s="44"/>
      <c r="R8348" s="44"/>
      <c r="S8348" s="44"/>
      <c r="T8348" s="44"/>
    </row>
    <row r="8349" spans="12:20" x14ac:dyDescent="0.2">
      <c r="L8349" s="43"/>
      <c r="M8349" s="43"/>
      <c r="N8349" s="43"/>
      <c r="O8349" s="43"/>
      <c r="Q8349" s="44"/>
      <c r="R8349" s="44"/>
      <c r="S8349" s="44"/>
      <c r="T8349" s="44"/>
    </row>
    <row r="8350" spans="12:20" x14ac:dyDescent="0.2">
      <c r="L8350" s="43"/>
      <c r="M8350" s="43"/>
      <c r="N8350" s="43"/>
      <c r="O8350" s="43"/>
      <c r="Q8350" s="44"/>
      <c r="R8350" s="44"/>
      <c r="S8350" s="44"/>
      <c r="T8350" s="44"/>
    </row>
    <row r="8351" spans="12:20" x14ac:dyDescent="0.2">
      <c r="L8351" s="43"/>
      <c r="M8351" s="43"/>
      <c r="N8351" s="43"/>
      <c r="O8351" s="43"/>
      <c r="Q8351" s="44"/>
      <c r="R8351" s="44"/>
      <c r="S8351" s="44"/>
      <c r="T8351" s="44"/>
    </row>
    <row r="8352" spans="12:20" x14ac:dyDescent="0.2">
      <c r="L8352" s="43"/>
      <c r="M8352" s="43"/>
      <c r="N8352" s="43"/>
      <c r="O8352" s="43"/>
      <c r="Q8352" s="44"/>
      <c r="R8352" s="44"/>
      <c r="S8352" s="44"/>
      <c r="T8352" s="44"/>
    </row>
    <row r="8353" spans="12:20" x14ac:dyDescent="0.2">
      <c r="L8353" s="43"/>
      <c r="M8353" s="43"/>
      <c r="N8353" s="43"/>
      <c r="O8353" s="43"/>
      <c r="Q8353" s="44"/>
      <c r="R8353" s="44"/>
      <c r="S8353" s="44"/>
      <c r="T8353" s="44"/>
    </row>
    <row r="8354" spans="12:20" x14ac:dyDescent="0.2">
      <c r="L8354" s="43"/>
      <c r="M8354" s="43"/>
      <c r="N8354" s="43"/>
      <c r="O8354" s="43"/>
      <c r="Q8354" s="44"/>
      <c r="R8354" s="44"/>
      <c r="S8354" s="44"/>
      <c r="T8354" s="44"/>
    </row>
    <row r="8355" spans="12:20" x14ac:dyDescent="0.2">
      <c r="L8355" s="43"/>
      <c r="M8355" s="43"/>
      <c r="N8355" s="43"/>
      <c r="O8355" s="43"/>
      <c r="Q8355" s="44"/>
      <c r="R8355" s="44"/>
      <c r="S8355" s="44"/>
      <c r="T8355" s="44"/>
    </row>
    <row r="8356" spans="12:20" x14ac:dyDescent="0.2">
      <c r="L8356" s="43"/>
      <c r="M8356" s="43"/>
      <c r="N8356" s="43"/>
      <c r="O8356" s="43"/>
      <c r="Q8356" s="44"/>
      <c r="R8356" s="44"/>
      <c r="S8356" s="44"/>
      <c r="T8356" s="44"/>
    </row>
    <row r="8357" spans="12:20" x14ac:dyDescent="0.2">
      <c r="L8357" s="43"/>
      <c r="M8357" s="43"/>
      <c r="N8357" s="43"/>
      <c r="O8357" s="43"/>
      <c r="Q8357" s="44"/>
      <c r="R8357" s="44"/>
      <c r="S8357" s="44"/>
      <c r="T8357" s="44"/>
    </row>
    <row r="8358" spans="12:20" x14ac:dyDescent="0.2">
      <c r="L8358" s="43"/>
      <c r="M8358" s="43"/>
      <c r="N8358" s="43"/>
      <c r="O8358" s="43"/>
      <c r="Q8358" s="44"/>
      <c r="R8358" s="44"/>
      <c r="S8358" s="44"/>
      <c r="T8358" s="44"/>
    </row>
    <row r="8359" spans="12:20" x14ac:dyDescent="0.2">
      <c r="L8359" s="43"/>
      <c r="M8359" s="43"/>
      <c r="N8359" s="43"/>
      <c r="O8359" s="43"/>
      <c r="Q8359" s="44"/>
      <c r="R8359" s="44"/>
      <c r="S8359" s="44"/>
      <c r="T8359" s="44"/>
    </row>
    <row r="8360" spans="12:20" x14ac:dyDescent="0.2">
      <c r="L8360" s="43"/>
      <c r="M8360" s="43"/>
      <c r="N8360" s="43"/>
      <c r="O8360" s="43"/>
      <c r="Q8360" s="44"/>
      <c r="R8360" s="44"/>
      <c r="S8360" s="44"/>
      <c r="T8360" s="44"/>
    </row>
    <row r="8361" spans="12:20" x14ac:dyDescent="0.2">
      <c r="L8361" s="43"/>
      <c r="M8361" s="43"/>
      <c r="N8361" s="43"/>
      <c r="O8361" s="43"/>
      <c r="Q8361" s="44"/>
      <c r="R8361" s="44"/>
      <c r="S8361" s="44"/>
      <c r="T8361" s="44"/>
    </row>
    <row r="8362" spans="12:20" x14ac:dyDescent="0.2">
      <c r="L8362" s="43"/>
      <c r="M8362" s="43"/>
      <c r="N8362" s="43"/>
      <c r="O8362" s="43"/>
      <c r="Q8362" s="44"/>
      <c r="R8362" s="44"/>
      <c r="S8362" s="44"/>
      <c r="T8362" s="44"/>
    </row>
    <row r="8363" spans="12:20" x14ac:dyDescent="0.2">
      <c r="L8363" s="43"/>
      <c r="M8363" s="43"/>
      <c r="N8363" s="43"/>
      <c r="O8363" s="43"/>
      <c r="Q8363" s="44"/>
      <c r="R8363" s="44"/>
      <c r="S8363" s="44"/>
      <c r="T8363" s="44"/>
    </row>
    <row r="8364" spans="12:20" x14ac:dyDescent="0.2">
      <c r="L8364" s="43"/>
      <c r="M8364" s="43"/>
      <c r="N8364" s="43"/>
      <c r="O8364" s="43"/>
      <c r="Q8364" s="44"/>
      <c r="R8364" s="44"/>
      <c r="S8364" s="44"/>
      <c r="T8364" s="44"/>
    </row>
    <row r="8365" spans="12:20" x14ac:dyDescent="0.2">
      <c r="L8365" s="43"/>
      <c r="M8365" s="43"/>
      <c r="N8365" s="43"/>
      <c r="O8365" s="43"/>
      <c r="Q8365" s="44"/>
      <c r="R8365" s="44"/>
      <c r="S8365" s="44"/>
      <c r="T8365" s="44"/>
    </row>
    <row r="8366" spans="12:20" x14ac:dyDescent="0.2">
      <c r="L8366" s="43"/>
      <c r="M8366" s="43"/>
      <c r="N8366" s="43"/>
      <c r="O8366" s="43"/>
      <c r="Q8366" s="44"/>
      <c r="R8366" s="44"/>
      <c r="S8366" s="44"/>
      <c r="T8366" s="44"/>
    </row>
    <row r="8367" spans="12:20" x14ac:dyDescent="0.2">
      <c r="L8367" s="43"/>
      <c r="M8367" s="43"/>
      <c r="N8367" s="43"/>
      <c r="O8367" s="43"/>
      <c r="Q8367" s="44"/>
      <c r="R8367" s="44"/>
      <c r="S8367" s="44"/>
      <c r="T8367" s="44"/>
    </row>
    <row r="8368" spans="12:20" x14ac:dyDescent="0.2">
      <c r="L8368" s="43"/>
      <c r="M8368" s="43"/>
      <c r="N8368" s="43"/>
      <c r="O8368" s="43"/>
      <c r="Q8368" s="44"/>
      <c r="R8368" s="44"/>
      <c r="S8368" s="44"/>
      <c r="T8368" s="44"/>
    </row>
    <row r="8369" spans="12:20" x14ac:dyDescent="0.2">
      <c r="L8369" s="43"/>
      <c r="M8369" s="43"/>
      <c r="N8369" s="43"/>
      <c r="O8369" s="43"/>
      <c r="Q8369" s="44"/>
      <c r="R8369" s="44"/>
      <c r="S8369" s="44"/>
      <c r="T8369" s="44"/>
    </row>
    <row r="8370" spans="12:20" x14ac:dyDescent="0.2">
      <c r="L8370" s="43"/>
      <c r="M8370" s="43"/>
      <c r="N8370" s="43"/>
      <c r="O8370" s="43"/>
      <c r="Q8370" s="44"/>
      <c r="R8370" s="44"/>
      <c r="S8370" s="44"/>
      <c r="T8370" s="44"/>
    </row>
    <row r="8371" spans="12:20" x14ac:dyDescent="0.2">
      <c r="L8371" s="43"/>
      <c r="M8371" s="43"/>
      <c r="N8371" s="43"/>
      <c r="O8371" s="43"/>
      <c r="Q8371" s="44"/>
      <c r="R8371" s="44"/>
      <c r="S8371" s="44"/>
      <c r="T8371" s="44"/>
    </row>
    <row r="8372" spans="12:20" x14ac:dyDescent="0.2">
      <c r="L8372" s="43"/>
      <c r="M8372" s="43"/>
      <c r="N8372" s="43"/>
      <c r="O8372" s="43"/>
      <c r="Q8372" s="44"/>
      <c r="R8372" s="44"/>
      <c r="S8372" s="44"/>
      <c r="T8372" s="44"/>
    </row>
    <row r="8373" spans="12:20" x14ac:dyDescent="0.2">
      <c r="L8373" s="43"/>
      <c r="M8373" s="43"/>
      <c r="N8373" s="43"/>
      <c r="O8373" s="43"/>
      <c r="Q8373" s="44"/>
      <c r="R8373" s="44"/>
      <c r="S8373" s="44"/>
      <c r="T8373" s="44"/>
    </row>
    <row r="8374" spans="12:20" x14ac:dyDescent="0.2">
      <c r="L8374" s="43"/>
      <c r="M8374" s="43"/>
      <c r="N8374" s="43"/>
      <c r="O8374" s="43"/>
      <c r="Q8374" s="44"/>
      <c r="R8374" s="44"/>
      <c r="S8374" s="44"/>
      <c r="T8374" s="44"/>
    </row>
    <row r="8375" spans="12:20" x14ac:dyDescent="0.2">
      <c r="L8375" s="43"/>
      <c r="M8375" s="43"/>
      <c r="N8375" s="43"/>
      <c r="O8375" s="43"/>
      <c r="Q8375" s="44"/>
      <c r="R8375" s="44"/>
      <c r="S8375" s="44"/>
      <c r="T8375" s="44"/>
    </row>
    <row r="8376" spans="12:20" x14ac:dyDescent="0.2">
      <c r="L8376" s="43"/>
      <c r="M8376" s="43"/>
      <c r="N8376" s="43"/>
      <c r="O8376" s="43"/>
      <c r="Q8376" s="44"/>
      <c r="R8376" s="44"/>
      <c r="S8376" s="44"/>
      <c r="T8376" s="44"/>
    </row>
    <row r="8377" spans="12:20" x14ac:dyDescent="0.2">
      <c r="L8377" s="43"/>
      <c r="M8377" s="43"/>
      <c r="N8377" s="43"/>
      <c r="O8377" s="43"/>
      <c r="Q8377" s="44"/>
      <c r="R8377" s="44"/>
      <c r="S8377" s="44"/>
      <c r="T8377" s="44"/>
    </row>
    <row r="8378" spans="12:20" x14ac:dyDescent="0.2">
      <c r="L8378" s="43"/>
      <c r="M8378" s="43"/>
      <c r="N8378" s="43"/>
      <c r="O8378" s="43"/>
      <c r="Q8378" s="44"/>
      <c r="R8378" s="44"/>
      <c r="S8378" s="44"/>
      <c r="T8378" s="44"/>
    </row>
    <row r="8379" spans="12:20" x14ac:dyDescent="0.2">
      <c r="L8379" s="43"/>
      <c r="M8379" s="43"/>
      <c r="N8379" s="43"/>
      <c r="O8379" s="43"/>
      <c r="Q8379" s="44"/>
      <c r="R8379" s="44"/>
      <c r="S8379" s="44"/>
      <c r="T8379" s="44"/>
    </row>
    <row r="8380" spans="12:20" x14ac:dyDescent="0.2">
      <c r="L8380" s="43"/>
      <c r="M8380" s="43"/>
      <c r="N8380" s="43"/>
      <c r="O8380" s="43"/>
      <c r="Q8380" s="44"/>
      <c r="R8380" s="44"/>
      <c r="S8380" s="44"/>
      <c r="T8380" s="44"/>
    </row>
    <row r="8381" spans="12:20" x14ac:dyDescent="0.2">
      <c r="L8381" s="43"/>
      <c r="M8381" s="43"/>
      <c r="N8381" s="43"/>
      <c r="O8381" s="43"/>
      <c r="Q8381" s="44"/>
      <c r="R8381" s="44"/>
      <c r="S8381" s="44"/>
      <c r="T8381" s="44"/>
    </row>
    <row r="8382" spans="12:20" x14ac:dyDescent="0.2">
      <c r="L8382" s="43"/>
      <c r="M8382" s="43"/>
      <c r="N8382" s="43"/>
      <c r="O8382" s="43"/>
      <c r="Q8382" s="44"/>
      <c r="R8382" s="44"/>
      <c r="S8382" s="44"/>
      <c r="T8382" s="44"/>
    </row>
    <row r="8383" spans="12:20" x14ac:dyDescent="0.2">
      <c r="L8383" s="43"/>
      <c r="M8383" s="43"/>
      <c r="N8383" s="43"/>
      <c r="O8383" s="43"/>
      <c r="Q8383" s="44"/>
      <c r="R8383" s="44"/>
      <c r="S8383" s="44"/>
      <c r="T8383" s="44"/>
    </row>
    <row r="8384" spans="12:20" x14ac:dyDescent="0.2">
      <c r="L8384" s="43"/>
      <c r="M8384" s="43"/>
      <c r="N8384" s="43"/>
      <c r="O8384" s="43"/>
      <c r="Q8384" s="44"/>
      <c r="R8384" s="44"/>
      <c r="S8384" s="44"/>
      <c r="T8384" s="44"/>
    </row>
    <row r="8385" spans="12:20" x14ac:dyDescent="0.2">
      <c r="L8385" s="43"/>
      <c r="M8385" s="43"/>
      <c r="N8385" s="43"/>
      <c r="O8385" s="43"/>
      <c r="Q8385" s="44"/>
      <c r="R8385" s="44"/>
      <c r="S8385" s="44"/>
      <c r="T8385" s="44"/>
    </row>
    <row r="8386" spans="12:20" x14ac:dyDescent="0.2">
      <c r="L8386" s="43"/>
      <c r="M8386" s="43"/>
      <c r="N8386" s="43"/>
      <c r="O8386" s="43"/>
      <c r="Q8386" s="44"/>
      <c r="R8386" s="44"/>
      <c r="S8386" s="44"/>
      <c r="T8386" s="44"/>
    </row>
    <row r="8387" spans="12:20" x14ac:dyDescent="0.2">
      <c r="L8387" s="43"/>
      <c r="M8387" s="43"/>
      <c r="N8387" s="43"/>
      <c r="O8387" s="43"/>
      <c r="Q8387" s="44"/>
      <c r="R8387" s="44"/>
      <c r="S8387" s="44"/>
      <c r="T8387" s="44"/>
    </row>
    <row r="8388" spans="12:20" x14ac:dyDescent="0.2">
      <c r="L8388" s="43"/>
      <c r="M8388" s="43"/>
      <c r="N8388" s="43"/>
      <c r="O8388" s="43"/>
      <c r="Q8388" s="44"/>
      <c r="R8388" s="44"/>
      <c r="S8388" s="44"/>
      <c r="T8388" s="44"/>
    </row>
    <row r="8389" spans="12:20" x14ac:dyDescent="0.2">
      <c r="L8389" s="43"/>
      <c r="M8389" s="43"/>
      <c r="N8389" s="43"/>
      <c r="O8389" s="43"/>
      <c r="Q8389" s="44"/>
      <c r="R8389" s="44"/>
      <c r="S8389" s="44"/>
      <c r="T8389" s="44"/>
    </row>
    <row r="8390" spans="12:20" x14ac:dyDescent="0.2">
      <c r="L8390" s="43"/>
      <c r="M8390" s="43"/>
      <c r="N8390" s="43"/>
      <c r="O8390" s="43"/>
      <c r="Q8390" s="44"/>
      <c r="R8390" s="44"/>
      <c r="S8390" s="44"/>
      <c r="T8390" s="44"/>
    </row>
    <row r="8391" spans="12:20" x14ac:dyDescent="0.2">
      <c r="L8391" s="43"/>
      <c r="M8391" s="43"/>
      <c r="N8391" s="43"/>
      <c r="O8391" s="43"/>
      <c r="Q8391" s="44"/>
      <c r="R8391" s="44"/>
      <c r="S8391" s="44"/>
      <c r="T8391" s="44"/>
    </row>
    <row r="8392" spans="12:20" x14ac:dyDescent="0.2">
      <c r="L8392" s="43"/>
      <c r="M8392" s="43"/>
      <c r="N8392" s="43"/>
      <c r="O8392" s="43"/>
      <c r="Q8392" s="44"/>
      <c r="R8392" s="44"/>
      <c r="S8392" s="44"/>
      <c r="T8392" s="44"/>
    </row>
    <row r="8393" spans="12:20" x14ac:dyDescent="0.2">
      <c r="L8393" s="43"/>
      <c r="M8393" s="43"/>
      <c r="N8393" s="43"/>
      <c r="O8393" s="43"/>
      <c r="Q8393" s="44"/>
      <c r="R8393" s="44"/>
      <c r="S8393" s="44"/>
      <c r="T8393" s="44"/>
    </row>
    <row r="8394" spans="12:20" x14ac:dyDescent="0.2">
      <c r="L8394" s="43"/>
      <c r="M8394" s="43"/>
      <c r="N8394" s="43"/>
      <c r="O8394" s="43"/>
      <c r="Q8394" s="44"/>
      <c r="R8394" s="44"/>
      <c r="S8394" s="44"/>
      <c r="T8394" s="44"/>
    </row>
    <row r="8395" spans="12:20" x14ac:dyDescent="0.2">
      <c r="L8395" s="43"/>
      <c r="M8395" s="43"/>
      <c r="N8395" s="43"/>
      <c r="O8395" s="43"/>
      <c r="Q8395" s="44"/>
      <c r="R8395" s="44"/>
      <c r="S8395" s="44"/>
      <c r="T8395" s="44"/>
    </row>
    <row r="8396" spans="12:20" x14ac:dyDescent="0.2">
      <c r="L8396" s="43"/>
      <c r="M8396" s="43"/>
      <c r="N8396" s="43"/>
      <c r="O8396" s="43"/>
      <c r="Q8396" s="44"/>
      <c r="R8396" s="44"/>
      <c r="S8396" s="44"/>
      <c r="T8396" s="44"/>
    </row>
    <row r="8397" spans="12:20" x14ac:dyDescent="0.2">
      <c r="L8397" s="43"/>
      <c r="M8397" s="43"/>
      <c r="N8397" s="43"/>
      <c r="O8397" s="43"/>
      <c r="Q8397" s="44"/>
      <c r="R8397" s="44"/>
      <c r="S8397" s="44"/>
      <c r="T8397" s="44"/>
    </row>
    <row r="8398" spans="12:20" x14ac:dyDescent="0.2">
      <c r="L8398" s="43"/>
      <c r="M8398" s="43"/>
      <c r="N8398" s="43"/>
      <c r="O8398" s="43"/>
      <c r="Q8398" s="44"/>
      <c r="R8398" s="44"/>
      <c r="S8398" s="44"/>
      <c r="T8398" s="44"/>
    </row>
    <row r="8399" spans="12:20" x14ac:dyDescent="0.2">
      <c r="L8399" s="43"/>
      <c r="M8399" s="43"/>
      <c r="N8399" s="43"/>
      <c r="O8399" s="43"/>
      <c r="Q8399" s="44"/>
      <c r="R8399" s="44"/>
      <c r="S8399" s="44"/>
      <c r="T8399" s="44"/>
    </row>
    <row r="8400" spans="12:20" x14ac:dyDescent="0.2">
      <c r="L8400" s="43"/>
      <c r="M8400" s="43"/>
      <c r="N8400" s="43"/>
      <c r="O8400" s="43"/>
      <c r="Q8400" s="44"/>
      <c r="R8400" s="44"/>
      <c r="S8400" s="44"/>
      <c r="T8400" s="44"/>
    </row>
    <row r="8401" spans="12:20" x14ac:dyDescent="0.2">
      <c r="L8401" s="43"/>
      <c r="M8401" s="43"/>
      <c r="N8401" s="43"/>
      <c r="O8401" s="43"/>
      <c r="Q8401" s="44"/>
      <c r="R8401" s="44"/>
      <c r="S8401" s="44"/>
      <c r="T8401" s="44"/>
    </row>
    <row r="8402" spans="12:20" x14ac:dyDescent="0.2">
      <c r="L8402" s="43"/>
      <c r="M8402" s="43"/>
      <c r="N8402" s="43"/>
      <c r="O8402" s="43"/>
      <c r="Q8402" s="44"/>
      <c r="R8402" s="44"/>
      <c r="S8402" s="44"/>
      <c r="T8402" s="44"/>
    </row>
    <row r="8403" spans="12:20" x14ac:dyDescent="0.2">
      <c r="L8403" s="43"/>
      <c r="M8403" s="43"/>
      <c r="N8403" s="43"/>
      <c r="O8403" s="43"/>
      <c r="Q8403" s="44"/>
      <c r="R8403" s="44"/>
      <c r="S8403" s="44"/>
      <c r="T8403" s="44"/>
    </row>
    <row r="8404" spans="12:20" x14ac:dyDescent="0.2">
      <c r="L8404" s="43"/>
      <c r="M8404" s="43"/>
      <c r="N8404" s="43"/>
      <c r="O8404" s="43"/>
      <c r="Q8404" s="44"/>
      <c r="R8404" s="44"/>
      <c r="S8404" s="44"/>
      <c r="T8404" s="44"/>
    </row>
    <row r="8405" spans="12:20" x14ac:dyDescent="0.2">
      <c r="L8405" s="43"/>
      <c r="M8405" s="43"/>
      <c r="N8405" s="43"/>
      <c r="O8405" s="43"/>
      <c r="Q8405" s="44"/>
      <c r="R8405" s="44"/>
      <c r="S8405" s="44"/>
      <c r="T8405" s="44"/>
    </row>
    <row r="8406" spans="12:20" x14ac:dyDescent="0.2">
      <c r="L8406" s="43"/>
      <c r="M8406" s="43"/>
      <c r="N8406" s="43"/>
      <c r="O8406" s="43"/>
      <c r="Q8406" s="44"/>
      <c r="R8406" s="44"/>
      <c r="S8406" s="44"/>
      <c r="T8406" s="44"/>
    </row>
    <row r="8407" spans="12:20" x14ac:dyDescent="0.2">
      <c r="L8407" s="43"/>
      <c r="M8407" s="43"/>
      <c r="N8407" s="43"/>
      <c r="O8407" s="43"/>
      <c r="Q8407" s="44"/>
      <c r="R8407" s="44"/>
      <c r="S8407" s="44"/>
      <c r="T8407" s="44"/>
    </row>
    <row r="8408" spans="12:20" x14ac:dyDescent="0.2">
      <c r="L8408" s="43"/>
      <c r="M8408" s="43"/>
      <c r="N8408" s="43"/>
      <c r="O8408" s="43"/>
      <c r="Q8408" s="44"/>
      <c r="R8408" s="44"/>
      <c r="S8408" s="44"/>
      <c r="T8408" s="44"/>
    </row>
    <row r="8409" spans="12:20" x14ac:dyDescent="0.2">
      <c r="L8409" s="43"/>
      <c r="M8409" s="43"/>
      <c r="N8409" s="43"/>
      <c r="O8409" s="43"/>
      <c r="Q8409" s="44"/>
      <c r="R8409" s="44"/>
      <c r="S8409" s="44"/>
      <c r="T8409" s="44"/>
    </row>
    <row r="8410" spans="12:20" x14ac:dyDescent="0.2">
      <c r="L8410" s="43"/>
      <c r="M8410" s="43"/>
      <c r="N8410" s="43"/>
      <c r="O8410" s="43"/>
      <c r="Q8410" s="44"/>
      <c r="R8410" s="44"/>
      <c r="S8410" s="44"/>
      <c r="T8410" s="44"/>
    </row>
    <row r="8411" spans="12:20" x14ac:dyDescent="0.2">
      <c r="L8411" s="43"/>
      <c r="M8411" s="43"/>
      <c r="N8411" s="43"/>
      <c r="O8411" s="43"/>
      <c r="Q8411" s="44"/>
      <c r="R8411" s="44"/>
      <c r="S8411" s="44"/>
      <c r="T8411" s="44"/>
    </row>
    <row r="8412" spans="12:20" x14ac:dyDescent="0.2">
      <c r="L8412" s="43"/>
      <c r="M8412" s="43"/>
      <c r="N8412" s="43"/>
      <c r="O8412" s="43"/>
      <c r="Q8412" s="44"/>
      <c r="R8412" s="44"/>
      <c r="S8412" s="44"/>
      <c r="T8412" s="44"/>
    </row>
    <row r="8413" spans="12:20" x14ac:dyDescent="0.2">
      <c r="L8413" s="43"/>
      <c r="M8413" s="43"/>
      <c r="N8413" s="43"/>
      <c r="O8413" s="43"/>
      <c r="Q8413" s="44"/>
      <c r="R8413" s="44"/>
      <c r="S8413" s="44"/>
      <c r="T8413" s="44"/>
    </row>
    <row r="8414" spans="12:20" x14ac:dyDescent="0.2">
      <c r="L8414" s="43"/>
      <c r="M8414" s="43"/>
      <c r="N8414" s="43"/>
      <c r="O8414" s="43"/>
      <c r="Q8414" s="44"/>
      <c r="R8414" s="44"/>
      <c r="S8414" s="44"/>
      <c r="T8414" s="44"/>
    </row>
    <row r="8415" spans="12:20" x14ac:dyDescent="0.2">
      <c r="L8415" s="43"/>
      <c r="M8415" s="43"/>
      <c r="N8415" s="43"/>
      <c r="O8415" s="43"/>
      <c r="Q8415" s="44"/>
      <c r="R8415" s="44"/>
      <c r="S8415" s="44"/>
      <c r="T8415" s="44"/>
    </row>
    <row r="8416" spans="12:20" x14ac:dyDescent="0.2">
      <c r="L8416" s="43"/>
      <c r="M8416" s="43"/>
      <c r="N8416" s="43"/>
      <c r="O8416" s="43"/>
      <c r="Q8416" s="44"/>
      <c r="R8416" s="44"/>
      <c r="S8416" s="44"/>
      <c r="T8416" s="44"/>
    </row>
    <row r="8417" spans="12:20" x14ac:dyDescent="0.2">
      <c r="L8417" s="43"/>
      <c r="M8417" s="43"/>
      <c r="N8417" s="43"/>
      <c r="O8417" s="43"/>
      <c r="Q8417" s="44"/>
      <c r="R8417" s="44"/>
      <c r="S8417" s="44"/>
      <c r="T8417" s="44"/>
    </row>
    <row r="8418" spans="12:20" x14ac:dyDescent="0.2">
      <c r="L8418" s="43"/>
      <c r="M8418" s="43"/>
      <c r="N8418" s="43"/>
      <c r="O8418" s="43"/>
      <c r="Q8418" s="44"/>
      <c r="R8418" s="44"/>
      <c r="S8418" s="44"/>
      <c r="T8418" s="44"/>
    </row>
    <row r="8419" spans="12:20" x14ac:dyDescent="0.2">
      <c r="L8419" s="43"/>
      <c r="M8419" s="43"/>
      <c r="N8419" s="43"/>
      <c r="O8419" s="43"/>
      <c r="Q8419" s="44"/>
      <c r="R8419" s="44"/>
      <c r="S8419" s="44"/>
      <c r="T8419" s="44"/>
    </row>
    <row r="8420" spans="12:20" x14ac:dyDescent="0.2">
      <c r="L8420" s="43"/>
      <c r="M8420" s="43"/>
      <c r="N8420" s="43"/>
      <c r="O8420" s="43"/>
      <c r="Q8420" s="44"/>
      <c r="R8420" s="44"/>
      <c r="S8420" s="44"/>
      <c r="T8420" s="44"/>
    </row>
    <row r="8421" spans="12:20" x14ac:dyDescent="0.2">
      <c r="L8421" s="43"/>
      <c r="M8421" s="43"/>
      <c r="N8421" s="43"/>
      <c r="O8421" s="43"/>
      <c r="Q8421" s="44"/>
      <c r="R8421" s="44"/>
      <c r="S8421" s="44"/>
      <c r="T8421" s="44"/>
    </row>
    <row r="8422" spans="12:20" x14ac:dyDescent="0.2">
      <c r="L8422" s="43"/>
      <c r="M8422" s="43"/>
      <c r="N8422" s="43"/>
      <c r="O8422" s="43"/>
      <c r="Q8422" s="44"/>
      <c r="R8422" s="44"/>
      <c r="S8422" s="44"/>
      <c r="T8422" s="44"/>
    </row>
    <row r="8423" spans="12:20" x14ac:dyDescent="0.2">
      <c r="L8423" s="43"/>
      <c r="M8423" s="43"/>
      <c r="N8423" s="43"/>
      <c r="O8423" s="43"/>
      <c r="Q8423" s="44"/>
      <c r="R8423" s="44"/>
      <c r="S8423" s="44"/>
      <c r="T8423" s="44"/>
    </row>
    <row r="8424" spans="12:20" x14ac:dyDescent="0.2">
      <c r="L8424" s="43"/>
      <c r="M8424" s="43"/>
      <c r="N8424" s="43"/>
      <c r="O8424" s="43"/>
      <c r="Q8424" s="44"/>
      <c r="R8424" s="44"/>
      <c r="S8424" s="44"/>
      <c r="T8424" s="44"/>
    </row>
    <row r="8425" spans="12:20" x14ac:dyDescent="0.2">
      <c r="L8425" s="43"/>
      <c r="M8425" s="43"/>
      <c r="N8425" s="43"/>
      <c r="O8425" s="43"/>
      <c r="Q8425" s="44"/>
      <c r="R8425" s="44"/>
      <c r="S8425" s="44"/>
      <c r="T8425" s="44"/>
    </row>
    <row r="8426" spans="12:20" x14ac:dyDescent="0.2">
      <c r="L8426" s="43"/>
      <c r="M8426" s="43"/>
      <c r="N8426" s="43"/>
      <c r="O8426" s="43"/>
      <c r="Q8426" s="44"/>
      <c r="R8426" s="44"/>
      <c r="S8426" s="44"/>
      <c r="T8426" s="44"/>
    </row>
    <row r="8427" spans="12:20" x14ac:dyDescent="0.2">
      <c r="L8427" s="43"/>
      <c r="M8427" s="43"/>
      <c r="N8427" s="43"/>
      <c r="O8427" s="43"/>
      <c r="Q8427" s="44"/>
      <c r="R8427" s="44"/>
      <c r="S8427" s="44"/>
      <c r="T8427" s="44"/>
    </row>
    <row r="8428" spans="12:20" x14ac:dyDescent="0.2">
      <c r="L8428" s="43"/>
      <c r="M8428" s="43"/>
      <c r="N8428" s="43"/>
      <c r="O8428" s="43"/>
      <c r="Q8428" s="44"/>
      <c r="R8428" s="44"/>
      <c r="S8428" s="44"/>
      <c r="T8428" s="44"/>
    </row>
    <row r="8429" spans="12:20" x14ac:dyDescent="0.2">
      <c r="L8429" s="43"/>
      <c r="M8429" s="43"/>
      <c r="N8429" s="43"/>
      <c r="O8429" s="43"/>
      <c r="Q8429" s="44"/>
      <c r="R8429" s="44"/>
      <c r="S8429" s="44"/>
      <c r="T8429" s="44"/>
    </row>
    <row r="8430" spans="12:20" x14ac:dyDescent="0.2">
      <c r="L8430" s="43"/>
      <c r="M8430" s="43"/>
      <c r="N8430" s="43"/>
      <c r="O8430" s="43"/>
      <c r="Q8430" s="44"/>
      <c r="R8430" s="44"/>
      <c r="S8430" s="44"/>
      <c r="T8430" s="44"/>
    </row>
    <row r="8431" spans="12:20" x14ac:dyDescent="0.2">
      <c r="L8431" s="43"/>
      <c r="M8431" s="43"/>
      <c r="N8431" s="43"/>
      <c r="O8431" s="43"/>
      <c r="Q8431" s="44"/>
      <c r="R8431" s="44"/>
      <c r="S8431" s="44"/>
      <c r="T8431" s="44"/>
    </row>
    <row r="8432" spans="12:20" x14ac:dyDescent="0.2">
      <c r="L8432" s="43"/>
      <c r="M8432" s="43"/>
      <c r="N8432" s="43"/>
      <c r="O8432" s="43"/>
      <c r="Q8432" s="44"/>
      <c r="R8432" s="44"/>
      <c r="S8432" s="44"/>
      <c r="T8432" s="44"/>
    </row>
    <row r="8433" spans="12:20" x14ac:dyDescent="0.2">
      <c r="L8433" s="43"/>
      <c r="M8433" s="43"/>
      <c r="N8433" s="43"/>
      <c r="O8433" s="43"/>
      <c r="Q8433" s="44"/>
      <c r="R8433" s="44"/>
      <c r="S8433" s="44"/>
      <c r="T8433" s="44"/>
    </row>
    <row r="8434" spans="12:20" x14ac:dyDescent="0.2">
      <c r="L8434" s="43"/>
      <c r="M8434" s="43"/>
      <c r="N8434" s="43"/>
      <c r="O8434" s="43"/>
      <c r="Q8434" s="44"/>
      <c r="R8434" s="44"/>
      <c r="S8434" s="44"/>
      <c r="T8434" s="44"/>
    </row>
    <row r="8435" spans="12:20" x14ac:dyDescent="0.2">
      <c r="L8435" s="43"/>
      <c r="M8435" s="43"/>
      <c r="N8435" s="43"/>
      <c r="O8435" s="43"/>
      <c r="Q8435" s="44"/>
      <c r="R8435" s="44"/>
      <c r="S8435" s="44"/>
      <c r="T8435" s="44"/>
    </row>
    <row r="8436" spans="12:20" x14ac:dyDescent="0.2">
      <c r="L8436" s="43"/>
      <c r="M8436" s="43"/>
      <c r="N8436" s="43"/>
      <c r="O8436" s="43"/>
      <c r="Q8436" s="44"/>
      <c r="R8436" s="44"/>
      <c r="S8436" s="44"/>
      <c r="T8436" s="44"/>
    </row>
    <row r="8437" spans="12:20" x14ac:dyDescent="0.2">
      <c r="L8437" s="43"/>
      <c r="M8437" s="43"/>
      <c r="N8437" s="43"/>
      <c r="O8437" s="43"/>
      <c r="Q8437" s="44"/>
      <c r="R8437" s="44"/>
      <c r="S8437" s="44"/>
      <c r="T8437" s="44"/>
    </row>
    <row r="8438" spans="12:20" x14ac:dyDescent="0.2">
      <c r="L8438" s="43"/>
      <c r="M8438" s="43"/>
      <c r="N8438" s="43"/>
      <c r="O8438" s="43"/>
      <c r="Q8438" s="44"/>
      <c r="R8438" s="44"/>
      <c r="S8438" s="44"/>
      <c r="T8438" s="44"/>
    </row>
    <row r="8439" spans="12:20" x14ac:dyDescent="0.2">
      <c r="L8439" s="43"/>
      <c r="M8439" s="43"/>
      <c r="N8439" s="43"/>
      <c r="O8439" s="43"/>
      <c r="Q8439" s="44"/>
      <c r="R8439" s="44"/>
      <c r="S8439" s="44"/>
      <c r="T8439" s="44"/>
    </row>
    <row r="8440" spans="12:20" x14ac:dyDescent="0.2">
      <c r="L8440" s="43"/>
      <c r="M8440" s="43"/>
      <c r="N8440" s="43"/>
      <c r="O8440" s="43"/>
      <c r="Q8440" s="44"/>
      <c r="R8440" s="44"/>
      <c r="S8440" s="44"/>
      <c r="T8440" s="44"/>
    </row>
    <row r="8441" spans="12:20" x14ac:dyDescent="0.2">
      <c r="L8441" s="43"/>
      <c r="M8441" s="43"/>
      <c r="N8441" s="43"/>
      <c r="O8441" s="43"/>
      <c r="Q8441" s="44"/>
      <c r="R8441" s="44"/>
      <c r="S8441" s="44"/>
      <c r="T8441" s="44"/>
    </row>
    <row r="8442" spans="12:20" x14ac:dyDescent="0.2">
      <c r="L8442" s="43"/>
      <c r="M8442" s="43"/>
      <c r="N8442" s="43"/>
      <c r="O8442" s="43"/>
      <c r="Q8442" s="44"/>
      <c r="R8442" s="44"/>
      <c r="S8442" s="44"/>
      <c r="T8442" s="44"/>
    </row>
    <row r="8443" spans="12:20" x14ac:dyDescent="0.2">
      <c r="L8443" s="43"/>
      <c r="M8443" s="43"/>
      <c r="N8443" s="43"/>
      <c r="O8443" s="43"/>
      <c r="Q8443" s="44"/>
      <c r="R8443" s="44"/>
      <c r="S8443" s="44"/>
      <c r="T8443" s="44"/>
    </row>
    <row r="8444" spans="12:20" x14ac:dyDescent="0.2">
      <c r="L8444" s="43"/>
      <c r="M8444" s="43"/>
      <c r="N8444" s="43"/>
      <c r="O8444" s="43"/>
      <c r="Q8444" s="44"/>
      <c r="R8444" s="44"/>
      <c r="S8444" s="44"/>
      <c r="T8444" s="44"/>
    </row>
    <row r="8445" spans="12:20" x14ac:dyDescent="0.2">
      <c r="L8445" s="43"/>
      <c r="M8445" s="43"/>
      <c r="N8445" s="43"/>
      <c r="O8445" s="43"/>
      <c r="Q8445" s="44"/>
      <c r="R8445" s="44"/>
      <c r="S8445" s="44"/>
      <c r="T8445" s="44"/>
    </row>
    <row r="8446" spans="12:20" x14ac:dyDescent="0.2">
      <c r="L8446" s="43"/>
      <c r="M8446" s="43"/>
      <c r="N8446" s="43"/>
      <c r="O8446" s="43"/>
      <c r="Q8446" s="44"/>
      <c r="R8446" s="44"/>
      <c r="S8446" s="44"/>
      <c r="T8446" s="44"/>
    </row>
    <row r="8447" spans="12:20" x14ac:dyDescent="0.2">
      <c r="L8447" s="43"/>
      <c r="M8447" s="43"/>
      <c r="N8447" s="43"/>
      <c r="O8447" s="43"/>
      <c r="Q8447" s="44"/>
      <c r="R8447" s="44"/>
      <c r="S8447" s="44"/>
      <c r="T8447" s="44"/>
    </row>
    <row r="8448" spans="12:20" x14ac:dyDescent="0.2">
      <c r="L8448" s="43"/>
      <c r="M8448" s="43"/>
      <c r="N8448" s="43"/>
      <c r="O8448" s="43"/>
      <c r="Q8448" s="44"/>
      <c r="R8448" s="44"/>
      <c r="S8448" s="44"/>
      <c r="T8448" s="44"/>
    </row>
    <row r="8449" spans="12:20" x14ac:dyDescent="0.2">
      <c r="L8449" s="43"/>
      <c r="M8449" s="43"/>
      <c r="N8449" s="43"/>
      <c r="O8449" s="43"/>
      <c r="Q8449" s="44"/>
      <c r="R8449" s="44"/>
      <c r="S8449" s="44"/>
      <c r="T8449" s="44"/>
    </row>
    <row r="8450" spans="12:20" x14ac:dyDescent="0.2">
      <c r="L8450" s="43"/>
      <c r="M8450" s="43"/>
      <c r="N8450" s="43"/>
      <c r="O8450" s="43"/>
      <c r="Q8450" s="44"/>
      <c r="R8450" s="44"/>
      <c r="S8450" s="44"/>
      <c r="T8450" s="44"/>
    </row>
    <row r="8451" spans="12:20" x14ac:dyDescent="0.2">
      <c r="L8451" s="43"/>
      <c r="M8451" s="43"/>
      <c r="N8451" s="43"/>
      <c r="O8451" s="43"/>
      <c r="Q8451" s="44"/>
      <c r="R8451" s="44"/>
      <c r="S8451" s="44"/>
      <c r="T8451" s="44"/>
    </row>
    <row r="8452" spans="12:20" x14ac:dyDescent="0.2">
      <c r="L8452" s="43"/>
      <c r="M8452" s="43"/>
      <c r="N8452" s="43"/>
      <c r="O8452" s="43"/>
      <c r="Q8452" s="44"/>
      <c r="R8452" s="44"/>
      <c r="S8452" s="44"/>
      <c r="T8452" s="44"/>
    </row>
    <row r="8453" spans="12:20" x14ac:dyDescent="0.2">
      <c r="L8453" s="43"/>
      <c r="M8453" s="43"/>
      <c r="N8453" s="43"/>
      <c r="O8453" s="43"/>
      <c r="Q8453" s="44"/>
      <c r="R8453" s="44"/>
      <c r="S8453" s="44"/>
      <c r="T8453" s="44"/>
    </row>
    <row r="8454" spans="12:20" x14ac:dyDescent="0.2">
      <c r="L8454" s="43"/>
      <c r="M8454" s="43"/>
      <c r="N8454" s="43"/>
      <c r="O8454" s="43"/>
      <c r="Q8454" s="44"/>
      <c r="R8454" s="44"/>
      <c r="S8454" s="44"/>
      <c r="T8454" s="44"/>
    </row>
    <row r="8455" spans="12:20" x14ac:dyDescent="0.2">
      <c r="L8455" s="43"/>
      <c r="M8455" s="43"/>
      <c r="N8455" s="43"/>
      <c r="O8455" s="43"/>
      <c r="Q8455" s="44"/>
      <c r="R8455" s="44"/>
      <c r="S8455" s="44"/>
      <c r="T8455" s="44"/>
    </row>
    <row r="8456" spans="12:20" x14ac:dyDescent="0.2">
      <c r="L8456" s="43"/>
      <c r="M8456" s="43"/>
      <c r="N8456" s="43"/>
      <c r="O8456" s="43"/>
      <c r="Q8456" s="44"/>
      <c r="R8456" s="44"/>
      <c r="S8456" s="44"/>
      <c r="T8456" s="44"/>
    </row>
    <row r="8457" spans="12:20" x14ac:dyDescent="0.2">
      <c r="L8457" s="43"/>
      <c r="M8457" s="43"/>
      <c r="N8457" s="43"/>
      <c r="O8457" s="43"/>
      <c r="Q8457" s="44"/>
      <c r="R8457" s="44"/>
      <c r="S8457" s="44"/>
      <c r="T8457" s="44"/>
    </row>
    <row r="8458" spans="12:20" x14ac:dyDescent="0.2">
      <c r="L8458" s="43"/>
      <c r="M8458" s="43"/>
      <c r="N8458" s="43"/>
      <c r="O8458" s="43"/>
      <c r="Q8458" s="44"/>
      <c r="R8458" s="44"/>
      <c r="S8458" s="44"/>
      <c r="T8458" s="44"/>
    </row>
    <row r="8459" spans="12:20" x14ac:dyDescent="0.2">
      <c r="L8459" s="43"/>
      <c r="M8459" s="43"/>
      <c r="N8459" s="43"/>
      <c r="O8459" s="43"/>
      <c r="Q8459" s="44"/>
      <c r="R8459" s="44"/>
      <c r="S8459" s="44"/>
      <c r="T8459" s="44"/>
    </row>
    <row r="8460" spans="12:20" x14ac:dyDescent="0.2">
      <c r="L8460" s="43"/>
      <c r="M8460" s="43"/>
      <c r="N8460" s="43"/>
      <c r="O8460" s="43"/>
      <c r="Q8460" s="44"/>
      <c r="R8460" s="44"/>
      <c r="S8460" s="44"/>
      <c r="T8460" s="44"/>
    </row>
    <row r="8461" spans="12:20" x14ac:dyDescent="0.2">
      <c r="L8461" s="43"/>
      <c r="M8461" s="43"/>
      <c r="N8461" s="43"/>
      <c r="O8461" s="43"/>
      <c r="Q8461" s="44"/>
      <c r="R8461" s="44"/>
      <c r="S8461" s="44"/>
      <c r="T8461" s="44"/>
    </row>
    <row r="8462" spans="12:20" x14ac:dyDescent="0.2">
      <c r="L8462" s="43"/>
      <c r="M8462" s="43"/>
      <c r="N8462" s="43"/>
      <c r="O8462" s="43"/>
      <c r="Q8462" s="44"/>
      <c r="R8462" s="44"/>
      <c r="S8462" s="44"/>
      <c r="T8462" s="44"/>
    </row>
    <row r="8463" spans="12:20" x14ac:dyDescent="0.2">
      <c r="L8463" s="43"/>
      <c r="M8463" s="43"/>
      <c r="N8463" s="43"/>
      <c r="O8463" s="43"/>
      <c r="Q8463" s="44"/>
      <c r="R8463" s="44"/>
      <c r="S8463" s="44"/>
      <c r="T8463" s="44"/>
    </row>
    <row r="8464" spans="12:20" x14ac:dyDescent="0.2">
      <c r="L8464" s="43"/>
      <c r="M8464" s="43"/>
      <c r="N8464" s="43"/>
      <c r="O8464" s="43"/>
      <c r="Q8464" s="44"/>
      <c r="R8464" s="44"/>
      <c r="S8464" s="44"/>
      <c r="T8464" s="44"/>
    </row>
    <row r="8465" spans="12:20" x14ac:dyDescent="0.2">
      <c r="L8465" s="43"/>
      <c r="M8465" s="43"/>
      <c r="N8465" s="43"/>
      <c r="O8465" s="43"/>
      <c r="Q8465" s="44"/>
      <c r="R8465" s="44"/>
      <c r="S8465" s="44"/>
      <c r="T8465" s="44"/>
    </row>
    <row r="8466" spans="12:20" x14ac:dyDescent="0.2">
      <c r="L8466" s="43"/>
      <c r="M8466" s="43"/>
      <c r="N8466" s="43"/>
      <c r="O8466" s="43"/>
      <c r="Q8466" s="44"/>
      <c r="R8466" s="44"/>
      <c r="S8466" s="44"/>
      <c r="T8466" s="44"/>
    </row>
    <row r="8467" spans="12:20" x14ac:dyDescent="0.2">
      <c r="L8467" s="43"/>
      <c r="M8467" s="43"/>
      <c r="N8467" s="43"/>
      <c r="O8467" s="43"/>
      <c r="Q8467" s="44"/>
      <c r="R8467" s="44"/>
      <c r="S8467" s="44"/>
      <c r="T8467" s="44"/>
    </row>
    <row r="8468" spans="12:20" x14ac:dyDescent="0.2">
      <c r="L8468" s="43"/>
      <c r="M8468" s="43"/>
      <c r="N8468" s="43"/>
      <c r="O8468" s="43"/>
      <c r="Q8468" s="44"/>
      <c r="R8468" s="44"/>
      <c r="S8468" s="44"/>
      <c r="T8468" s="44"/>
    </row>
    <row r="8469" spans="12:20" x14ac:dyDescent="0.2">
      <c r="L8469" s="43"/>
      <c r="M8469" s="43"/>
      <c r="N8469" s="43"/>
      <c r="O8469" s="43"/>
      <c r="Q8469" s="44"/>
      <c r="R8469" s="44"/>
      <c r="S8469" s="44"/>
      <c r="T8469" s="44"/>
    </row>
    <row r="8470" spans="12:20" x14ac:dyDescent="0.2">
      <c r="L8470" s="43"/>
      <c r="M8470" s="43"/>
      <c r="N8470" s="43"/>
      <c r="O8470" s="43"/>
      <c r="Q8470" s="44"/>
      <c r="R8470" s="44"/>
      <c r="S8470" s="44"/>
      <c r="T8470" s="44"/>
    </row>
    <row r="8471" spans="12:20" x14ac:dyDescent="0.2">
      <c r="L8471" s="43"/>
      <c r="M8471" s="43"/>
      <c r="N8471" s="43"/>
      <c r="O8471" s="43"/>
      <c r="Q8471" s="44"/>
      <c r="R8471" s="44"/>
      <c r="S8471" s="44"/>
      <c r="T8471" s="44"/>
    </row>
    <row r="8472" spans="12:20" x14ac:dyDescent="0.2">
      <c r="L8472" s="43"/>
      <c r="M8472" s="43"/>
      <c r="N8472" s="43"/>
      <c r="O8472" s="43"/>
      <c r="Q8472" s="44"/>
      <c r="R8472" s="44"/>
      <c r="S8472" s="44"/>
      <c r="T8472" s="44"/>
    </row>
    <row r="8473" spans="12:20" x14ac:dyDescent="0.2">
      <c r="L8473" s="43"/>
      <c r="M8473" s="43"/>
      <c r="N8473" s="43"/>
      <c r="O8473" s="43"/>
      <c r="Q8473" s="44"/>
      <c r="R8473" s="44"/>
      <c r="S8473" s="44"/>
      <c r="T8473" s="44"/>
    </row>
    <row r="8474" spans="12:20" x14ac:dyDescent="0.2">
      <c r="L8474" s="43"/>
      <c r="M8474" s="43"/>
      <c r="N8474" s="43"/>
      <c r="O8474" s="43"/>
      <c r="Q8474" s="44"/>
      <c r="R8474" s="44"/>
      <c r="S8474" s="44"/>
      <c r="T8474" s="44"/>
    </row>
    <row r="8475" spans="12:20" x14ac:dyDescent="0.2">
      <c r="L8475" s="43"/>
      <c r="M8475" s="43"/>
      <c r="N8475" s="43"/>
      <c r="O8475" s="43"/>
      <c r="Q8475" s="44"/>
      <c r="R8475" s="44"/>
      <c r="S8475" s="44"/>
      <c r="T8475" s="44"/>
    </row>
    <row r="8476" spans="12:20" x14ac:dyDescent="0.2">
      <c r="L8476" s="43"/>
      <c r="M8476" s="43"/>
      <c r="N8476" s="43"/>
      <c r="O8476" s="43"/>
      <c r="Q8476" s="44"/>
      <c r="R8476" s="44"/>
      <c r="S8476" s="44"/>
      <c r="T8476" s="44"/>
    </row>
    <row r="8477" spans="12:20" x14ac:dyDescent="0.2">
      <c r="L8477" s="43"/>
      <c r="M8477" s="43"/>
      <c r="N8477" s="43"/>
      <c r="O8477" s="43"/>
      <c r="Q8477" s="44"/>
      <c r="R8477" s="44"/>
      <c r="S8477" s="44"/>
      <c r="T8477" s="44"/>
    </row>
    <row r="8478" spans="12:20" x14ac:dyDescent="0.2">
      <c r="L8478" s="43"/>
      <c r="M8478" s="43"/>
      <c r="N8478" s="43"/>
      <c r="O8478" s="43"/>
      <c r="Q8478" s="44"/>
      <c r="R8478" s="44"/>
      <c r="S8478" s="44"/>
      <c r="T8478" s="44"/>
    </row>
    <row r="8479" spans="12:20" x14ac:dyDescent="0.2">
      <c r="L8479" s="43"/>
      <c r="M8479" s="43"/>
      <c r="N8479" s="43"/>
      <c r="O8479" s="43"/>
      <c r="Q8479" s="44"/>
      <c r="R8479" s="44"/>
      <c r="S8479" s="44"/>
      <c r="T8479" s="44"/>
    </row>
    <row r="8480" spans="12:20" x14ac:dyDescent="0.2">
      <c r="L8480" s="43"/>
      <c r="M8480" s="43"/>
      <c r="N8480" s="43"/>
      <c r="O8480" s="43"/>
      <c r="Q8480" s="44"/>
      <c r="R8480" s="44"/>
      <c r="S8480" s="44"/>
      <c r="T8480" s="44"/>
    </row>
    <row r="8481" spans="12:20" x14ac:dyDescent="0.2">
      <c r="L8481" s="43"/>
      <c r="M8481" s="43"/>
      <c r="N8481" s="43"/>
      <c r="O8481" s="43"/>
      <c r="Q8481" s="44"/>
      <c r="R8481" s="44"/>
      <c r="S8481" s="44"/>
      <c r="T8481" s="44"/>
    </row>
    <row r="8482" spans="12:20" x14ac:dyDescent="0.2">
      <c r="L8482" s="43"/>
      <c r="M8482" s="43"/>
      <c r="N8482" s="43"/>
      <c r="O8482" s="43"/>
      <c r="Q8482" s="44"/>
      <c r="R8482" s="44"/>
      <c r="S8482" s="44"/>
      <c r="T8482" s="44"/>
    </row>
    <row r="8483" spans="12:20" x14ac:dyDescent="0.2">
      <c r="L8483" s="43"/>
      <c r="M8483" s="43"/>
      <c r="N8483" s="43"/>
      <c r="O8483" s="43"/>
      <c r="Q8483" s="44"/>
      <c r="R8483" s="44"/>
      <c r="S8483" s="44"/>
      <c r="T8483" s="44"/>
    </row>
    <row r="8484" spans="12:20" x14ac:dyDescent="0.2">
      <c r="L8484" s="43"/>
      <c r="M8484" s="43"/>
      <c r="N8484" s="43"/>
      <c r="O8484" s="43"/>
      <c r="Q8484" s="44"/>
      <c r="R8484" s="44"/>
      <c r="S8484" s="44"/>
      <c r="T8484" s="44"/>
    </row>
    <row r="8485" spans="12:20" x14ac:dyDescent="0.2">
      <c r="L8485" s="43"/>
      <c r="M8485" s="43"/>
      <c r="N8485" s="43"/>
      <c r="O8485" s="43"/>
      <c r="Q8485" s="44"/>
      <c r="R8485" s="44"/>
      <c r="S8485" s="44"/>
      <c r="T8485" s="44"/>
    </row>
    <row r="8486" spans="12:20" x14ac:dyDescent="0.2">
      <c r="L8486" s="43"/>
      <c r="M8486" s="43"/>
      <c r="N8486" s="43"/>
      <c r="O8486" s="43"/>
      <c r="Q8486" s="44"/>
      <c r="R8486" s="44"/>
      <c r="S8486" s="44"/>
      <c r="T8486" s="44"/>
    </row>
    <row r="8487" spans="12:20" x14ac:dyDescent="0.2">
      <c r="L8487" s="43"/>
      <c r="M8487" s="43"/>
      <c r="N8487" s="43"/>
      <c r="O8487" s="43"/>
      <c r="Q8487" s="44"/>
      <c r="R8487" s="44"/>
      <c r="S8487" s="44"/>
      <c r="T8487" s="44"/>
    </row>
    <row r="8488" spans="12:20" x14ac:dyDescent="0.2">
      <c r="L8488" s="43"/>
      <c r="M8488" s="43"/>
      <c r="N8488" s="43"/>
      <c r="O8488" s="43"/>
      <c r="Q8488" s="44"/>
      <c r="R8488" s="44"/>
      <c r="S8488" s="44"/>
      <c r="T8488" s="44"/>
    </row>
    <row r="8489" spans="12:20" x14ac:dyDescent="0.2">
      <c r="L8489" s="43"/>
      <c r="M8489" s="43"/>
      <c r="N8489" s="43"/>
      <c r="O8489" s="43"/>
      <c r="Q8489" s="44"/>
      <c r="R8489" s="44"/>
      <c r="S8489" s="44"/>
      <c r="T8489" s="44"/>
    </row>
    <row r="8490" spans="12:20" x14ac:dyDescent="0.2">
      <c r="L8490" s="43"/>
      <c r="M8490" s="43"/>
      <c r="N8490" s="43"/>
      <c r="O8490" s="43"/>
      <c r="Q8490" s="44"/>
      <c r="R8490" s="44"/>
      <c r="S8490" s="44"/>
      <c r="T8490" s="44"/>
    </row>
    <row r="8491" spans="12:20" x14ac:dyDescent="0.2">
      <c r="L8491" s="43"/>
      <c r="M8491" s="43"/>
      <c r="N8491" s="43"/>
      <c r="O8491" s="43"/>
      <c r="Q8491" s="44"/>
      <c r="R8491" s="44"/>
      <c r="S8491" s="44"/>
      <c r="T8491" s="44"/>
    </row>
    <row r="8492" spans="12:20" x14ac:dyDescent="0.2">
      <c r="L8492" s="43"/>
      <c r="M8492" s="43"/>
      <c r="N8492" s="43"/>
      <c r="O8492" s="43"/>
      <c r="Q8492" s="44"/>
      <c r="R8492" s="44"/>
      <c r="S8492" s="44"/>
      <c r="T8492" s="44"/>
    </row>
    <row r="8493" spans="12:20" x14ac:dyDescent="0.2">
      <c r="L8493" s="43"/>
      <c r="M8493" s="43"/>
      <c r="N8493" s="43"/>
      <c r="O8493" s="43"/>
      <c r="Q8493" s="44"/>
      <c r="R8493" s="44"/>
      <c r="S8493" s="44"/>
      <c r="T8493" s="44"/>
    </row>
    <row r="8494" spans="12:20" x14ac:dyDescent="0.2">
      <c r="L8494" s="43"/>
      <c r="M8494" s="43"/>
      <c r="N8494" s="43"/>
      <c r="O8494" s="43"/>
      <c r="Q8494" s="44"/>
      <c r="R8494" s="44"/>
      <c r="S8494" s="44"/>
      <c r="T8494" s="44"/>
    </row>
    <row r="8495" spans="12:20" x14ac:dyDescent="0.2">
      <c r="L8495" s="43"/>
      <c r="M8495" s="43"/>
      <c r="N8495" s="43"/>
      <c r="O8495" s="43"/>
      <c r="Q8495" s="44"/>
      <c r="R8495" s="44"/>
      <c r="S8495" s="44"/>
      <c r="T8495" s="44"/>
    </row>
    <row r="8496" spans="12:20" x14ac:dyDescent="0.2">
      <c r="L8496" s="43"/>
      <c r="M8496" s="43"/>
      <c r="N8496" s="43"/>
      <c r="O8496" s="43"/>
      <c r="Q8496" s="44"/>
      <c r="R8496" s="44"/>
      <c r="S8496" s="44"/>
      <c r="T8496" s="44"/>
    </row>
    <row r="8497" spans="12:20" x14ac:dyDescent="0.2">
      <c r="L8497" s="43"/>
      <c r="M8497" s="43"/>
      <c r="N8497" s="43"/>
      <c r="O8497" s="43"/>
      <c r="Q8497" s="44"/>
      <c r="R8497" s="44"/>
      <c r="S8497" s="44"/>
      <c r="T8497" s="44"/>
    </row>
    <row r="8498" spans="12:20" x14ac:dyDescent="0.2">
      <c r="L8498" s="43"/>
      <c r="M8498" s="43"/>
      <c r="N8498" s="43"/>
      <c r="O8498" s="43"/>
      <c r="Q8498" s="44"/>
      <c r="R8498" s="44"/>
      <c r="S8498" s="44"/>
      <c r="T8498" s="44"/>
    </row>
    <row r="8499" spans="12:20" x14ac:dyDescent="0.2">
      <c r="L8499" s="43"/>
      <c r="M8499" s="43"/>
      <c r="N8499" s="43"/>
      <c r="O8499" s="43"/>
      <c r="Q8499" s="44"/>
      <c r="R8499" s="44"/>
      <c r="S8499" s="44"/>
      <c r="T8499" s="44"/>
    </row>
    <row r="8500" spans="12:20" x14ac:dyDescent="0.2">
      <c r="L8500" s="43"/>
      <c r="M8500" s="43"/>
      <c r="N8500" s="43"/>
      <c r="O8500" s="43"/>
      <c r="Q8500" s="44"/>
      <c r="R8500" s="44"/>
      <c r="S8500" s="44"/>
      <c r="T8500" s="44"/>
    </row>
    <row r="8501" spans="12:20" x14ac:dyDescent="0.2">
      <c r="L8501" s="43"/>
      <c r="M8501" s="43"/>
      <c r="N8501" s="43"/>
      <c r="O8501" s="43"/>
      <c r="Q8501" s="44"/>
      <c r="R8501" s="44"/>
      <c r="S8501" s="44"/>
      <c r="T8501" s="44"/>
    </row>
    <row r="8502" spans="12:20" x14ac:dyDescent="0.2">
      <c r="L8502" s="43"/>
      <c r="M8502" s="43"/>
      <c r="N8502" s="43"/>
      <c r="O8502" s="43"/>
      <c r="Q8502" s="44"/>
      <c r="R8502" s="44"/>
      <c r="S8502" s="44"/>
      <c r="T8502" s="44"/>
    </row>
    <row r="8503" spans="12:20" x14ac:dyDescent="0.2">
      <c r="L8503" s="43"/>
      <c r="M8503" s="43"/>
      <c r="N8503" s="43"/>
      <c r="O8503" s="43"/>
      <c r="Q8503" s="44"/>
      <c r="R8503" s="44"/>
      <c r="S8503" s="44"/>
      <c r="T8503" s="44"/>
    </row>
    <row r="8504" spans="12:20" x14ac:dyDescent="0.2">
      <c r="L8504" s="43"/>
      <c r="M8504" s="43"/>
      <c r="N8504" s="43"/>
      <c r="O8504" s="43"/>
      <c r="Q8504" s="44"/>
      <c r="R8504" s="44"/>
      <c r="S8504" s="44"/>
      <c r="T8504" s="44"/>
    </row>
    <row r="8505" spans="12:20" x14ac:dyDescent="0.2">
      <c r="L8505" s="43"/>
      <c r="M8505" s="43"/>
      <c r="N8505" s="43"/>
      <c r="O8505" s="43"/>
      <c r="Q8505" s="44"/>
      <c r="R8505" s="44"/>
      <c r="S8505" s="44"/>
      <c r="T8505" s="44"/>
    </row>
    <row r="8506" spans="12:20" x14ac:dyDescent="0.2">
      <c r="L8506" s="43"/>
      <c r="M8506" s="43"/>
      <c r="N8506" s="43"/>
      <c r="O8506" s="43"/>
      <c r="Q8506" s="44"/>
      <c r="R8506" s="44"/>
      <c r="S8506" s="44"/>
      <c r="T8506" s="44"/>
    </row>
    <row r="8507" spans="12:20" x14ac:dyDescent="0.2">
      <c r="L8507" s="43"/>
      <c r="M8507" s="43"/>
      <c r="N8507" s="43"/>
      <c r="O8507" s="43"/>
      <c r="Q8507" s="44"/>
      <c r="R8507" s="44"/>
      <c r="S8507" s="44"/>
      <c r="T8507" s="44"/>
    </row>
    <row r="8508" spans="12:20" x14ac:dyDescent="0.2">
      <c r="L8508" s="43"/>
      <c r="M8508" s="43"/>
      <c r="N8508" s="43"/>
      <c r="O8508" s="43"/>
      <c r="Q8508" s="44"/>
      <c r="R8508" s="44"/>
      <c r="S8508" s="44"/>
      <c r="T8508" s="44"/>
    </row>
    <row r="8509" spans="12:20" x14ac:dyDescent="0.2">
      <c r="L8509" s="43"/>
      <c r="M8509" s="43"/>
      <c r="N8509" s="43"/>
      <c r="O8509" s="43"/>
      <c r="Q8509" s="44"/>
      <c r="R8509" s="44"/>
      <c r="S8509" s="44"/>
      <c r="T8509" s="44"/>
    </row>
    <row r="8510" spans="12:20" x14ac:dyDescent="0.2">
      <c r="L8510" s="43"/>
      <c r="M8510" s="43"/>
      <c r="N8510" s="43"/>
      <c r="O8510" s="43"/>
      <c r="Q8510" s="44"/>
      <c r="R8510" s="44"/>
      <c r="S8510" s="44"/>
      <c r="T8510" s="44"/>
    </row>
    <row r="8511" spans="12:20" x14ac:dyDescent="0.2">
      <c r="L8511" s="43"/>
      <c r="M8511" s="43"/>
      <c r="N8511" s="43"/>
      <c r="O8511" s="43"/>
      <c r="Q8511" s="44"/>
      <c r="R8511" s="44"/>
      <c r="S8511" s="44"/>
      <c r="T8511" s="44"/>
    </row>
    <row r="8512" spans="12:20" x14ac:dyDescent="0.2">
      <c r="L8512" s="43"/>
      <c r="M8512" s="43"/>
      <c r="N8512" s="43"/>
      <c r="O8512" s="43"/>
      <c r="Q8512" s="44"/>
      <c r="R8512" s="44"/>
      <c r="S8512" s="44"/>
      <c r="T8512" s="44"/>
    </row>
    <row r="8513" spans="12:20" x14ac:dyDescent="0.2">
      <c r="L8513" s="43"/>
      <c r="M8513" s="43"/>
      <c r="N8513" s="43"/>
      <c r="O8513" s="43"/>
      <c r="Q8513" s="44"/>
      <c r="R8513" s="44"/>
      <c r="S8513" s="44"/>
      <c r="T8513" s="44"/>
    </row>
    <row r="8514" spans="12:20" x14ac:dyDescent="0.2">
      <c r="L8514" s="43"/>
      <c r="M8514" s="43"/>
      <c r="N8514" s="43"/>
      <c r="O8514" s="43"/>
      <c r="Q8514" s="44"/>
      <c r="R8514" s="44"/>
      <c r="S8514" s="44"/>
      <c r="T8514" s="44"/>
    </row>
    <row r="8515" spans="12:20" x14ac:dyDescent="0.2">
      <c r="L8515" s="43"/>
      <c r="M8515" s="43"/>
      <c r="N8515" s="43"/>
      <c r="O8515" s="43"/>
      <c r="Q8515" s="44"/>
      <c r="R8515" s="44"/>
      <c r="S8515" s="44"/>
      <c r="T8515" s="44"/>
    </row>
    <row r="8516" spans="12:20" x14ac:dyDescent="0.2">
      <c r="L8516" s="43"/>
      <c r="M8516" s="43"/>
      <c r="N8516" s="43"/>
      <c r="O8516" s="43"/>
      <c r="Q8516" s="44"/>
      <c r="R8516" s="44"/>
      <c r="S8516" s="44"/>
      <c r="T8516" s="44"/>
    </row>
    <row r="8517" spans="12:20" x14ac:dyDescent="0.2">
      <c r="L8517" s="43"/>
      <c r="M8517" s="43"/>
      <c r="N8517" s="43"/>
      <c r="O8517" s="43"/>
      <c r="Q8517" s="44"/>
      <c r="R8517" s="44"/>
      <c r="S8517" s="44"/>
      <c r="T8517" s="44"/>
    </row>
    <row r="8518" spans="12:20" x14ac:dyDescent="0.2">
      <c r="L8518" s="43"/>
      <c r="M8518" s="43"/>
      <c r="N8518" s="43"/>
      <c r="O8518" s="43"/>
      <c r="Q8518" s="44"/>
      <c r="R8518" s="44"/>
      <c r="S8518" s="44"/>
      <c r="T8518" s="44"/>
    </row>
    <row r="8519" spans="12:20" x14ac:dyDescent="0.2">
      <c r="L8519" s="43"/>
      <c r="M8519" s="43"/>
      <c r="N8519" s="43"/>
      <c r="O8519" s="43"/>
      <c r="Q8519" s="44"/>
      <c r="R8519" s="44"/>
      <c r="S8519" s="44"/>
      <c r="T8519" s="44"/>
    </row>
    <row r="8520" spans="12:20" x14ac:dyDescent="0.2">
      <c r="L8520" s="43"/>
      <c r="M8520" s="43"/>
      <c r="N8520" s="43"/>
      <c r="O8520" s="43"/>
      <c r="Q8520" s="44"/>
      <c r="R8520" s="44"/>
      <c r="S8520" s="44"/>
      <c r="T8520" s="44"/>
    </row>
    <row r="8521" spans="12:20" x14ac:dyDescent="0.2">
      <c r="L8521" s="43"/>
      <c r="M8521" s="43"/>
      <c r="N8521" s="43"/>
      <c r="O8521" s="43"/>
      <c r="Q8521" s="44"/>
      <c r="R8521" s="44"/>
      <c r="S8521" s="44"/>
      <c r="T8521" s="44"/>
    </row>
    <row r="8522" spans="12:20" x14ac:dyDescent="0.2">
      <c r="L8522" s="43"/>
      <c r="M8522" s="43"/>
      <c r="N8522" s="43"/>
      <c r="O8522" s="43"/>
      <c r="Q8522" s="44"/>
      <c r="R8522" s="44"/>
      <c r="S8522" s="44"/>
      <c r="T8522" s="44"/>
    </row>
    <row r="8523" spans="12:20" x14ac:dyDescent="0.2">
      <c r="L8523" s="43"/>
      <c r="M8523" s="43"/>
      <c r="N8523" s="43"/>
      <c r="O8523" s="43"/>
      <c r="Q8523" s="44"/>
      <c r="R8523" s="44"/>
      <c r="S8523" s="44"/>
      <c r="T8523" s="44"/>
    </row>
    <row r="8524" spans="12:20" x14ac:dyDescent="0.2">
      <c r="L8524" s="43"/>
      <c r="M8524" s="43"/>
      <c r="N8524" s="43"/>
      <c r="O8524" s="43"/>
      <c r="Q8524" s="44"/>
      <c r="R8524" s="44"/>
      <c r="S8524" s="44"/>
      <c r="T8524" s="44"/>
    </row>
    <row r="8525" spans="12:20" x14ac:dyDescent="0.2">
      <c r="L8525" s="43"/>
      <c r="M8525" s="43"/>
      <c r="N8525" s="43"/>
      <c r="O8525" s="43"/>
      <c r="Q8525" s="44"/>
      <c r="R8525" s="44"/>
      <c r="S8525" s="44"/>
      <c r="T8525" s="44"/>
    </row>
    <row r="8526" spans="12:20" x14ac:dyDescent="0.2">
      <c r="L8526" s="43"/>
      <c r="M8526" s="43"/>
      <c r="N8526" s="43"/>
      <c r="O8526" s="43"/>
      <c r="Q8526" s="44"/>
      <c r="R8526" s="44"/>
      <c r="S8526" s="44"/>
      <c r="T8526" s="44"/>
    </row>
    <row r="8527" spans="12:20" x14ac:dyDescent="0.2">
      <c r="L8527" s="43"/>
      <c r="M8527" s="43"/>
      <c r="N8527" s="43"/>
      <c r="O8527" s="43"/>
      <c r="Q8527" s="44"/>
      <c r="R8527" s="44"/>
      <c r="S8527" s="44"/>
      <c r="T8527" s="44"/>
    </row>
    <row r="8528" spans="12:20" x14ac:dyDescent="0.2">
      <c r="L8528" s="43"/>
      <c r="M8528" s="43"/>
      <c r="N8528" s="43"/>
      <c r="O8528" s="43"/>
      <c r="Q8528" s="44"/>
      <c r="R8528" s="44"/>
      <c r="S8528" s="44"/>
      <c r="T8528" s="44"/>
    </row>
    <row r="8529" spans="12:20" x14ac:dyDescent="0.2">
      <c r="L8529" s="43"/>
      <c r="M8529" s="43"/>
      <c r="N8529" s="43"/>
      <c r="O8529" s="43"/>
      <c r="Q8529" s="44"/>
      <c r="R8529" s="44"/>
      <c r="S8529" s="44"/>
      <c r="T8529" s="44"/>
    </row>
    <row r="8530" spans="12:20" x14ac:dyDescent="0.2">
      <c r="L8530" s="43"/>
      <c r="M8530" s="43"/>
      <c r="N8530" s="43"/>
      <c r="O8530" s="43"/>
      <c r="Q8530" s="44"/>
      <c r="R8530" s="44"/>
      <c r="S8530" s="44"/>
      <c r="T8530" s="44"/>
    </row>
    <row r="8531" spans="12:20" x14ac:dyDescent="0.2">
      <c r="L8531" s="43"/>
      <c r="M8531" s="43"/>
      <c r="N8531" s="43"/>
      <c r="O8531" s="43"/>
      <c r="Q8531" s="44"/>
      <c r="R8531" s="44"/>
      <c r="S8531" s="44"/>
      <c r="T8531" s="44"/>
    </row>
    <row r="8532" spans="12:20" x14ac:dyDescent="0.2">
      <c r="L8532" s="43"/>
      <c r="M8532" s="43"/>
      <c r="N8532" s="43"/>
      <c r="O8532" s="43"/>
      <c r="Q8532" s="44"/>
      <c r="R8532" s="44"/>
      <c r="S8532" s="44"/>
      <c r="T8532" s="44"/>
    </row>
    <row r="8533" spans="12:20" x14ac:dyDescent="0.2">
      <c r="L8533" s="43"/>
      <c r="M8533" s="43"/>
      <c r="N8533" s="43"/>
      <c r="O8533" s="43"/>
      <c r="Q8533" s="44"/>
      <c r="R8533" s="44"/>
      <c r="S8533" s="44"/>
      <c r="T8533" s="44"/>
    </row>
    <row r="8534" spans="12:20" x14ac:dyDescent="0.2">
      <c r="L8534" s="43"/>
      <c r="M8534" s="43"/>
      <c r="N8534" s="43"/>
      <c r="O8534" s="43"/>
      <c r="Q8534" s="44"/>
      <c r="R8534" s="44"/>
      <c r="S8534" s="44"/>
      <c r="T8534" s="44"/>
    </row>
    <row r="8535" spans="12:20" x14ac:dyDescent="0.2">
      <c r="L8535" s="43"/>
      <c r="M8535" s="43"/>
      <c r="N8535" s="43"/>
      <c r="O8535" s="43"/>
      <c r="Q8535" s="44"/>
      <c r="R8535" s="44"/>
      <c r="S8535" s="44"/>
      <c r="T8535" s="44"/>
    </row>
    <row r="8536" spans="12:20" x14ac:dyDescent="0.2">
      <c r="L8536" s="43"/>
      <c r="M8536" s="43"/>
      <c r="N8536" s="43"/>
      <c r="O8536" s="43"/>
      <c r="Q8536" s="44"/>
      <c r="R8536" s="44"/>
      <c r="S8536" s="44"/>
      <c r="T8536" s="44"/>
    </row>
    <row r="8537" spans="12:20" x14ac:dyDescent="0.2">
      <c r="L8537" s="43"/>
      <c r="M8537" s="43"/>
      <c r="N8537" s="43"/>
      <c r="O8537" s="43"/>
      <c r="Q8537" s="44"/>
      <c r="R8537" s="44"/>
      <c r="S8537" s="44"/>
      <c r="T8537" s="44"/>
    </row>
    <row r="8538" spans="12:20" x14ac:dyDescent="0.2">
      <c r="L8538" s="43"/>
      <c r="M8538" s="43"/>
      <c r="N8538" s="43"/>
      <c r="O8538" s="43"/>
      <c r="Q8538" s="44"/>
      <c r="R8538" s="44"/>
      <c r="S8538" s="44"/>
      <c r="T8538" s="44"/>
    </row>
    <row r="8539" spans="12:20" x14ac:dyDescent="0.2">
      <c r="L8539" s="43"/>
      <c r="M8539" s="43"/>
      <c r="N8539" s="43"/>
      <c r="O8539" s="43"/>
      <c r="Q8539" s="44"/>
      <c r="R8539" s="44"/>
      <c r="S8539" s="44"/>
      <c r="T8539" s="44"/>
    </row>
    <row r="8540" spans="12:20" x14ac:dyDescent="0.2">
      <c r="L8540" s="43"/>
      <c r="M8540" s="43"/>
      <c r="N8540" s="43"/>
      <c r="O8540" s="43"/>
      <c r="Q8540" s="44"/>
      <c r="R8540" s="44"/>
      <c r="S8540" s="44"/>
      <c r="T8540" s="44"/>
    </row>
    <row r="8541" spans="12:20" x14ac:dyDescent="0.2">
      <c r="L8541" s="43"/>
      <c r="M8541" s="43"/>
      <c r="N8541" s="43"/>
      <c r="O8541" s="43"/>
      <c r="Q8541" s="44"/>
      <c r="R8541" s="44"/>
      <c r="S8541" s="44"/>
      <c r="T8541" s="44"/>
    </row>
    <row r="8542" spans="12:20" x14ac:dyDescent="0.2">
      <c r="L8542" s="43"/>
      <c r="M8542" s="43"/>
      <c r="N8542" s="43"/>
      <c r="O8542" s="43"/>
      <c r="Q8542" s="44"/>
      <c r="R8542" s="44"/>
      <c r="S8542" s="44"/>
      <c r="T8542" s="44"/>
    </row>
    <row r="8543" spans="12:20" x14ac:dyDescent="0.2">
      <c r="L8543" s="43"/>
      <c r="M8543" s="43"/>
      <c r="N8543" s="43"/>
      <c r="O8543" s="43"/>
      <c r="Q8543" s="44"/>
      <c r="R8543" s="44"/>
      <c r="S8543" s="44"/>
      <c r="T8543" s="44"/>
    </row>
    <row r="8544" spans="12:20" x14ac:dyDescent="0.2">
      <c r="L8544" s="43"/>
      <c r="M8544" s="43"/>
      <c r="N8544" s="43"/>
      <c r="O8544" s="43"/>
      <c r="Q8544" s="44"/>
      <c r="R8544" s="44"/>
      <c r="S8544" s="44"/>
      <c r="T8544" s="44"/>
    </row>
    <row r="8545" spans="12:20" x14ac:dyDescent="0.2">
      <c r="L8545" s="43"/>
      <c r="M8545" s="43"/>
      <c r="N8545" s="43"/>
      <c r="O8545" s="43"/>
      <c r="Q8545" s="44"/>
      <c r="R8545" s="44"/>
      <c r="S8545" s="44"/>
      <c r="T8545" s="44"/>
    </row>
    <row r="8546" spans="12:20" x14ac:dyDescent="0.2">
      <c r="L8546" s="43"/>
      <c r="M8546" s="43"/>
      <c r="N8546" s="43"/>
      <c r="O8546" s="43"/>
      <c r="Q8546" s="44"/>
      <c r="R8546" s="44"/>
      <c r="S8546" s="44"/>
      <c r="T8546" s="44"/>
    </row>
    <row r="8547" spans="12:20" x14ac:dyDescent="0.2">
      <c r="L8547" s="43"/>
      <c r="M8547" s="43"/>
      <c r="N8547" s="43"/>
      <c r="O8547" s="43"/>
      <c r="Q8547" s="44"/>
      <c r="R8547" s="44"/>
      <c r="S8547" s="44"/>
      <c r="T8547" s="44"/>
    </row>
    <row r="8548" spans="12:20" x14ac:dyDescent="0.2">
      <c r="L8548" s="43"/>
      <c r="M8548" s="43"/>
      <c r="N8548" s="43"/>
      <c r="O8548" s="43"/>
      <c r="Q8548" s="44"/>
      <c r="R8548" s="44"/>
      <c r="S8548" s="44"/>
      <c r="T8548" s="44"/>
    </row>
    <row r="8549" spans="12:20" x14ac:dyDescent="0.2">
      <c r="L8549" s="43"/>
      <c r="M8549" s="43"/>
      <c r="N8549" s="43"/>
      <c r="O8549" s="43"/>
      <c r="Q8549" s="44"/>
      <c r="R8549" s="44"/>
      <c r="S8549" s="44"/>
      <c r="T8549" s="44"/>
    </row>
    <row r="8550" spans="12:20" x14ac:dyDescent="0.2">
      <c r="L8550" s="43"/>
      <c r="M8550" s="43"/>
      <c r="N8550" s="43"/>
      <c r="O8550" s="43"/>
      <c r="Q8550" s="44"/>
      <c r="R8550" s="44"/>
      <c r="S8550" s="44"/>
      <c r="T8550" s="44"/>
    </row>
    <row r="8551" spans="12:20" x14ac:dyDescent="0.2">
      <c r="L8551" s="43"/>
      <c r="M8551" s="43"/>
      <c r="N8551" s="43"/>
      <c r="O8551" s="43"/>
      <c r="Q8551" s="44"/>
      <c r="R8551" s="44"/>
      <c r="S8551" s="44"/>
      <c r="T8551" s="44"/>
    </row>
    <row r="8552" spans="12:20" x14ac:dyDescent="0.2">
      <c r="L8552" s="43"/>
      <c r="M8552" s="43"/>
      <c r="N8552" s="43"/>
      <c r="O8552" s="43"/>
      <c r="Q8552" s="44"/>
      <c r="R8552" s="44"/>
      <c r="S8552" s="44"/>
      <c r="T8552" s="44"/>
    </row>
    <row r="8553" spans="12:20" x14ac:dyDescent="0.2">
      <c r="L8553" s="43"/>
      <c r="M8553" s="43"/>
      <c r="N8553" s="43"/>
      <c r="O8553" s="43"/>
      <c r="Q8553" s="44"/>
      <c r="R8553" s="44"/>
      <c r="S8553" s="44"/>
      <c r="T8553" s="44"/>
    </row>
    <row r="8554" spans="12:20" x14ac:dyDescent="0.2">
      <c r="L8554" s="43"/>
      <c r="M8554" s="43"/>
      <c r="N8554" s="43"/>
      <c r="O8554" s="43"/>
      <c r="Q8554" s="44"/>
      <c r="R8554" s="44"/>
      <c r="S8554" s="44"/>
      <c r="T8554" s="44"/>
    </row>
    <row r="8555" spans="12:20" x14ac:dyDescent="0.2">
      <c r="L8555" s="43"/>
      <c r="M8555" s="43"/>
      <c r="N8555" s="43"/>
      <c r="O8555" s="43"/>
      <c r="Q8555" s="44"/>
      <c r="R8555" s="44"/>
      <c r="S8555" s="44"/>
      <c r="T8555" s="44"/>
    </row>
    <row r="8556" spans="12:20" x14ac:dyDescent="0.2">
      <c r="L8556" s="43"/>
      <c r="M8556" s="43"/>
      <c r="N8556" s="43"/>
      <c r="O8556" s="43"/>
      <c r="Q8556" s="44"/>
      <c r="R8556" s="44"/>
      <c r="S8556" s="44"/>
      <c r="T8556" s="44"/>
    </row>
    <row r="8557" spans="12:20" x14ac:dyDescent="0.2">
      <c r="L8557" s="43"/>
      <c r="M8557" s="43"/>
      <c r="N8557" s="43"/>
      <c r="O8557" s="43"/>
      <c r="Q8557" s="44"/>
      <c r="R8557" s="44"/>
      <c r="S8557" s="44"/>
      <c r="T8557" s="44"/>
    </row>
    <row r="8558" spans="12:20" x14ac:dyDescent="0.2">
      <c r="L8558" s="43"/>
      <c r="M8558" s="43"/>
      <c r="N8558" s="43"/>
      <c r="O8558" s="43"/>
      <c r="Q8558" s="44"/>
      <c r="R8558" s="44"/>
      <c r="S8558" s="44"/>
      <c r="T8558" s="44"/>
    </row>
    <row r="8559" spans="12:20" x14ac:dyDescent="0.2">
      <c r="L8559" s="43"/>
      <c r="M8559" s="43"/>
      <c r="N8559" s="43"/>
      <c r="O8559" s="43"/>
      <c r="Q8559" s="44"/>
      <c r="R8559" s="44"/>
      <c r="S8559" s="44"/>
      <c r="T8559" s="44"/>
    </row>
    <row r="8560" spans="12:20" x14ac:dyDescent="0.2">
      <c r="L8560" s="43"/>
      <c r="M8560" s="43"/>
      <c r="N8560" s="43"/>
      <c r="O8560" s="43"/>
      <c r="Q8560" s="44"/>
      <c r="R8560" s="44"/>
      <c r="S8560" s="44"/>
      <c r="T8560" s="44"/>
    </row>
    <row r="8561" spans="12:20" x14ac:dyDescent="0.2">
      <c r="L8561" s="43"/>
      <c r="M8561" s="43"/>
      <c r="N8561" s="43"/>
      <c r="O8561" s="43"/>
      <c r="Q8561" s="44"/>
      <c r="R8561" s="44"/>
      <c r="S8561" s="44"/>
      <c r="T8561" s="44"/>
    </row>
    <row r="8562" spans="12:20" x14ac:dyDescent="0.2">
      <c r="L8562" s="43"/>
      <c r="M8562" s="43"/>
      <c r="N8562" s="43"/>
      <c r="O8562" s="43"/>
      <c r="Q8562" s="44"/>
      <c r="R8562" s="44"/>
      <c r="S8562" s="44"/>
      <c r="T8562" s="44"/>
    </row>
    <row r="8563" spans="12:20" x14ac:dyDescent="0.2">
      <c r="L8563" s="43"/>
      <c r="M8563" s="43"/>
      <c r="N8563" s="43"/>
      <c r="O8563" s="43"/>
      <c r="Q8563" s="44"/>
      <c r="R8563" s="44"/>
      <c r="S8563" s="44"/>
      <c r="T8563" s="44"/>
    </row>
    <row r="8564" spans="12:20" x14ac:dyDescent="0.2">
      <c r="L8564" s="43"/>
      <c r="M8564" s="43"/>
      <c r="N8564" s="43"/>
      <c r="O8564" s="43"/>
      <c r="Q8564" s="44"/>
      <c r="R8564" s="44"/>
      <c r="S8564" s="44"/>
      <c r="T8564" s="44"/>
    </row>
    <row r="8565" spans="12:20" x14ac:dyDescent="0.2">
      <c r="L8565" s="43"/>
      <c r="M8565" s="43"/>
      <c r="N8565" s="43"/>
      <c r="O8565" s="43"/>
      <c r="Q8565" s="44"/>
      <c r="R8565" s="44"/>
      <c r="S8565" s="44"/>
      <c r="T8565" s="44"/>
    </row>
    <row r="8566" spans="12:20" x14ac:dyDescent="0.2">
      <c r="L8566" s="43"/>
      <c r="M8566" s="43"/>
      <c r="N8566" s="43"/>
      <c r="O8566" s="43"/>
      <c r="Q8566" s="44"/>
      <c r="R8566" s="44"/>
      <c r="S8566" s="44"/>
      <c r="T8566" s="44"/>
    </row>
    <row r="8567" spans="12:20" x14ac:dyDescent="0.2">
      <c r="L8567" s="43"/>
      <c r="M8567" s="43"/>
      <c r="N8567" s="43"/>
      <c r="O8567" s="43"/>
      <c r="Q8567" s="44"/>
      <c r="R8567" s="44"/>
      <c r="S8567" s="44"/>
      <c r="T8567" s="44"/>
    </row>
    <row r="8568" spans="12:20" x14ac:dyDescent="0.2">
      <c r="L8568" s="43"/>
      <c r="M8568" s="43"/>
      <c r="N8568" s="43"/>
      <c r="O8568" s="43"/>
      <c r="Q8568" s="44"/>
      <c r="R8568" s="44"/>
      <c r="S8568" s="44"/>
      <c r="T8568" s="44"/>
    </row>
    <row r="8569" spans="12:20" x14ac:dyDescent="0.2">
      <c r="L8569" s="43"/>
      <c r="M8569" s="43"/>
      <c r="N8569" s="43"/>
      <c r="O8569" s="43"/>
      <c r="Q8569" s="44"/>
      <c r="R8569" s="44"/>
      <c r="S8569" s="44"/>
      <c r="T8569" s="44"/>
    </row>
    <row r="8570" spans="12:20" x14ac:dyDescent="0.2">
      <c r="L8570" s="43"/>
      <c r="M8570" s="43"/>
      <c r="N8570" s="43"/>
      <c r="O8570" s="43"/>
      <c r="Q8570" s="44"/>
      <c r="R8570" s="44"/>
      <c r="S8570" s="44"/>
      <c r="T8570" s="44"/>
    </row>
    <row r="8571" spans="12:20" x14ac:dyDescent="0.2">
      <c r="L8571" s="43"/>
      <c r="M8571" s="43"/>
      <c r="N8571" s="43"/>
      <c r="O8571" s="43"/>
      <c r="Q8571" s="44"/>
      <c r="R8571" s="44"/>
      <c r="S8571" s="44"/>
      <c r="T8571" s="44"/>
    </row>
    <row r="8572" spans="12:20" x14ac:dyDescent="0.2">
      <c r="L8572" s="43"/>
      <c r="M8572" s="43"/>
      <c r="N8572" s="43"/>
      <c r="O8572" s="43"/>
      <c r="Q8572" s="44"/>
      <c r="R8572" s="44"/>
      <c r="S8572" s="44"/>
      <c r="T8572" s="44"/>
    </row>
    <row r="8573" spans="12:20" x14ac:dyDescent="0.2">
      <c r="L8573" s="43"/>
      <c r="M8573" s="43"/>
      <c r="N8573" s="43"/>
      <c r="O8573" s="43"/>
      <c r="Q8573" s="44"/>
      <c r="R8573" s="44"/>
      <c r="S8573" s="44"/>
      <c r="T8573" s="44"/>
    </row>
    <row r="8574" spans="12:20" x14ac:dyDescent="0.2">
      <c r="L8574" s="43"/>
      <c r="M8574" s="43"/>
      <c r="N8574" s="43"/>
      <c r="O8574" s="43"/>
      <c r="Q8574" s="44"/>
      <c r="R8574" s="44"/>
      <c r="S8574" s="44"/>
      <c r="T8574" s="44"/>
    </row>
    <row r="8575" spans="12:20" x14ac:dyDescent="0.2">
      <c r="L8575" s="43"/>
      <c r="M8575" s="43"/>
      <c r="N8575" s="43"/>
      <c r="O8575" s="43"/>
      <c r="Q8575" s="44"/>
      <c r="R8575" s="44"/>
      <c r="S8575" s="44"/>
      <c r="T8575" s="44"/>
    </row>
    <row r="8576" spans="12:20" x14ac:dyDescent="0.2">
      <c r="L8576" s="43"/>
      <c r="M8576" s="43"/>
      <c r="N8576" s="43"/>
      <c r="O8576" s="43"/>
      <c r="Q8576" s="44"/>
      <c r="R8576" s="44"/>
      <c r="S8576" s="44"/>
      <c r="T8576" s="44"/>
    </row>
    <row r="8577" spans="12:20" x14ac:dyDescent="0.2">
      <c r="L8577" s="43"/>
      <c r="M8577" s="43"/>
      <c r="N8577" s="43"/>
      <c r="O8577" s="43"/>
      <c r="Q8577" s="44"/>
      <c r="R8577" s="44"/>
      <c r="S8577" s="44"/>
      <c r="T8577" s="44"/>
    </row>
    <row r="8578" spans="12:20" x14ac:dyDescent="0.2">
      <c r="L8578" s="43"/>
      <c r="M8578" s="43"/>
      <c r="N8578" s="43"/>
      <c r="O8578" s="43"/>
      <c r="Q8578" s="44"/>
      <c r="R8578" s="44"/>
      <c r="S8578" s="44"/>
      <c r="T8578" s="44"/>
    </row>
    <row r="8579" spans="12:20" x14ac:dyDescent="0.2">
      <c r="L8579" s="43"/>
      <c r="M8579" s="43"/>
      <c r="N8579" s="43"/>
      <c r="O8579" s="43"/>
      <c r="Q8579" s="44"/>
      <c r="R8579" s="44"/>
      <c r="S8579" s="44"/>
      <c r="T8579" s="44"/>
    </row>
    <row r="8580" spans="12:20" x14ac:dyDescent="0.2">
      <c r="L8580" s="43"/>
      <c r="M8580" s="43"/>
      <c r="N8580" s="43"/>
      <c r="O8580" s="43"/>
      <c r="Q8580" s="44"/>
      <c r="R8580" s="44"/>
      <c r="S8580" s="44"/>
      <c r="T8580" s="44"/>
    </row>
    <row r="8581" spans="12:20" x14ac:dyDescent="0.2">
      <c r="L8581" s="43"/>
      <c r="M8581" s="43"/>
      <c r="N8581" s="43"/>
      <c r="O8581" s="43"/>
      <c r="Q8581" s="44"/>
      <c r="R8581" s="44"/>
      <c r="S8581" s="44"/>
      <c r="T8581" s="44"/>
    </row>
    <row r="8582" spans="12:20" x14ac:dyDescent="0.2">
      <c r="L8582" s="43"/>
      <c r="M8582" s="43"/>
      <c r="N8582" s="43"/>
      <c r="O8582" s="43"/>
      <c r="Q8582" s="44"/>
      <c r="R8582" s="44"/>
      <c r="S8582" s="44"/>
      <c r="T8582" s="44"/>
    </row>
    <row r="8583" spans="12:20" x14ac:dyDescent="0.2">
      <c r="L8583" s="43"/>
      <c r="M8583" s="43"/>
      <c r="N8583" s="43"/>
      <c r="O8583" s="43"/>
      <c r="Q8583" s="44"/>
      <c r="R8583" s="44"/>
      <c r="S8583" s="44"/>
      <c r="T8583" s="44"/>
    </row>
    <row r="8584" spans="12:20" x14ac:dyDescent="0.2">
      <c r="L8584" s="43"/>
      <c r="M8584" s="43"/>
      <c r="N8584" s="43"/>
      <c r="O8584" s="43"/>
      <c r="Q8584" s="44"/>
      <c r="R8584" s="44"/>
      <c r="S8584" s="44"/>
      <c r="T8584" s="44"/>
    </row>
    <row r="8585" spans="12:20" x14ac:dyDescent="0.2">
      <c r="L8585" s="43"/>
      <c r="M8585" s="43"/>
      <c r="N8585" s="43"/>
      <c r="O8585" s="43"/>
      <c r="Q8585" s="44"/>
      <c r="R8585" s="44"/>
      <c r="S8585" s="44"/>
      <c r="T8585" s="44"/>
    </row>
    <row r="8586" spans="12:20" x14ac:dyDescent="0.2">
      <c r="L8586" s="43"/>
      <c r="M8586" s="43"/>
      <c r="N8586" s="43"/>
      <c r="O8586" s="43"/>
      <c r="Q8586" s="44"/>
      <c r="R8586" s="44"/>
      <c r="S8586" s="44"/>
      <c r="T8586" s="44"/>
    </row>
    <row r="8587" spans="12:20" x14ac:dyDescent="0.2">
      <c r="L8587" s="43"/>
      <c r="M8587" s="43"/>
      <c r="N8587" s="43"/>
      <c r="O8587" s="43"/>
      <c r="Q8587" s="44"/>
      <c r="R8587" s="44"/>
      <c r="S8587" s="44"/>
      <c r="T8587" s="44"/>
    </row>
    <row r="8588" spans="12:20" x14ac:dyDescent="0.2">
      <c r="L8588" s="43"/>
      <c r="M8588" s="43"/>
      <c r="N8588" s="43"/>
      <c r="O8588" s="43"/>
      <c r="Q8588" s="44"/>
      <c r="R8588" s="44"/>
      <c r="S8588" s="44"/>
      <c r="T8588" s="44"/>
    </row>
    <row r="8589" spans="12:20" x14ac:dyDescent="0.2">
      <c r="L8589" s="43"/>
      <c r="M8589" s="43"/>
      <c r="N8589" s="43"/>
      <c r="O8589" s="43"/>
      <c r="Q8589" s="44"/>
      <c r="R8589" s="44"/>
      <c r="S8589" s="44"/>
      <c r="T8589" s="44"/>
    </row>
    <row r="8590" spans="12:20" x14ac:dyDescent="0.2">
      <c r="L8590" s="43"/>
      <c r="M8590" s="43"/>
      <c r="N8590" s="43"/>
      <c r="O8590" s="43"/>
      <c r="Q8590" s="44"/>
      <c r="R8590" s="44"/>
      <c r="S8590" s="44"/>
      <c r="T8590" s="44"/>
    </row>
    <row r="8591" spans="12:20" x14ac:dyDescent="0.2">
      <c r="L8591" s="43"/>
      <c r="M8591" s="43"/>
      <c r="N8591" s="43"/>
      <c r="O8591" s="43"/>
      <c r="Q8591" s="44"/>
      <c r="R8591" s="44"/>
      <c r="S8591" s="44"/>
      <c r="T8591" s="44"/>
    </row>
    <row r="8592" spans="12:20" x14ac:dyDescent="0.2">
      <c r="L8592" s="43"/>
      <c r="M8592" s="43"/>
      <c r="N8592" s="43"/>
      <c r="O8592" s="43"/>
      <c r="Q8592" s="44"/>
      <c r="R8592" s="44"/>
      <c r="S8592" s="44"/>
      <c r="T8592" s="44"/>
    </row>
    <row r="8593" spans="12:20" x14ac:dyDescent="0.2">
      <c r="L8593" s="43"/>
      <c r="M8593" s="43"/>
      <c r="N8593" s="43"/>
      <c r="O8593" s="43"/>
      <c r="Q8593" s="44"/>
      <c r="R8593" s="44"/>
      <c r="S8593" s="44"/>
      <c r="T8593" s="44"/>
    </row>
    <row r="8594" spans="12:20" x14ac:dyDescent="0.2">
      <c r="L8594" s="43"/>
      <c r="M8594" s="43"/>
      <c r="N8594" s="43"/>
      <c r="O8594" s="43"/>
      <c r="Q8594" s="44"/>
      <c r="R8594" s="44"/>
      <c r="S8594" s="44"/>
      <c r="T8594" s="44"/>
    </row>
    <row r="8595" spans="12:20" x14ac:dyDescent="0.2">
      <c r="L8595" s="43"/>
      <c r="M8595" s="43"/>
      <c r="N8595" s="43"/>
      <c r="O8595" s="43"/>
      <c r="Q8595" s="44"/>
      <c r="R8595" s="44"/>
      <c r="S8595" s="44"/>
      <c r="T8595" s="44"/>
    </row>
    <row r="8596" spans="12:20" x14ac:dyDescent="0.2">
      <c r="L8596" s="43"/>
      <c r="M8596" s="43"/>
      <c r="N8596" s="43"/>
      <c r="O8596" s="43"/>
      <c r="Q8596" s="44"/>
      <c r="R8596" s="44"/>
      <c r="S8596" s="44"/>
      <c r="T8596" s="44"/>
    </row>
    <row r="8597" spans="12:20" x14ac:dyDescent="0.2">
      <c r="L8597" s="43"/>
      <c r="M8597" s="43"/>
      <c r="N8597" s="43"/>
      <c r="O8597" s="43"/>
      <c r="Q8597" s="44"/>
      <c r="R8597" s="44"/>
      <c r="S8597" s="44"/>
      <c r="T8597" s="44"/>
    </row>
    <row r="8598" spans="12:20" x14ac:dyDescent="0.2">
      <c r="L8598" s="43"/>
      <c r="M8598" s="43"/>
      <c r="N8598" s="43"/>
      <c r="O8598" s="43"/>
      <c r="Q8598" s="44"/>
      <c r="R8598" s="44"/>
      <c r="S8598" s="44"/>
      <c r="T8598" s="44"/>
    </row>
    <row r="8599" spans="12:20" x14ac:dyDescent="0.2">
      <c r="L8599" s="43"/>
      <c r="M8599" s="43"/>
      <c r="N8599" s="43"/>
      <c r="O8599" s="43"/>
      <c r="Q8599" s="44"/>
      <c r="R8599" s="44"/>
      <c r="S8599" s="44"/>
      <c r="T8599" s="44"/>
    </row>
    <row r="8600" spans="12:20" x14ac:dyDescent="0.2">
      <c r="L8600" s="43"/>
      <c r="M8600" s="43"/>
      <c r="N8600" s="43"/>
      <c r="O8600" s="43"/>
      <c r="Q8600" s="44"/>
      <c r="R8600" s="44"/>
      <c r="S8600" s="44"/>
      <c r="T8600" s="44"/>
    </row>
    <row r="8601" spans="12:20" x14ac:dyDescent="0.2">
      <c r="L8601" s="43"/>
      <c r="M8601" s="43"/>
      <c r="N8601" s="43"/>
      <c r="O8601" s="43"/>
      <c r="Q8601" s="44"/>
      <c r="R8601" s="44"/>
      <c r="S8601" s="44"/>
      <c r="T8601" s="44"/>
    </row>
    <row r="8602" spans="12:20" x14ac:dyDescent="0.2">
      <c r="L8602" s="43"/>
      <c r="M8602" s="43"/>
      <c r="N8602" s="43"/>
      <c r="O8602" s="43"/>
      <c r="Q8602" s="44"/>
      <c r="R8602" s="44"/>
      <c r="S8602" s="44"/>
      <c r="T8602" s="44"/>
    </row>
    <row r="8603" spans="12:20" x14ac:dyDescent="0.2">
      <c r="L8603" s="43"/>
      <c r="M8603" s="43"/>
      <c r="N8603" s="43"/>
      <c r="O8603" s="43"/>
      <c r="Q8603" s="44"/>
      <c r="R8603" s="44"/>
      <c r="S8603" s="44"/>
      <c r="T8603" s="44"/>
    </row>
    <row r="8604" spans="12:20" x14ac:dyDescent="0.2">
      <c r="L8604" s="43"/>
      <c r="M8604" s="43"/>
      <c r="N8604" s="43"/>
      <c r="O8604" s="43"/>
      <c r="Q8604" s="44"/>
      <c r="R8604" s="44"/>
      <c r="S8604" s="44"/>
      <c r="T8604" s="44"/>
    </row>
    <row r="8605" spans="12:20" x14ac:dyDescent="0.2">
      <c r="L8605" s="43"/>
      <c r="M8605" s="43"/>
      <c r="N8605" s="43"/>
      <c r="O8605" s="43"/>
      <c r="Q8605" s="44"/>
      <c r="R8605" s="44"/>
      <c r="S8605" s="44"/>
      <c r="T8605" s="44"/>
    </row>
    <row r="8606" spans="12:20" x14ac:dyDescent="0.2">
      <c r="L8606" s="43"/>
      <c r="M8606" s="43"/>
      <c r="N8606" s="43"/>
      <c r="O8606" s="43"/>
      <c r="Q8606" s="44"/>
      <c r="R8606" s="44"/>
      <c r="S8606" s="44"/>
      <c r="T8606" s="44"/>
    </row>
    <row r="8607" spans="12:20" x14ac:dyDescent="0.2">
      <c r="L8607" s="43"/>
      <c r="M8607" s="43"/>
      <c r="N8607" s="43"/>
      <c r="O8607" s="43"/>
      <c r="Q8607" s="44"/>
      <c r="R8607" s="44"/>
      <c r="S8607" s="44"/>
      <c r="T8607" s="44"/>
    </row>
    <row r="8608" spans="12:20" x14ac:dyDescent="0.2">
      <c r="L8608" s="43"/>
      <c r="M8608" s="43"/>
      <c r="N8608" s="43"/>
      <c r="O8608" s="43"/>
      <c r="Q8608" s="44"/>
      <c r="R8608" s="44"/>
      <c r="S8608" s="44"/>
      <c r="T8608" s="44"/>
    </row>
    <row r="8609" spans="12:20" x14ac:dyDescent="0.2">
      <c r="L8609" s="43"/>
      <c r="M8609" s="43"/>
      <c r="N8609" s="43"/>
      <c r="O8609" s="43"/>
      <c r="Q8609" s="44"/>
      <c r="R8609" s="44"/>
      <c r="S8609" s="44"/>
      <c r="T8609" s="44"/>
    </row>
    <row r="8610" spans="12:20" x14ac:dyDescent="0.2">
      <c r="L8610" s="43"/>
      <c r="M8610" s="43"/>
      <c r="N8610" s="43"/>
      <c r="O8610" s="43"/>
      <c r="Q8610" s="44"/>
      <c r="R8610" s="44"/>
      <c r="S8610" s="44"/>
      <c r="T8610" s="44"/>
    </row>
    <row r="8611" spans="12:20" x14ac:dyDescent="0.2">
      <c r="L8611" s="43"/>
      <c r="M8611" s="43"/>
      <c r="N8611" s="43"/>
      <c r="O8611" s="43"/>
      <c r="Q8611" s="44"/>
      <c r="R8611" s="44"/>
      <c r="S8611" s="44"/>
      <c r="T8611" s="44"/>
    </row>
    <row r="8612" spans="12:20" x14ac:dyDescent="0.2">
      <c r="L8612" s="43"/>
      <c r="M8612" s="43"/>
      <c r="N8612" s="43"/>
      <c r="O8612" s="43"/>
      <c r="Q8612" s="44"/>
      <c r="R8612" s="44"/>
      <c r="S8612" s="44"/>
      <c r="T8612" s="44"/>
    </row>
    <row r="8613" spans="12:20" x14ac:dyDescent="0.2">
      <c r="L8613" s="43"/>
      <c r="M8613" s="43"/>
      <c r="N8613" s="43"/>
      <c r="O8613" s="43"/>
      <c r="Q8613" s="44"/>
      <c r="R8613" s="44"/>
      <c r="S8613" s="44"/>
      <c r="T8613" s="44"/>
    </row>
    <row r="8614" spans="12:20" x14ac:dyDescent="0.2">
      <c r="L8614" s="43"/>
      <c r="M8614" s="43"/>
      <c r="N8614" s="43"/>
      <c r="O8614" s="43"/>
      <c r="Q8614" s="44"/>
      <c r="R8614" s="44"/>
      <c r="S8614" s="44"/>
      <c r="T8614" s="44"/>
    </row>
    <row r="8615" spans="12:20" x14ac:dyDescent="0.2">
      <c r="L8615" s="43"/>
      <c r="M8615" s="43"/>
      <c r="N8615" s="43"/>
      <c r="O8615" s="43"/>
      <c r="Q8615" s="44"/>
      <c r="R8615" s="44"/>
      <c r="S8615" s="44"/>
      <c r="T8615" s="44"/>
    </row>
    <row r="8616" spans="12:20" x14ac:dyDescent="0.2">
      <c r="L8616" s="43"/>
      <c r="M8616" s="43"/>
      <c r="N8616" s="43"/>
      <c r="O8616" s="43"/>
      <c r="Q8616" s="44"/>
      <c r="R8616" s="44"/>
      <c r="S8616" s="44"/>
      <c r="T8616" s="44"/>
    </row>
    <row r="8617" spans="12:20" x14ac:dyDescent="0.2">
      <c r="L8617" s="43"/>
      <c r="M8617" s="43"/>
      <c r="N8617" s="43"/>
      <c r="O8617" s="43"/>
      <c r="Q8617" s="44"/>
      <c r="R8617" s="44"/>
      <c r="S8617" s="44"/>
      <c r="T8617" s="44"/>
    </row>
    <row r="8618" spans="12:20" x14ac:dyDescent="0.2">
      <c r="L8618" s="43"/>
      <c r="M8618" s="43"/>
      <c r="N8618" s="43"/>
      <c r="O8618" s="43"/>
      <c r="Q8618" s="44"/>
      <c r="R8618" s="44"/>
      <c r="S8618" s="44"/>
      <c r="T8618" s="44"/>
    </row>
    <row r="8619" spans="12:20" x14ac:dyDescent="0.2">
      <c r="L8619" s="43"/>
      <c r="M8619" s="43"/>
      <c r="N8619" s="43"/>
      <c r="O8619" s="43"/>
      <c r="Q8619" s="44"/>
      <c r="R8619" s="44"/>
      <c r="S8619" s="44"/>
      <c r="T8619" s="44"/>
    </row>
    <row r="8620" spans="12:20" x14ac:dyDescent="0.2">
      <c r="L8620" s="43"/>
      <c r="M8620" s="43"/>
      <c r="N8620" s="43"/>
      <c r="O8620" s="43"/>
      <c r="Q8620" s="44"/>
      <c r="R8620" s="44"/>
      <c r="S8620" s="44"/>
      <c r="T8620" s="44"/>
    </row>
    <row r="8621" spans="12:20" x14ac:dyDescent="0.2">
      <c r="L8621" s="43"/>
      <c r="M8621" s="43"/>
      <c r="N8621" s="43"/>
      <c r="O8621" s="43"/>
      <c r="Q8621" s="44"/>
      <c r="R8621" s="44"/>
      <c r="S8621" s="44"/>
      <c r="T8621" s="44"/>
    </row>
    <row r="8622" spans="12:20" x14ac:dyDescent="0.2">
      <c r="L8622" s="43"/>
      <c r="M8622" s="43"/>
      <c r="N8622" s="43"/>
      <c r="O8622" s="43"/>
      <c r="Q8622" s="44"/>
      <c r="R8622" s="44"/>
      <c r="S8622" s="44"/>
      <c r="T8622" s="44"/>
    </row>
    <row r="8623" spans="12:20" x14ac:dyDescent="0.2">
      <c r="L8623" s="43"/>
      <c r="M8623" s="43"/>
      <c r="N8623" s="43"/>
      <c r="O8623" s="43"/>
      <c r="Q8623" s="44"/>
      <c r="R8623" s="44"/>
      <c r="S8623" s="44"/>
      <c r="T8623" s="44"/>
    </row>
    <row r="8624" spans="12:20" x14ac:dyDescent="0.2">
      <c r="L8624" s="43"/>
      <c r="M8624" s="43"/>
      <c r="N8624" s="43"/>
      <c r="O8624" s="43"/>
      <c r="Q8624" s="44"/>
      <c r="R8624" s="44"/>
      <c r="S8624" s="44"/>
      <c r="T8624" s="44"/>
    </row>
    <row r="8625" spans="12:20" x14ac:dyDescent="0.2">
      <c r="L8625" s="43"/>
      <c r="M8625" s="43"/>
      <c r="N8625" s="43"/>
      <c r="O8625" s="43"/>
      <c r="Q8625" s="44"/>
      <c r="R8625" s="44"/>
      <c r="S8625" s="44"/>
      <c r="T8625" s="44"/>
    </row>
    <row r="8626" spans="12:20" x14ac:dyDescent="0.2">
      <c r="L8626" s="43"/>
      <c r="M8626" s="43"/>
      <c r="N8626" s="43"/>
      <c r="O8626" s="43"/>
      <c r="Q8626" s="44"/>
      <c r="R8626" s="44"/>
      <c r="S8626" s="44"/>
      <c r="T8626" s="44"/>
    </row>
    <row r="8627" spans="12:20" x14ac:dyDescent="0.2">
      <c r="L8627" s="43"/>
      <c r="M8627" s="43"/>
      <c r="N8627" s="43"/>
      <c r="O8627" s="43"/>
      <c r="Q8627" s="44"/>
      <c r="R8627" s="44"/>
      <c r="S8627" s="44"/>
      <c r="T8627" s="44"/>
    </row>
    <row r="8628" spans="12:20" x14ac:dyDescent="0.2">
      <c r="L8628" s="43"/>
      <c r="M8628" s="43"/>
      <c r="N8628" s="43"/>
      <c r="O8628" s="43"/>
      <c r="Q8628" s="44"/>
      <c r="R8628" s="44"/>
      <c r="S8628" s="44"/>
      <c r="T8628" s="44"/>
    </row>
    <row r="8629" spans="12:20" x14ac:dyDescent="0.2">
      <c r="L8629" s="43"/>
      <c r="M8629" s="43"/>
      <c r="N8629" s="43"/>
      <c r="O8629" s="43"/>
      <c r="Q8629" s="44"/>
      <c r="R8629" s="44"/>
      <c r="S8629" s="44"/>
      <c r="T8629" s="44"/>
    </row>
    <row r="8630" spans="12:20" x14ac:dyDescent="0.2">
      <c r="L8630" s="43"/>
      <c r="M8630" s="43"/>
      <c r="N8630" s="43"/>
      <c r="O8630" s="43"/>
      <c r="Q8630" s="44"/>
      <c r="R8630" s="44"/>
      <c r="S8630" s="44"/>
      <c r="T8630" s="44"/>
    </row>
    <row r="8631" spans="12:20" x14ac:dyDescent="0.2">
      <c r="L8631" s="43"/>
      <c r="M8631" s="43"/>
      <c r="N8631" s="43"/>
      <c r="O8631" s="43"/>
      <c r="Q8631" s="44"/>
      <c r="R8631" s="44"/>
      <c r="S8631" s="44"/>
      <c r="T8631" s="44"/>
    </row>
    <row r="8632" spans="12:20" x14ac:dyDescent="0.2">
      <c r="L8632" s="43"/>
      <c r="M8632" s="43"/>
      <c r="N8632" s="43"/>
      <c r="O8632" s="43"/>
      <c r="Q8632" s="44"/>
      <c r="R8632" s="44"/>
      <c r="S8632" s="44"/>
      <c r="T8632" s="44"/>
    </row>
    <row r="8633" spans="12:20" x14ac:dyDescent="0.2">
      <c r="L8633" s="43"/>
      <c r="M8633" s="43"/>
      <c r="N8633" s="43"/>
      <c r="O8633" s="43"/>
      <c r="Q8633" s="44"/>
      <c r="R8633" s="44"/>
      <c r="S8633" s="44"/>
      <c r="T8633" s="44"/>
    </row>
    <row r="8634" spans="12:20" x14ac:dyDescent="0.2">
      <c r="L8634" s="43"/>
      <c r="M8634" s="43"/>
      <c r="N8634" s="43"/>
      <c r="O8634" s="43"/>
      <c r="Q8634" s="44"/>
      <c r="R8634" s="44"/>
      <c r="S8634" s="44"/>
      <c r="T8634" s="44"/>
    </row>
    <row r="8635" spans="12:20" x14ac:dyDescent="0.2">
      <c r="L8635" s="43"/>
      <c r="M8635" s="43"/>
      <c r="N8635" s="43"/>
      <c r="O8635" s="43"/>
      <c r="Q8635" s="44"/>
      <c r="R8635" s="44"/>
      <c r="S8635" s="44"/>
      <c r="T8635" s="44"/>
    </row>
    <row r="8636" spans="12:20" x14ac:dyDescent="0.2">
      <c r="L8636" s="43"/>
      <c r="M8636" s="43"/>
      <c r="N8636" s="43"/>
      <c r="O8636" s="43"/>
      <c r="Q8636" s="44"/>
      <c r="R8636" s="44"/>
      <c r="S8636" s="44"/>
      <c r="T8636" s="44"/>
    </row>
    <row r="8637" spans="12:20" x14ac:dyDescent="0.2">
      <c r="L8637" s="43"/>
      <c r="M8637" s="43"/>
      <c r="N8637" s="43"/>
      <c r="O8637" s="43"/>
      <c r="Q8637" s="44"/>
      <c r="R8637" s="44"/>
      <c r="S8637" s="44"/>
      <c r="T8637" s="44"/>
    </row>
    <row r="8638" spans="12:20" x14ac:dyDescent="0.2">
      <c r="L8638" s="43"/>
      <c r="M8638" s="43"/>
      <c r="N8638" s="43"/>
      <c r="O8638" s="43"/>
      <c r="Q8638" s="44"/>
      <c r="R8638" s="44"/>
      <c r="S8638" s="44"/>
      <c r="T8638" s="44"/>
    </row>
    <row r="8639" spans="12:20" x14ac:dyDescent="0.2">
      <c r="L8639" s="43"/>
      <c r="M8639" s="43"/>
      <c r="N8639" s="43"/>
      <c r="O8639" s="43"/>
      <c r="Q8639" s="44"/>
      <c r="R8639" s="44"/>
      <c r="S8639" s="44"/>
      <c r="T8639" s="44"/>
    </row>
    <row r="8640" spans="12:20" x14ac:dyDescent="0.2">
      <c r="L8640" s="43"/>
      <c r="M8640" s="43"/>
      <c r="N8640" s="43"/>
      <c r="O8640" s="43"/>
      <c r="Q8640" s="44"/>
      <c r="R8640" s="44"/>
      <c r="S8640" s="44"/>
      <c r="T8640" s="44"/>
    </row>
    <row r="8641" spans="12:20" x14ac:dyDescent="0.2">
      <c r="L8641" s="43"/>
      <c r="M8641" s="43"/>
      <c r="N8641" s="43"/>
      <c r="O8641" s="43"/>
      <c r="Q8641" s="44"/>
      <c r="R8641" s="44"/>
      <c r="S8641" s="44"/>
      <c r="T8641" s="44"/>
    </row>
    <row r="8642" spans="12:20" x14ac:dyDescent="0.2">
      <c r="L8642" s="43"/>
      <c r="M8642" s="43"/>
      <c r="N8642" s="43"/>
      <c r="O8642" s="43"/>
      <c r="Q8642" s="44"/>
      <c r="R8642" s="44"/>
      <c r="S8642" s="44"/>
      <c r="T8642" s="44"/>
    </row>
    <row r="8643" spans="12:20" x14ac:dyDescent="0.2">
      <c r="L8643" s="43"/>
      <c r="M8643" s="43"/>
      <c r="N8643" s="43"/>
      <c r="O8643" s="43"/>
      <c r="Q8643" s="44"/>
      <c r="R8643" s="44"/>
      <c r="S8643" s="44"/>
      <c r="T8643" s="44"/>
    </row>
    <row r="8644" spans="12:20" x14ac:dyDescent="0.2">
      <c r="L8644" s="43"/>
      <c r="M8644" s="43"/>
      <c r="N8644" s="43"/>
      <c r="O8644" s="43"/>
      <c r="Q8644" s="44"/>
      <c r="R8644" s="44"/>
      <c r="S8644" s="44"/>
      <c r="T8644" s="44"/>
    </row>
    <row r="8645" spans="12:20" x14ac:dyDescent="0.2">
      <c r="L8645" s="43"/>
      <c r="M8645" s="43"/>
      <c r="N8645" s="43"/>
      <c r="O8645" s="43"/>
      <c r="Q8645" s="44"/>
      <c r="R8645" s="44"/>
      <c r="S8645" s="44"/>
      <c r="T8645" s="44"/>
    </row>
    <row r="8646" spans="12:20" x14ac:dyDescent="0.2">
      <c r="L8646" s="43"/>
      <c r="M8646" s="43"/>
      <c r="N8646" s="43"/>
      <c r="O8646" s="43"/>
      <c r="Q8646" s="44"/>
      <c r="R8646" s="44"/>
      <c r="S8646" s="44"/>
      <c r="T8646" s="44"/>
    </row>
    <row r="8647" spans="12:20" x14ac:dyDescent="0.2">
      <c r="L8647" s="43"/>
      <c r="M8647" s="43"/>
      <c r="N8647" s="43"/>
      <c r="O8647" s="43"/>
      <c r="Q8647" s="44"/>
      <c r="R8647" s="44"/>
      <c r="S8647" s="44"/>
      <c r="T8647" s="44"/>
    </row>
    <row r="8648" spans="12:20" x14ac:dyDescent="0.2">
      <c r="L8648" s="43"/>
      <c r="M8648" s="43"/>
      <c r="N8648" s="43"/>
      <c r="O8648" s="43"/>
      <c r="Q8648" s="44"/>
      <c r="R8648" s="44"/>
      <c r="S8648" s="44"/>
      <c r="T8648" s="44"/>
    </row>
    <row r="8649" spans="12:20" x14ac:dyDescent="0.2">
      <c r="L8649" s="43"/>
      <c r="M8649" s="43"/>
      <c r="N8649" s="43"/>
      <c r="O8649" s="43"/>
      <c r="Q8649" s="44"/>
      <c r="R8649" s="44"/>
      <c r="S8649" s="44"/>
      <c r="T8649" s="44"/>
    </row>
    <row r="8650" spans="12:20" x14ac:dyDescent="0.2">
      <c r="L8650" s="43"/>
      <c r="M8650" s="43"/>
      <c r="N8650" s="43"/>
      <c r="O8650" s="43"/>
      <c r="Q8650" s="44"/>
      <c r="R8650" s="44"/>
      <c r="S8650" s="44"/>
      <c r="T8650" s="44"/>
    </row>
    <row r="8651" spans="12:20" x14ac:dyDescent="0.2">
      <c r="L8651" s="43"/>
      <c r="M8651" s="43"/>
      <c r="N8651" s="43"/>
      <c r="O8651" s="43"/>
      <c r="Q8651" s="44"/>
      <c r="R8651" s="44"/>
      <c r="S8651" s="44"/>
      <c r="T8651" s="44"/>
    </row>
    <row r="8652" spans="12:20" x14ac:dyDescent="0.2">
      <c r="L8652" s="43"/>
      <c r="M8652" s="43"/>
      <c r="N8652" s="43"/>
      <c r="O8652" s="43"/>
      <c r="Q8652" s="44"/>
      <c r="R8652" s="44"/>
      <c r="S8652" s="44"/>
      <c r="T8652" s="44"/>
    </row>
    <row r="8653" spans="12:20" x14ac:dyDescent="0.2">
      <c r="L8653" s="43"/>
      <c r="M8653" s="43"/>
      <c r="N8653" s="43"/>
      <c r="O8653" s="43"/>
      <c r="Q8653" s="44"/>
      <c r="R8653" s="44"/>
      <c r="S8653" s="44"/>
      <c r="T8653" s="44"/>
    </row>
    <row r="8654" spans="12:20" x14ac:dyDescent="0.2">
      <c r="L8654" s="43"/>
      <c r="M8654" s="43"/>
      <c r="N8654" s="43"/>
      <c r="O8654" s="43"/>
      <c r="Q8654" s="44"/>
      <c r="R8654" s="44"/>
      <c r="S8654" s="44"/>
      <c r="T8654" s="44"/>
    </row>
    <row r="8655" spans="12:20" x14ac:dyDescent="0.2">
      <c r="L8655" s="43"/>
      <c r="M8655" s="43"/>
      <c r="N8655" s="43"/>
      <c r="O8655" s="43"/>
      <c r="Q8655" s="44"/>
      <c r="R8655" s="44"/>
      <c r="S8655" s="44"/>
      <c r="T8655" s="44"/>
    </row>
    <row r="8656" spans="12:20" x14ac:dyDescent="0.2">
      <c r="L8656" s="43"/>
      <c r="M8656" s="43"/>
      <c r="N8656" s="43"/>
      <c r="O8656" s="43"/>
      <c r="Q8656" s="44"/>
      <c r="R8656" s="44"/>
      <c r="S8656" s="44"/>
      <c r="T8656" s="44"/>
    </row>
    <row r="8657" spans="12:20" x14ac:dyDescent="0.2">
      <c r="L8657" s="43"/>
      <c r="M8657" s="43"/>
      <c r="N8657" s="43"/>
      <c r="O8657" s="43"/>
      <c r="Q8657" s="44"/>
      <c r="R8657" s="44"/>
      <c r="S8657" s="44"/>
      <c r="T8657" s="44"/>
    </row>
    <row r="8658" spans="12:20" x14ac:dyDescent="0.2">
      <c r="L8658" s="43"/>
      <c r="M8658" s="43"/>
      <c r="N8658" s="43"/>
      <c r="O8658" s="43"/>
      <c r="Q8658" s="44"/>
      <c r="R8658" s="44"/>
      <c r="S8658" s="44"/>
      <c r="T8658" s="44"/>
    </row>
    <row r="8659" spans="12:20" x14ac:dyDescent="0.2">
      <c r="L8659" s="43"/>
      <c r="M8659" s="43"/>
      <c r="N8659" s="43"/>
      <c r="O8659" s="43"/>
      <c r="Q8659" s="44"/>
      <c r="R8659" s="44"/>
      <c r="S8659" s="44"/>
      <c r="T8659" s="44"/>
    </row>
    <row r="8660" spans="12:20" x14ac:dyDescent="0.2">
      <c r="L8660" s="43"/>
      <c r="M8660" s="43"/>
      <c r="N8660" s="43"/>
      <c r="O8660" s="43"/>
      <c r="Q8660" s="44"/>
      <c r="R8660" s="44"/>
      <c r="S8660" s="44"/>
      <c r="T8660" s="44"/>
    </row>
    <row r="8661" spans="12:20" x14ac:dyDescent="0.2">
      <c r="L8661" s="43"/>
      <c r="M8661" s="43"/>
      <c r="N8661" s="43"/>
      <c r="O8661" s="43"/>
      <c r="Q8661" s="44"/>
      <c r="R8661" s="44"/>
      <c r="S8661" s="44"/>
      <c r="T8661" s="44"/>
    </row>
    <row r="8662" spans="12:20" x14ac:dyDescent="0.2">
      <c r="L8662" s="43"/>
      <c r="M8662" s="43"/>
      <c r="N8662" s="43"/>
      <c r="O8662" s="43"/>
      <c r="Q8662" s="44"/>
      <c r="R8662" s="44"/>
      <c r="S8662" s="44"/>
      <c r="T8662" s="44"/>
    </row>
    <row r="8663" spans="12:20" x14ac:dyDescent="0.2">
      <c r="L8663" s="43"/>
      <c r="M8663" s="43"/>
      <c r="N8663" s="43"/>
      <c r="O8663" s="43"/>
      <c r="Q8663" s="44"/>
      <c r="R8663" s="44"/>
      <c r="S8663" s="44"/>
      <c r="T8663" s="44"/>
    </row>
    <row r="8664" spans="12:20" x14ac:dyDescent="0.2">
      <c r="L8664" s="43"/>
      <c r="M8664" s="43"/>
      <c r="N8664" s="43"/>
      <c r="O8664" s="43"/>
      <c r="Q8664" s="44"/>
      <c r="R8664" s="44"/>
      <c r="S8664" s="44"/>
      <c r="T8664" s="44"/>
    </row>
    <row r="8665" spans="12:20" x14ac:dyDescent="0.2">
      <c r="L8665" s="43"/>
      <c r="M8665" s="43"/>
      <c r="N8665" s="43"/>
      <c r="O8665" s="43"/>
      <c r="Q8665" s="44"/>
      <c r="R8665" s="44"/>
      <c r="S8665" s="44"/>
      <c r="T8665" s="44"/>
    </row>
    <row r="8666" spans="12:20" x14ac:dyDescent="0.2">
      <c r="L8666" s="43"/>
      <c r="M8666" s="43"/>
      <c r="N8666" s="43"/>
      <c r="O8666" s="43"/>
      <c r="Q8666" s="44"/>
      <c r="R8666" s="44"/>
      <c r="S8666" s="44"/>
      <c r="T8666" s="44"/>
    </row>
    <row r="8667" spans="12:20" x14ac:dyDescent="0.2">
      <c r="L8667" s="43"/>
      <c r="M8667" s="43"/>
      <c r="N8667" s="43"/>
      <c r="O8667" s="43"/>
      <c r="Q8667" s="44"/>
      <c r="R8667" s="44"/>
      <c r="S8667" s="44"/>
      <c r="T8667" s="44"/>
    </row>
    <row r="8668" spans="12:20" x14ac:dyDescent="0.2">
      <c r="L8668" s="43"/>
      <c r="M8668" s="43"/>
      <c r="N8668" s="43"/>
      <c r="O8668" s="43"/>
      <c r="Q8668" s="44"/>
      <c r="R8668" s="44"/>
      <c r="S8668" s="44"/>
      <c r="T8668" s="44"/>
    </row>
    <row r="8669" spans="12:20" x14ac:dyDescent="0.2">
      <c r="L8669" s="43"/>
      <c r="M8669" s="43"/>
      <c r="N8669" s="43"/>
      <c r="O8669" s="43"/>
      <c r="Q8669" s="44"/>
      <c r="R8669" s="44"/>
      <c r="S8669" s="44"/>
      <c r="T8669" s="44"/>
    </row>
    <row r="8670" spans="12:20" x14ac:dyDescent="0.2">
      <c r="L8670" s="43"/>
      <c r="M8670" s="43"/>
      <c r="N8670" s="43"/>
      <c r="O8670" s="43"/>
      <c r="Q8670" s="44"/>
      <c r="R8670" s="44"/>
      <c r="S8670" s="44"/>
      <c r="T8670" s="44"/>
    </row>
    <row r="8671" spans="12:20" x14ac:dyDescent="0.2">
      <c r="L8671" s="43"/>
      <c r="M8671" s="43"/>
      <c r="N8671" s="43"/>
      <c r="O8671" s="43"/>
      <c r="Q8671" s="44"/>
      <c r="R8671" s="44"/>
      <c r="S8671" s="44"/>
      <c r="T8671" s="44"/>
    </row>
    <row r="8672" spans="12:20" x14ac:dyDescent="0.2">
      <c r="L8672" s="43"/>
      <c r="M8672" s="43"/>
      <c r="N8672" s="43"/>
      <c r="O8672" s="43"/>
      <c r="Q8672" s="44"/>
      <c r="R8672" s="44"/>
      <c r="S8672" s="44"/>
      <c r="T8672" s="44"/>
    </row>
    <row r="8673" spans="12:20" x14ac:dyDescent="0.2">
      <c r="L8673" s="43"/>
      <c r="M8673" s="43"/>
      <c r="N8673" s="43"/>
      <c r="O8673" s="43"/>
      <c r="Q8673" s="44"/>
      <c r="R8673" s="44"/>
      <c r="S8673" s="44"/>
      <c r="T8673" s="44"/>
    </row>
    <row r="8674" spans="12:20" x14ac:dyDescent="0.2">
      <c r="L8674" s="43"/>
      <c r="M8674" s="43"/>
      <c r="N8674" s="43"/>
      <c r="O8674" s="43"/>
      <c r="Q8674" s="44"/>
      <c r="R8674" s="44"/>
      <c r="S8674" s="44"/>
      <c r="T8674" s="44"/>
    </row>
    <row r="8675" spans="12:20" x14ac:dyDescent="0.2">
      <c r="L8675" s="43"/>
      <c r="M8675" s="43"/>
      <c r="N8675" s="43"/>
      <c r="O8675" s="43"/>
      <c r="Q8675" s="44"/>
      <c r="R8675" s="44"/>
      <c r="S8675" s="44"/>
      <c r="T8675" s="44"/>
    </row>
    <row r="8676" spans="12:20" x14ac:dyDescent="0.2">
      <c r="L8676" s="43"/>
      <c r="M8676" s="43"/>
      <c r="N8676" s="43"/>
      <c r="O8676" s="43"/>
      <c r="Q8676" s="44"/>
      <c r="R8676" s="44"/>
      <c r="S8676" s="44"/>
      <c r="T8676" s="44"/>
    </row>
    <row r="8677" spans="12:20" x14ac:dyDescent="0.2">
      <c r="L8677" s="43"/>
      <c r="M8677" s="43"/>
      <c r="N8677" s="43"/>
      <c r="O8677" s="43"/>
      <c r="Q8677" s="44"/>
      <c r="R8677" s="44"/>
      <c r="S8677" s="44"/>
      <c r="T8677" s="44"/>
    </row>
    <row r="8678" spans="12:20" x14ac:dyDescent="0.2">
      <c r="L8678" s="43"/>
      <c r="M8678" s="43"/>
      <c r="N8678" s="43"/>
      <c r="O8678" s="43"/>
      <c r="Q8678" s="44"/>
      <c r="R8678" s="44"/>
      <c r="S8678" s="44"/>
      <c r="T8678" s="44"/>
    </row>
    <row r="8679" spans="12:20" x14ac:dyDescent="0.2">
      <c r="L8679" s="43"/>
      <c r="M8679" s="43"/>
      <c r="N8679" s="43"/>
      <c r="O8679" s="43"/>
      <c r="Q8679" s="44"/>
      <c r="R8679" s="44"/>
      <c r="S8679" s="44"/>
      <c r="T8679" s="44"/>
    </row>
    <row r="8680" spans="12:20" x14ac:dyDescent="0.2">
      <c r="L8680" s="43"/>
      <c r="M8680" s="43"/>
      <c r="N8680" s="43"/>
      <c r="O8680" s="43"/>
      <c r="Q8680" s="44"/>
      <c r="R8680" s="44"/>
      <c r="S8680" s="44"/>
      <c r="T8680" s="44"/>
    </row>
    <row r="8681" spans="12:20" x14ac:dyDescent="0.2">
      <c r="L8681" s="43"/>
      <c r="M8681" s="43"/>
      <c r="N8681" s="43"/>
      <c r="O8681" s="43"/>
      <c r="Q8681" s="44"/>
      <c r="R8681" s="44"/>
      <c r="S8681" s="44"/>
      <c r="T8681" s="44"/>
    </row>
    <row r="8682" spans="12:20" x14ac:dyDescent="0.2">
      <c r="L8682" s="43"/>
      <c r="M8682" s="43"/>
      <c r="N8682" s="43"/>
      <c r="O8682" s="43"/>
      <c r="Q8682" s="44"/>
      <c r="R8682" s="44"/>
      <c r="S8682" s="44"/>
      <c r="T8682" s="44"/>
    </row>
    <row r="8683" spans="12:20" x14ac:dyDescent="0.2">
      <c r="L8683" s="43"/>
      <c r="M8683" s="43"/>
      <c r="N8683" s="43"/>
      <c r="O8683" s="43"/>
      <c r="Q8683" s="44"/>
      <c r="R8683" s="44"/>
      <c r="S8683" s="44"/>
      <c r="T8683" s="44"/>
    </row>
    <row r="8684" spans="12:20" x14ac:dyDescent="0.2">
      <c r="L8684" s="43"/>
      <c r="M8684" s="43"/>
      <c r="N8684" s="43"/>
      <c r="O8684" s="43"/>
      <c r="Q8684" s="44"/>
      <c r="R8684" s="44"/>
      <c r="S8684" s="44"/>
      <c r="T8684" s="44"/>
    </row>
    <row r="8685" spans="12:20" x14ac:dyDescent="0.2">
      <c r="L8685" s="43"/>
      <c r="M8685" s="43"/>
      <c r="N8685" s="43"/>
      <c r="O8685" s="43"/>
      <c r="Q8685" s="44"/>
      <c r="R8685" s="44"/>
      <c r="S8685" s="44"/>
      <c r="T8685" s="44"/>
    </row>
    <row r="8686" spans="12:20" x14ac:dyDescent="0.2">
      <c r="L8686" s="43"/>
      <c r="M8686" s="43"/>
      <c r="N8686" s="43"/>
      <c r="O8686" s="43"/>
      <c r="Q8686" s="44"/>
      <c r="R8686" s="44"/>
      <c r="S8686" s="44"/>
      <c r="T8686" s="44"/>
    </row>
    <row r="8687" spans="12:20" x14ac:dyDescent="0.2">
      <c r="L8687" s="43"/>
      <c r="M8687" s="43"/>
      <c r="N8687" s="43"/>
      <c r="O8687" s="43"/>
      <c r="Q8687" s="44"/>
      <c r="R8687" s="44"/>
      <c r="S8687" s="44"/>
      <c r="T8687" s="44"/>
    </row>
    <row r="8688" spans="12:20" x14ac:dyDescent="0.2">
      <c r="L8688" s="43"/>
      <c r="M8688" s="43"/>
      <c r="N8688" s="43"/>
      <c r="O8688" s="43"/>
      <c r="Q8688" s="44"/>
      <c r="R8688" s="44"/>
      <c r="S8688" s="44"/>
      <c r="T8688" s="44"/>
    </row>
    <row r="8689" spans="12:20" x14ac:dyDescent="0.2">
      <c r="L8689" s="43"/>
      <c r="M8689" s="43"/>
      <c r="N8689" s="43"/>
      <c r="O8689" s="43"/>
      <c r="Q8689" s="44"/>
      <c r="R8689" s="44"/>
      <c r="S8689" s="44"/>
      <c r="T8689" s="44"/>
    </row>
    <row r="8690" spans="12:20" x14ac:dyDescent="0.2">
      <c r="L8690" s="43"/>
      <c r="M8690" s="43"/>
      <c r="N8690" s="43"/>
      <c r="O8690" s="43"/>
      <c r="Q8690" s="44"/>
      <c r="R8690" s="44"/>
      <c r="S8690" s="44"/>
      <c r="T8690" s="44"/>
    </row>
    <row r="8691" spans="12:20" x14ac:dyDescent="0.2">
      <c r="L8691" s="43"/>
      <c r="M8691" s="43"/>
      <c r="N8691" s="43"/>
      <c r="O8691" s="43"/>
      <c r="Q8691" s="44"/>
      <c r="R8691" s="44"/>
      <c r="S8691" s="44"/>
      <c r="T8691" s="44"/>
    </row>
    <row r="8692" spans="12:20" x14ac:dyDescent="0.2">
      <c r="L8692" s="43"/>
      <c r="M8692" s="43"/>
      <c r="N8692" s="43"/>
      <c r="O8692" s="43"/>
      <c r="Q8692" s="44"/>
      <c r="R8692" s="44"/>
      <c r="S8692" s="44"/>
      <c r="T8692" s="44"/>
    </row>
    <row r="8693" spans="12:20" x14ac:dyDescent="0.2">
      <c r="L8693" s="43"/>
      <c r="M8693" s="43"/>
      <c r="N8693" s="43"/>
      <c r="O8693" s="43"/>
      <c r="Q8693" s="44"/>
      <c r="R8693" s="44"/>
      <c r="S8693" s="44"/>
      <c r="T8693" s="44"/>
    </row>
    <row r="8694" spans="12:20" x14ac:dyDescent="0.2">
      <c r="L8694" s="43"/>
      <c r="M8694" s="43"/>
      <c r="N8694" s="43"/>
      <c r="O8694" s="43"/>
      <c r="Q8694" s="44"/>
      <c r="R8694" s="44"/>
      <c r="S8694" s="44"/>
      <c r="T8694" s="44"/>
    </row>
    <row r="8695" spans="12:20" x14ac:dyDescent="0.2">
      <c r="L8695" s="43"/>
      <c r="M8695" s="43"/>
      <c r="N8695" s="43"/>
      <c r="O8695" s="43"/>
      <c r="Q8695" s="44"/>
      <c r="R8695" s="44"/>
      <c r="S8695" s="44"/>
      <c r="T8695" s="44"/>
    </row>
    <row r="8696" spans="12:20" x14ac:dyDescent="0.2">
      <c r="L8696" s="43"/>
      <c r="M8696" s="43"/>
      <c r="N8696" s="43"/>
      <c r="O8696" s="43"/>
      <c r="Q8696" s="44"/>
      <c r="R8696" s="44"/>
      <c r="S8696" s="44"/>
      <c r="T8696" s="44"/>
    </row>
    <row r="8697" spans="12:20" x14ac:dyDescent="0.2">
      <c r="L8697" s="43"/>
      <c r="M8697" s="43"/>
      <c r="N8697" s="43"/>
      <c r="O8697" s="43"/>
      <c r="Q8697" s="44"/>
      <c r="R8697" s="44"/>
      <c r="S8697" s="44"/>
      <c r="T8697" s="44"/>
    </row>
    <row r="8698" spans="12:20" x14ac:dyDescent="0.2">
      <c r="L8698" s="43"/>
      <c r="M8698" s="43"/>
      <c r="N8698" s="43"/>
      <c r="O8698" s="43"/>
      <c r="Q8698" s="44"/>
      <c r="R8698" s="44"/>
      <c r="S8698" s="44"/>
      <c r="T8698" s="44"/>
    </row>
    <row r="8699" spans="12:20" x14ac:dyDescent="0.2">
      <c r="L8699" s="43"/>
      <c r="M8699" s="43"/>
      <c r="N8699" s="43"/>
      <c r="O8699" s="43"/>
      <c r="Q8699" s="44"/>
      <c r="R8699" s="44"/>
      <c r="S8699" s="44"/>
      <c r="T8699" s="44"/>
    </row>
    <row r="8700" spans="12:20" x14ac:dyDescent="0.2">
      <c r="L8700" s="43"/>
      <c r="M8700" s="43"/>
      <c r="N8700" s="43"/>
      <c r="O8700" s="43"/>
      <c r="Q8700" s="44"/>
      <c r="R8700" s="44"/>
      <c r="S8700" s="44"/>
      <c r="T8700" s="44"/>
    </row>
    <row r="8701" spans="12:20" x14ac:dyDescent="0.2">
      <c r="L8701" s="43"/>
      <c r="M8701" s="43"/>
      <c r="N8701" s="43"/>
      <c r="O8701" s="43"/>
      <c r="Q8701" s="44"/>
      <c r="R8701" s="44"/>
      <c r="S8701" s="44"/>
      <c r="T8701" s="44"/>
    </row>
    <row r="8702" spans="12:20" x14ac:dyDescent="0.2">
      <c r="L8702" s="43"/>
      <c r="M8702" s="43"/>
      <c r="N8702" s="43"/>
      <c r="O8702" s="43"/>
      <c r="Q8702" s="44"/>
      <c r="R8702" s="44"/>
      <c r="S8702" s="44"/>
      <c r="T8702" s="44"/>
    </row>
    <row r="8703" spans="12:20" x14ac:dyDescent="0.2">
      <c r="L8703" s="43"/>
      <c r="M8703" s="43"/>
      <c r="N8703" s="43"/>
      <c r="O8703" s="43"/>
      <c r="Q8703" s="44"/>
      <c r="R8703" s="44"/>
      <c r="S8703" s="44"/>
      <c r="T8703" s="44"/>
    </row>
    <row r="8704" spans="12:20" x14ac:dyDescent="0.2">
      <c r="L8704" s="43"/>
      <c r="M8704" s="43"/>
      <c r="N8704" s="43"/>
      <c r="O8704" s="43"/>
      <c r="Q8704" s="44"/>
      <c r="R8704" s="44"/>
      <c r="S8704" s="44"/>
      <c r="T8704" s="44"/>
    </row>
    <row r="8705" spans="12:20" x14ac:dyDescent="0.2">
      <c r="L8705" s="43"/>
      <c r="M8705" s="43"/>
      <c r="N8705" s="43"/>
      <c r="O8705" s="43"/>
      <c r="Q8705" s="44"/>
      <c r="R8705" s="44"/>
      <c r="S8705" s="44"/>
      <c r="T8705" s="44"/>
    </row>
    <row r="8706" spans="12:20" x14ac:dyDescent="0.2">
      <c r="L8706" s="43"/>
      <c r="M8706" s="43"/>
      <c r="N8706" s="43"/>
      <c r="O8706" s="43"/>
      <c r="Q8706" s="44"/>
      <c r="R8706" s="44"/>
      <c r="S8706" s="44"/>
      <c r="T8706" s="44"/>
    </row>
    <row r="8707" spans="12:20" x14ac:dyDescent="0.2">
      <c r="L8707" s="43"/>
      <c r="M8707" s="43"/>
      <c r="N8707" s="43"/>
      <c r="O8707" s="43"/>
      <c r="Q8707" s="44"/>
      <c r="R8707" s="44"/>
      <c r="S8707" s="44"/>
      <c r="T8707" s="44"/>
    </row>
    <row r="8708" spans="12:20" x14ac:dyDescent="0.2">
      <c r="L8708" s="43"/>
      <c r="M8708" s="43"/>
      <c r="N8708" s="43"/>
      <c r="O8708" s="43"/>
      <c r="Q8708" s="44"/>
      <c r="R8708" s="44"/>
      <c r="S8708" s="44"/>
      <c r="T8708" s="44"/>
    </row>
    <row r="8709" spans="12:20" x14ac:dyDescent="0.2">
      <c r="L8709" s="43"/>
      <c r="M8709" s="43"/>
      <c r="N8709" s="43"/>
      <c r="O8709" s="43"/>
      <c r="Q8709" s="44"/>
      <c r="R8709" s="44"/>
      <c r="S8709" s="44"/>
      <c r="T8709" s="44"/>
    </row>
    <row r="8710" spans="12:20" x14ac:dyDescent="0.2">
      <c r="L8710" s="43"/>
      <c r="M8710" s="43"/>
      <c r="N8710" s="43"/>
      <c r="O8710" s="43"/>
      <c r="Q8710" s="44"/>
      <c r="R8710" s="44"/>
      <c r="S8710" s="44"/>
      <c r="T8710" s="44"/>
    </row>
    <row r="8711" spans="12:20" x14ac:dyDescent="0.2">
      <c r="L8711" s="43"/>
      <c r="M8711" s="43"/>
      <c r="N8711" s="43"/>
      <c r="O8711" s="43"/>
      <c r="Q8711" s="44"/>
      <c r="R8711" s="44"/>
      <c r="S8711" s="44"/>
      <c r="T8711" s="44"/>
    </row>
    <row r="8712" spans="12:20" x14ac:dyDescent="0.2">
      <c r="L8712" s="43"/>
      <c r="M8712" s="43"/>
      <c r="N8712" s="43"/>
      <c r="O8712" s="43"/>
      <c r="Q8712" s="44"/>
      <c r="R8712" s="44"/>
      <c r="S8712" s="44"/>
      <c r="T8712" s="44"/>
    </row>
    <row r="8713" spans="12:20" x14ac:dyDescent="0.2">
      <c r="L8713" s="43"/>
      <c r="M8713" s="43"/>
      <c r="N8713" s="43"/>
      <c r="O8713" s="43"/>
      <c r="Q8713" s="44"/>
      <c r="R8713" s="44"/>
      <c r="S8713" s="44"/>
      <c r="T8713" s="44"/>
    </row>
    <row r="8714" spans="12:20" x14ac:dyDescent="0.2">
      <c r="L8714" s="43"/>
      <c r="M8714" s="43"/>
      <c r="N8714" s="43"/>
      <c r="O8714" s="43"/>
      <c r="Q8714" s="44"/>
      <c r="R8714" s="44"/>
      <c r="S8714" s="44"/>
      <c r="T8714" s="44"/>
    </row>
    <row r="8715" spans="12:20" x14ac:dyDescent="0.2">
      <c r="L8715" s="43"/>
      <c r="M8715" s="43"/>
      <c r="N8715" s="43"/>
      <c r="O8715" s="43"/>
      <c r="Q8715" s="44"/>
      <c r="R8715" s="44"/>
      <c r="S8715" s="44"/>
      <c r="T8715" s="44"/>
    </row>
    <row r="8716" spans="12:20" x14ac:dyDescent="0.2">
      <c r="L8716" s="43"/>
      <c r="M8716" s="43"/>
      <c r="N8716" s="43"/>
      <c r="O8716" s="43"/>
      <c r="Q8716" s="44"/>
      <c r="R8716" s="44"/>
      <c r="S8716" s="44"/>
      <c r="T8716" s="44"/>
    </row>
    <row r="8717" spans="12:20" x14ac:dyDescent="0.2">
      <c r="L8717" s="43"/>
      <c r="M8717" s="43"/>
      <c r="N8717" s="43"/>
      <c r="O8717" s="43"/>
      <c r="Q8717" s="44"/>
      <c r="R8717" s="44"/>
      <c r="S8717" s="44"/>
      <c r="T8717" s="44"/>
    </row>
    <row r="8718" spans="12:20" x14ac:dyDescent="0.2">
      <c r="L8718" s="43"/>
      <c r="M8718" s="43"/>
      <c r="N8718" s="43"/>
      <c r="O8718" s="43"/>
      <c r="Q8718" s="44"/>
      <c r="R8718" s="44"/>
      <c r="S8718" s="44"/>
      <c r="T8718" s="44"/>
    </row>
    <row r="8719" spans="12:20" x14ac:dyDescent="0.2">
      <c r="L8719" s="43"/>
      <c r="M8719" s="43"/>
      <c r="N8719" s="43"/>
      <c r="O8719" s="43"/>
      <c r="Q8719" s="44"/>
      <c r="R8719" s="44"/>
      <c r="S8719" s="44"/>
      <c r="T8719" s="44"/>
    </row>
    <row r="8720" spans="12:20" x14ac:dyDescent="0.2">
      <c r="L8720" s="43"/>
      <c r="M8720" s="43"/>
      <c r="N8720" s="43"/>
      <c r="O8720" s="43"/>
      <c r="Q8720" s="44"/>
      <c r="R8720" s="44"/>
      <c r="S8720" s="44"/>
      <c r="T8720" s="44"/>
    </row>
    <row r="8721" spans="12:20" x14ac:dyDescent="0.2">
      <c r="L8721" s="43"/>
      <c r="M8721" s="43"/>
      <c r="N8721" s="43"/>
      <c r="O8721" s="43"/>
      <c r="Q8721" s="44"/>
      <c r="R8721" s="44"/>
      <c r="S8721" s="44"/>
      <c r="T8721" s="44"/>
    </row>
    <row r="8722" spans="12:20" x14ac:dyDescent="0.2">
      <c r="L8722" s="43"/>
      <c r="M8722" s="43"/>
      <c r="N8722" s="43"/>
      <c r="O8722" s="43"/>
      <c r="Q8722" s="44"/>
      <c r="R8722" s="44"/>
      <c r="S8722" s="44"/>
      <c r="T8722" s="44"/>
    </row>
    <row r="8723" spans="12:20" x14ac:dyDescent="0.2">
      <c r="L8723" s="43"/>
      <c r="M8723" s="43"/>
      <c r="N8723" s="43"/>
      <c r="O8723" s="43"/>
      <c r="Q8723" s="44"/>
      <c r="R8723" s="44"/>
      <c r="S8723" s="44"/>
      <c r="T8723" s="44"/>
    </row>
    <row r="8724" spans="12:20" x14ac:dyDescent="0.2">
      <c r="L8724" s="43"/>
      <c r="M8724" s="43"/>
      <c r="N8724" s="43"/>
      <c r="O8724" s="43"/>
      <c r="Q8724" s="44"/>
      <c r="R8724" s="44"/>
      <c r="S8724" s="44"/>
      <c r="T8724" s="44"/>
    </row>
    <row r="8725" spans="12:20" x14ac:dyDescent="0.2">
      <c r="L8725" s="43"/>
      <c r="M8725" s="43"/>
      <c r="N8725" s="43"/>
      <c r="O8725" s="43"/>
      <c r="Q8725" s="44"/>
      <c r="R8725" s="44"/>
      <c r="S8725" s="44"/>
      <c r="T8725" s="44"/>
    </row>
    <row r="8726" spans="12:20" x14ac:dyDescent="0.2">
      <c r="L8726" s="43"/>
      <c r="M8726" s="43"/>
      <c r="N8726" s="43"/>
      <c r="O8726" s="43"/>
      <c r="Q8726" s="44"/>
      <c r="R8726" s="44"/>
      <c r="S8726" s="44"/>
      <c r="T8726" s="44"/>
    </row>
    <row r="8727" spans="12:20" x14ac:dyDescent="0.2">
      <c r="L8727" s="43"/>
      <c r="M8727" s="43"/>
      <c r="N8727" s="43"/>
      <c r="O8727" s="43"/>
      <c r="Q8727" s="44"/>
      <c r="R8727" s="44"/>
      <c r="S8727" s="44"/>
      <c r="T8727" s="44"/>
    </row>
    <row r="8728" spans="12:20" x14ac:dyDescent="0.2">
      <c r="L8728" s="43"/>
      <c r="M8728" s="43"/>
      <c r="N8728" s="43"/>
      <c r="O8728" s="43"/>
      <c r="Q8728" s="44"/>
      <c r="R8728" s="44"/>
      <c r="S8728" s="44"/>
      <c r="T8728" s="44"/>
    </row>
    <row r="8729" spans="12:20" x14ac:dyDescent="0.2">
      <c r="L8729" s="43"/>
      <c r="M8729" s="43"/>
      <c r="N8729" s="43"/>
      <c r="O8729" s="43"/>
      <c r="Q8729" s="44"/>
      <c r="R8729" s="44"/>
      <c r="S8729" s="44"/>
      <c r="T8729" s="44"/>
    </row>
    <row r="8730" spans="12:20" x14ac:dyDescent="0.2">
      <c r="L8730" s="43"/>
      <c r="M8730" s="43"/>
      <c r="N8730" s="43"/>
      <c r="O8730" s="43"/>
      <c r="Q8730" s="44"/>
      <c r="R8730" s="44"/>
      <c r="S8730" s="44"/>
      <c r="T8730" s="44"/>
    </row>
    <row r="8731" spans="12:20" x14ac:dyDescent="0.2">
      <c r="L8731" s="43"/>
      <c r="M8731" s="43"/>
      <c r="N8731" s="43"/>
      <c r="O8731" s="43"/>
      <c r="Q8731" s="44"/>
      <c r="R8731" s="44"/>
      <c r="S8731" s="44"/>
      <c r="T8731" s="44"/>
    </row>
    <row r="8732" spans="12:20" x14ac:dyDescent="0.2">
      <c r="L8732" s="43"/>
      <c r="M8732" s="43"/>
      <c r="N8732" s="43"/>
      <c r="O8732" s="43"/>
      <c r="Q8732" s="44"/>
      <c r="R8732" s="44"/>
      <c r="S8732" s="44"/>
      <c r="T8732" s="44"/>
    </row>
    <row r="8733" spans="12:20" x14ac:dyDescent="0.2">
      <c r="L8733" s="43"/>
      <c r="M8733" s="43"/>
      <c r="N8733" s="43"/>
      <c r="O8733" s="43"/>
      <c r="Q8733" s="44"/>
      <c r="R8733" s="44"/>
      <c r="S8733" s="44"/>
      <c r="T8733" s="44"/>
    </row>
    <row r="8734" spans="12:20" x14ac:dyDescent="0.2">
      <c r="L8734" s="43"/>
      <c r="M8734" s="43"/>
      <c r="N8734" s="43"/>
      <c r="O8734" s="43"/>
      <c r="Q8734" s="44"/>
      <c r="R8734" s="44"/>
      <c r="S8734" s="44"/>
      <c r="T8734" s="44"/>
    </row>
    <row r="8735" spans="12:20" x14ac:dyDescent="0.2">
      <c r="L8735" s="43"/>
      <c r="M8735" s="43"/>
      <c r="N8735" s="43"/>
      <c r="O8735" s="43"/>
      <c r="Q8735" s="44"/>
      <c r="R8735" s="44"/>
      <c r="S8735" s="44"/>
      <c r="T8735" s="44"/>
    </row>
    <row r="8736" spans="12:20" x14ac:dyDescent="0.2">
      <c r="L8736" s="43"/>
      <c r="M8736" s="43"/>
      <c r="N8736" s="43"/>
      <c r="O8736" s="43"/>
      <c r="Q8736" s="44"/>
      <c r="R8736" s="44"/>
      <c r="S8736" s="44"/>
      <c r="T8736" s="44"/>
    </row>
    <row r="8737" spans="12:20" x14ac:dyDescent="0.2">
      <c r="L8737" s="43"/>
      <c r="M8737" s="43"/>
      <c r="N8737" s="43"/>
      <c r="O8737" s="43"/>
      <c r="Q8737" s="44"/>
      <c r="R8737" s="44"/>
      <c r="S8737" s="44"/>
      <c r="T8737" s="44"/>
    </row>
    <row r="8738" spans="12:20" x14ac:dyDescent="0.2">
      <c r="L8738" s="43"/>
      <c r="M8738" s="43"/>
      <c r="N8738" s="43"/>
      <c r="O8738" s="43"/>
      <c r="Q8738" s="44"/>
      <c r="R8738" s="44"/>
      <c r="S8738" s="44"/>
      <c r="T8738" s="44"/>
    </row>
    <row r="8739" spans="12:20" x14ac:dyDescent="0.2">
      <c r="L8739" s="43"/>
      <c r="M8739" s="43"/>
      <c r="N8739" s="43"/>
      <c r="O8739" s="43"/>
      <c r="Q8739" s="44"/>
      <c r="R8739" s="44"/>
      <c r="S8739" s="44"/>
      <c r="T8739" s="44"/>
    </row>
    <row r="8740" spans="12:20" x14ac:dyDescent="0.2">
      <c r="L8740" s="43"/>
      <c r="M8740" s="43"/>
      <c r="N8740" s="43"/>
      <c r="O8740" s="43"/>
      <c r="Q8740" s="44"/>
      <c r="R8740" s="44"/>
      <c r="S8740" s="44"/>
      <c r="T8740" s="44"/>
    </row>
    <row r="8741" spans="12:20" x14ac:dyDescent="0.2">
      <c r="L8741" s="43"/>
      <c r="M8741" s="43"/>
      <c r="N8741" s="43"/>
      <c r="O8741" s="43"/>
      <c r="Q8741" s="44"/>
      <c r="R8741" s="44"/>
      <c r="S8741" s="44"/>
      <c r="T8741" s="44"/>
    </row>
    <row r="8742" spans="12:20" x14ac:dyDescent="0.2">
      <c r="L8742" s="43"/>
      <c r="M8742" s="43"/>
      <c r="N8742" s="43"/>
      <c r="O8742" s="43"/>
      <c r="Q8742" s="44"/>
      <c r="R8742" s="44"/>
      <c r="S8742" s="44"/>
      <c r="T8742" s="44"/>
    </row>
    <row r="8743" spans="12:20" x14ac:dyDescent="0.2">
      <c r="L8743" s="43"/>
      <c r="M8743" s="43"/>
      <c r="N8743" s="43"/>
      <c r="O8743" s="43"/>
      <c r="Q8743" s="44"/>
      <c r="R8743" s="44"/>
      <c r="S8743" s="44"/>
      <c r="T8743" s="44"/>
    </row>
    <row r="8744" spans="12:20" x14ac:dyDescent="0.2">
      <c r="L8744" s="43"/>
      <c r="M8744" s="43"/>
      <c r="N8744" s="43"/>
      <c r="O8744" s="43"/>
      <c r="Q8744" s="44"/>
      <c r="R8744" s="44"/>
      <c r="S8744" s="44"/>
      <c r="T8744" s="44"/>
    </row>
    <row r="8745" spans="12:20" x14ac:dyDescent="0.2">
      <c r="L8745" s="43"/>
      <c r="M8745" s="43"/>
      <c r="N8745" s="43"/>
      <c r="O8745" s="43"/>
      <c r="Q8745" s="44"/>
      <c r="R8745" s="44"/>
      <c r="S8745" s="44"/>
      <c r="T8745" s="44"/>
    </row>
    <row r="8746" spans="12:20" x14ac:dyDescent="0.2">
      <c r="L8746" s="43"/>
      <c r="M8746" s="43"/>
      <c r="N8746" s="43"/>
      <c r="O8746" s="43"/>
      <c r="Q8746" s="44"/>
      <c r="R8746" s="44"/>
      <c r="S8746" s="44"/>
      <c r="T8746" s="44"/>
    </row>
    <row r="8747" spans="12:20" x14ac:dyDescent="0.2">
      <c r="L8747" s="43"/>
      <c r="M8747" s="43"/>
      <c r="N8747" s="43"/>
      <c r="O8747" s="43"/>
      <c r="Q8747" s="44"/>
      <c r="R8747" s="44"/>
      <c r="S8747" s="44"/>
      <c r="T8747" s="44"/>
    </row>
    <row r="8748" spans="12:20" x14ac:dyDescent="0.2">
      <c r="L8748" s="43"/>
      <c r="M8748" s="43"/>
      <c r="N8748" s="43"/>
      <c r="O8748" s="43"/>
      <c r="Q8748" s="44"/>
      <c r="R8748" s="44"/>
      <c r="S8748" s="44"/>
      <c r="T8748" s="44"/>
    </row>
    <row r="8749" spans="12:20" x14ac:dyDescent="0.2">
      <c r="L8749" s="43"/>
      <c r="M8749" s="43"/>
      <c r="N8749" s="43"/>
      <c r="O8749" s="43"/>
      <c r="Q8749" s="44"/>
      <c r="R8749" s="44"/>
      <c r="S8749" s="44"/>
      <c r="T8749" s="44"/>
    </row>
    <row r="8750" spans="12:20" x14ac:dyDescent="0.2">
      <c r="L8750" s="43"/>
      <c r="M8750" s="43"/>
      <c r="N8750" s="43"/>
      <c r="O8750" s="43"/>
      <c r="Q8750" s="44"/>
      <c r="R8750" s="44"/>
      <c r="S8750" s="44"/>
      <c r="T8750" s="44"/>
    </row>
    <row r="8751" spans="12:20" x14ac:dyDescent="0.2">
      <c r="L8751" s="43"/>
      <c r="M8751" s="43"/>
      <c r="N8751" s="43"/>
      <c r="O8751" s="43"/>
      <c r="Q8751" s="44"/>
      <c r="R8751" s="44"/>
      <c r="S8751" s="44"/>
      <c r="T8751" s="44"/>
    </row>
    <row r="8752" spans="12:20" x14ac:dyDescent="0.2">
      <c r="L8752" s="43"/>
      <c r="M8752" s="43"/>
      <c r="N8752" s="43"/>
      <c r="O8752" s="43"/>
      <c r="Q8752" s="44"/>
      <c r="R8752" s="44"/>
      <c r="S8752" s="44"/>
      <c r="T8752" s="44"/>
    </row>
    <row r="8753" spans="12:20" x14ac:dyDescent="0.2">
      <c r="L8753" s="43"/>
      <c r="M8753" s="43"/>
      <c r="N8753" s="43"/>
      <c r="O8753" s="43"/>
      <c r="Q8753" s="44"/>
      <c r="R8753" s="44"/>
      <c r="S8753" s="44"/>
      <c r="T8753" s="44"/>
    </row>
    <row r="8754" spans="12:20" x14ac:dyDescent="0.2">
      <c r="L8754" s="43"/>
      <c r="M8754" s="43"/>
      <c r="N8754" s="43"/>
      <c r="O8754" s="43"/>
      <c r="Q8754" s="44"/>
      <c r="R8754" s="44"/>
      <c r="S8754" s="44"/>
      <c r="T8754" s="44"/>
    </row>
    <row r="8755" spans="12:20" x14ac:dyDescent="0.2">
      <c r="L8755" s="43"/>
      <c r="M8755" s="43"/>
      <c r="N8755" s="43"/>
      <c r="O8755" s="43"/>
      <c r="Q8755" s="44"/>
      <c r="R8755" s="44"/>
      <c r="S8755" s="44"/>
      <c r="T8755" s="44"/>
    </row>
    <row r="8756" spans="12:20" x14ac:dyDescent="0.2">
      <c r="L8756" s="43"/>
      <c r="M8756" s="43"/>
      <c r="N8756" s="43"/>
      <c r="O8756" s="43"/>
      <c r="Q8756" s="44"/>
      <c r="R8756" s="44"/>
      <c r="S8756" s="44"/>
      <c r="T8756" s="44"/>
    </row>
    <row r="8757" spans="12:20" x14ac:dyDescent="0.2">
      <c r="L8757" s="43"/>
      <c r="M8757" s="43"/>
      <c r="N8757" s="43"/>
      <c r="O8757" s="43"/>
      <c r="Q8757" s="44"/>
      <c r="R8757" s="44"/>
      <c r="S8757" s="44"/>
      <c r="T8757" s="44"/>
    </row>
    <row r="8758" spans="12:20" x14ac:dyDescent="0.2">
      <c r="L8758" s="43"/>
      <c r="M8758" s="43"/>
      <c r="N8758" s="43"/>
      <c r="O8758" s="43"/>
      <c r="Q8758" s="44"/>
      <c r="R8758" s="44"/>
      <c r="S8758" s="44"/>
      <c r="T8758" s="44"/>
    </row>
    <row r="8759" spans="12:20" x14ac:dyDescent="0.2">
      <c r="L8759" s="43"/>
      <c r="M8759" s="43"/>
      <c r="N8759" s="43"/>
      <c r="O8759" s="43"/>
      <c r="Q8759" s="44"/>
      <c r="R8759" s="44"/>
      <c r="S8759" s="44"/>
      <c r="T8759" s="44"/>
    </row>
    <row r="8760" spans="12:20" x14ac:dyDescent="0.2">
      <c r="L8760" s="43"/>
      <c r="M8760" s="43"/>
      <c r="N8760" s="43"/>
      <c r="O8760" s="43"/>
      <c r="Q8760" s="44"/>
      <c r="R8760" s="44"/>
      <c r="S8760" s="44"/>
      <c r="T8760" s="44"/>
    </row>
    <row r="8761" spans="12:20" x14ac:dyDescent="0.2">
      <c r="L8761" s="43"/>
      <c r="M8761" s="43"/>
      <c r="N8761" s="43"/>
      <c r="O8761" s="43"/>
      <c r="Q8761" s="44"/>
      <c r="R8761" s="44"/>
      <c r="S8761" s="44"/>
      <c r="T8761" s="44"/>
    </row>
    <row r="8762" spans="12:20" x14ac:dyDescent="0.2">
      <c r="L8762" s="43"/>
      <c r="M8762" s="43"/>
      <c r="N8762" s="43"/>
      <c r="O8762" s="43"/>
      <c r="Q8762" s="44"/>
      <c r="R8762" s="44"/>
      <c r="S8762" s="44"/>
      <c r="T8762" s="44"/>
    </row>
    <row r="8763" spans="12:20" x14ac:dyDescent="0.2">
      <c r="L8763" s="43"/>
      <c r="M8763" s="43"/>
      <c r="N8763" s="43"/>
      <c r="O8763" s="43"/>
      <c r="Q8763" s="44"/>
      <c r="R8763" s="44"/>
      <c r="S8763" s="44"/>
      <c r="T8763" s="44"/>
    </row>
    <row r="8764" spans="12:20" x14ac:dyDescent="0.2">
      <c r="L8764" s="43"/>
      <c r="M8764" s="43"/>
      <c r="N8764" s="43"/>
      <c r="O8764" s="43"/>
      <c r="Q8764" s="44"/>
      <c r="R8764" s="44"/>
      <c r="S8764" s="44"/>
      <c r="T8764" s="44"/>
    </row>
    <row r="8765" spans="12:20" x14ac:dyDescent="0.2">
      <c r="L8765" s="43"/>
      <c r="M8765" s="43"/>
      <c r="N8765" s="43"/>
      <c r="O8765" s="43"/>
      <c r="Q8765" s="44"/>
      <c r="R8765" s="44"/>
      <c r="S8765" s="44"/>
      <c r="T8765" s="44"/>
    </row>
    <row r="8766" spans="12:20" x14ac:dyDescent="0.2">
      <c r="L8766" s="43"/>
      <c r="M8766" s="43"/>
      <c r="N8766" s="43"/>
      <c r="O8766" s="43"/>
      <c r="Q8766" s="44"/>
      <c r="R8766" s="44"/>
      <c r="S8766" s="44"/>
      <c r="T8766" s="44"/>
    </row>
    <row r="8767" spans="12:20" x14ac:dyDescent="0.2">
      <c r="L8767" s="43"/>
      <c r="M8767" s="43"/>
      <c r="N8767" s="43"/>
      <c r="O8767" s="43"/>
      <c r="Q8767" s="44"/>
      <c r="R8767" s="44"/>
      <c r="S8767" s="44"/>
      <c r="T8767" s="44"/>
    </row>
    <row r="8768" spans="12:20" x14ac:dyDescent="0.2">
      <c r="L8768" s="43"/>
      <c r="M8768" s="43"/>
      <c r="N8768" s="43"/>
      <c r="O8768" s="43"/>
      <c r="Q8768" s="44"/>
      <c r="R8768" s="44"/>
      <c r="S8768" s="44"/>
      <c r="T8768" s="44"/>
    </row>
    <row r="8769" spans="12:20" x14ac:dyDescent="0.2">
      <c r="L8769" s="43"/>
      <c r="M8769" s="43"/>
      <c r="N8769" s="43"/>
      <c r="O8769" s="43"/>
      <c r="Q8769" s="44"/>
      <c r="R8769" s="44"/>
      <c r="S8769" s="44"/>
      <c r="T8769" s="44"/>
    </row>
    <row r="8770" spans="12:20" x14ac:dyDescent="0.2">
      <c r="L8770" s="43"/>
      <c r="M8770" s="43"/>
      <c r="N8770" s="43"/>
      <c r="O8770" s="43"/>
      <c r="Q8770" s="44"/>
      <c r="R8770" s="44"/>
      <c r="S8770" s="44"/>
      <c r="T8770" s="44"/>
    </row>
    <row r="8771" spans="12:20" x14ac:dyDescent="0.2">
      <c r="L8771" s="43"/>
      <c r="M8771" s="43"/>
      <c r="N8771" s="43"/>
      <c r="O8771" s="43"/>
      <c r="Q8771" s="44"/>
      <c r="R8771" s="44"/>
      <c r="S8771" s="44"/>
      <c r="T8771" s="44"/>
    </row>
    <row r="8772" spans="12:20" x14ac:dyDescent="0.2">
      <c r="L8772" s="43"/>
      <c r="M8772" s="43"/>
      <c r="N8772" s="43"/>
      <c r="O8772" s="43"/>
      <c r="Q8772" s="44"/>
      <c r="R8772" s="44"/>
      <c r="S8772" s="44"/>
      <c r="T8772" s="44"/>
    </row>
    <row r="8773" spans="12:20" x14ac:dyDescent="0.2">
      <c r="L8773" s="43"/>
      <c r="M8773" s="43"/>
      <c r="N8773" s="43"/>
      <c r="O8773" s="43"/>
      <c r="Q8773" s="44"/>
      <c r="R8773" s="44"/>
      <c r="S8773" s="44"/>
      <c r="T8773" s="44"/>
    </row>
    <row r="8774" spans="12:20" x14ac:dyDescent="0.2">
      <c r="L8774" s="43"/>
      <c r="M8774" s="43"/>
      <c r="N8774" s="43"/>
      <c r="O8774" s="43"/>
      <c r="Q8774" s="44"/>
      <c r="R8774" s="44"/>
      <c r="S8774" s="44"/>
      <c r="T8774" s="44"/>
    </row>
    <row r="8775" spans="12:20" x14ac:dyDescent="0.2">
      <c r="L8775" s="43"/>
      <c r="M8775" s="43"/>
      <c r="N8775" s="43"/>
      <c r="O8775" s="43"/>
      <c r="Q8775" s="44"/>
      <c r="R8775" s="44"/>
      <c r="S8775" s="44"/>
      <c r="T8775" s="44"/>
    </row>
    <row r="8776" spans="12:20" x14ac:dyDescent="0.2">
      <c r="L8776" s="43"/>
      <c r="M8776" s="43"/>
      <c r="N8776" s="43"/>
      <c r="O8776" s="43"/>
      <c r="Q8776" s="44"/>
      <c r="R8776" s="44"/>
      <c r="S8776" s="44"/>
      <c r="T8776" s="44"/>
    </row>
    <row r="8777" spans="12:20" x14ac:dyDescent="0.2">
      <c r="L8777" s="43"/>
      <c r="M8777" s="43"/>
      <c r="N8777" s="43"/>
      <c r="O8777" s="43"/>
      <c r="Q8777" s="44"/>
      <c r="R8777" s="44"/>
      <c r="S8777" s="44"/>
      <c r="T8777" s="44"/>
    </row>
    <row r="8778" spans="12:20" x14ac:dyDescent="0.2">
      <c r="L8778" s="43"/>
      <c r="M8778" s="43"/>
      <c r="N8778" s="43"/>
      <c r="O8778" s="43"/>
      <c r="Q8778" s="44"/>
      <c r="R8778" s="44"/>
      <c r="S8778" s="44"/>
      <c r="T8778" s="44"/>
    </row>
    <row r="8779" spans="12:20" x14ac:dyDescent="0.2">
      <c r="L8779" s="43"/>
      <c r="M8779" s="43"/>
      <c r="N8779" s="43"/>
      <c r="O8779" s="43"/>
      <c r="Q8779" s="44"/>
      <c r="R8779" s="44"/>
      <c r="S8779" s="44"/>
      <c r="T8779" s="44"/>
    </row>
    <row r="8780" spans="12:20" x14ac:dyDescent="0.2">
      <c r="L8780" s="43"/>
      <c r="M8780" s="43"/>
      <c r="N8780" s="43"/>
      <c r="O8780" s="43"/>
      <c r="Q8780" s="44"/>
      <c r="R8780" s="44"/>
      <c r="S8780" s="44"/>
      <c r="T8780" s="44"/>
    </row>
    <row r="8781" spans="12:20" x14ac:dyDescent="0.2">
      <c r="L8781" s="43"/>
      <c r="M8781" s="43"/>
      <c r="N8781" s="43"/>
      <c r="O8781" s="43"/>
      <c r="Q8781" s="44"/>
      <c r="R8781" s="44"/>
      <c r="S8781" s="44"/>
      <c r="T8781" s="44"/>
    </row>
    <row r="8782" spans="12:20" x14ac:dyDescent="0.2">
      <c r="L8782" s="43"/>
      <c r="M8782" s="43"/>
      <c r="N8782" s="43"/>
      <c r="O8782" s="43"/>
      <c r="Q8782" s="44"/>
      <c r="R8782" s="44"/>
      <c r="S8782" s="44"/>
      <c r="T8782" s="44"/>
    </row>
    <row r="8783" spans="12:20" x14ac:dyDescent="0.2">
      <c r="L8783" s="43"/>
      <c r="M8783" s="43"/>
      <c r="N8783" s="43"/>
      <c r="O8783" s="43"/>
      <c r="Q8783" s="44"/>
      <c r="R8783" s="44"/>
      <c r="S8783" s="44"/>
      <c r="T8783" s="44"/>
    </row>
    <row r="8784" spans="12:20" x14ac:dyDescent="0.2">
      <c r="L8784" s="43"/>
      <c r="M8784" s="43"/>
      <c r="N8784" s="43"/>
      <c r="O8784" s="43"/>
      <c r="Q8784" s="44"/>
      <c r="R8784" s="44"/>
      <c r="S8784" s="44"/>
      <c r="T8784" s="44"/>
    </row>
    <row r="8785" spans="12:20" x14ac:dyDescent="0.2">
      <c r="L8785" s="43"/>
      <c r="M8785" s="43"/>
      <c r="N8785" s="43"/>
      <c r="O8785" s="43"/>
      <c r="Q8785" s="44"/>
      <c r="R8785" s="44"/>
      <c r="S8785" s="44"/>
      <c r="T8785" s="44"/>
    </row>
    <row r="8786" spans="12:20" x14ac:dyDescent="0.2">
      <c r="L8786" s="43"/>
      <c r="M8786" s="43"/>
      <c r="N8786" s="43"/>
      <c r="O8786" s="43"/>
      <c r="Q8786" s="44"/>
      <c r="R8786" s="44"/>
      <c r="S8786" s="44"/>
      <c r="T8786" s="44"/>
    </row>
    <row r="8787" spans="12:20" x14ac:dyDescent="0.2">
      <c r="L8787" s="43"/>
      <c r="M8787" s="43"/>
      <c r="N8787" s="43"/>
      <c r="O8787" s="43"/>
      <c r="Q8787" s="44"/>
      <c r="R8787" s="44"/>
      <c r="S8787" s="44"/>
      <c r="T8787" s="44"/>
    </row>
    <row r="8788" spans="12:20" x14ac:dyDescent="0.2">
      <c r="L8788" s="43"/>
      <c r="M8788" s="43"/>
      <c r="N8788" s="43"/>
      <c r="O8788" s="43"/>
      <c r="Q8788" s="44"/>
      <c r="R8788" s="44"/>
      <c r="S8788" s="44"/>
      <c r="T8788" s="44"/>
    </row>
    <row r="8789" spans="12:20" x14ac:dyDescent="0.2">
      <c r="L8789" s="43"/>
      <c r="M8789" s="43"/>
      <c r="N8789" s="43"/>
      <c r="O8789" s="43"/>
      <c r="Q8789" s="44"/>
      <c r="R8789" s="44"/>
      <c r="S8789" s="44"/>
      <c r="T8789" s="44"/>
    </row>
    <row r="8790" spans="12:20" x14ac:dyDescent="0.2">
      <c r="L8790" s="43"/>
      <c r="M8790" s="43"/>
      <c r="N8790" s="43"/>
      <c r="O8790" s="43"/>
      <c r="Q8790" s="44"/>
      <c r="R8790" s="44"/>
      <c r="S8790" s="44"/>
      <c r="T8790" s="44"/>
    </row>
    <row r="8791" spans="12:20" x14ac:dyDescent="0.2">
      <c r="L8791" s="43"/>
      <c r="M8791" s="43"/>
      <c r="N8791" s="43"/>
      <c r="O8791" s="43"/>
      <c r="Q8791" s="44"/>
      <c r="R8791" s="44"/>
      <c r="S8791" s="44"/>
      <c r="T8791" s="44"/>
    </row>
    <row r="8792" spans="12:20" x14ac:dyDescent="0.2">
      <c r="L8792" s="43"/>
      <c r="M8792" s="43"/>
      <c r="N8792" s="43"/>
      <c r="O8792" s="43"/>
      <c r="Q8792" s="44"/>
      <c r="R8792" s="44"/>
      <c r="S8792" s="44"/>
      <c r="T8792" s="44"/>
    </row>
    <row r="8793" spans="12:20" x14ac:dyDescent="0.2">
      <c r="L8793" s="43"/>
      <c r="M8793" s="43"/>
      <c r="N8793" s="43"/>
      <c r="O8793" s="43"/>
      <c r="Q8793" s="44"/>
      <c r="R8793" s="44"/>
      <c r="S8793" s="44"/>
      <c r="T8793" s="44"/>
    </row>
    <row r="8794" spans="12:20" x14ac:dyDescent="0.2">
      <c r="L8794" s="43"/>
      <c r="M8794" s="43"/>
      <c r="N8794" s="43"/>
      <c r="O8794" s="43"/>
      <c r="Q8794" s="44"/>
      <c r="R8794" s="44"/>
      <c r="S8794" s="44"/>
      <c r="T8794" s="44"/>
    </row>
    <row r="8795" spans="12:20" x14ac:dyDescent="0.2">
      <c r="L8795" s="43"/>
      <c r="M8795" s="43"/>
      <c r="N8795" s="43"/>
      <c r="O8795" s="43"/>
      <c r="Q8795" s="44"/>
      <c r="R8795" s="44"/>
      <c r="S8795" s="44"/>
      <c r="T8795" s="44"/>
    </row>
    <row r="8796" spans="12:20" x14ac:dyDescent="0.2">
      <c r="L8796" s="43"/>
      <c r="M8796" s="43"/>
      <c r="N8796" s="43"/>
      <c r="O8796" s="43"/>
      <c r="Q8796" s="44"/>
      <c r="R8796" s="44"/>
      <c r="S8796" s="44"/>
      <c r="T8796" s="44"/>
    </row>
    <row r="8797" spans="12:20" x14ac:dyDescent="0.2">
      <c r="L8797" s="43"/>
      <c r="M8797" s="43"/>
      <c r="N8797" s="43"/>
      <c r="O8797" s="43"/>
      <c r="Q8797" s="44"/>
      <c r="R8797" s="44"/>
      <c r="S8797" s="44"/>
      <c r="T8797" s="44"/>
    </row>
    <row r="8798" spans="12:20" x14ac:dyDescent="0.2">
      <c r="L8798" s="43"/>
      <c r="M8798" s="43"/>
      <c r="N8798" s="43"/>
      <c r="O8798" s="43"/>
      <c r="Q8798" s="44"/>
      <c r="R8798" s="44"/>
      <c r="S8798" s="44"/>
      <c r="T8798" s="44"/>
    </row>
    <row r="8799" spans="12:20" x14ac:dyDescent="0.2">
      <c r="L8799" s="43"/>
      <c r="M8799" s="43"/>
      <c r="N8799" s="43"/>
      <c r="O8799" s="43"/>
      <c r="Q8799" s="44"/>
      <c r="R8799" s="44"/>
      <c r="S8799" s="44"/>
      <c r="T8799" s="44"/>
    </row>
    <row r="8800" spans="12:20" x14ac:dyDescent="0.2">
      <c r="L8800" s="43"/>
      <c r="M8800" s="43"/>
      <c r="N8800" s="43"/>
      <c r="O8800" s="43"/>
      <c r="Q8800" s="44"/>
      <c r="R8800" s="44"/>
      <c r="S8800" s="44"/>
      <c r="T8800" s="44"/>
    </row>
    <row r="8801" spans="12:20" x14ac:dyDescent="0.2">
      <c r="L8801" s="43"/>
      <c r="M8801" s="43"/>
      <c r="N8801" s="43"/>
      <c r="O8801" s="43"/>
      <c r="Q8801" s="44"/>
      <c r="R8801" s="44"/>
      <c r="S8801" s="44"/>
      <c r="T8801" s="44"/>
    </row>
    <row r="8802" spans="12:20" x14ac:dyDescent="0.2">
      <c r="L8802" s="43"/>
      <c r="M8802" s="43"/>
      <c r="N8802" s="43"/>
      <c r="O8802" s="43"/>
      <c r="Q8802" s="44"/>
      <c r="R8802" s="44"/>
      <c r="S8802" s="44"/>
      <c r="T8802" s="44"/>
    </row>
    <row r="8803" spans="12:20" x14ac:dyDescent="0.2">
      <c r="L8803" s="43"/>
      <c r="M8803" s="43"/>
      <c r="N8803" s="43"/>
      <c r="O8803" s="43"/>
      <c r="Q8803" s="44"/>
      <c r="R8803" s="44"/>
      <c r="S8803" s="44"/>
      <c r="T8803" s="44"/>
    </row>
    <row r="8804" spans="12:20" x14ac:dyDescent="0.2">
      <c r="L8804" s="43"/>
      <c r="M8804" s="43"/>
      <c r="N8804" s="43"/>
      <c r="O8804" s="43"/>
      <c r="Q8804" s="44"/>
      <c r="R8804" s="44"/>
      <c r="S8804" s="44"/>
      <c r="T8804" s="44"/>
    </row>
    <row r="8805" spans="12:20" x14ac:dyDescent="0.2">
      <c r="L8805" s="43"/>
      <c r="M8805" s="43"/>
      <c r="N8805" s="43"/>
      <c r="O8805" s="43"/>
      <c r="Q8805" s="44"/>
      <c r="R8805" s="44"/>
      <c r="S8805" s="44"/>
      <c r="T8805" s="44"/>
    </row>
    <row r="8806" spans="12:20" x14ac:dyDescent="0.2">
      <c r="L8806" s="43"/>
      <c r="M8806" s="43"/>
      <c r="N8806" s="43"/>
      <c r="O8806" s="43"/>
      <c r="Q8806" s="44"/>
      <c r="R8806" s="44"/>
      <c r="S8806" s="44"/>
      <c r="T8806" s="44"/>
    </row>
    <row r="8807" spans="12:20" x14ac:dyDescent="0.2">
      <c r="L8807" s="43"/>
      <c r="M8807" s="43"/>
      <c r="N8807" s="43"/>
      <c r="O8807" s="43"/>
      <c r="Q8807" s="44"/>
      <c r="R8807" s="44"/>
      <c r="S8807" s="44"/>
      <c r="T8807" s="44"/>
    </row>
    <row r="8808" spans="12:20" x14ac:dyDescent="0.2">
      <c r="L8808" s="43"/>
      <c r="M8808" s="43"/>
      <c r="N8808" s="43"/>
      <c r="O8808" s="43"/>
      <c r="Q8808" s="44"/>
      <c r="R8808" s="44"/>
      <c r="S8808" s="44"/>
      <c r="T8808" s="44"/>
    </row>
    <row r="8809" spans="12:20" x14ac:dyDescent="0.2">
      <c r="L8809" s="43"/>
      <c r="M8809" s="43"/>
      <c r="N8809" s="43"/>
      <c r="O8809" s="43"/>
      <c r="Q8809" s="44"/>
      <c r="R8809" s="44"/>
      <c r="S8809" s="44"/>
      <c r="T8809" s="44"/>
    </row>
    <row r="8810" spans="12:20" x14ac:dyDescent="0.2">
      <c r="L8810" s="43"/>
      <c r="M8810" s="43"/>
      <c r="N8810" s="43"/>
      <c r="O8810" s="43"/>
      <c r="Q8810" s="44"/>
      <c r="R8810" s="44"/>
      <c r="S8810" s="44"/>
      <c r="T8810" s="44"/>
    </row>
    <row r="8811" spans="12:20" x14ac:dyDescent="0.2">
      <c r="L8811" s="43"/>
      <c r="M8811" s="43"/>
      <c r="N8811" s="43"/>
      <c r="O8811" s="43"/>
      <c r="Q8811" s="44"/>
      <c r="R8811" s="44"/>
      <c r="S8811" s="44"/>
      <c r="T8811" s="44"/>
    </row>
    <row r="8812" spans="12:20" x14ac:dyDescent="0.2">
      <c r="L8812" s="43"/>
      <c r="M8812" s="43"/>
      <c r="N8812" s="43"/>
      <c r="O8812" s="43"/>
      <c r="Q8812" s="44"/>
      <c r="R8812" s="44"/>
      <c r="S8812" s="44"/>
      <c r="T8812" s="44"/>
    </row>
    <row r="8813" spans="12:20" x14ac:dyDescent="0.2">
      <c r="L8813" s="43"/>
      <c r="M8813" s="43"/>
      <c r="N8813" s="43"/>
      <c r="O8813" s="43"/>
      <c r="Q8813" s="44"/>
      <c r="R8813" s="44"/>
      <c r="S8813" s="44"/>
      <c r="T8813" s="44"/>
    </row>
    <row r="8814" spans="12:20" x14ac:dyDescent="0.2">
      <c r="L8814" s="43"/>
      <c r="M8814" s="43"/>
      <c r="N8814" s="43"/>
      <c r="O8814" s="43"/>
      <c r="Q8814" s="44"/>
      <c r="R8814" s="44"/>
      <c r="S8814" s="44"/>
      <c r="T8814" s="44"/>
    </row>
    <row r="8815" spans="12:20" x14ac:dyDescent="0.2">
      <c r="L8815" s="43"/>
      <c r="M8815" s="43"/>
      <c r="N8815" s="43"/>
      <c r="O8815" s="43"/>
      <c r="Q8815" s="44"/>
      <c r="R8815" s="44"/>
      <c r="S8815" s="44"/>
      <c r="T8815" s="44"/>
    </row>
    <row r="8816" spans="12:20" x14ac:dyDescent="0.2">
      <c r="L8816" s="43"/>
      <c r="M8816" s="43"/>
      <c r="N8816" s="43"/>
      <c r="O8816" s="43"/>
      <c r="Q8816" s="44"/>
      <c r="R8816" s="44"/>
      <c r="S8816" s="44"/>
      <c r="T8816" s="44"/>
    </row>
    <row r="8817" spans="12:20" x14ac:dyDescent="0.2">
      <c r="L8817" s="43"/>
      <c r="M8817" s="43"/>
      <c r="N8817" s="43"/>
      <c r="O8817" s="43"/>
      <c r="Q8817" s="44"/>
      <c r="R8817" s="44"/>
      <c r="S8817" s="44"/>
      <c r="T8817" s="44"/>
    </row>
    <row r="8818" spans="12:20" x14ac:dyDescent="0.2">
      <c r="L8818" s="43"/>
      <c r="M8818" s="43"/>
      <c r="N8818" s="43"/>
      <c r="O8818" s="43"/>
      <c r="Q8818" s="44"/>
      <c r="R8818" s="44"/>
      <c r="S8818" s="44"/>
      <c r="T8818" s="44"/>
    </row>
    <row r="8819" spans="12:20" x14ac:dyDescent="0.2">
      <c r="L8819" s="43"/>
      <c r="M8819" s="43"/>
      <c r="N8819" s="43"/>
      <c r="O8819" s="43"/>
      <c r="Q8819" s="44"/>
      <c r="R8819" s="44"/>
      <c r="S8819" s="44"/>
      <c r="T8819" s="44"/>
    </row>
    <row r="8820" spans="12:20" x14ac:dyDescent="0.2">
      <c r="L8820" s="43"/>
      <c r="M8820" s="43"/>
      <c r="N8820" s="43"/>
      <c r="O8820" s="43"/>
      <c r="Q8820" s="44"/>
      <c r="R8820" s="44"/>
      <c r="S8820" s="44"/>
      <c r="T8820" s="44"/>
    </row>
    <row r="8821" spans="12:20" x14ac:dyDescent="0.2">
      <c r="L8821" s="43"/>
      <c r="M8821" s="43"/>
      <c r="N8821" s="43"/>
      <c r="O8821" s="43"/>
      <c r="Q8821" s="44"/>
      <c r="R8821" s="44"/>
      <c r="S8821" s="44"/>
      <c r="T8821" s="44"/>
    </row>
    <row r="8822" spans="12:20" x14ac:dyDescent="0.2">
      <c r="L8822" s="43"/>
      <c r="M8822" s="43"/>
      <c r="N8822" s="43"/>
      <c r="O8822" s="43"/>
      <c r="Q8822" s="44"/>
      <c r="R8822" s="44"/>
      <c r="S8822" s="44"/>
      <c r="T8822" s="44"/>
    </row>
    <row r="8823" spans="12:20" x14ac:dyDescent="0.2">
      <c r="L8823" s="43"/>
      <c r="M8823" s="43"/>
      <c r="N8823" s="43"/>
      <c r="O8823" s="43"/>
      <c r="Q8823" s="44"/>
      <c r="R8823" s="44"/>
      <c r="S8823" s="44"/>
      <c r="T8823" s="44"/>
    </row>
    <row r="8824" spans="12:20" x14ac:dyDescent="0.2">
      <c r="L8824" s="43"/>
      <c r="M8824" s="43"/>
      <c r="N8824" s="43"/>
      <c r="O8824" s="43"/>
      <c r="Q8824" s="44"/>
      <c r="R8824" s="44"/>
      <c r="S8824" s="44"/>
      <c r="T8824" s="44"/>
    </row>
    <row r="8825" spans="12:20" x14ac:dyDescent="0.2">
      <c r="L8825" s="43"/>
      <c r="M8825" s="43"/>
      <c r="N8825" s="43"/>
      <c r="O8825" s="43"/>
      <c r="Q8825" s="44"/>
      <c r="R8825" s="44"/>
      <c r="S8825" s="44"/>
      <c r="T8825" s="44"/>
    </row>
    <row r="8826" spans="12:20" x14ac:dyDescent="0.2">
      <c r="L8826" s="43"/>
      <c r="M8826" s="43"/>
      <c r="N8826" s="43"/>
      <c r="O8826" s="43"/>
      <c r="Q8826" s="44"/>
      <c r="R8826" s="44"/>
      <c r="S8826" s="44"/>
      <c r="T8826" s="44"/>
    </row>
    <row r="8827" spans="12:20" x14ac:dyDescent="0.2">
      <c r="L8827" s="43"/>
      <c r="M8827" s="43"/>
      <c r="N8827" s="43"/>
      <c r="O8827" s="43"/>
      <c r="Q8827" s="44"/>
      <c r="R8827" s="44"/>
      <c r="S8827" s="44"/>
      <c r="T8827" s="44"/>
    </row>
    <row r="8828" spans="12:20" x14ac:dyDescent="0.2">
      <c r="L8828" s="43"/>
      <c r="M8828" s="43"/>
      <c r="N8828" s="43"/>
      <c r="O8828" s="43"/>
      <c r="Q8828" s="44"/>
      <c r="R8828" s="44"/>
      <c r="S8828" s="44"/>
      <c r="T8828" s="44"/>
    </row>
    <row r="8829" spans="12:20" x14ac:dyDescent="0.2">
      <c r="L8829" s="43"/>
      <c r="M8829" s="43"/>
      <c r="N8829" s="43"/>
      <c r="O8829" s="43"/>
      <c r="Q8829" s="44"/>
      <c r="R8829" s="44"/>
      <c r="S8829" s="44"/>
      <c r="T8829" s="44"/>
    </row>
    <row r="8830" spans="12:20" x14ac:dyDescent="0.2">
      <c r="L8830" s="43"/>
      <c r="M8830" s="43"/>
      <c r="N8830" s="43"/>
      <c r="O8830" s="43"/>
      <c r="Q8830" s="44"/>
      <c r="R8830" s="44"/>
      <c r="S8830" s="44"/>
      <c r="T8830" s="44"/>
    </row>
    <row r="8831" spans="12:20" x14ac:dyDescent="0.2">
      <c r="L8831" s="43"/>
      <c r="M8831" s="43"/>
      <c r="N8831" s="43"/>
      <c r="O8831" s="43"/>
      <c r="Q8831" s="44"/>
      <c r="R8831" s="44"/>
      <c r="S8831" s="44"/>
      <c r="T8831" s="44"/>
    </row>
    <row r="8832" spans="12:20" x14ac:dyDescent="0.2">
      <c r="L8832" s="43"/>
      <c r="M8832" s="43"/>
      <c r="N8832" s="43"/>
      <c r="O8832" s="43"/>
      <c r="Q8832" s="44"/>
      <c r="R8832" s="44"/>
      <c r="S8832" s="44"/>
      <c r="T8832" s="44"/>
    </row>
    <row r="8833" spans="12:20" x14ac:dyDescent="0.2">
      <c r="L8833" s="43"/>
      <c r="M8833" s="43"/>
      <c r="N8833" s="43"/>
      <c r="O8833" s="43"/>
      <c r="Q8833" s="44"/>
      <c r="R8833" s="44"/>
      <c r="S8833" s="44"/>
      <c r="T8833" s="44"/>
    </row>
    <row r="8834" spans="12:20" x14ac:dyDescent="0.2">
      <c r="L8834" s="43"/>
      <c r="M8834" s="43"/>
      <c r="N8834" s="43"/>
      <c r="O8834" s="43"/>
      <c r="Q8834" s="44"/>
      <c r="R8834" s="44"/>
      <c r="S8834" s="44"/>
      <c r="T8834" s="44"/>
    </row>
    <row r="8835" spans="12:20" x14ac:dyDescent="0.2">
      <c r="L8835" s="43"/>
      <c r="M8835" s="43"/>
      <c r="N8835" s="43"/>
      <c r="O8835" s="43"/>
      <c r="Q8835" s="44"/>
      <c r="R8835" s="44"/>
      <c r="S8835" s="44"/>
      <c r="T8835" s="44"/>
    </row>
    <row r="8836" spans="12:20" x14ac:dyDescent="0.2">
      <c r="L8836" s="43"/>
      <c r="M8836" s="43"/>
      <c r="N8836" s="43"/>
      <c r="O8836" s="43"/>
      <c r="Q8836" s="44"/>
      <c r="R8836" s="44"/>
      <c r="S8836" s="44"/>
      <c r="T8836" s="44"/>
    </row>
    <row r="8837" spans="12:20" x14ac:dyDescent="0.2">
      <c r="L8837" s="43"/>
      <c r="M8837" s="43"/>
      <c r="N8837" s="43"/>
      <c r="O8837" s="43"/>
      <c r="Q8837" s="44"/>
      <c r="R8837" s="44"/>
      <c r="S8837" s="44"/>
      <c r="T8837" s="44"/>
    </row>
    <row r="8838" spans="12:20" x14ac:dyDescent="0.2">
      <c r="L8838" s="43"/>
      <c r="M8838" s="43"/>
      <c r="N8838" s="43"/>
      <c r="O8838" s="43"/>
      <c r="Q8838" s="44"/>
      <c r="R8838" s="44"/>
      <c r="S8838" s="44"/>
      <c r="T8838" s="44"/>
    </row>
    <row r="8839" spans="12:20" x14ac:dyDescent="0.2">
      <c r="L8839" s="43"/>
      <c r="M8839" s="43"/>
      <c r="N8839" s="43"/>
      <c r="O8839" s="43"/>
      <c r="Q8839" s="44"/>
      <c r="R8839" s="44"/>
      <c r="S8839" s="44"/>
      <c r="T8839" s="44"/>
    </row>
    <row r="8840" spans="12:20" x14ac:dyDescent="0.2">
      <c r="L8840" s="43"/>
      <c r="M8840" s="43"/>
      <c r="N8840" s="43"/>
      <c r="O8840" s="43"/>
      <c r="Q8840" s="44"/>
      <c r="R8840" s="44"/>
      <c r="S8840" s="44"/>
      <c r="T8840" s="44"/>
    </row>
    <row r="8841" spans="12:20" x14ac:dyDescent="0.2">
      <c r="L8841" s="43"/>
      <c r="M8841" s="43"/>
      <c r="N8841" s="43"/>
      <c r="O8841" s="43"/>
      <c r="Q8841" s="44"/>
      <c r="R8841" s="44"/>
      <c r="S8841" s="44"/>
      <c r="T8841" s="44"/>
    </row>
    <row r="8842" spans="12:20" x14ac:dyDescent="0.2">
      <c r="L8842" s="43"/>
      <c r="M8842" s="43"/>
      <c r="N8842" s="43"/>
      <c r="O8842" s="43"/>
      <c r="Q8842" s="44"/>
      <c r="R8842" s="44"/>
      <c r="S8842" s="44"/>
      <c r="T8842" s="44"/>
    </row>
    <row r="8843" spans="12:20" x14ac:dyDescent="0.2">
      <c r="L8843" s="43"/>
      <c r="M8843" s="43"/>
      <c r="N8843" s="43"/>
      <c r="O8843" s="43"/>
      <c r="Q8843" s="44"/>
      <c r="R8843" s="44"/>
      <c r="S8843" s="44"/>
      <c r="T8843" s="44"/>
    </row>
    <row r="8844" spans="12:20" x14ac:dyDescent="0.2">
      <c r="L8844" s="43"/>
      <c r="M8844" s="43"/>
      <c r="N8844" s="43"/>
      <c r="O8844" s="43"/>
      <c r="Q8844" s="44"/>
      <c r="R8844" s="44"/>
      <c r="S8844" s="44"/>
      <c r="T8844" s="44"/>
    </row>
    <row r="8845" spans="12:20" x14ac:dyDescent="0.2">
      <c r="L8845" s="43"/>
      <c r="M8845" s="43"/>
      <c r="N8845" s="43"/>
      <c r="O8845" s="43"/>
      <c r="Q8845" s="44"/>
      <c r="R8845" s="44"/>
      <c r="S8845" s="44"/>
      <c r="T8845" s="44"/>
    </row>
    <row r="8846" spans="12:20" x14ac:dyDescent="0.2">
      <c r="L8846" s="43"/>
      <c r="M8846" s="43"/>
      <c r="N8846" s="43"/>
      <c r="O8846" s="43"/>
      <c r="Q8846" s="44"/>
      <c r="R8846" s="44"/>
      <c r="S8846" s="44"/>
      <c r="T8846" s="44"/>
    </row>
    <row r="8847" spans="12:20" x14ac:dyDescent="0.2">
      <c r="L8847" s="43"/>
      <c r="M8847" s="43"/>
      <c r="N8847" s="43"/>
      <c r="O8847" s="43"/>
      <c r="Q8847" s="44"/>
      <c r="R8847" s="44"/>
      <c r="S8847" s="44"/>
      <c r="T8847" s="44"/>
    </row>
    <row r="8848" spans="12:20" x14ac:dyDescent="0.2">
      <c r="L8848" s="43"/>
      <c r="M8848" s="43"/>
      <c r="N8848" s="43"/>
      <c r="O8848" s="43"/>
      <c r="Q8848" s="44"/>
      <c r="R8848" s="44"/>
      <c r="S8848" s="44"/>
      <c r="T8848" s="44"/>
    </row>
    <row r="8849" spans="12:20" x14ac:dyDescent="0.2">
      <c r="L8849" s="43"/>
      <c r="M8849" s="43"/>
      <c r="N8849" s="43"/>
      <c r="O8849" s="43"/>
      <c r="Q8849" s="44"/>
      <c r="R8849" s="44"/>
      <c r="S8849" s="44"/>
      <c r="T8849" s="44"/>
    </row>
    <row r="8850" spans="12:20" x14ac:dyDescent="0.2">
      <c r="L8850" s="43"/>
      <c r="M8850" s="43"/>
      <c r="N8850" s="43"/>
      <c r="O8850" s="43"/>
      <c r="Q8850" s="44"/>
      <c r="R8850" s="44"/>
      <c r="S8850" s="44"/>
      <c r="T8850" s="44"/>
    </row>
    <row r="8851" spans="12:20" x14ac:dyDescent="0.2">
      <c r="L8851" s="43"/>
      <c r="M8851" s="43"/>
      <c r="N8851" s="43"/>
      <c r="O8851" s="43"/>
      <c r="Q8851" s="44"/>
      <c r="R8851" s="44"/>
      <c r="S8851" s="44"/>
      <c r="T8851" s="44"/>
    </row>
    <row r="8852" spans="12:20" x14ac:dyDescent="0.2">
      <c r="L8852" s="43"/>
      <c r="M8852" s="43"/>
      <c r="N8852" s="43"/>
      <c r="O8852" s="43"/>
      <c r="Q8852" s="44"/>
      <c r="R8852" s="44"/>
      <c r="S8852" s="44"/>
      <c r="T8852" s="44"/>
    </row>
    <row r="8853" spans="12:20" x14ac:dyDescent="0.2">
      <c r="L8853" s="43"/>
      <c r="M8853" s="43"/>
      <c r="N8853" s="43"/>
      <c r="O8853" s="43"/>
      <c r="Q8853" s="44"/>
      <c r="R8853" s="44"/>
      <c r="S8853" s="44"/>
      <c r="T8853" s="44"/>
    </row>
    <row r="8854" spans="12:20" x14ac:dyDescent="0.2">
      <c r="L8854" s="43"/>
      <c r="M8854" s="43"/>
      <c r="N8854" s="43"/>
      <c r="O8854" s="43"/>
      <c r="Q8854" s="44"/>
      <c r="R8854" s="44"/>
      <c r="S8854" s="44"/>
      <c r="T8854" s="44"/>
    </row>
    <row r="8855" spans="12:20" x14ac:dyDescent="0.2">
      <c r="L8855" s="43"/>
      <c r="M8855" s="43"/>
      <c r="N8855" s="43"/>
      <c r="O8855" s="43"/>
      <c r="Q8855" s="44"/>
      <c r="R8855" s="44"/>
      <c r="S8855" s="44"/>
      <c r="T8855" s="44"/>
    </row>
    <row r="8856" spans="12:20" x14ac:dyDescent="0.2">
      <c r="L8856" s="43"/>
      <c r="M8856" s="43"/>
      <c r="N8856" s="43"/>
      <c r="O8856" s="43"/>
      <c r="Q8856" s="44"/>
      <c r="R8856" s="44"/>
      <c r="S8856" s="44"/>
      <c r="T8856" s="44"/>
    </row>
    <row r="8857" spans="12:20" x14ac:dyDescent="0.2">
      <c r="L8857" s="43"/>
      <c r="M8857" s="43"/>
      <c r="N8857" s="43"/>
      <c r="O8857" s="43"/>
      <c r="Q8857" s="44"/>
      <c r="R8857" s="44"/>
      <c r="S8857" s="44"/>
      <c r="T8857" s="44"/>
    </row>
    <row r="8858" spans="12:20" x14ac:dyDescent="0.2">
      <c r="L8858" s="43"/>
      <c r="M8858" s="43"/>
      <c r="N8858" s="43"/>
      <c r="O8858" s="43"/>
      <c r="Q8858" s="44"/>
      <c r="R8858" s="44"/>
      <c r="S8858" s="44"/>
      <c r="T8858" s="44"/>
    </row>
    <row r="8859" spans="12:20" x14ac:dyDescent="0.2">
      <c r="L8859" s="43"/>
      <c r="M8859" s="43"/>
      <c r="N8859" s="43"/>
      <c r="O8859" s="43"/>
      <c r="Q8859" s="44"/>
      <c r="R8859" s="44"/>
      <c r="S8859" s="44"/>
      <c r="T8859" s="44"/>
    </row>
    <row r="8860" spans="12:20" x14ac:dyDescent="0.2">
      <c r="L8860" s="43"/>
      <c r="M8860" s="43"/>
      <c r="N8860" s="43"/>
      <c r="O8860" s="43"/>
      <c r="Q8860" s="44"/>
      <c r="R8860" s="44"/>
      <c r="S8860" s="44"/>
      <c r="T8860" s="44"/>
    </row>
    <row r="8861" spans="12:20" x14ac:dyDescent="0.2">
      <c r="L8861" s="43"/>
      <c r="M8861" s="43"/>
      <c r="N8861" s="43"/>
      <c r="O8861" s="43"/>
      <c r="Q8861" s="44"/>
      <c r="R8861" s="44"/>
      <c r="S8861" s="44"/>
      <c r="T8861" s="44"/>
    </row>
    <row r="8862" spans="12:20" x14ac:dyDescent="0.2">
      <c r="L8862" s="43"/>
      <c r="M8862" s="43"/>
      <c r="N8862" s="43"/>
      <c r="O8862" s="43"/>
      <c r="Q8862" s="44"/>
      <c r="R8862" s="44"/>
      <c r="S8862" s="44"/>
      <c r="T8862" s="44"/>
    </row>
    <row r="8863" spans="12:20" x14ac:dyDescent="0.2">
      <c r="L8863" s="43"/>
      <c r="M8863" s="43"/>
      <c r="N8863" s="43"/>
      <c r="O8863" s="43"/>
      <c r="Q8863" s="44"/>
      <c r="R8863" s="44"/>
      <c r="S8863" s="44"/>
      <c r="T8863" s="44"/>
    </row>
    <row r="8864" spans="12:20" x14ac:dyDescent="0.2">
      <c r="L8864" s="43"/>
      <c r="M8864" s="43"/>
      <c r="N8864" s="43"/>
      <c r="O8864" s="43"/>
      <c r="Q8864" s="44"/>
      <c r="R8864" s="44"/>
      <c r="S8864" s="44"/>
      <c r="T8864" s="44"/>
    </row>
    <row r="8865" spans="12:20" x14ac:dyDescent="0.2">
      <c r="L8865" s="43"/>
      <c r="M8865" s="43"/>
      <c r="N8865" s="43"/>
      <c r="O8865" s="43"/>
      <c r="Q8865" s="44"/>
      <c r="R8865" s="44"/>
      <c r="S8865" s="44"/>
      <c r="T8865" s="44"/>
    </row>
    <row r="8866" spans="12:20" x14ac:dyDescent="0.2">
      <c r="L8866" s="43"/>
      <c r="M8866" s="43"/>
      <c r="N8866" s="43"/>
      <c r="O8866" s="43"/>
      <c r="Q8866" s="44"/>
      <c r="R8866" s="44"/>
      <c r="S8866" s="44"/>
      <c r="T8866" s="44"/>
    </row>
    <row r="8867" spans="12:20" x14ac:dyDescent="0.2">
      <c r="L8867" s="43"/>
      <c r="M8867" s="43"/>
      <c r="N8867" s="43"/>
      <c r="O8867" s="43"/>
      <c r="Q8867" s="44"/>
      <c r="R8867" s="44"/>
      <c r="S8867" s="44"/>
      <c r="T8867" s="44"/>
    </row>
    <row r="8868" spans="12:20" x14ac:dyDescent="0.2">
      <c r="L8868" s="43"/>
      <c r="M8868" s="43"/>
      <c r="N8868" s="43"/>
      <c r="O8868" s="43"/>
      <c r="Q8868" s="44"/>
      <c r="R8868" s="44"/>
      <c r="S8868" s="44"/>
      <c r="T8868" s="44"/>
    </row>
    <row r="8869" spans="12:20" x14ac:dyDescent="0.2">
      <c r="L8869" s="43"/>
      <c r="M8869" s="43"/>
      <c r="N8869" s="43"/>
      <c r="O8869" s="43"/>
      <c r="Q8869" s="44"/>
      <c r="R8869" s="44"/>
      <c r="S8869" s="44"/>
      <c r="T8869" s="44"/>
    </row>
    <row r="8870" spans="12:20" x14ac:dyDescent="0.2">
      <c r="L8870" s="43"/>
      <c r="M8870" s="43"/>
      <c r="N8870" s="43"/>
      <c r="O8870" s="43"/>
      <c r="Q8870" s="44"/>
      <c r="R8870" s="44"/>
      <c r="S8870" s="44"/>
      <c r="T8870" s="44"/>
    </row>
    <row r="8871" spans="12:20" x14ac:dyDescent="0.2">
      <c r="L8871" s="43"/>
      <c r="M8871" s="43"/>
      <c r="N8871" s="43"/>
      <c r="O8871" s="43"/>
      <c r="Q8871" s="44"/>
      <c r="R8871" s="44"/>
      <c r="S8871" s="44"/>
      <c r="T8871" s="44"/>
    </row>
    <row r="8872" spans="12:20" x14ac:dyDescent="0.2">
      <c r="L8872" s="43"/>
      <c r="M8872" s="43"/>
      <c r="N8872" s="43"/>
      <c r="O8872" s="43"/>
      <c r="Q8872" s="44"/>
      <c r="R8872" s="44"/>
      <c r="S8872" s="44"/>
      <c r="T8872" s="44"/>
    </row>
    <row r="8873" spans="12:20" x14ac:dyDescent="0.2">
      <c r="L8873" s="43"/>
      <c r="M8873" s="43"/>
      <c r="N8873" s="43"/>
      <c r="O8873" s="43"/>
      <c r="Q8873" s="44"/>
      <c r="R8873" s="44"/>
      <c r="S8873" s="44"/>
      <c r="T8873" s="44"/>
    </row>
    <row r="8874" spans="12:20" x14ac:dyDescent="0.2">
      <c r="L8874" s="43"/>
      <c r="M8874" s="43"/>
      <c r="N8874" s="43"/>
      <c r="O8874" s="43"/>
      <c r="Q8874" s="44"/>
      <c r="R8874" s="44"/>
      <c r="S8874" s="44"/>
      <c r="T8874" s="44"/>
    </row>
    <row r="8875" spans="12:20" x14ac:dyDescent="0.2">
      <c r="L8875" s="43"/>
      <c r="M8875" s="43"/>
      <c r="N8875" s="43"/>
      <c r="O8875" s="43"/>
      <c r="Q8875" s="44"/>
      <c r="R8875" s="44"/>
      <c r="S8875" s="44"/>
      <c r="T8875" s="44"/>
    </row>
    <row r="8876" spans="12:20" x14ac:dyDescent="0.2">
      <c r="L8876" s="43"/>
      <c r="M8876" s="43"/>
      <c r="N8876" s="43"/>
      <c r="O8876" s="43"/>
      <c r="Q8876" s="44"/>
      <c r="R8876" s="44"/>
      <c r="S8876" s="44"/>
      <c r="T8876" s="44"/>
    </row>
    <row r="8877" spans="12:20" x14ac:dyDescent="0.2">
      <c r="L8877" s="43"/>
      <c r="M8877" s="43"/>
      <c r="N8877" s="43"/>
      <c r="O8877" s="43"/>
      <c r="Q8877" s="44"/>
      <c r="R8877" s="44"/>
      <c r="S8877" s="44"/>
      <c r="T8877" s="44"/>
    </row>
    <row r="8878" spans="12:20" x14ac:dyDescent="0.2">
      <c r="L8878" s="43"/>
      <c r="M8878" s="43"/>
      <c r="N8878" s="43"/>
      <c r="O8878" s="43"/>
      <c r="Q8878" s="44"/>
      <c r="R8878" s="44"/>
      <c r="S8878" s="44"/>
      <c r="T8878" s="44"/>
    </row>
    <row r="8879" spans="12:20" x14ac:dyDescent="0.2">
      <c r="L8879" s="43"/>
      <c r="M8879" s="43"/>
      <c r="N8879" s="43"/>
      <c r="O8879" s="43"/>
      <c r="Q8879" s="44"/>
      <c r="R8879" s="44"/>
      <c r="S8879" s="44"/>
      <c r="T8879" s="44"/>
    </row>
    <row r="8880" spans="12:20" x14ac:dyDescent="0.2">
      <c r="L8880" s="43"/>
      <c r="M8880" s="43"/>
      <c r="N8880" s="43"/>
      <c r="O8880" s="43"/>
      <c r="Q8880" s="44"/>
      <c r="R8880" s="44"/>
      <c r="S8880" s="44"/>
      <c r="T8880" s="44"/>
    </row>
    <row r="8881" spans="12:20" x14ac:dyDescent="0.2">
      <c r="L8881" s="43"/>
      <c r="M8881" s="43"/>
      <c r="N8881" s="43"/>
      <c r="O8881" s="43"/>
      <c r="Q8881" s="44"/>
      <c r="R8881" s="44"/>
      <c r="S8881" s="44"/>
      <c r="T8881" s="44"/>
    </row>
    <row r="8882" spans="12:20" x14ac:dyDescent="0.2">
      <c r="L8882" s="43"/>
      <c r="M8882" s="43"/>
      <c r="N8882" s="43"/>
      <c r="O8882" s="43"/>
      <c r="Q8882" s="44"/>
      <c r="R8882" s="44"/>
      <c r="S8882" s="44"/>
      <c r="T8882" s="44"/>
    </row>
    <row r="8883" spans="12:20" x14ac:dyDescent="0.2">
      <c r="L8883" s="43"/>
      <c r="M8883" s="43"/>
      <c r="N8883" s="43"/>
      <c r="O8883" s="43"/>
      <c r="Q8883" s="44"/>
      <c r="R8883" s="44"/>
      <c r="S8883" s="44"/>
      <c r="T8883" s="44"/>
    </row>
    <row r="8884" spans="12:20" x14ac:dyDescent="0.2">
      <c r="L8884" s="43"/>
      <c r="M8884" s="43"/>
      <c r="N8884" s="43"/>
      <c r="O8884" s="43"/>
      <c r="Q8884" s="44"/>
      <c r="R8884" s="44"/>
      <c r="S8884" s="44"/>
      <c r="T8884" s="44"/>
    </row>
    <row r="8885" spans="12:20" x14ac:dyDescent="0.2">
      <c r="L8885" s="43"/>
      <c r="M8885" s="43"/>
      <c r="N8885" s="43"/>
      <c r="O8885" s="43"/>
      <c r="Q8885" s="44"/>
      <c r="R8885" s="44"/>
      <c r="S8885" s="44"/>
      <c r="T8885" s="44"/>
    </row>
    <row r="8886" spans="12:20" x14ac:dyDescent="0.2">
      <c r="L8886" s="43"/>
      <c r="M8886" s="43"/>
      <c r="N8886" s="43"/>
      <c r="O8886" s="43"/>
      <c r="Q8886" s="44"/>
      <c r="R8886" s="44"/>
      <c r="S8886" s="44"/>
      <c r="T8886" s="44"/>
    </row>
    <row r="8887" spans="12:20" x14ac:dyDescent="0.2">
      <c r="L8887" s="43"/>
      <c r="M8887" s="43"/>
      <c r="N8887" s="43"/>
      <c r="O8887" s="43"/>
      <c r="Q8887" s="44"/>
      <c r="R8887" s="44"/>
      <c r="S8887" s="44"/>
      <c r="T8887" s="44"/>
    </row>
    <row r="8888" spans="12:20" x14ac:dyDescent="0.2">
      <c r="L8888" s="43"/>
      <c r="M8888" s="43"/>
      <c r="N8888" s="43"/>
      <c r="O8888" s="43"/>
      <c r="Q8888" s="44"/>
      <c r="R8888" s="44"/>
      <c r="S8888" s="44"/>
      <c r="T8888" s="44"/>
    </row>
    <row r="8889" spans="12:20" x14ac:dyDescent="0.2">
      <c r="L8889" s="43"/>
      <c r="M8889" s="43"/>
      <c r="N8889" s="43"/>
      <c r="O8889" s="43"/>
      <c r="Q8889" s="44"/>
      <c r="R8889" s="44"/>
      <c r="S8889" s="44"/>
      <c r="T8889" s="44"/>
    </row>
    <row r="8890" spans="12:20" x14ac:dyDescent="0.2">
      <c r="L8890" s="43"/>
      <c r="M8890" s="43"/>
      <c r="N8890" s="43"/>
      <c r="O8890" s="43"/>
      <c r="Q8890" s="44"/>
      <c r="R8890" s="44"/>
      <c r="S8890" s="44"/>
      <c r="T8890" s="44"/>
    </row>
    <row r="8891" spans="12:20" x14ac:dyDescent="0.2">
      <c r="L8891" s="43"/>
      <c r="M8891" s="43"/>
      <c r="N8891" s="43"/>
      <c r="O8891" s="43"/>
      <c r="Q8891" s="44"/>
      <c r="R8891" s="44"/>
      <c r="S8891" s="44"/>
      <c r="T8891" s="44"/>
    </row>
    <row r="8892" spans="12:20" x14ac:dyDescent="0.2">
      <c r="L8892" s="43"/>
      <c r="M8892" s="43"/>
      <c r="N8892" s="43"/>
      <c r="O8892" s="43"/>
      <c r="Q8892" s="44"/>
      <c r="R8892" s="44"/>
      <c r="S8892" s="44"/>
      <c r="T8892" s="44"/>
    </row>
    <row r="8893" spans="12:20" x14ac:dyDescent="0.2">
      <c r="L8893" s="43"/>
      <c r="M8893" s="43"/>
      <c r="N8893" s="43"/>
      <c r="O8893" s="43"/>
      <c r="Q8893" s="44"/>
      <c r="R8893" s="44"/>
      <c r="S8893" s="44"/>
      <c r="T8893" s="44"/>
    </row>
    <row r="8894" spans="12:20" x14ac:dyDescent="0.2">
      <c r="L8894" s="43"/>
      <c r="M8894" s="43"/>
      <c r="N8894" s="43"/>
      <c r="O8894" s="43"/>
      <c r="Q8894" s="44"/>
      <c r="R8894" s="44"/>
      <c r="S8894" s="44"/>
      <c r="T8894" s="44"/>
    </row>
    <row r="8895" spans="12:20" x14ac:dyDescent="0.2">
      <c r="L8895" s="43"/>
      <c r="M8895" s="43"/>
      <c r="N8895" s="43"/>
      <c r="O8895" s="43"/>
      <c r="Q8895" s="44"/>
      <c r="R8895" s="44"/>
      <c r="S8895" s="44"/>
      <c r="T8895" s="44"/>
    </row>
    <row r="8896" spans="12:20" x14ac:dyDescent="0.2">
      <c r="L8896" s="43"/>
      <c r="M8896" s="43"/>
      <c r="N8896" s="43"/>
      <c r="O8896" s="43"/>
      <c r="Q8896" s="44"/>
      <c r="R8896" s="44"/>
      <c r="S8896" s="44"/>
      <c r="T8896" s="44"/>
    </row>
    <row r="8897" spans="12:20" x14ac:dyDescent="0.2">
      <c r="L8897" s="43"/>
      <c r="M8897" s="43"/>
      <c r="N8897" s="43"/>
      <c r="O8897" s="43"/>
      <c r="Q8897" s="44"/>
      <c r="R8897" s="44"/>
      <c r="S8897" s="44"/>
      <c r="T8897" s="44"/>
    </row>
    <row r="8898" spans="12:20" x14ac:dyDescent="0.2">
      <c r="L8898" s="43"/>
      <c r="M8898" s="43"/>
      <c r="N8898" s="43"/>
      <c r="O8898" s="43"/>
      <c r="Q8898" s="44"/>
      <c r="R8898" s="44"/>
      <c r="S8898" s="44"/>
      <c r="T8898" s="44"/>
    </row>
    <row r="8899" spans="12:20" x14ac:dyDescent="0.2">
      <c r="L8899" s="43"/>
      <c r="M8899" s="43"/>
      <c r="N8899" s="43"/>
      <c r="O8899" s="43"/>
      <c r="Q8899" s="44"/>
      <c r="R8899" s="44"/>
      <c r="S8899" s="44"/>
      <c r="T8899" s="44"/>
    </row>
    <row r="8900" spans="12:20" x14ac:dyDescent="0.2">
      <c r="L8900" s="43"/>
      <c r="M8900" s="43"/>
      <c r="N8900" s="43"/>
      <c r="O8900" s="43"/>
      <c r="Q8900" s="44"/>
      <c r="R8900" s="44"/>
      <c r="S8900" s="44"/>
      <c r="T8900" s="44"/>
    </row>
    <row r="8901" spans="12:20" x14ac:dyDescent="0.2">
      <c r="L8901" s="43"/>
      <c r="M8901" s="43"/>
      <c r="N8901" s="43"/>
      <c r="O8901" s="43"/>
      <c r="Q8901" s="44"/>
      <c r="R8901" s="44"/>
      <c r="S8901" s="44"/>
      <c r="T8901" s="44"/>
    </row>
    <row r="8902" spans="12:20" x14ac:dyDescent="0.2">
      <c r="L8902" s="43"/>
      <c r="M8902" s="43"/>
      <c r="N8902" s="43"/>
      <c r="O8902" s="43"/>
      <c r="Q8902" s="44"/>
      <c r="R8902" s="44"/>
      <c r="S8902" s="44"/>
      <c r="T8902" s="44"/>
    </row>
    <row r="8903" spans="12:20" x14ac:dyDescent="0.2">
      <c r="L8903" s="43"/>
      <c r="M8903" s="43"/>
      <c r="N8903" s="43"/>
      <c r="O8903" s="43"/>
      <c r="Q8903" s="44"/>
      <c r="R8903" s="44"/>
      <c r="S8903" s="44"/>
      <c r="T8903" s="44"/>
    </row>
    <row r="8904" spans="12:20" x14ac:dyDescent="0.2">
      <c r="L8904" s="43"/>
      <c r="M8904" s="43"/>
      <c r="N8904" s="43"/>
      <c r="O8904" s="43"/>
      <c r="Q8904" s="44"/>
      <c r="R8904" s="44"/>
      <c r="S8904" s="44"/>
      <c r="T8904" s="44"/>
    </row>
    <row r="8905" spans="12:20" x14ac:dyDescent="0.2">
      <c r="L8905" s="43"/>
      <c r="M8905" s="43"/>
      <c r="N8905" s="43"/>
      <c r="O8905" s="43"/>
      <c r="Q8905" s="44"/>
      <c r="R8905" s="44"/>
      <c r="S8905" s="44"/>
      <c r="T8905" s="44"/>
    </row>
    <row r="8906" spans="12:20" x14ac:dyDescent="0.2">
      <c r="L8906" s="43"/>
      <c r="M8906" s="43"/>
      <c r="N8906" s="43"/>
      <c r="O8906" s="43"/>
      <c r="Q8906" s="44"/>
      <c r="R8906" s="44"/>
      <c r="S8906" s="44"/>
      <c r="T8906" s="44"/>
    </row>
    <row r="8907" spans="12:20" x14ac:dyDescent="0.2">
      <c r="L8907" s="43"/>
      <c r="M8907" s="43"/>
      <c r="N8907" s="43"/>
      <c r="O8907" s="43"/>
      <c r="Q8907" s="44"/>
      <c r="R8907" s="44"/>
      <c r="S8907" s="44"/>
      <c r="T8907" s="44"/>
    </row>
    <row r="8908" spans="12:20" x14ac:dyDescent="0.2">
      <c r="L8908" s="43"/>
      <c r="M8908" s="43"/>
      <c r="N8908" s="43"/>
      <c r="O8908" s="43"/>
      <c r="Q8908" s="44"/>
      <c r="R8908" s="44"/>
      <c r="S8908" s="44"/>
      <c r="T8908" s="44"/>
    </row>
    <row r="8909" spans="12:20" x14ac:dyDescent="0.2">
      <c r="L8909" s="43"/>
      <c r="M8909" s="43"/>
      <c r="N8909" s="43"/>
      <c r="O8909" s="43"/>
      <c r="Q8909" s="44"/>
      <c r="R8909" s="44"/>
      <c r="S8909" s="44"/>
      <c r="T8909" s="44"/>
    </row>
    <row r="8910" spans="12:20" x14ac:dyDescent="0.2">
      <c r="L8910" s="43"/>
      <c r="M8910" s="43"/>
      <c r="N8910" s="43"/>
      <c r="O8910" s="43"/>
      <c r="Q8910" s="44"/>
      <c r="R8910" s="44"/>
      <c r="S8910" s="44"/>
      <c r="T8910" s="44"/>
    </row>
    <row r="8911" spans="12:20" x14ac:dyDescent="0.2">
      <c r="L8911" s="43"/>
      <c r="M8911" s="43"/>
      <c r="N8911" s="43"/>
      <c r="O8911" s="43"/>
      <c r="Q8911" s="44"/>
      <c r="R8911" s="44"/>
      <c r="S8911" s="44"/>
      <c r="T8911" s="44"/>
    </row>
    <row r="8912" spans="12:20" x14ac:dyDescent="0.2">
      <c r="L8912" s="43"/>
      <c r="M8912" s="43"/>
      <c r="N8912" s="43"/>
      <c r="O8912" s="43"/>
      <c r="Q8912" s="44"/>
      <c r="R8912" s="44"/>
      <c r="S8912" s="44"/>
      <c r="T8912" s="44"/>
    </row>
    <row r="8913" spans="12:20" x14ac:dyDescent="0.2">
      <c r="L8913" s="43"/>
      <c r="M8913" s="43"/>
      <c r="N8913" s="43"/>
      <c r="O8913" s="43"/>
      <c r="Q8913" s="44"/>
      <c r="R8913" s="44"/>
      <c r="S8913" s="44"/>
      <c r="T8913" s="44"/>
    </row>
    <row r="8914" spans="12:20" x14ac:dyDescent="0.2">
      <c r="L8914" s="43"/>
      <c r="M8914" s="43"/>
      <c r="N8914" s="43"/>
      <c r="O8914" s="43"/>
      <c r="Q8914" s="44"/>
      <c r="R8914" s="44"/>
      <c r="S8914" s="44"/>
      <c r="T8914" s="44"/>
    </row>
    <row r="8915" spans="12:20" x14ac:dyDescent="0.2">
      <c r="L8915" s="43"/>
      <c r="M8915" s="43"/>
      <c r="N8915" s="43"/>
      <c r="O8915" s="43"/>
      <c r="Q8915" s="44"/>
      <c r="R8915" s="44"/>
      <c r="S8915" s="44"/>
      <c r="T8915" s="44"/>
    </row>
    <row r="8916" spans="12:20" x14ac:dyDescent="0.2">
      <c r="L8916" s="43"/>
      <c r="M8916" s="43"/>
      <c r="N8916" s="43"/>
      <c r="O8916" s="43"/>
      <c r="Q8916" s="44"/>
      <c r="R8916" s="44"/>
      <c r="S8916" s="44"/>
      <c r="T8916" s="44"/>
    </row>
    <row r="8917" spans="12:20" x14ac:dyDescent="0.2">
      <c r="L8917" s="43"/>
      <c r="M8917" s="43"/>
      <c r="N8917" s="43"/>
      <c r="O8917" s="43"/>
      <c r="Q8917" s="44"/>
      <c r="R8917" s="44"/>
      <c r="S8917" s="44"/>
      <c r="T8917" s="44"/>
    </row>
    <row r="8918" spans="12:20" x14ac:dyDescent="0.2">
      <c r="L8918" s="43"/>
      <c r="M8918" s="43"/>
      <c r="N8918" s="43"/>
      <c r="O8918" s="43"/>
      <c r="Q8918" s="44"/>
      <c r="R8918" s="44"/>
      <c r="S8918" s="44"/>
      <c r="T8918" s="44"/>
    </row>
    <row r="8919" spans="12:20" x14ac:dyDescent="0.2">
      <c r="L8919" s="43"/>
      <c r="M8919" s="43"/>
      <c r="N8919" s="43"/>
      <c r="O8919" s="43"/>
      <c r="Q8919" s="44"/>
      <c r="R8919" s="44"/>
      <c r="S8919" s="44"/>
      <c r="T8919" s="44"/>
    </row>
    <row r="8920" spans="12:20" x14ac:dyDescent="0.2">
      <c r="L8920" s="43"/>
      <c r="M8920" s="43"/>
      <c r="N8920" s="43"/>
      <c r="O8920" s="43"/>
      <c r="Q8920" s="44"/>
      <c r="R8920" s="44"/>
      <c r="S8920" s="44"/>
      <c r="T8920" s="44"/>
    </row>
    <row r="8921" spans="12:20" x14ac:dyDescent="0.2">
      <c r="L8921" s="43"/>
      <c r="M8921" s="43"/>
      <c r="N8921" s="43"/>
      <c r="O8921" s="43"/>
      <c r="Q8921" s="44"/>
      <c r="R8921" s="44"/>
      <c r="S8921" s="44"/>
      <c r="T8921" s="44"/>
    </row>
    <row r="8922" spans="12:20" x14ac:dyDescent="0.2">
      <c r="L8922" s="43"/>
      <c r="M8922" s="43"/>
      <c r="N8922" s="43"/>
      <c r="O8922" s="43"/>
      <c r="Q8922" s="44"/>
      <c r="R8922" s="44"/>
      <c r="S8922" s="44"/>
      <c r="T8922" s="44"/>
    </row>
    <row r="8923" spans="12:20" x14ac:dyDescent="0.2">
      <c r="L8923" s="43"/>
      <c r="M8923" s="43"/>
      <c r="N8923" s="43"/>
      <c r="O8923" s="43"/>
      <c r="Q8923" s="44"/>
      <c r="R8923" s="44"/>
      <c r="S8923" s="44"/>
      <c r="T8923" s="44"/>
    </row>
    <row r="8924" spans="12:20" x14ac:dyDescent="0.2">
      <c r="L8924" s="43"/>
      <c r="M8924" s="43"/>
      <c r="N8924" s="43"/>
      <c r="O8924" s="43"/>
      <c r="Q8924" s="44"/>
      <c r="R8924" s="44"/>
      <c r="S8924" s="44"/>
      <c r="T8924" s="44"/>
    </row>
    <row r="8925" spans="12:20" x14ac:dyDescent="0.2">
      <c r="L8925" s="43"/>
      <c r="M8925" s="43"/>
      <c r="N8925" s="43"/>
      <c r="O8925" s="43"/>
      <c r="Q8925" s="44"/>
      <c r="R8925" s="44"/>
      <c r="S8925" s="44"/>
      <c r="T8925" s="44"/>
    </row>
    <row r="8926" spans="12:20" x14ac:dyDescent="0.2">
      <c r="L8926" s="43"/>
      <c r="M8926" s="43"/>
      <c r="N8926" s="43"/>
      <c r="O8926" s="43"/>
      <c r="Q8926" s="44"/>
      <c r="R8926" s="44"/>
      <c r="S8926" s="44"/>
      <c r="T8926" s="44"/>
    </row>
    <row r="8927" spans="12:20" x14ac:dyDescent="0.2">
      <c r="L8927" s="43"/>
      <c r="M8927" s="43"/>
      <c r="N8927" s="43"/>
      <c r="O8927" s="43"/>
      <c r="Q8927" s="44"/>
      <c r="R8927" s="44"/>
      <c r="S8927" s="44"/>
      <c r="T8927" s="44"/>
    </row>
    <row r="8928" spans="12:20" x14ac:dyDescent="0.2">
      <c r="L8928" s="43"/>
      <c r="M8928" s="43"/>
      <c r="N8928" s="43"/>
      <c r="O8928" s="43"/>
      <c r="Q8928" s="44"/>
      <c r="R8928" s="44"/>
      <c r="S8928" s="44"/>
      <c r="T8928" s="44"/>
    </row>
    <row r="8929" spans="12:20" x14ac:dyDescent="0.2">
      <c r="L8929" s="43"/>
      <c r="M8929" s="43"/>
      <c r="N8929" s="43"/>
      <c r="O8929" s="43"/>
      <c r="Q8929" s="44"/>
      <c r="R8929" s="44"/>
      <c r="S8929" s="44"/>
      <c r="T8929" s="44"/>
    </row>
    <row r="8930" spans="12:20" x14ac:dyDescent="0.2">
      <c r="L8930" s="43"/>
      <c r="M8930" s="43"/>
      <c r="N8930" s="43"/>
      <c r="O8930" s="43"/>
      <c r="Q8930" s="44"/>
      <c r="R8930" s="44"/>
      <c r="S8930" s="44"/>
      <c r="T8930" s="44"/>
    </row>
    <row r="8931" spans="12:20" x14ac:dyDescent="0.2">
      <c r="L8931" s="43"/>
      <c r="M8931" s="43"/>
      <c r="N8931" s="43"/>
      <c r="O8931" s="43"/>
      <c r="Q8931" s="44"/>
      <c r="R8931" s="44"/>
      <c r="S8931" s="44"/>
      <c r="T8931" s="44"/>
    </row>
    <row r="8932" spans="12:20" x14ac:dyDescent="0.2">
      <c r="L8932" s="43"/>
      <c r="M8932" s="43"/>
      <c r="N8932" s="43"/>
      <c r="O8932" s="43"/>
      <c r="Q8932" s="44"/>
      <c r="R8932" s="44"/>
      <c r="S8932" s="44"/>
      <c r="T8932" s="44"/>
    </row>
    <row r="8933" spans="12:20" x14ac:dyDescent="0.2">
      <c r="L8933" s="43"/>
      <c r="M8933" s="43"/>
      <c r="N8933" s="43"/>
      <c r="O8933" s="43"/>
      <c r="Q8933" s="44"/>
      <c r="R8933" s="44"/>
      <c r="S8933" s="44"/>
      <c r="T8933" s="44"/>
    </row>
    <row r="8934" spans="12:20" x14ac:dyDescent="0.2">
      <c r="L8934" s="43"/>
      <c r="M8934" s="43"/>
      <c r="N8934" s="43"/>
      <c r="O8934" s="43"/>
      <c r="Q8934" s="44"/>
      <c r="R8934" s="44"/>
      <c r="S8934" s="44"/>
      <c r="T8934" s="44"/>
    </row>
    <row r="8935" spans="12:20" x14ac:dyDescent="0.2">
      <c r="L8935" s="43"/>
      <c r="M8935" s="43"/>
      <c r="N8935" s="43"/>
      <c r="O8935" s="43"/>
      <c r="Q8935" s="44"/>
      <c r="R8935" s="44"/>
      <c r="S8935" s="44"/>
      <c r="T8935" s="44"/>
    </row>
    <row r="8936" spans="12:20" x14ac:dyDescent="0.2">
      <c r="L8936" s="43"/>
      <c r="M8936" s="43"/>
      <c r="N8936" s="43"/>
      <c r="O8936" s="43"/>
      <c r="Q8936" s="44"/>
      <c r="R8936" s="44"/>
      <c r="S8936" s="44"/>
      <c r="T8936" s="44"/>
    </row>
    <row r="8937" spans="12:20" x14ac:dyDescent="0.2">
      <c r="L8937" s="43"/>
      <c r="M8937" s="43"/>
      <c r="N8937" s="43"/>
      <c r="O8937" s="43"/>
      <c r="Q8937" s="44"/>
      <c r="R8937" s="44"/>
      <c r="S8937" s="44"/>
      <c r="T8937" s="44"/>
    </row>
    <row r="8938" spans="12:20" x14ac:dyDescent="0.2">
      <c r="L8938" s="43"/>
      <c r="M8938" s="43"/>
      <c r="N8938" s="43"/>
      <c r="O8938" s="43"/>
      <c r="Q8938" s="44"/>
      <c r="R8938" s="44"/>
      <c r="S8938" s="44"/>
      <c r="T8938" s="44"/>
    </row>
    <row r="8939" spans="12:20" x14ac:dyDescent="0.2">
      <c r="L8939" s="43"/>
      <c r="M8939" s="43"/>
      <c r="N8939" s="43"/>
      <c r="O8939" s="43"/>
      <c r="Q8939" s="44"/>
      <c r="R8939" s="44"/>
      <c r="S8939" s="44"/>
      <c r="T8939" s="44"/>
    </row>
    <row r="8940" spans="12:20" x14ac:dyDescent="0.2">
      <c r="L8940" s="43"/>
      <c r="M8940" s="43"/>
      <c r="N8940" s="43"/>
      <c r="O8940" s="43"/>
      <c r="Q8940" s="44"/>
      <c r="R8940" s="44"/>
      <c r="S8940" s="44"/>
      <c r="T8940" s="44"/>
    </row>
    <row r="8941" spans="12:20" x14ac:dyDescent="0.2">
      <c r="L8941" s="43"/>
      <c r="M8941" s="43"/>
      <c r="N8941" s="43"/>
      <c r="O8941" s="43"/>
      <c r="Q8941" s="44"/>
      <c r="R8941" s="44"/>
      <c r="S8941" s="44"/>
      <c r="T8941" s="44"/>
    </row>
    <row r="8942" spans="12:20" x14ac:dyDescent="0.2">
      <c r="L8942" s="43"/>
      <c r="M8942" s="43"/>
      <c r="N8942" s="43"/>
      <c r="O8942" s="43"/>
      <c r="Q8942" s="44"/>
      <c r="R8942" s="44"/>
      <c r="S8942" s="44"/>
      <c r="T8942" s="44"/>
    </row>
    <row r="8943" spans="12:20" x14ac:dyDescent="0.2">
      <c r="L8943" s="43"/>
      <c r="M8943" s="43"/>
      <c r="N8943" s="43"/>
      <c r="O8943" s="43"/>
      <c r="Q8943" s="44"/>
      <c r="R8943" s="44"/>
      <c r="S8943" s="44"/>
      <c r="T8943" s="44"/>
    </row>
    <row r="8944" spans="12:20" x14ac:dyDescent="0.2">
      <c r="L8944" s="43"/>
      <c r="M8944" s="43"/>
      <c r="N8944" s="43"/>
      <c r="O8944" s="43"/>
      <c r="Q8944" s="44"/>
      <c r="R8944" s="44"/>
      <c r="S8944" s="44"/>
      <c r="T8944" s="44"/>
    </row>
    <row r="8945" spans="12:20" x14ac:dyDescent="0.2">
      <c r="L8945" s="43"/>
      <c r="M8945" s="43"/>
      <c r="N8945" s="43"/>
      <c r="O8945" s="43"/>
      <c r="Q8945" s="44"/>
      <c r="R8945" s="44"/>
      <c r="S8945" s="44"/>
      <c r="T8945" s="44"/>
    </row>
    <row r="8946" spans="12:20" x14ac:dyDescent="0.2">
      <c r="L8946" s="43"/>
      <c r="M8946" s="43"/>
      <c r="N8946" s="43"/>
      <c r="O8946" s="43"/>
      <c r="Q8946" s="44"/>
      <c r="R8946" s="44"/>
      <c r="S8946" s="44"/>
      <c r="T8946" s="44"/>
    </row>
    <row r="8947" spans="12:20" x14ac:dyDescent="0.2">
      <c r="L8947" s="43"/>
      <c r="M8947" s="43"/>
      <c r="N8947" s="43"/>
      <c r="O8947" s="43"/>
      <c r="Q8947" s="44"/>
      <c r="R8947" s="44"/>
      <c r="S8947" s="44"/>
      <c r="T8947" s="44"/>
    </row>
    <row r="8948" spans="12:20" x14ac:dyDescent="0.2">
      <c r="L8948" s="43"/>
      <c r="M8948" s="43"/>
      <c r="N8948" s="43"/>
      <c r="O8948" s="43"/>
      <c r="Q8948" s="44"/>
      <c r="R8948" s="44"/>
      <c r="S8948" s="44"/>
      <c r="T8948" s="44"/>
    </row>
    <row r="8949" spans="12:20" x14ac:dyDescent="0.2">
      <c r="L8949" s="43"/>
      <c r="M8949" s="43"/>
      <c r="N8949" s="43"/>
      <c r="O8949" s="43"/>
      <c r="Q8949" s="44"/>
      <c r="R8949" s="44"/>
      <c r="S8949" s="44"/>
      <c r="T8949" s="44"/>
    </row>
    <row r="8950" spans="12:20" x14ac:dyDescent="0.2">
      <c r="L8950" s="43"/>
      <c r="M8950" s="43"/>
      <c r="N8950" s="43"/>
      <c r="O8950" s="43"/>
      <c r="Q8950" s="44"/>
      <c r="R8950" s="44"/>
      <c r="S8950" s="44"/>
      <c r="T8950" s="44"/>
    </row>
    <row r="8951" spans="12:20" x14ac:dyDescent="0.2">
      <c r="L8951" s="43"/>
      <c r="M8951" s="43"/>
      <c r="N8951" s="43"/>
      <c r="O8951" s="43"/>
      <c r="Q8951" s="44"/>
      <c r="R8951" s="44"/>
      <c r="S8951" s="44"/>
      <c r="T8951" s="44"/>
    </row>
    <row r="8952" spans="12:20" x14ac:dyDescent="0.2">
      <c r="L8952" s="43"/>
      <c r="M8952" s="43"/>
      <c r="N8952" s="43"/>
      <c r="O8952" s="43"/>
      <c r="Q8952" s="44"/>
      <c r="R8952" s="44"/>
      <c r="S8952" s="44"/>
      <c r="T8952" s="44"/>
    </row>
    <row r="8953" spans="12:20" x14ac:dyDescent="0.2">
      <c r="L8953" s="43"/>
      <c r="M8953" s="43"/>
      <c r="N8953" s="43"/>
      <c r="O8953" s="43"/>
      <c r="Q8953" s="44"/>
      <c r="R8953" s="44"/>
      <c r="S8953" s="44"/>
      <c r="T8953" s="44"/>
    </row>
    <row r="8954" spans="12:20" x14ac:dyDescent="0.2">
      <c r="L8954" s="43"/>
      <c r="M8954" s="43"/>
      <c r="N8954" s="43"/>
      <c r="O8954" s="43"/>
      <c r="Q8954" s="44"/>
      <c r="R8954" s="44"/>
      <c r="S8954" s="44"/>
      <c r="T8954" s="44"/>
    </row>
    <row r="8955" spans="12:20" x14ac:dyDescent="0.2">
      <c r="L8955" s="43"/>
      <c r="M8955" s="43"/>
      <c r="N8955" s="43"/>
      <c r="O8955" s="43"/>
      <c r="Q8955" s="44"/>
      <c r="R8955" s="44"/>
      <c r="S8955" s="44"/>
      <c r="T8955" s="44"/>
    </row>
    <row r="8956" spans="12:20" x14ac:dyDescent="0.2">
      <c r="L8956" s="43"/>
      <c r="M8956" s="43"/>
      <c r="N8956" s="43"/>
      <c r="O8956" s="43"/>
      <c r="Q8956" s="44"/>
      <c r="R8956" s="44"/>
      <c r="S8956" s="44"/>
      <c r="T8956" s="44"/>
    </row>
    <row r="8957" spans="12:20" x14ac:dyDescent="0.2">
      <c r="L8957" s="43"/>
      <c r="M8957" s="43"/>
      <c r="N8957" s="43"/>
      <c r="O8957" s="43"/>
      <c r="Q8957" s="44"/>
      <c r="R8957" s="44"/>
      <c r="S8957" s="44"/>
      <c r="T8957" s="44"/>
    </row>
    <row r="8958" spans="12:20" x14ac:dyDescent="0.2">
      <c r="L8958" s="43"/>
      <c r="M8958" s="43"/>
      <c r="N8958" s="43"/>
      <c r="O8958" s="43"/>
      <c r="Q8958" s="44"/>
      <c r="R8958" s="44"/>
      <c r="S8958" s="44"/>
      <c r="T8958" s="44"/>
    </row>
    <row r="8959" spans="12:20" x14ac:dyDescent="0.2">
      <c r="L8959" s="43"/>
      <c r="M8959" s="43"/>
      <c r="N8959" s="43"/>
      <c r="O8959" s="43"/>
      <c r="Q8959" s="44"/>
      <c r="R8959" s="44"/>
      <c r="S8959" s="44"/>
      <c r="T8959" s="44"/>
    </row>
    <row r="8960" spans="12:20" x14ac:dyDescent="0.2">
      <c r="L8960" s="43"/>
      <c r="M8960" s="43"/>
      <c r="N8960" s="43"/>
      <c r="O8960" s="43"/>
      <c r="Q8960" s="44"/>
      <c r="R8960" s="44"/>
      <c r="S8960" s="44"/>
      <c r="T8960" s="44"/>
    </row>
    <row r="8961" spans="12:20" x14ac:dyDescent="0.2">
      <c r="L8961" s="43"/>
      <c r="M8961" s="43"/>
      <c r="N8961" s="43"/>
      <c r="O8961" s="43"/>
      <c r="Q8961" s="44"/>
      <c r="R8961" s="44"/>
      <c r="S8961" s="44"/>
      <c r="T8961" s="44"/>
    </row>
    <row r="8962" spans="12:20" x14ac:dyDescent="0.2">
      <c r="L8962" s="43"/>
      <c r="M8962" s="43"/>
      <c r="N8962" s="43"/>
      <c r="O8962" s="43"/>
      <c r="Q8962" s="44"/>
      <c r="R8962" s="44"/>
      <c r="S8962" s="44"/>
      <c r="T8962" s="44"/>
    </row>
    <row r="8963" spans="12:20" x14ac:dyDescent="0.2">
      <c r="L8963" s="43"/>
      <c r="M8963" s="43"/>
      <c r="N8963" s="43"/>
      <c r="O8963" s="43"/>
      <c r="Q8963" s="44"/>
      <c r="R8963" s="44"/>
      <c r="S8963" s="44"/>
      <c r="T8963" s="44"/>
    </row>
    <row r="8964" spans="12:20" x14ac:dyDescent="0.2">
      <c r="L8964" s="43"/>
      <c r="M8964" s="43"/>
      <c r="N8964" s="43"/>
      <c r="O8964" s="43"/>
      <c r="Q8964" s="44"/>
      <c r="R8964" s="44"/>
      <c r="S8964" s="44"/>
      <c r="T8964" s="44"/>
    </row>
    <row r="8965" spans="12:20" x14ac:dyDescent="0.2">
      <c r="L8965" s="43"/>
      <c r="M8965" s="43"/>
      <c r="N8965" s="43"/>
      <c r="O8965" s="43"/>
      <c r="Q8965" s="44"/>
      <c r="R8965" s="44"/>
      <c r="S8965" s="44"/>
      <c r="T8965" s="44"/>
    </row>
    <row r="8966" spans="12:20" x14ac:dyDescent="0.2">
      <c r="L8966" s="43"/>
      <c r="M8966" s="43"/>
      <c r="N8966" s="43"/>
      <c r="O8966" s="43"/>
      <c r="Q8966" s="44"/>
      <c r="R8966" s="44"/>
      <c r="S8966" s="44"/>
      <c r="T8966" s="44"/>
    </row>
    <row r="8967" spans="12:20" x14ac:dyDescent="0.2">
      <c r="L8967" s="43"/>
      <c r="M8967" s="43"/>
      <c r="N8967" s="43"/>
      <c r="O8967" s="43"/>
      <c r="Q8967" s="44"/>
      <c r="R8967" s="44"/>
      <c r="S8967" s="44"/>
      <c r="T8967" s="44"/>
    </row>
    <row r="8968" spans="12:20" x14ac:dyDescent="0.2">
      <c r="L8968" s="43"/>
      <c r="M8968" s="43"/>
      <c r="N8968" s="43"/>
      <c r="O8968" s="43"/>
      <c r="Q8968" s="44"/>
      <c r="R8968" s="44"/>
      <c r="S8968" s="44"/>
      <c r="T8968" s="44"/>
    </row>
    <row r="8969" spans="12:20" x14ac:dyDescent="0.2">
      <c r="L8969" s="43"/>
      <c r="M8969" s="43"/>
      <c r="N8969" s="43"/>
      <c r="O8969" s="43"/>
      <c r="Q8969" s="44"/>
      <c r="R8969" s="44"/>
      <c r="S8969" s="44"/>
      <c r="T8969" s="44"/>
    </row>
    <row r="8970" spans="12:20" x14ac:dyDescent="0.2">
      <c r="L8970" s="43"/>
      <c r="M8970" s="43"/>
      <c r="N8970" s="43"/>
      <c r="O8970" s="43"/>
      <c r="Q8970" s="44"/>
      <c r="R8970" s="44"/>
      <c r="S8970" s="44"/>
      <c r="T8970" s="44"/>
    </row>
    <row r="8971" spans="12:20" x14ac:dyDescent="0.2">
      <c r="L8971" s="43"/>
      <c r="M8971" s="43"/>
      <c r="N8971" s="43"/>
      <c r="O8971" s="43"/>
      <c r="Q8971" s="44"/>
      <c r="R8971" s="44"/>
      <c r="S8971" s="44"/>
      <c r="T8971" s="44"/>
    </row>
    <row r="8972" spans="12:20" x14ac:dyDescent="0.2">
      <c r="L8972" s="43"/>
      <c r="M8972" s="43"/>
      <c r="N8972" s="43"/>
      <c r="O8972" s="43"/>
      <c r="Q8972" s="44"/>
      <c r="R8972" s="44"/>
      <c r="S8972" s="44"/>
      <c r="T8972" s="44"/>
    </row>
    <row r="8973" spans="12:20" x14ac:dyDescent="0.2">
      <c r="L8973" s="43"/>
      <c r="M8973" s="43"/>
      <c r="N8973" s="43"/>
      <c r="O8973" s="43"/>
      <c r="Q8973" s="44"/>
      <c r="R8973" s="44"/>
      <c r="S8973" s="44"/>
      <c r="T8973" s="44"/>
    </row>
    <row r="8974" spans="12:20" x14ac:dyDescent="0.2">
      <c r="L8974" s="43"/>
      <c r="M8974" s="43"/>
      <c r="N8974" s="43"/>
      <c r="O8974" s="43"/>
      <c r="Q8974" s="44"/>
      <c r="R8974" s="44"/>
      <c r="S8974" s="44"/>
      <c r="T8974" s="44"/>
    </row>
    <row r="8975" spans="12:20" x14ac:dyDescent="0.2">
      <c r="L8975" s="43"/>
      <c r="M8975" s="43"/>
      <c r="N8975" s="43"/>
      <c r="O8975" s="43"/>
      <c r="Q8975" s="44"/>
      <c r="R8975" s="44"/>
      <c r="S8975" s="44"/>
      <c r="T8975" s="44"/>
    </row>
    <row r="8976" spans="12:20" x14ac:dyDescent="0.2">
      <c r="L8976" s="43"/>
      <c r="M8976" s="43"/>
      <c r="N8976" s="43"/>
      <c r="O8976" s="43"/>
      <c r="Q8976" s="44"/>
      <c r="R8976" s="44"/>
      <c r="S8976" s="44"/>
      <c r="T8976" s="44"/>
    </row>
    <row r="8977" spans="12:20" x14ac:dyDescent="0.2">
      <c r="L8977" s="43"/>
      <c r="M8977" s="43"/>
      <c r="N8977" s="43"/>
      <c r="O8977" s="43"/>
      <c r="Q8977" s="44"/>
      <c r="R8977" s="44"/>
      <c r="S8977" s="44"/>
      <c r="T8977" s="44"/>
    </row>
    <row r="8978" spans="12:20" x14ac:dyDescent="0.2">
      <c r="L8978" s="43"/>
      <c r="M8978" s="43"/>
      <c r="N8978" s="43"/>
      <c r="O8978" s="43"/>
      <c r="Q8978" s="44"/>
      <c r="R8978" s="44"/>
      <c r="S8978" s="44"/>
      <c r="T8978" s="44"/>
    </row>
    <row r="8979" spans="12:20" x14ac:dyDescent="0.2">
      <c r="L8979" s="43"/>
      <c r="M8979" s="43"/>
      <c r="N8979" s="43"/>
      <c r="O8979" s="43"/>
      <c r="Q8979" s="44"/>
      <c r="R8979" s="44"/>
      <c r="S8979" s="44"/>
      <c r="T8979" s="44"/>
    </row>
    <row r="8980" spans="12:20" x14ac:dyDescent="0.2">
      <c r="L8980" s="43"/>
      <c r="M8980" s="43"/>
      <c r="N8980" s="43"/>
      <c r="O8980" s="43"/>
      <c r="Q8980" s="44"/>
      <c r="R8980" s="44"/>
      <c r="S8980" s="44"/>
      <c r="T8980" s="44"/>
    </row>
    <row r="8981" spans="12:20" x14ac:dyDescent="0.2">
      <c r="L8981" s="43"/>
      <c r="M8981" s="43"/>
      <c r="N8981" s="43"/>
      <c r="O8981" s="43"/>
      <c r="Q8981" s="44"/>
      <c r="R8981" s="44"/>
      <c r="S8981" s="44"/>
      <c r="T8981" s="44"/>
    </row>
    <row r="8982" spans="12:20" x14ac:dyDescent="0.2">
      <c r="L8982" s="43"/>
      <c r="M8982" s="43"/>
      <c r="N8982" s="43"/>
      <c r="O8982" s="43"/>
      <c r="Q8982" s="44"/>
      <c r="R8982" s="44"/>
      <c r="S8982" s="44"/>
      <c r="T8982" s="44"/>
    </row>
    <row r="8983" spans="12:20" x14ac:dyDescent="0.2">
      <c r="L8983" s="43"/>
      <c r="M8983" s="43"/>
      <c r="N8983" s="43"/>
      <c r="O8983" s="43"/>
      <c r="Q8983" s="44"/>
      <c r="R8983" s="44"/>
      <c r="S8983" s="44"/>
      <c r="T8983" s="44"/>
    </row>
    <row r="8984" spans="12:20" x14ac:dyDescent="0.2">
      <c r="L8984" s="43"/>
      <c r="M8984" s="43"/>
      <c r="N8984" s="43"/>
      <c r="O8984" s="43"/>
      <c r="Q8984" s="44"/>
      <c r="R8984" s="44"/>
      <c r="S8984" s="44"/>
      <c r="T8984" s="44"/>
    </row>
    <row r="8985" spans="12:20" x14ac:dyDescent="0.2">
      <c r="L8985" s="43"/>
      <c r="M8985" s="43"/>
      <c r="N8985" s="43"/>
      <c r="O8985" s="43"/>
      <c r="Q8985" s="44"/>
      <c r="R8985" s="44"/>
      <c r="S8985" s="44"/>
      <c r="T8985" s="44"/>
    </row>
    <row r="8986" spans="12:20" x14ac:dyDescent="0.2">
      <c r="L8986" s="43"/>
      <c r="M8986" s="43"/>
      <c r="N8986" s="43"/>
      <c r="O8986" s="43"/>
      <c r="Q8986" s="44"/>
      <c r="R8986" s="44"/>
      <c r="S8986" s="44"/>
      <c r="T8986" s="44"/>
    </row>
    <row r="8987" spans="12:20" x14ac:dyDescent="0.2">
      <c r="L8987" s="43"/>
      <c r="M8987" s="43"/>
      <c r="N8987" s="43"/>
      <c r="O8987" s="43"/>
      <c r="Q8987" s="44"/>
      <c r="R8987" s="44"/>
      <c r="S8987" s="44"/>
      <c r="T8987" s="44"/>
    </row>
    <row r="8988" spans="12:20" x14ac:dyDescent="0.2">
      <c r="L8988" s="43"/>
      <c r="M8988" s="43"/>
      <c r="N8988" s="43"/>
      <c r="O8988" s="43"/>
      <c r="Q8988" s="44"/>
      <c r="R8988" s="44"/>
      <c r="S8988" s="44"/>
      <c r="T8988" s="44"/>
    </row>
    <row r="8989" spans="12:20" x14ac:dyDescent="0.2">
      <c r="L8989" s="43"/>
      <c r="M8989" s="43"/>
      <c r="N8989" s="43"/>
      <c r="O8989" s="43"/>
      <c r="Q8989" s="44"/>
      <c r="R8989" s="44"/>
      <c r="S8989" s="44"/>
      <c r="T8989" s="44"/>
    </row>
    <row r="8990" spans="12:20" x14ac:dyDescent="0.2">
      <c r="L8990" s="43"/>
      <c r="M8990" s="43"/>
      <c r="N8990" s="43"/>
      <c r="O8990" s="43"/>
      <c r="Q8990" s="44"/>
      <c r="R8990" s="44"/>
      <c r="S8990" s="44"/>
      <c r="T8990" s="44"/>
    </row>
    <row r="8991" spans="12:20" x14ac:dyDescent="0.2">
      <c r="L8991" s="43"/>
      <c r="M8991" s="43"/>
      <c r="N8991" s="43"/>
      <c r="O8991" s="43"/>
      <c r="Q8991" s="44"/>
      <c r="R8991" s="44"/>
      <c r="S8991" s="44"/>
      <c r="T8991" s="44"/>
    </row>
    <row r="8992" spans="12:20" x14ac:dyDescent="0.2">
      <c r="L8992" s="43"/>
      <c r="M8992" s="43"/>
      <c r="N8992" s="43"/>
      <c r="O8992" s="43"/>
      <c r="Q8992" s="44"/>
      <c r="R8992" s="44"/>
      <c r="S8992" s="44"/>
      <c r="T8992" s="44"/>
    </row>
    <row r="8993" spans="12:20" x14ac:dyDescent="0.2">
      <c r="L8993" s="43"/>
      <c r="M8993" s="43"/>
      <c r="N8993" s="43"/>
      <c r="O8993" s="43"/>
      <c r="Q8993" s="44"/>
      <c r="R8993" s="44"/>
      <c r="S8993" s="44"/>
      <c r="T8993" s="44"/>
    </row>
    <row r="8994" spans="12:20" x14ac:dyDescent="0.2">
      <c r="L8994" s="43"/>
      <c r="M8994" s="43"/>
      <c r="N8994" s="43"/>
      <c r="O8994" s="43"/>
      <c r="Q8994" s="44"/>
      <c r="R8994" s="44"/>
      <c r="S8994" s="44"/>
      <c r="T8994" s="44"/>
    </row>
    <row r="8995" spans="12:20" x14ac:dyDescent="0.2">
      <c r="L8995" s="43"/>
      <c r="M8995" s="43"/>
      <c r="N8995" s="43"/>
      <c r="O8995" s="43"/>
      <c r="Q8995" s="44"/>
      <c r="R8995" s="44"/>
      <c r="S8995" s="44"/>
      <c r="T8995" s="44"/>
    </row>
    <row r="8996" spans="12:20" x14ac:dyDescent="0.2">
      <c r="L8996" s="43"/>
      <c r="M8996" s="43"/>
      <c r="N8996" s="43"/>
      <c r="O8996" s="43"/>
      <c r="Q8996" s="44"/>
      <c r="R8996" s="44"/>
      <c r="S8996" s="44"/>
      <c r="T8996" s="44"/>
    </row>
    <row r="8997" spans="12:20" x14ac:dyDescent="0.2">
      <c r="L8997" s="43"/>
      <c r="M8997" s="43"/>
      <c r="N8997" s="43"/>
      <c r="O8997" s="43"/>
      <c r="Q8997" s="44"/>
      <c r="R8997" s="44"/>
      <c r="S8997" s="44"/>
      <c r="T8997" s="44"/>
    </row>
    <row r="8998" spans="12:20" x14ac:dyDescent="0.2">
      <c r="L8998" s="43"/>
      <c r="M8998" s="43"/>
      <c r="N8998" s="43"/>
      <c r="O8998" s="43"/>
      <c r="Q8998" s="44"/>
      <c r="R8998" s="44"/>
      <c r="S8998" s="44"/>
      <c r="T8998" s="44"/>
    </row>
    <row r="8999" spans="12:20" x14ac:dyDescent="0.2">
      <c r="L8999" s="43"/>
      <c r="M8999" s="43"/>
      <c r="N8999" s="43"/>
      <c r="O8999" s="43"/>
      <c r="Q8999" s="44"/>
      <c r="R8999" s="44"/>
      <c r="S8999" s="44"/>
      <c r="T8999" s="44"/>
    </row>
    <row r="9000" spans="12:20" x14ac:dyDescent="0.2">
      <c r="L9000" s="43"/>
      <c r="M9000" s="43"/>
      <c r="N9000" s="43"/>
      <c r="O9000" s="43"/>
      <c r="Q9000" s="44"/>
      <c r="R9000" s="44"/>
      <c r="S9000" s="44"/>
      <c r="T9000" s="44"/>
    </row>
    <row r="9001" spans="12:20" x14ac:dyDescent="0.2">
      <c r="L9001" s="43"/>
      <c r="M9001" s="43"/>
      <c r="N9001" s="43"/>
      <c r="O9001" s="43"/>
      <c r="Q9001" s="44"/>
      <c r="R9001" s="44"/>
      <c r="S9001" s="44"/>
      <c r="T9001" s="44"/>
    </row>
    <row r="9002" spans="12:20" x14ac:dyDescent="0.2">
      <c r="L9002" s="43"/>
      <c r="M9002" s="43"/>
      <c r="N9002" s="43"/>
      <c r="O9002" s="43"/>
      <c r="Q9002" s="44"/>
      <c r="R9002" s="44"/>
      <c r="S9002" s="44"/>
      <c r="T9002" s="44"/>
    </row>
    <row r="9003" spans="12:20" x14ac:dyDescent="0.2">
      <c r="L9003" s="43"/>
      <c r="M9003" s="43"/>
      <c r="N9003" s="43"/>
      <c r="O9003" s="43"/>
      <c r="Q9003" s="44"/>
      <c r="R9003" s="44"/>
      <c r="S9003" s="44"/>
      <c r="T9003" s="44"/>
    </row>
    <row r="9004" spans="12:20" x14ac:dyDescent="0.2">
      <c r="L9004" s="43"/>
      <c r="M9004" s="43"/>
      <c r="N9004" s="43"/>
      <c r="O9004" s="43"/>
      <c r="Q9004" s="44"/>
      <c r="R9004" s="44"/>
      <c r="S9004" s="44"/>
      <c r="T9004" s="44"/>
    </row>
    <row r="9005" spans="12:20" x14ac:dyDescent="0.2">
      <c r="L9005" s="43"/>
      <c r="M9005" s="43"/>
      <c r="N9005" s="43"/>
      <c r="O9005" s="43"/>
      <c r="Q9005" s="44"/>
      <c r="R9005" s="44"/>
      <c r="S9005" s="44"/>
      <c r="T9005" s="44"/>
    </row>
    <row r="9006" spans="12:20" x14ac:dyDescent="0.2">
      <c r="L9006" s="43"/>
      <c r="M9006" s="43"/>
      <c r="N9006" s="43"/>
      <c r="O9006" s="43"/>
      <c r="Q9006" s="44"/>
      <c r="R9006" s="44"/>
      <c r="S9006" s="44"/>
      <c r="T9006" s="44"/>
    </row>
    <row r="9007" spans="12:20" x14ac:dyDescent="0.2">
      <c r="L9007" s="43"/>
      <c r="M9007" s="43"/>
      <c r="N9007" s="43"/>
      <c r="O9007" s="43"/>
      <c r="Q9007" s="44"/>
      <c r="R9007" s="44"/>
      <c r="S9007" s="44"/>
      <c r="T9007" s="44"/>
    </row>
    <row r="9008" spans="12:20" x14ac:dyDescent="0.2">
      <c r="L9008" s="43"/>
      <c r="M9008" s="43"/>
      <c r="N9008" s="43"/>
      <c r="O9008" s="43"/>
      <c r="Q9008" s="44"/>
      <c r="R9008" s="44"/>
      <c r="S9008" s="44"/>
      <c r="T9008" s="44"/>
    </row>
    <row r="9009" spans="12:20" x14ac:dyDescent="0.2">
      <c r="L9009" s="43"/>
      <c r="M9009" s="43"/>
      <c r="N9009" s="43"/>
      <c r="O9009" s="43"/>
      <c r="Q9009" s="44"/>
      <c r="R9009" s="44"/>
      <c r="S9009" s="44"/>
      <c r="T9009" s="44"/>
    </row>
    <row r="9010" spans="12:20" x14ac:dyDescent="0.2">
      <c r="L9010" s="43"/>
      <c r="M9010" s="43"/>
      <c r="N9010" s="43"/>
      <c r="O9010" s="43"/>
      <c r="Q9010" s="44"/>
      <c r="R9010" s="44"/>
      <c r="S9010" s="44"/>
      <c r="T9010" s="44"/>
    </row>
    <row r="9011" spans="12:20" x14ac:dyDescent="0.2">
      <c r="L9011" s="43"/>
      <c r="M9011" s="43"/>
      <c r="N9011" s="43"/>
      <c r="O9011" s="43"/>
      <c r="Q9011" s="44"/>
      <c r="R9011" s="44"/>
      <c r="S9011" s="44"/>
      <c r="T9011" s="44"/>
    </row>
    <row r="9012" spans="12:20" x14ac:dyDescent="0.2">
      <c r="L9012" s="43"/>
      <c r="M9012" s="43"/>
      <c r="N9012" s="43"/>
      <c r="O9012" s="43"/>
      <c r="Q9012" s="44"/>
      <c r="R9012" s="44"/>
      <c r="S9012" s="44"/>
      <c r="T9012" s="44"/>
    </row>
    <row r="9013" spans="12:20" x14ac:dyDescent="0.2">
      <c r="L9013" s="43"/>
      <c r="M9013" s="43"/>
      <c r="N9013" s="43"/>
      <c r="O9013" s="43"/>
      <c r="Q9013" s="44"/>
      <c r="R9013" s="44"/>
      <c r="S9013" s="44"/>
      <c r="T9013" s="44"/>
    </row>
    <row r="9014" spans="12:20" x14ac:dyDescent="0.2">
      <c r="L9014" s="43"/>
      <c r="M9014" s="43"/>
      <c r="N9014" s="43"/>
      <c r="O9014" s="43"/>
      <c r="Q9014" s="44"/>
      <c r="R9014" s="44"/>
      <c r="S9014" s="44"/>
      <c r="T9014" s="44"/>
    </row>
    <row r="9015" spans="12:20" x14ac:dyDescent="0.2">
      <c r="L9015" s="43"/>
      <c r="M9015" s="43"/>
      <c r="N9015" s="43"/>
      <c r="O9015" s="43"/>
      <c r="Q9015" s="44"/>
      <c r="R9015" s="44"/>
      <c r="S9015" s="44"/>
      <c r="T9015" s="44"/>
    </row>
    <row r="9016" spans="12:20" x14ac:dyDescent="0.2">
      <c r="L9016" s="43"/>
      <c r="M9016" s="43"/>
      <c r="N9016" s="43"/>
      <c r="O9016" s="43"/>
      <c r="Q9016" s="44"/>
      <c r="R9016" s="44"/>
      <c r="S9016" s="44"/>
      <c r="T9016" s="44"/>
    </row>
    <row r="9017" spans="12:20" x14ac:dyDescent="0.2">
      <c r="L9017" s="43"/>
      <c r="M9017" s="43"/>
      <c r="N9017" s="43"/>
      <c r="O9017" s="43"/>
      <c r="Q9017" s="44"/>
      <c r="R9017" s="44"/>
      <c r="S9017" s="44"/>
      <c r="T9017" s="44"/>
    </row>
    <row r="9018" spans="12:20" x14ac:dyDescent="0.2">
      <c r="L9018" s="43"/>
      <c r="M9018" s="43"/>
      <c r="N9018" s="43"/>
      <c r="O9018" s="43"/>
      <c r="Q9018" s="44"/>
      <c r="R9018" s="44"/>
      <c r="S9018" s="44"/>
      <c r="T9018" s="44"/>
    </row>
    <row r="9019" spans="12:20" x14ac:dyDescent="0.2">
      <c r="L9019" s="43"/>
      <c r="M9019" s="43"/>
      <c r="N9019" s="43"/>
      <c r="O9019" s="43"/>
      <c r="Q9019" s="44"/>
      <c r="R9019" s="44"/>
      <c r="S9019" s="44"/>
      <c r="T9019" s="44"/>
    </row>
    <row r="9020" spans="12:20" x14ac:dyDescent="0.2">
      <c r="L9020" s="43"/>
      <c r="M9020" s="43"/>
      <c r="N9020" s="43"/>
      <c r="O9020" s="43"/>
      <c r="Q9020" s="44"/>
      <c r="R9020" s="44"/>
      <c r="S9020" s="44"/>
      <c r="T9020" s="44"/>
    </row>
    <row r="9021" spans="12:20" x14ac:dyDescent="0.2">
      <c r="L9021" s="43"/>
      <c r="M9021" s="43"/>
      <c r="N9021" s="43"/>
      <c r="O9021" s="43"/>
      <c r="Q9021" s="44"/>
      <c r="R9021" s="44"/>
      <c r="S9021" s="44"/>
      <c r="T9021" s="44"/>
    </row>
    <row r="9022" spans="12:20" x14ac:dyDescent="0.2">
      <c r="L9022" s="43"/>
      <c r="M9022" s="43"/>
      <c r="N9022" s="43"/>
      <c r="O9022" s="43"/>
      <c r="Q9022" s="44"/>
      <c r="R9022" s="44"/>
      <c r="S9022" s="44"/>
      <c r="T9022" s="44"/>
    </row>
    <row r="9023" spans="12:20" x14ac:dyDescent="0.2">
      <c r="L9023" s="43"/>
      <c r="M9023" s="43"/>
      <c r="N9023" s="43"/>
      <c r="O9023" s="43"/>
      <c r="Q9023" s="44"/>
      <c r="R9023" s="44"/>
      <c r="S9023" s="44"/>
      <c r="T9023" s="44"/>
    </row>
    <row r="9024" spans="12:20" x14ac:dyDescent="0.2">
      <c r="L9024" s="43"/>
      <c r="M9024" s="43"/>
      <c r="N9024" s="43"/>
      <c r="O9024" s="43"/>
      <c r="Q9024" s="44"/>
      <c r="R9024" s="44"/>
      <c r="S9024" s="44"/>
      <c r="T9024" s="44"/>
    </row>
    <row r="9025" spans="12:20" x14ac:dyDescent="0.2">
      <c r="L9025" s="43"/>
      <c r="M9025" s="43"/>
      <c r="N9025" s="43"/>
      <c r="O9025" s="43"/>
      <c r="Q9025" s="44"/>
      <c r="R9025" s="44"/>
      <c r="S9025" s="44"/>
      <c r="T9025" s="44"/>
    </row>
    <row r="9026" spans="12:20" x14ac:dyDescent="0.2">
      <c r="L9026" s="43"/>
      <c r="M9026" s="43"/>
      <c r="N9026" s="43"/>
      <c r="O9026" s="43"/>
      <c r="Q9026" s="44"/>
      <c r="R9026" s="44"/>
      <c r="S9026" s="44"/>
      <c r="T9026" s="44"/>
    </row>
    <row r="9027" spans="12:20" x14ac:dyDescent="0.2">
      <c r="L9027" s="43"/>
      <c r="M9027" s="43"/>
      <c r="N9027" s="43"/>
      <c r="O9027" s="43"/>
      <c r="Q9027" s="44"/>
      <c r="R9027" s="44"/>
      <c r="S9027" s="44"/>
      <c r="T9027" s="44"/>
    </row>
    <row r="9028" spans="12:20" x14ac:dyDescent="0.2">
      <c r="L9028" s="43"/>
      <c r="M9028" s="43"/>
      <c r="N9028" s="43"/>
      <c r="O9028" s="43"/>
      <c r="Q9028" s="44"/>
      <c r="R9028" s="44"/>
      <c r="S9028" s="44"/>
      <c r="T9028" s="44"/>
    </row>
    <row r="9029" spans="12:20" x14ac:dyDescent="0.2">
      <c r="L9029" s="43"/>
      <c r="M9029" s="43"/>
      <c r="N9029" s="43"/>
      <c r="O9029" s="43"/>
      <c r="Q9029" s="44"/>
      <c r="R9029" s="44"/>
      <c r="S9029" s="44"/>
      <c r="T9029" s="44"/>
    </row>
    <row r="9030" spans="12:20" x14ac:dyDescent="0.2">
      <c r="L9030" s="43"/>
      <c r="M9030" s="43"/>
      <c r="N9030" s="43"/>
      <c r="O9030" s="43"/>
      <c r="Q9030" s="44"/>
      <c r="R9030" s="44"/>
      <c r="S9030" s="44"/>
      <c r="T9030" s="44"/>
    </row>
    <row r="9031" spans="12:20" x14ac:dyDescent="0.2">
      <c r="L9031" s="43"/>
      <c r="M9031" s="43"/>
      <c r="N9031" s="43"/>
      <c r="O9031" s="43"/>
      <c r="Q9031" s="44"/>
      <c r="R9031" s="44"/>
      <c r="S9031" s="44"/>
      <c r="T9031" s="44"/>
    </row>
    <row r="9032" spans="12:20" x14ac:dyDescent="0.2">
      <c r="L9032" s="43"/>
      <c r="M9032" s="43"/>
      <c r="N9032" s="43"/>
      <c r="O9032" s="43"/>
      <c r="Q9032" s="44"/>
      <c r="R9032" s="44"/>
      <c r="S9032" s="44"/>
      <c r="T9032" s="44"/>
    </row>
    <row r="9033" spans="12:20" x14ac:dyDescent="0.2">
      <c r="L9033" s="43"/>
      <c r="M9033" s="43"/>
      <c r="N9033" s="43"/>
      <c r="O9033" s="43"/>
      <c r="Q9033" s="44"/>
      <c r="R9033" s="44"/>
      <c r="S9033" s="44"/>
      <c r="T9033" s="44"/>
    </row>
    <row r="9034" spans="12:20" x14ac:dyDescent="0.2">
      <c r="L9034" s="43"/>
      <c r="M9034" s="43"/>
      <c r="N9034" s="43"/>
      <c r="O9034" s="43"/>
      <c r="Q9034" s="44"/>
      <c r="R9034" s="44"/>
      <c r="S9034" s="44"/>
      <c r="T9034" s="44"/>
    </row>
    <row r="9035" spans="12:20" x14ac:dyDescent="0.2">
      <c r="L9035" s="43"/>
      <c r="M9035" s="43"/>
      <c r="N9035" s="43"/>
      <c r="O9035" s="43"/>
      <c r="Q9035" s="44"/>
      <c r="R9035" s="44"/>
      <c r="S9035" s="44"/>
      <c r="T9035" s="44"/>
    </row>
    <row r="9036" spans="12:20" x14ac:dyDescent="0.2">
      <c r="L9036" s="43"/>
      <c r="M9036" s="43"/>
      <c r="N9036" s="43"/>
      <c r="O9036" s="43"/>
      <c r="Q9036" s="44"/>
      <c r="R9036" s="44"/>
      <c r="S9036" s="44"/>
      <c r="T9036" s="44"/>
    </row>
    <row r="9037" spans="12:20" x14ac:dyDescent="0.2">
      <c r="L9037" s="43"/>
      <c r="M9037" s="43"/>
      <c r="N9037" s="43"/>
      <c r="O9037" s="43"/>
      <c r="Q9037" s="44"/>
      <c r="R9037" s="44"/>
      <c r="S9037" s="44"/>
      <c r="T9037" s="44"/>
    </row>
    <row r="9038" spans="12:20" x14ac:dyDescent="0.2">
      <c r="L9038" s="43"/>
      <c r="M9038" s="43"/>
      <c r="N9038" s="43"/>
      <c r="O9038" s="43"/>
      <c r="Q9038" s="44"/>
      <c r="R9038" s="44"/>
      <c r="S9038" s="44"/>
      <c r="T9038" s="44"/>
    </row>
    <row r="9039" spans="12:20" x14ac:dyDescent="0.2">
      <c r="L9039" s="43"/>
      <c r="M9039" s="43"/>
      <c r="N9039" s="43"/>
      <c r="O9039" s="43"/>
      <c r="Q9039" s="44"/>
      <c r="R9039" s="44"/>
      <c r="S9039" s="44"/>
      <c r="T9039" s="44"/>
    </row>
    <row r="9040" spans="12:20" x14ac:dyDescent="0.2">
      <c r="L9040" s="43"/>
      <c r="M9040" s="43"/>
      <c r="N9040" s="43"/>
      <c r="O9040" s="43"/>
      <c r="Q9040" s="44"/>
      <c r="R9040" s="44"/>
      <c r="S9040" s="44"/>
      <c r="T9040" s="44"/>
    </row>
    <row r="9041" spans="12:20" x14ac:dyDescent="0.2">
      <c r="L9041" s="43"/>
      <c r="M9041" s="43"/>
      <c r="N9041" s="43"/>
      <c r="O9041" s="43"/>
      <c r="Q9041" s="44"/>
      <c r="R9041" s="44"/>
      <c r="S9041" s="44"/>
      <c r="T9041" s="44"/>
    </row>
    <row r="9042" spans="12:20" x14ac:dyDescent="0.2">
      <c r="L9042" s="43"/>
      <c r="M9042" s="43"/>
      <c r="N9042" s="43"/>
      <c r="O9042" s="43"/>
      <c r="Q9042" s="44"/>
      <c r="R9042" s="44"/>
      <c r="S9042" s="44"/>
      <c r="T9042" s="44"/>
    </row>
    <row r="9043" spans="12:20" x14ac:dyDescent="0.2">
      <c r="L9043" s="43"/>
      <c r="M9043" s="43"/>
      <c r="N9043" s="43"/>
      <c r="O9043" s="43"/>
      <c r="Q9043" s="44"/>
      <c r="R9043" s="44"/>
      <c r="S9043" s="44"/>
      <c r="T9043" s="44"/>
    </row>
    <row r="9044" spans="12:20" x14ac:dyDescent="0.2">
      <c r="L9044" s="43"/>
      <c r="M9044" s="43"/>
      <c r="N9044" s="43"/>
      <c r="O9044" s="43"/>
      <c r="Q9044" s="44"/>
      <c r="R9044" s="44"/>
      <c r="S9044" s="44"/>
      <c r="T9044" s="44"/>
    </row>
    <row r="9045" spans="12:20" x14ac:dyDescent="0.2">
      <c r="L9045" s="43"/>
      <c r="M9045" s="43"/>
      <c r="N9045" s="43"/>
      <c r="O9045" s="43"/>
      <c r="Q9045" s="44"/>
      <c r="R9045" s="44"/>
      <c r="S9045" s="44"/>
      <c r="T9045" s="44"/>
    </row>
    <row r="9046" spans="12:20" x14ac:dyDescent="0.2">
      <c r="L9046" s="43"/>
      <c r="M9046" s="43"/>
      <c r="N9046" s="43"/>
      <c r="O9046" s="43"/>
      <c r="Q9046" s="44"/>
      <c r="R9046" s="44"/>
      <c r="S9046" s="44"/>
      <c r="T9046" s="44"/>
    </row>
    <row r="9047" spans="12:20" x14ac:dyDescent="0.2">
      <c r="L9047" s="43"/>
      <c r="M9047" s="43"/>
      <c r="N9047" s="43"/>
      <c r="O9047" s="43"/>
      <c r="Q9047" s="44"/>
      <c r="R9047" s="44"/>
      <c r="S9047" s="44"/>
      <c r="T9047" s="44"/>
    </row>
    <row r="9048" spans="12:20" x14ac:dyDescent="0.2">
      <c r="L9048" s="43"/>
      <c r="M9048" s="43"/>
      <c r="N9048" s="43"/>
      <c r="O9048" s="43"/>
      <c r="Q9048" s="44"/>
      <c r="R9048" s="44"/>
      <c r="S9048" s="44"/>
      <c r="T9048" s="44"/>
    </row>
    <row r="9049" spans="12:20" x14ac:dyDescent="0.2">
      <c r="L9049" s="43"/>
      <c r="M9049" s="43"/>
      <c r="N9049" s="43"/>
      <c r="O9049" s="43"/>
      <c r="Q9049" s="44"/>
      <c r="R9049" s="44"/>
      <c r="S9049" s="44"/>
      <c r="T9049" s="44"/>
    </row>
    <row r="9050" spans="12:20" x14ac:dyDescent="0.2">
      <c r="L9050" s="43"/>
      <c r="M9050" s="43"/>
      <c r="N9050" s="43"/>
      <c r="O9050" s="43"/>
      <c r="Q9050" s="44"/>
      <c r="R9050" s="44"/>
      <c r="S9050" s="44"/>
      <c r="T9050" s="44"/>
    </row>
    <row r="9051" spans="12:20" x14ac:dyDescent="0.2">
      <c r="L9051" s="43"/>
      <c r="M9051" s="43"/>
      <c r="N9051" s="43"/>
      <c r="O9051" s="43"/>
      <c r="Q9051" s="44"/>
      <c r="R9051" s="44"/>
      <c r="S9051" s="44"/>
      <c r="T9051" s="44"/>
    </row>
    <row r="9052" spans="12:20" x14ac:dyDescent="0.2">
      <c r="L9052" s="43"/>
      <c r="M9052" s="43"/>
      <c r="N9052" s="43"/>
      <c r="O9052" s="43"/>
      <c r="Q9052" s="44"/>
      <c r="R9052" s="44"/>
      <c r="S9052" s="44"/>
      <c r="T9052" s="44"/>
    </row>
    <row r="9053" spans="12:20" x14ac:dyDescent="0.2">
      <c r="L9053" s="43"/>
      <c r="M9053" s="43"/>
      <c r="N9053" s="43"/>
      <c r="O9053" s="43"/>
      <c r="Q9053" s="44"/>
      <c r="R9053" s="44"/>
      <c r="S9053" s="44"/>
      <c r="T9053" s="44"/>
    </row>
    <row r="9054" spans="12:20" x14ac:dyDescent="0.2">
      <c r="L9054" s="43"/>
      <c r="M9054" s="43"/>
      <c r="N9054" s="43"/>
      <c r="O9054" s="43"/>
      <c r="Q9054" s="44"/>
      <c r="R9054" s="44"/>
      <c r="S9054" s="44"/>
      <c r="T9054" s="44"/>
    </row>
    <row r="9055" spans="12:20" x14ac:dyDescent="0.2">
      <c r="L9055" s="43"/>
      <c r="M9055" s="43"/>
      <c r="N9055" s="43"/>
      <c r="O9055" s="43"/>
      <c r="Q9055" s="44"/>
      <c r="R9055" s="44"/>
      <c r="S9055" s="44"/>
      <c r="T9055" s="44"/>
    </row>
    <row r="9056" spans="12:20" x14ac:dyDescent="0.2">
      <c r="L9056" s="43"/>
      <c r="M9056" s="43"/>
      <c r="N9056" s="43"/>
      <c r="O9056" s="43"/>
      <c r="Q9056" s="44"/>
      <c r="R9056" s="44"/>
      <c r="S9056" s="44"/>
      <c r="T9056" s="44"/>
    </row>
    <row r="9057" spans="12:20" x14ac:dyDescent="0.2">
      <c r="L9057" s="43"/>
      <c r="M9057" s="43"/>
      <c r="N9057" s="43"/>
      <c r="O9057" s="43"/>
      <c r="Q9057" s="44"/>
      <c r="R9057" s="44"/>
      <c r="S9057" s="44"/>
      <c r="T9057" s="44"/>
    </row>
    <row r="9058" spans="12:20" x14ac:dyDescent="0.2">
      <c r="L9058" s="43"/>
      <c r="M9058" s="43"/>
      <c r="N9058" s="43"/>
      <c r="O9058" s="43"/>
      <c r="Q9058" s="44"/>
      <c r="R9058" s="44"/>
      <c r="S9058" s="44"/>
      <c r="T9058" s="44"/>
    </row>
    <row r="9059" spans="12:20" x14ac:dyDescent="0.2">
      <c r="L9059" s="43"/>
      <c r="M9059" s="43"/>
      <c r="N9059" s="43"/>
      <c r="O9059" s="43"/>
      <c r="Q9059" s="44"/>
      <c r="R9059" s="44"/>
      <c r="S9059" s="44"/>
      <c r="T9059" s="44"/>
    </row>
    <row r="9060" spans="12:20" x14ac:dyDescent="0.2">
      <c r="L9060" s="43"/>
      <c r="M9060" s="43"/>
      <c r="N9060" s="43"/>
      <c r="O9060" s="43"/>
      <c r="Q9060" s="44"/>
      <c r="R9060" s="44"/>
      <c r="S9060" s="44"/>
      <c r="T9060" s="44"/>
    </row>
    <row r="9061" spans="12:20" x14ac:dyDescent="0.2">
      <c r="L9061" s="43"/>
      <c r="M9061" s="43"/>
      <c r="N9061" s="43"/>
      <c r="O9061" s="43"/>
      <c r="Q9061" s="44"/>
      <c r="R9061" s="44"/>
      <c r="S9061" s="44"/>
      <c r="T9061" s="44"/>
    </row>
    <row r="9062" spans="12:20" x14ac:dyDescent="0.2">
      <c r="L9062" s="43"/>
      <c r="M9062" s="43"/>
      <c r="N9062" s="43"/>
      <c r="O9062" s="43"/>
      <c r="Q9062" s="44"/>
      <c r="R9062" s="44"/>
      <c r="S9062" s="44"/>
      <c r="T9062" s="44"/>
    </row>
    <row r="9063" spans="12:20" x14ac:dyDescent="0.2">
      <c r="L9063" s="43"/>
      <c r="M9063" s="43"/>
      <c r="N9063" s="43"/>
      <c r="O9063" s="43"/>
      <c r="Q9063" s="44"/>
      <c r="R9063" s="44"/>
      <c r="S9063" s="44"/>
      <c r="T9063" s="44"/>
    </row>
    <row r="9064" spans="12:20" x14ac:dyDescent="0.2">
      <c r="L9064" s="43"/>
      <c r="M9064" s="43"/>
      <c r="N9064" s="43"/>
      <c r="O9064" s="43"/>
      <c r="Q9064" s="44"/>
      <c r="R9064" s="44"/>
      <c r="S9064" s="44"/>
      <c r="T9064" s="44"/>
    </row>
    <row r="9065" spans="12:20" x14ac:dyDescent="0.2">
      <c r="L9065" s="43"/>
      <c r="M9065" s="43"/>
      <c r="N9065" s="43"/>
      <c r="O9065" s="43"/>
      <c r="Q9065" s="44"/>
      <c r="R9065" s="44"/>
      <c r="S9065" s="44"/>
      <c r="T9065" s="44"/>
    </row>
    <row r="9066" spans="12:20" x14ac:dyDescent="0.2">
      <c r="L9066" s="43"/>
      <c r="M9066" s="43"/>
      <c r="N9066" s="43"/>
      <c r="O9066" s="43"/>
      <c r="Q9066" s="44"/>
      <c r="R9066" s="44"/>
      <c r="S9066" s="44"/>
      <c r="T9066" s="44"/>
    </row>
    <row r="9067" spans="12:20" x14ac:dyDescent="0.2">
      <c r="L9067" s="43"/>
      <c r="M9067" s="43"/>
      <c r="N9067" s="43"/>
      <c r="O9067" s="43"/>
      <c r="Q9067" s="44"/>
      <c r="R9067" s="44"/>
      <c r="S9067" s="44"/>
      <c r="T9067" s="44"/>
    </row>
    <row r="9068" spans="12:20" x14ac:dyDescent="0.2">
      <c r="L9068" s="43"/>
      <c r="M9068" s="43"/>
      <c r="N9068" s="43"/>
      <c r="O9068" s="43"/>
      <c r="Q9068" s="44"/>
      <c r="R9068" s="44"/>
      <c r="S9068" s="44"/>
      <c r="T9068" s="44"/>
    </row>
    <row r="9069" spans="12:20" x14ac:dyDescent="0.2">
      <c r="L9069" s="43"/>
      <c r="M9069" s="43"/>
      <c r="N9069" s="43"/>
      <c r="O9069" s="43"/>
      <c r="Q9069" s="44"/>
      <c r="R9069" s="44"/>
      <c r="S9069" s="44"/>
      <c r="T9069" s="44"/>
    </row>
    <row r="9070" spans="12:20" x14ac:dyDescent="0.2">
      <c r="L9070" s="43"/>
      <c r="M9070" s="43"/>
      <c r="N9070" s="43"/>
      <c r="O9070" s="43"/>
      <c r="Q9070" s="44"/>
      <c r="R9070" s="44"/>
      <c r="S9070" s="44"/>
      <c r="T9070" s="44"/>
    </row>
    <row r="9071" spans="12:20" x14ac:dyDescent="0.2">
      <c r="L9071" s="43"/>
      <c r="M9071" s="43"/>
      <c r="N9071" s="43"/>
      <c r="O9071" s="43"/>
      <c r="Q9071" s="44"/>
      <c r="R9071" s="44"/>
      <c r="S9071" s="44"/>
      <c r="T9071" s="44"/>
    </row>
    <row r="9072" spans="12:20" x14ac:dyDescent="0.2">
      <c r="L9072" s="43"/>
      <c r="M9072" s="43"/>
      <c r="N9072" s="43"/>
      <c r="O9072" s="43"/>
      <c r="Q9072" s="44"/>
      <c r="R9072" s="44"/>
      <c r="S9072" s="44"/>
      <c r="T9072" s="44"/>
    </row>
    <row r="9073" spans="12:20" x14ac:dyDescent="0.2">
      <c r="L9073" s="43"/>
      <c r="M9073" s="43"/>
      <c r="N9073" s="43"/>
      <c r="O9073" s="43"/>
      <c r="Q9073" s="44"/>
      <c r="R9073" s="44"/>
      <c r="S9073" s="44"/>
      <c r="T9073" s="44"/>
    </row>
    <row r="9074" spans="12:20" x14ac:dyDescent="0.2">
      <c r="L9074" s="43"/>
      <c r="M9074" s="43"/>
      <c r="N9074" s="43"/>
      <c r="O9074" s="43"/>
      <c r="Q9074" s="44"/>
      <c r="R9074" s="44"/>
      <c r="S9074" s="44"/>
      <c r="T9074" s="44"/>
    </row>
    <row r="9075" spans="12:20" x14ac:dyDescent="0.2">
      <c r="L9075" s="43"/>
      <c r="M9075" s="43"/>
      <c r="N9075" s="43"/>
      <c r="O9075" s="43"/>
      <c r="Q9075" s="44"/>
      <c r="R9075" s="44"/>
      <c r="S9075" s="44"/>
      <c r="T9075" s="44"/>
    </row>
    <row r="9076" spans="12:20" x14ac:dyDescent="0.2">
      <c r="L9076" s="43"/>
      <c r="M9076" s="43"/>
      <c r="N9076" s="43"/>
      <c r="O9076" s="43"/>
      <c r="Q9076" s="44"/>
      <c r="R9076" s="44"/>
      <c r="S9076" s="44"/>
      <c r="T9076" s="44"/>
    </row>
    <row r="9077" spans="12:20" x14ac:dyDescent="0.2">
      <c r="L9077" s="43"/>
      <c r="M9077" s="43"/>
      <c r="N9077" s="43"/>
      <c r="O9077" s="43"/>
      <c r="Q9077" s="44"/>
      <c r="R9077" s="44"/>
      <c r="S9077" s="44"/>
      <c r="T9077" s="44"/>
    </row>
    <row r="9078" spans="12:20" x14ac:dyDescent="0.2">
      <c r="L9078" s="43"/>
      <c r="M9078" s="43"/>
      <c r="N9078" s="43"/>
      <c r="O9078" s="43"/>
      <c r="Q9078" s="44"/>
      <c r="R9078" s="44"/>
      <c r="S9078" s="44"/>
      <c r="T9078" s="44"/>
    </row>
    <row r="9079" spans="12:20" x14ac:dyDescent="0.2">
      <c r="L9079" s="43"/>
      <c r="M9079" s="43"/>
      <c r="N9079" s="43"/>
      <c r="O9079" s="43"/>
      <c r="Q9079" s="44"/>
      <c r="R9079" s="44"/>
      <c r="S9079" s="44"/>
      <c r="T9079" s="44"/>
    </row>
    <row r="9080" spans="12:20" x14ac:dyDescent="0.2">
      <c r="L9080" s="43"/>
      <c r="M9080" s="43"/>
      <c r="N9080" s="43"/>
      <c r="O9080" s="43"/>
      <c r="Q9080" s="44"/>
      <c r="R9080" s="44"/>
      <c r="S9080" s="44"/>
      <c r="T9080" s="44"/>
    </row>
    <row r="9081" spans="12:20" x14ac:dyDescent="0.2">
      <c r="L9081" s="43"/>
      <c r="M9081" s="43"/>
      <c r="N9081" s="43"/>
      <c r="O9081" s="43"/>
      <c r="Q9081" s="44"/>
      <c r="R9081" s="44"/>
      <c r="S9081" s="44"/>
      <c r="T9081" s="44"/>
    </row>
    <row r="9082" spans="12:20" x14ac:dyDescent="0.2">
      <c r="L9082" s="43"/>
      <c r="M9082" s="43"/>
      <c r="N9082" s="43"/>
      <c r="O9082" s="43"/>
      <c r="Q9082" s="44"/>
      <c r="R9082" s="44"/>
      <c r="S9082" s="44"/>
      <c r="T9082" s="44"/>
    </row>
    <row r="9083" spans="12:20" x14ac:dyDescent="0.2">
      <c r="L9083" s="43"/>
      <c r="M9083" s="43"/>
      <c r="N9083" s="43"/>
      <c r="O9083" s="43"/>
      <c r="Q9083" s="44"/>
      <c r="R9083" s="44"/>
      <c r="S9083" s="44"/>
      <c r="T9083" s="44"/>
    </row>
    <row r="9084" spans="12:20" x14ac:dyDescent="0.2">
      <c r="L9084" s="43"/>
      <c r="M9084" s="43"/>
      <c r="N9084" s="43"/>
      <c r="O9084" s="43"/>
      <c r="Q9084" s="44"/>
      <c r="R9084" s="44"/>
      <c r="S9084" s="44"/>
      <c r="T9084" s="44"/>
    </row>
    <row r="9085" spans="12:20" x14ac:dyDescent="0.2">
      <c r="L9085" s="43"/>
      <c r="M9085" s="43"/>
      <c r="N9085" s="43"/>
      <c r="O9085" s="43"/>
      <c r="Q9085" s="44"/>
      <c r="R9085" s="44"/>
      <c r="S9085" s="44"/>
      <c r="T9085" s="44"/>
    </row>
    <row r="9086" spans="12:20" x14ac:dyDescent="0.2">
      <c r="L9086" s="43"/>
      <c r="M9086" s="43"/>
      <c r="N9086" s="43"/>
      <c r="O9086" s="43"/>
      <c r="Q9086" s="44"/>
      <c r="R9086" s="44"/>
      <c r="S9086" s="44"/>
      <c r="T9086" s="44"/>
    </row>
    <row r="9087" spans="12:20" x14ac:dyDescent="0.2">
      <c r="L9087" s="43"/>
      <c r="M9087" s="43"/>
      <c r="N9087" s="43"/>
      <c r="O9087" s="43"/>
      <c r="Q9087" s="44"/>
      <c r="R9087" s="44"/>
      <c r="S9087" s="44"/>
      <c r="T9087" s="44"/>
    </row>
    <row r="9088" spans="12:20" x14ac:dyDescent="0.2">
      <c r="L9088" s="43"/>
      <c r="M9088" s="43"/>
      <c r="N9088" s="43"/>
      <c r="O9088" s="43"/>
      <c r="Q9088" s="44"/>
      <c r="R9088" s="44"/>
      <c r="S9088" s="44"/>
      <c r="T9088" s="44"/>
    </row>
    <row r="9089" spans="12:20" x14ac:dyDescent="0.2">
      <c r="L9089" s="43"/>
      <c r="M9089" s="43"/>
      <c r="N9089" s="43"/>
      <c r="O9089" s="43"/>
      <c r="Q9089" s="44"/>
      <c r="R9089" s="44"/>
      <c r="S9089" s="44"/>
      <c r="T9089" s="44"/>
    </row>
    <row r="9090" spans="12:20" x14ac:dyDescent="0.2">
      <c r="L9090" s="43"/>
      <c r="M9090" s="43"/>
      <c r="N9090" s="43"/>
      <c r="O9090" s="43"/>
      <c r="Q9090" s="44"/>
      <c r="R9090" s="44"/>
      <c r="S9090" s="44"/>
      <c r="T9090" s="44"/>
    </row>
    <row r="9091" spans="12:20" x14ac:dyDescent="0.2">
      <c r="L9091" s="43"/>
      <c r="M9091" s="43"/>
      <c r="N9091" s="43"/>
      <c r="O9091" s="43"/>
      <c r="Q9091" s="44"/>
      <c r="R9091" s="44"/>
      <c r="S9091" s="44"/>
      <c r="T9091" s="44"/>
    </row>
    <row r="9092" spans="12:20" x14ac:dyDescent="0.2">
      <c r="L9092" s="43"/>
      <c r="M9092" s="43"/>
      <c r="N9092" s="43"/>
      <c r="O9092" s="43"/>
      <c r="Q9092" s="44"/>
      <c r="R9092" s="44"/>
      <c r="S9092" s="44"/>
      <c r="T9092" s="44"/>
    </row>
    <row r="9093" spans="12:20" x14ac:dyDescent="0.2">
      <c r="L9093" s="43"/>
      <c r="M9093" s="43"/>
      <c r="N9093" s="43"/>
      <c r="O9093" s="43"/>
      <c r="Q9093" s="44"/>
      <c r="R9093" s="44"/>
      <c r="S9093" s="44"/>
      <c r="T9093" s="44"/>
    </row>
    <row r="9094" spans="12:20" x14ac:dyDescent="0.2">
      <c r="L9094" s="43"/>
      <c r="M9094" s="43"/>
      <c r="N9094" s="43"/>
      <c r="O9094" s="43"/>
      <c r="Q9094" s="44"/>
      <c r="R9094" s="44"/>
      <c r="S9094" s="44"/>
      <c r="T9094" s="44"/>
    </row>
    <row r="9095" spans="12:20" x14ac:dyDescent="0.2">
      <c r="L9095" s="43"/>
      <c r="M9095" s="43"/>
      <c r="N9095" s="43"/>
      <c r="O9095" s="43"/>
      <c r="Q9095" s="44"/>
      <c r="R9095" s="44"/>
      <c r="S9095" s="44"/>
      <c r="T9095" s="44"/>
    </row>
    <row r="9096" spans="12:20" x14ac:dyDescent="0.2">
      <c r="L9096" s="43"/>
      <c r="M9096" s="43"/>
      <c r="N9096" s="43"/>
      <c r="O9096" s="43"/>
      <c r="Q9096" s="44"/>
      <c r="R9096" s="44"/>
      <c r="S9096" s="44"/>
      <c r="T9096" s="44"/>
    </row>
    <row r="9097" spans="12:20" x14ac:dyDescent="0.2">
      <c r="L9097" s="43"/>
      <c r="M9097" s="43"/>
      <c r="N9097" s="43"/>
      <c r="O9097" s="43"/>
      <c r="Q9097" s="44"/>
      <c r="R9097" s="44"/>
      <c r="S9097" s="44"/>
      <c r="T9097" s="44"/>
    </row>
    <row r="9098" spans="12:20" x14ac:dyDescent="0.2">
      <c r="L9098" s="43"/>
      <c r="M9098" s="43"/>
      <c r="N9098" s="43"/>
      <c r="O9098" s="43"/>
      <c r="Q9098" s="44"/>
      <c r="R9098" s="44"/>
      <c r="S9098" s="44"/>
      <c r="T9098" s="44"/>
    </row>
    <row r="9099" spans="12:20" x14ac:dyDescent="0.2">
      <c r="L9099" s="43"/>
      <c r="M9099" s="43"/>
      <c r="N9099" s="43"/>
      <c r="O9099" s="43"/>
      <c r="Q9099" s="44"/>
      <c r="R9099" s="44"/>
      <c r="S9099" s="44"/>
      <c r="T9099" s="44"/>
    </row>
    <row r="9100" spans="12:20" x14ac:dyDescent="0.2">
      <c r="L9100" s="43"/>
      <c r="M9100" s="43"/>
      <c r="N9100" s="43"/>
      <c r="O9100" s="43"/>
      <c r="Q9100" s="44"/>
      <c r="R9100" s="44"/>
      <c r="S9100" s="44"/>
      <c r="T9100" s="44"/>
    </row>
    <row r="9101" spans="12:20" x14ac:dyDescent="0.2">
      <c r="L9101" s="43"/>
      <c r="M9101" s="43"/>
      <c r="N9101" s="43"/>
      <c r="O9101" s="43"/>
      <c r="Q9101" s="44"/>
      <c r="R9101" s="44"/>
      <c r="S9101" s="44"/>
      <c r="T9101" s="44"/>
    </row>
    <row r="9102" spans="12:20" x14ac:dyDescent="0.2">
      <c r="L9102" s="43"/>
      <c r="M9102" s="43"/>
      <c r="N9102" s="43"/>
      <c r="O9102" s="43"/>
      <c r="Q9102" s="44"/>
      <c r="R9102" s="44"/>
      <c r="S9102" s="44"/>
      <c r="T9102" s="44"/>
    </row>
    <row r="9103" spans="12:20" x14ac:dyDescent="0.2">
      <c r="L9103" s="43"/>
      <c r="M9103" s="43"/>
      <c r="N9103" s="43"/>
      <c r="O9103" s="43"/>
      <c r="Q9103" s="44"/>
      <c r="R9103" s="44"/>
      <c r="S9103" s="44"/>
      <c r="T9103" s="44"/>
    </row>
    <row r="9104" spans="12:20" x14ac:dyDescent="0.2">
      <c r="L9104" s="43"/>
      <c r="M9104" s="43"/>
      <c r="N9104" s="43"/>
      <c r="O9104" s="43"/>
      <c r="Q9104" s="44"/>
      <c r="R9104" s="44"/>
      <c r="S9104" s="44"/>
      <c r="T9104" s="44"/>
    </row>
    <row r="9105" spans="12:20" x14ac:dyDescent="0.2">
      <c r="L9105" s="43"/>
      <c r="M9105" s="43"/>
      <c r="N9105" s="43"/>
      <c r="O9105" s="43"/>
      <c r="Q9105" s="44"/>
      <c r="R9105" s="44"/>
      <c r="S9105" s="44"/>
      <c r="T9105" s="44"/>
    </row>
    <row r="9106" spans="12:20" x14ac:dyDescent="0.2">
      <c r="L9106" s="43"/>
      <c r="M9106" s="43"/>
      <c r="N9106" s="43"/>
      <c r="O9106" s="43"/>
      <c r="Q9106" s="44"/>
      <c r="R9106" s="44"/>
      <c r="S9106" s="44"/>
      <c r="T9106" s="44"/>
    </row>
    <row r="9107" spans="12:20" x14ac:dyDescent="0.2">
      <c r="L9107" s="43"/>
      <c r="M9107" s="43"/>
      <c r="N9107" s="43"/>
      <c r="O9107" s="43"/>
      <c r="Q9107" s="44"/>
      <c r="R9107" s="44"/>
      <c r="S9107" s="44"/>
      <c r="T9107" s="44"/>
    </row>
    <row r="9108" spans="12:20" x14ac:dyDescent="0.2">
      <c r="L9108" s="43"/>
      <c r="M9108" s="43"/>
      <c r="N9108" s="43"/>
      <c r="O9108" s="43"/>
      <c r="Q9108" s="44"/>
      <c r="R9108" s="44"/>
      <c r="S9108" s="44"/>
      <c r="T9108" s="44"/>
    </row>
    <row r="9109" spans="12:20" x14ac:dyDescent="0.2">
      <c r="L9109" s="43"/>
      <c r="M9109" s="43"/>
      <c r="N9109" s="43"/>
      <c r="O9109" s="43"/>
      <c r="Q9109" s="44"/>
      <c r="R9109" s="44"/>
      <c r="S9109" s="44"/>
      <c r="T9109" s="44"/>
    </row>
    <row r="9110" spans="12:20" x14ac:dyDescent="0.2">
      <c r="L9110" s="43"/>
      <c r="M9110" s="43"/>
      <c r="N9110" s="43"/>
      <c r="O9110" s="43"/>
      <c r="Q9110" s="44"/>
      <c r="R9110" s="44"/>
      <c r="S9110" s="44"/>
      <c r="T9110" s="44"/>
    </row>
    <row r="9111" spans="12:20" x14ac:dyDescent="0.2">
      <c r="L9111" s="43"/>
      <c r="M9111" s="43"/>
      <c r="N9111" s="43"/>
      <c r="O9111" s="43"/>
      <c r="Q9111" s="44"/>
      <c r="R9111" s="44"/>
      <c r="S9111" s="44"/>
      <c r="T9111" s="44"/>
    </row>
    <row r="9112" spans="12:20" x14ac:dyDescent="0.2">
      <c r="L9112" s="43"/>
      <c r="M9112" s="43"/>
      <c r="N9112" s="43"/>
      <c r="O9112" s="43"/>
      <c r="Q9112" s="44"/>
      <c r="R9112" s="44"/>
      <c r="S9112" s="44"/>
      <c r="T9112" s="44"/>
    </row>
    <row r="9113" spans="12:20" x14ac:dyDescent="0.2">
      <c r="L9113" s="43"/>
      <c r="M9113" s="43"/>
      <c r="N9113" s="43"/>
      <c r="O9113" s="43"/>
      <c r="Q9113" s="44"/>
      <c r="R9113" s="44"/>
      <c r="S9113" s="44"/>
      <c r="T9113" s="44"/>
    </row>
    <row r="9114" spans="12:20" x14ac:dyDescent="0.2">
      <c r="L9114" s="43"/>
      <c r="M9114" s="43"/>
      <c r="N9114" s="43"/>
      <c r="O9114" s="43"/>
      <c r="Q9114" s="44"/>
      <c r="R9114" s="44"/>
      <c r="S9114" s="44"/>
      <c r="T9114" s="44"/>
    </row>
    <row r="9115" spans="12:20" x14ac:dyDescent="0.2">
      <c r="L9115" s="43"/>
      <c r="M9115" s="43"/>
      <c r="N9115" s="43"/>
      <c r="O9115" s="43"/>
      <c r="Q9115" s="44"/>
      <c r="R9115" s="44"/>
      <c r="S9115" s="44"/>
      <c r="T9115" s="44"/>
    </row>
    <row r="9116" spans="12:20" x14ac:dyDescent="0.2">
      <c r="L9116" s="43"/>
      <c r="M9116" s="43"/>
      <c r="N9116" s="43"/>
      <c r="O9116" s="43"/>
      <c r="Q9116" s="44"/>
      <c r="R9116" s="44"/>
      <c r="S9116" s="44"/>
      <c r="T9116" s="44"/>
    </row>
    <row r="9117" spans="12:20" x14ac:dyDescent="0.2">
      <c r="L9117" s="43"/>
      <c r="M9117" s="43"/>
      <c r="N9117" s="43"/>
      <c r="O9117" s="43"/>
      <c r="Q9117" s="44"/>
      <c r="R9117" s="44"/>
      <c r="S9117" s="44"/>
      <c r="T9117" s="44"/>
    </row>
    <row r="9118" spans="12:20" x14ac:dyDescent="0.2">
      <c r="L9118" s="43"/>
      <c r="M9118" s="43"/>
      <c r="N9118" s="43"/>
      <c r="O9118" s="43"/>
      <c r="Q9118" s="44"/>
      <c r="R9118" s="44"/>
      <c r="S9118" s="44"/>
      <c r="T9118" s="44"/>
    </row>
    <row r="9119" spans="12:20" x14ac:dyDescent="0.2">
      <c r="L9119" s="43"/>
      <c r="M9119" s="43"/>
      <c r="N9119" s="43"/>
      <c r="O9119" s="43"/>
      <c r="Q9119" s="44"/>
      <c r="R9119" s="44"/>
      <c r="S9119" s="44"/>
      <c r="T9119" s="44"/>
    </row>
    <row r="9120" spans="12:20" x14ac:dyDescent="0.2">
      <c r="L9120" s="43"/>
      <c r="M9120" s="43"/>
      <c r="N9120" s="43"/>
      <c r="O9120" s="43"/>
      <c r="Q9120" s="44"/>
      <c r="R9120" s="44"/>
      <c r="S9120" s="44"/>
      <c r="T9120" s="44"/>
    </row>
    <row r="9121" spans="12:20" x14ac:dyDescent="0.2">
      <c r="L9121" s="43"/>
      <c r="M9121" s="43"/>
      <c r="N9121" s="43"/>
      <c r="O9121" s="43"/>
      <c r="Q9121" s="44"/>
      <c r="R9121" s="44"/>
      <c r="S9121" s="44"/>
      <c r="T9121" s="44"/>
    </row>
    <row r="9122" spans="12:20" x14ac:dyDescent="0.2">
      <c r="L9122" s="43"/>
      <c r="M9122" s="43"/>
      <c r="N9122" s="43"/>
      <c r="O9122" s="43"/>
      <c r="Q9122" s="44"/>
      <c r="R9122" s="44"/>
      <c r="S9122" s="44"/>
      <c r="T9122" s="44"/>
    </row>
    <row r="9123" spans="12:20" x14ac:dyDescent="0.2">
      <c r="L9123" s="43"/>
      <c r="M9123" s="43"/>
      <c r="N9123" s="43"/>
      <c r="O9123" s="43"/>
      <c r="Q9123" s="44"/>
      <c r="R9123" s="44"/>
      <c r="S9123" s="44"/>
      <c r="T9123" s="44"/>
    </row>
    <row r="9124" spans="12:20" x14ac:dyDescent="0.2">
      <c r="L9124" s="43"/>
      <c r="M9124" s="43"/>
      <c r="N9124" s="43"/>
      <c r="O9124" s="43"/>
      <c r="Q9124" s="44"/>
      <c r="R9124" s="44"/>
      <c r="S9124" s="44"/>
      <c r="T9124" s="44"/>
    </row>
    <row r="9125" spans="12:20" x14ac:dyDescent="0.2">
      <c r="L9125" s="43"/>
      <c r="M9125" s="43"/>
      <c r="N9125" s="43"/>
      <c r="O9125" s="43"/>
      <c r="Q9125" s="44"/>
      <c r="R9125" s="44"/>
      <c r="S9125" s="44"/>
      <c r="T9125" s="44"/>
    </row>
    <row r="9126" spans="12:20" x14ac:dyDescent="0.2">
      <c r="L9126" s="43"/>
      <c r="M9126" s="43"/>
      <c r="N9126" s="43"/>
      <c r="O9126" s="43"/>
      <c r="Q9126" s="44"/>
      <c r="R9126" s="44"/>
      <c r="S9126" s="44"/>
      <c r="T9126" s="44"/>
    </row>
    <row r="9127" spans="12:20" x14ac:dyDescent="0.2">
      <c r="L9127" s="43"/>
      <c r="M9127" s="43"/>
      <c r="N9127" s="43"/>
      <c r="O9127" s="43"/>
      <c r="Q9127" s="44"/>
      <c r="R9127" s="44"/>
      <c r="S9127" s="44"/>
      <c r="T9127" s="44"/>
    </row>
    <row r="9128" spans="12:20" x14ac:dyDescent="0.2">
      <c r="L9128" s="43"/>
      <c r="M9128" s="43"/>
      <c r="N9128" s="43"/>
      <c r="O9128" s="43"/>
      <c r="Q9128" s="44"/>
      <c r="R9128" s="44"/>
      <c r="S9128" s="44"/>
      <c r="T9128" s="44"/>
    </row>
    <row r="9129" spans="12:20" x14ac:dyDescent="0.2">
      <c r="L9129" s="43"/>
      <c r="M9129" s="43"/>
      <c r="N9129" s="43"/>
      <c r="O9129" s="43"/>
      <c r="Q9129" s="44"/>
      <c r="R9129" s="44"/>
      <c r="S9129" s="44"/>
      <c r="T9129" s="44"/>
    </row>
    <row r="9130" spans="12:20" x14ac:dyDescent="0.2">
      <c r="L9130" s="43"/>
      <c r="M9130" s="43"/>
      <c r="N9130" s="43"/>
      <c r="O9130" s="43"/>
      <c r="Q9130" s="44"/>
      <c r="R9130" s="44"/>
      <c r="S9130" s="44"/>
      <c r="T9130" s="44"/>
    </row>
    <row r="9131" spans="12:20" x14ac:dyDescent="0.2">
      <c r="L9131" s="43"/>
      <c r="M9131" s="43"/>
      <c r="N9131" s="43"/>
      <c r="O9131" s="43"/>
      <c r="Q9131" s="44"/>
      <c r="R9131" s="44"/>
      <c r="S9131" s="44"/>
      <c r="T9131" s="44"/>
    </row>
    <row r="9132" spans="12:20" x14ac:dyDescent="0.2">
      <c r="L9132" s="43"/>
      <c r="M9132" s="43"/>
      <c r="N9132" s="43"/>
      <c r="O9132" s="43"/>
      <c r="Q9132" s="44"/>
      <c r="R9132" s="44"/>
      <c r="S9132" s="44"/>
      <c r="T9132" s="44"/>
    </row>
    <row r="9133" spans="12:20" x14ac:dyDescent="0.2">
      <c r="L9133" s="43"/>
      <c r="M9133" s="43"/>
      <c r="N9133" s="43"/>
      <c r="O9133" s="43"/>
      <c r="Q9133" s="44"/>
      <c r="R9133" s="44"/>
      <c r="S9133" s="44"/>
      <c r="T9133" s="44"/>
    </row>
    <row r="9134" spans="12:20" x14ac:dyDescent="0.2">
      <c r="L9134" s="43"/>
      <c r="M9134" s="43"/>
      <c r="N9134" s="43"/>
      <c r="O9134" s="43"/>
      <c r="Q9134" s="44"/>
      <c r="R9134" s="44"/>
      <c r="S9134" s="44"/>
      <c r="T9134" s="44"/>
    </row>
    <row r="9135" spans="12:20" x14ac:dyDescent="0.2">
      <c r="L9135" s="43"/>
      <c r="M9135" s="43"/>
      <c r="N9135" s="43"/>
      <c r="O9135" s="43"/>
      <c r="Q9135" s="44"/>
      <c r="R9135" s="44"/>
      <c r="S9135" s="44"/>
      <c r="T9135" s="44"/>
    </row>
    <row r="9136" spans="12:20" x14ac:dyDescent="0.2">
      <c r="L9136" s="43"/>
      <c r="M9136" s="43"/>
      <c r="N9136" s="43"/>
      <c r="O9136" s="43"/>
      <c r="Q9136" s="44"/>
      <c r="R9136" s="44"/>
      <c r="S9136" s="44"/>
      <c r="T9136" s="44"/>
    </row>
    <row r="9137" spans="12:20" x14ac:dyDescent="0.2">
      <c r="L9137" s="43"/>
      <c r="M9137" s="43"/>
      <c r="N9137" s="43"/>
      <c r="O9137" s="43"/>
      <c r="Q9137" s="44"/>
      <c r="R9137" s="44"/>
      <c r="S9137" s="44"/>
      <c r="T9137" s="44"/>
    </row>
    <row r="9138" spans="12:20" x14ac:dyDescent="0.2">
      <c r="L9138" s="43"/>
      <c r="M9138" s="43"/>
      <c r="N9138" s="43"/>
      <c r="O9138" s="43"/>
      <c r="Q9138" s="44"/>
      <c r="R9138" s="44"/>
      <c r="S9138" s="44"/>
      <c r="T9138" s="44"/>
    </row>
    <row r="9139" spans="12:20" x14ac:dyDescent="0.2">
      <c r="L9139" s="43"/>
      <c r="M9139" s="43"/>
      <c r="N9139" s="43"/>
      <c r="O9139" s="43"/>
      <c r="Q9139" s="44"/>
      <c r="R9139" s="44"/>
      <c r="S9139" s="44"/>
      <c r="T9139" s="44"/>
    </row>
    <row r="9140" spans="12:20" x14ac:dyDescent="0.2">
      <c r="L9140" s="43"/>
      <c r="M9140" s="43"/>
      <c r="N9140" s="43"/>
      <c r="O9140" s="43"/>
      <c r="Q9140" s="44"/>
      <c r="R9140" s="44"/>
      <c r="S9140" s="44"/>
      <c r="T9140" s="44"/>
    </row>
    <row r="9141" spans="12:20" x14ac:dyDescent="0.2">
      <c r="L9141" s="43"/>
      <c r="M9141" s="43"/>
      <c r="N9141" s="43"/>
      <c r="O9141" s="43"/>
      <c r="Q9141" s="44"/>
      <c r="R9141" s="44"/>
      <c r="S9141" s="44"/>
      <c r="T9141" s="44"/>
    </row>
    <row r="9142" spans="12:20" x14ac:dyDescent="0.2">
      <c r="L9142" s="43"/>
      <c r="M9142" s="43"/>
      <c r="N9142" s="43"/>
      <c r="O9142" s="43"/>
      <c r="Q9142" s="44"/>
      <c r="R9142" s="44"/>
      <c r="S9142" s="44"/>
      <c r="T9142" s="44"/>
    </row>
    <row r="9143" spans="12:20" x14ac:dyDescent="0.2">
      <c r="L9143" s="43"/>
      <c r="M9143" s="43"/>
      <c r="N9143" s="43"/>
      <c r="O9143" s="43"/>
      <c r="Q9143" s="44"/>
      <c r="R9143" s="44"/>
      <c r="S9143" s="44"/>
      <c r="T9143" s="44"/>
    </row>
    <row r="9144" spans="12:20" x14ac:dyDescent="0.2">
      <c r="L9144" s="43"/>
      <c r="M9144" s="43"/>
      <c r="N9144" s="43"/>
      <c r="O9144" s="43"/>
      <c r="Q9144" s="44"/>
      <c r="R9144" s="44"/>
      <c r="S9144" s="44"/>
      <c r="T9144" s="44"/>
    </row>
    <row r="9145" spans="12:20" x14ac:dyDescent="0.2">
      <c r="L9145" s="43"/>
      <c r="M9145" s="43"/>
      <c r="N9145" s="43"/>
      <c r="O9145" s="43"/>
      <c r="Q9145" s="44"/>
      <c r="R9145" s="44"/>
      <c r="S9145" s="44"/>
      <c r="T9145" s="44"/>
    </row>
    <row r="9146" spans="12:20" x14ac:dyDescent="0.2">
      <c r="L9146" s="43"/>
      <c r="M9146" s="43"/>
      <c r="N9146" s="43"/>
      <c r="O9146" s="43"/>
      <c r="Q9146" s="44"/>
      <c r="R9146" s="44"/>
      <c r="S9146" s="44"/>
      <c r="T9146" s="44"/>
    </row>
    <row r="9147" spans="12:20" x14ac:dyDescent="0.2">
      <c r="L9147" s="43"/>
      <c r="M9147" s="43"/>
      <c r="N9147" s="43"/>
      <c r="O9147" s="43"/>
      <c r="Q9147" s="44"/>
      <c r="R9147" s="44"/>
      <c r="S9147" s="44"/>
      <c r="T9147" s="44"/>
    </row>
    <row r="9148" spans="12:20" x14ac:dyDescent="0.2">
      <c r="L9148" s="43"/>
      <c r="M9148" s="43"/>
      <c r="N9148" s="43"/>
      <c r="O9148" s="43"/>
      <c r="Q9148" s="44"/>
      <c r="R9148" s="44"/>
      <c r="S9148" s="44"/>
      <c r="T9148" s="44"/>
    </row>
    <row r="9149" spans="12:20" x14ac:dyDescent="0.2">
      <c r="L9149" s="43"/>
      <c r="M9149" s="43"/>
      <c r="N9149" s="43"/>
      <c r="O9149" s="43"/>
      <c r="Q9149" s="44"/>
      <c r="R9149" s="44"/>
      <c r="S9149" s="44"/>
      <c r="T9149" s="44"/>
    </row>
    <row r="9150" spans="12:20" x14ac:dyDescent="0.2">
      <c r="L9150" s="43"/>
      <c r="M9150" s="43"/>
      <c r="N9150" s="43"/>
      <c r="O9150" s="43"/>
      <c r="Q9150" s="44"/>
      <c r="R9150" s="44"/>
      <c r="S9150" s="44"/>
      <c r="T9150" s="44"/>
    </row>
    <row r="9151" spans="12:20" x14ac:dyDescent="0.2">
      <c r="L9151" s="43"/>
      <c r="M9151" s="43"/>
      <c r="N9151" s="43"/>
      <c r="O9151" s="43"/>
      <c r="Q9151" s="44"/>
      <c r="R9151" s="44"/>
      <c r="S9151" s="44"/>
      <c r="T9151" s="44"/>
    </row>
    <row r="9152" spans="12:20" x14ac:dyDescent="0.2">
      <c r="L9152" s="43"/>
      <c r="M9152" s="43"/>
      <c r="N9152" s="43"/>
      <c r="O9152" s="43"/>
      <c r="Q9152" s="44"/>
      <c r="R9152" s="44"/>
      <c r="S9152" s="44"/>
      <c r="T9152" s="44"/>
    </row>
    <row r="9153" spans="12:20" x14ac:dyDescent="0.2">
      <c r="L9153" s="43"/>
      <c r="M9153" s="43"/>
      <c r="N9153" s="43"/>
      <c r="O9153" s="43"/>
      <c r="Q9153" s="44"/>
      <c r="R9153" s="44"/>
      <c r="S9153" s="44"/>
      <c r="T9153" s="44"/>
    </row>
    <row r="9154" spans="12:20" x14ac:dyDescent="0.2">
      <c r="L9154" s="43"/>
      <c r="M9154" s="43"/>
      <c r="N9154" s="43"/>
      <c r="O9154" s="43"/>
      <c r="Q9154" s="44"/>
      <c r="R9154" s="44"/>
      <c r="S9154" s="44"/>
      <c r="T9154" s="44"/>
    </row>
    <row r="9155" spans="12:20" x14ac:dyDescent="0.2">
      <c r="L9155" s="43"/>
      <c r="M9155" s="43"/>
      <c r="N9155" s="43"/>
      <c r="O9155" s="43"/>
      <c r="Q9155" s="44"/>
      <c r="R9155" s="44"/>
      <c r="S9155" s="44"/>
      <c r="T9155" s="44"/>
    </row>
    <row r="9156" spans="12:20" x14ac:dyDescent="0.2">
      <c r="L9156" s="43"/>
      <c r="M9156" s="43"/>
      <c r="N9156" s="43"/>
      <c r="O9156" s="43"/>
      <c r="Q9156" s="44"/>
      <c r="R9156" s="44"/>
      <c r="S9156" s="44"/>
      <c r="T9156" s="44"/>
    </row>
    <row r="9157" spans="12:20" x14ac:dyDescent="0.2">
      <c r="L9157" s="43"/>
      <c r="M9157" s="43"/>
      <c r="N9157" s="43"/>
      <c r="O9157" s="43"/>
      <c r="Q9157" s="44"/>
      <c r="R9157" s="44"/>
      <c r="S9157" s="44"/>
      <c r="T9157" s="44"/>
    </row>
    <row r="9158" spans="12:20" x14ac:dyDescent="0.2">
      <c r="L9158" s="43"/>
      <c r="M9158" s="43"/>
      <c r="N9158" s="43"/>
      <c r="O9158" s="43"/>
      <c r="Q9158" s="44"/>
      <c r="R9158" s="44"/>
      <c r="S9158" s="44"/>
      <c r="T9158" s="44"/>
    </row>
    <row r="9159" spans="12:20" x14ac:dyDescent="0.2">
      <c r="L9159" s="43"/>
      <c r="M9159" s="43"/>
      <c r="N9159" s="43"/>
      <c r="O9159" s="43"/>
      <c r="Q9159" s="44"/>
      <c r="R9159" s="44"/>
      <c r="S9159" s="44"/>
      <c r="T9159" s="44"/>
    </row>
    <row r="9160" spans="12:20" x14ac:dyDescent="0.2">
      <c r="L9160" s="43"/>
      <c r="M9160" s="43"/>
      <c r="N9160" s="43"/>
      <c r="O9160" s="43"/>
      <c r="Q9160" s="44"/>
      <c r="R9160" s="44"/>
      <c r="S9160" s="44"/>
      <c r="T9160" s="44"/>
    </row>
    <row r="9161" spans="12:20" x14ac:dyDescent="0.2">
      <c r="L9161" s="43"/>
      <c r="M9161" s="43"/>
      <c r="N9161" s="43"/>
      <c r="O9161" s="43"/>
      <c r="Q9161" s="44"/>
      <c r="R9161" s="44"/>
      <c r="S9161" s="44"/>
      <c r="T9161" s="44"/>
    </row>
    <row r="9162" spans="12:20" x14ac:dyDescent="0.2">
      <c r="L9162" s="43"/>
      <c r="M9162" s="43"/>
      <c r="N9162" s="43"/>
      <c r="O9162" s="43"/>
      <c r="Q9162" s="44"/>
      <c r="R9162" s="44"/>
      <c r="S9162" s="44"/>
      <c r="T9162" s="44"/>
    </row>
    <row r="9163" spans="12:20" x14ac:dyDescent="0.2">
      <c r="L9163" s="43"/>
      <c r="M9163" s="43"/>
      <c r="N9163" s="43"/>
      <c r="O9163" s="43"/>
      <c r="Q9163" s="44"/>
      <c r="R9163" s="44"/>
      <c r="S9163" s="44"/>
      <c r="T9163" s="44"/>
    </row>
    <row r="9164" spans="12:20" x14ac:dyDescent="0.2">
      <c r="L9164" s="43"/>
      <c r="M9164" s="43"/>
      <c r="N9164" s="43"/>
      <c r="O9164" s="43"/>
      <c r="Q9164" s="44"/>
      <c r="R9164" s="44"/>
      <c r="S9164" s="44"/>
      <c r="T9164" s="44"/>
    </row>
    <row r="9165" spans="12:20" x14ac:dyDescent="0.2">
      <c r="L9165" s="43"/>
      <c r="M9165" s="43"/>
      <c r="N9165" s="43"/>
      <c r="O9165" s="43"/>
      <c r="Q9165" s="44"/>
      <c r="R9165" s="44"/>
      <c r="S9165" s="44"/>
      <c r="T9165" s="44"/>
    </row>
    <row r="9166" spans="12:20" x14ac:dyDescent="0.2">
      <c r="L9166" s="43"/>
      <c r="M9166" s="43"/>
      <c r="N9166" s="43"/>
      <c r="O9166" s="43"/>
      <c r="Q9166" s="44"/>
      <c r="R9166" s="44"/>
      <c r="S9166" s="44"/>
      <c r="T9166" s="44"/>
    </row>
    <row r="9167" spans="12:20" x14ac:dyDescent="0.2">
      <c r="L9167" s="43"/>
      <c r="M9167" s="43"/>
      <c r="N9167" s="43"/>
      <c r="O9167" s="43"/>
      <c r="Q9167" s="44"/>
      <c r="R9167" s="44"/>
      <c r="S9167" s="44"/>
      <c r="T9167" s="44"/>
    </row>
    <row r="9168" spans="12:20" x14ac:dyDescent="0.2">
      <c r="L9168" s="43"/>
      <c r="M9168" s="43"/>
      <c r="N9168" s="43"/>
      <c r="O9168" s="43"/>
      <c r="Q9168" s="44"/>
      <c r="R9168" s="44"/>
      <c r="S9168" s="44"/>
      <c r="T9168" s="44"/>
    </row>
    <row r="9169" spans="12:20" x14ac:dyDescent="0.2">
      <c r="L9169" s="43"/>
      <c r="M9169" s="43"/>
      <c r="N9169" s="43"/>
      <c r="O9169" s="43"/>
      <c r="Q9169" s="44"/>
      <c r="R9169" s="44"/>
      <c r="S9169" s="44"/>
      <c r="T9169" s="44"/>
    </row>
    <row r="9170" spans="12:20" x14ac:dyDescent="0.2">
      <c r="L9170" s="43"/>
      <c r="M9170" s="43"/>
      <c r="N9170" s="43"/>
      <c r="O9170" s="43"/>
      <c r="Q9170" s="44"/>
      <c r="R9170" s="44"/>
      <c r="S9170" s="44"/>
      <c r="T9170" s="44"/>
    </row>
    <row r="9171" spans="12:20" x14ac:dyDescent="0.2">
      <c r="L9171" s="43"/>
      <c r="M9171" s="43"/>
      <c r="N9171" s="43"/>
      <c r="O9171" s="43"/>
      <c r="Q9171" s="44"/>
      <c r="R9171" s="44"/>
      <c r="S9171" s="44"/>
      <c r="T9171" s="44"/>
    </row>
    <row r="9172" spans="12:20" x14ac:dyDescent="0.2">
      <c r="L9172" s="43"/>
      <c r="M9172" s="43"/>
      <c r="N9172" s="43"/>
      <c r="O9172" s="43"/>
      <c r="Q9172" s="44"/>
      <c r="R9172" s="44"/>
      <c r="S9172" s="44"/>
      <c r="T9172" s="44"/>
    </row>
    <row r="9173" spans="12:20" x14ac:dyDescent="0.2">
      <c r="L9173" s="43"/>
      <c r="M9173" s="43"/>
      <c r="N9173" s="43"/>
      <c r="O9173" s="43"/>
      <c r="Q9173" s="44"/>
      <c r="R9173" s="44"/>
      <c r="S9173" s="44"/>
      <c r="T9173" s="44"/>
    </row>
    <row r="9174" spans="12:20" x14ac:dyDescent="0.2">
      <c r="L9174" s="43"/>
      <c r="M9174" s="43"/>
      <c r="N9174" s="43"/>
      <c r="O9174" s="43"/>
      <c r="Q9174" s="44"/>
      <c r="R9174" s="44"/>
      <c r="S9174" s="44"/>
      <c r="T9174" s="44"/>
    </row>
    <row r="9175" spans="12:20" x14ac:dyDescent="0.2">
      <c r="L9175" s="43"/>
      <c r="M9175" s="43"/>
      <c r="N9175" s="43"/>
      <c r="O9175" s="43"/>
      <c r="Q9175" s="44"/>
      <c r="R9175" s="44"/>
      <c r="S9175" s="44"/>
      <c r="T9175" s="44"/>
    </row>
    <row r="9176" spans="12:20" x14ac:dyDescent="0.2">
      <c r="L9176" s="43"/>
      <c r="M9176" s="43"/>
      <c r="N9176" s="43"/>
      <c r="O9176" s="43"/>
      <c r="Q9176" s="44"/>
      <c r="R9176" s="44"/>
      <c r="S9176" s="44"/>
      <c r="T9176" s="44"/>
    </row>
    <row r="9177" spans="12:20" x14ac:dyDescent="0.2">
      <c r="L9177" s="43"/>
      <c r="M9177" s="43"/>
      <c r="N9177" s="43"/>
      <c r="O9177" s="43"/>
      <c r="Q9177" s="44"/>
      <c r="R9177" s="44"/>
      <c r="S9177" s="44"/>
      <c r="T9177" s="44"/>
    </row>
    <row r="9178" spans="12:20" x14ac:dyDescent="0.2">
      <c r="L9178" s="43"/>
      <c r="M9178" s="43"/>
      <c r="N9178" s="43"/>
      <c r="O9178" s="43"/>
      <c r="Q9178" s="44"/>
      <c r="R9178" s="44"/>
      <c r="S9178" s="44"/>
      <c r="T9178" s="44"/>
    </row>
    <row r="9179" spans="12:20" x14ac:dyDescent="0.2">
      <c r="L9179" s="43"/>
      <c r="M9179" s="43"/>
      <c r="N9179" s="43"/>
      <c r="O9179" s="43"/>
      <c r="Q9179" s="44"/>
      <c r="R9179" s="44"/>
      <c r="S9179" s="44"/>
      <c r="T9179" s="44"/>
    </row>
    <row r="9180" spans="12:20" x14ac:dyDescent="0.2">
      <c r="L9180" s="43"/>
      <c r="M9180" s="43"/>
      <c r="N9180" s="43"/>
      <c r="O9180" s="43"/>
      <c r="Q9180" s="44"/>
      <c r="R9180" s="44"/>
      <c r="S9180" s="44"/>
      <c r="T9180" s="44"/>
    </row>
    <row r="9181" spans="12:20" x14ac:dyDescent="0.2">
      <c r="L9181" s="43"/>
      <c r="M9181" s="43"/>
      <c r="N9181" s="43"/>
      <c r="O9181" s="43"/>
      <c r="Q9181" s="44"/>
      <c r="R9181" s="44"/>
      <c r="S9181" s="44"/>
      <c r="T9181" s="44"/>
    </row>
    <row r="9182" spans="12:20" x14ac:dyDescent="0.2">
      <c r="L9182" s="43"/>
      <c r="M9182" s="43"/>
      <c r="N9182" s="43"/>
      <c r="O9182" s="43"/>
      <c r="Q9182" s="44"/>
      <c r="R9182" s="44"/>
      <c r="S9182" s="44"/>
      <c r="T9182" s="44"/>
    </row>
    <row r="9183" spans="12:20" x14ac:dyDescent="0.2">
      <c r="L9183" s="43"/>
      <c r="M9183" s="43"/>
      <c r="N9183" s="43"/>
      <c r="O9183" s="43"/>
      <c r="Q9183" s="44"/>
      <c r="R9183" s="44"/>
      <c r="S9183" s="44"/>
      <c r="T9183" s="44"/>
    </row>
    <row r="9184" spans="12:20" x14ac:dyDescent="0.2">
      <c r="L9184" s="43"/>
      <c r="M9184" s="43"/>
      <c r="N9184" s="43"/>
      <c r="O9184" s="43"/>
      <c r="Q9184" s="44"/>
      <c r="R9184" s="44"/>
      <c r="S9184" s="44"/>
      <c r="T9184" s="44"/>
    </row>
    <row r="9185" spans="12:20" x14ac:dyDescent="0.2">
      <c r="L9185" s="43"/>
      <c r="M9185" s="43"/>
      <c r="N9185" s="43"/>
      <c r="O9185" s="43"/>
      <c r="Q9185" s="44"/>
      <c r="R9185" s="44"/>
      <c r="S9185" s="44"/>
      <c r="T9185" s="44"/>
    </row>
    <row r="9186" spans="12:20" x14ac:dyDescent="0.2">
      <c r="L9186" s="43"/>
      <c r="M9186" s="43"/>
      <c r="N9186" s="43"/>
      <c r="O9186" s="43"/>
      <c r="Q9186" s="44"/>
      <c r="R9186" s="44"/>
      <c r="S9186" s="44"/>
      <c r="T9186" s="44"/>
    </row>
    <row r="9187" spans="12:20" x14ac:dyDescent="0.2">
      <c r="L9187" s="43"/>
      <c r="M9187" s="43"/>
      <c r="N9187" s="43"/>
      <c r="O9187" s="43"/>
      <c r="Q9187" s="44"/>
      <c r="R9187" s="44"/>
      <c r="S9187" s="44"/>
      <c r="T9187" s="44"/>
    </row>
    <row r="9188" spans="12:20" x14ac:dyDescent="0.2">
      <c r="L9188" s="43"/>
      <c r="M9188" s="43"/>
      <c r="N9188" s="43"/>
      <c r="O9188" s="43"/>
      <c r="Q9188" s="44"/>
      <c r="R9188" s="44"/>
      <c r="S9188" s="44"/>
      <c r="T9188" s="44"/>
    </row>
    <row r="9189" spans="12:20" x14ac:dyDescent="0.2">
      <c r="L9189" s="43"/>
      <c r="M9189" s="43"/>
      <c r="N9189" s="43"/>
      <c r="O9189" s="43"/>
      <c r="Q9189" s="44"/>
      <c r="R9189" s="44"/>
      <c r="S9189" s="44"/>
      <c r="T9189" s="44"/>
    </row>
    <row r="9190" spans="12:20" x14ac:dyDescent="0.2">
      <c r="L9190" s="43"/>
      <c r="M9190" s="43"/>
      <c r="N9190" s="43"/>
      <c r="O9190" s="43"/>
      <c r="Q9190" s="44"/>
      <c r="R9190" s="44"/>
      <c r="S9190" s="44"/>
      <c r="T9190" s="44"/>
    </row>
    <row r="9191" spans="12:20" x14ac:dyDescent="0.2">
      <c r="L9191" s="43"/>
      <c r="M9191" s="43"/>
      <c r="N9191" s="43"/>
      <c r="O9191" s="43"/>
      <c r="Q9191" s="44"/>
      <c r="R9191" s="44"/>
      <c r="S9191" s="44"/>
      <c r="T9191" s="44"/>
    </row>
    <row r="9192" spans="12:20" x14ac:dyDescent="0.2">
      <c r="L9192" s="43"/>
      <c r="M9192" s="43"/>
      <c r="N9192" s="43"/>
      <c r="O9192" s="43"/>
      <c r="Q9192" s="44"/>
      <c r="R9192" s="44"/>
      <c r="S9192" s="44"/>
      <c r="T9192" s="44"/>
    </row>
    <row r="9193" spans="12:20" x14ac:dyDescent="0.2">
      <c r="L9193" s="43"/>
      <c r="M9193" s="43"/>
      <c r="N9193" s="43"/>
      <c r="O9193" s="43"/>
      <c r="Q9193" s="44"/>
      <c r="R9193" s="44"/>
      <c r="S9193" s="44"/>
      <c r="T9193" s="44"/>
    </row>
    <row r="9194" spans="12:20" x14ac:dyDescent="0.2">
      <c r="L9194" s="43"/>
      <c r="M9194" s="43"/>
      <c r="N9194" s="43"/>
      <c r="O9194" s="43"/>
      <c r="Q9194" s="44"/>
      <c r="R9194" s="44"/>
      <c r="S9194" s="44"/>
      <c r="T9194" s="44"/>
    </row>
    <row r="9195" spans="12:20" x14ac:dyDescent="0.2">
      <c r="L9195" s="43"/>
      <c r="M9195" s="43"/>
      <c r="N9195" s="43"/>
      <c r="O9195" s="43"/>
      <c r="Q9195" s="44"/>
      <c r="R9195" s="44"/>
      <c r="S9195" s="44"/>
      <c r="T9195" s="44"/>
    </row>
    <row r="9196" spans="12:20" x14ac:dyDescent="0.2">
      <c r="L9196" s="43"/>
      <c r="M9196" s="43"/>
      <c r="N9196" s="43"/>
      <c r="O9196" s="43"/>
      <c r="Q9196" s="44"/>
      <c r="R9196" s="44"/>
      <c r="S9196" s="44"/>
      <c r="T9196" s="44"/>
    </row>
    <row r="9197" spans="12:20" x14ac:dyDescent="0.2">
      <c r="L9197" s="43"/>
      <c r="M9197" s="43"/>
      <c r="N9197" s="43"/>
      <c r="O9197" s="43"/>
      <c r="Q9197" s="44"/>
      <c r="R9197" s="44"/>
      <c r="S9197" s="44"/>
      <c r="T9197" s="44"/>
    </row>
    <row r="9198" spans="12:20" x14ac:dyDescent="0.2">
      <c r="L9198" s="43"/>
      <c r="M9198" s="43"/>
      <c r="N9198" s="43"/>
      <c r="O9198" s="43"/>
      <c r="Q9198" s="44"/>
      <c r="R9198" s="44"/>
      <c r="S9198" s="44"/>
      <c r="T9198" s="44"/>
    </row>
    <row r="9199" spans="12:20" x14ac:dyDescent="0.2">
      <c r="L9199" s="43"/>
      <c r="M9199" s="43"/>
      <c r="N9199" s="43"/>
      <c r="O9199" s="43"/>
      <c r="Q9199" s="44"/>
      <c r="R9199" s="44"/>
      <c r="S9199" s="44"/>
      <c r="T9199" s="44"/>
    </row>
    <row r="9200" spans="12:20" x14ac:dyDescent="0.2">
      <c r="L9200" s="43"/>
      <c r="M9200" s="43"/>
      <c r="N9200" s="43"/>
      <c r="O9200" s="43"/>
      <c r="Q9200" s="44"/>
      <c r="R9200" s="44"/>
      <c r="S9200" s="44"/>
      <c r="T9200" s="44"/>
    </row>
    <row r="9201" spans="12:20" x14ac:dyDescent="0.2">
      <c r="L9201" s="43"/>
      <c r="M9201" s="43"/>
      <c r="N9201" s="43"/>
      <c r="O9201" s="43"/>
      <c r="Q9201" s="44"/>
      <c r="R9201" s="44"/>
      <c r="S9201" s="44"/>
      <c r="T9201" s="44"/>
    </row>
    <row r="9202" spans="12:20" x14ac:dyDescent="0.2">
      <c r="L9202" s="43"/>
      <c r="M9202" s="43"/>
      <c r="N9202" s="43"/>
      <c r="O9202" s="43"/>
      <c r="Q9202" s="44"/>
      <c r="R9202" s="44"/>
      <c r="S9202" s="44"/>
      <c r="T9202" s="44"/>
    </row>
    <row r="9203" spans="12:20" x14ac:dyDescent="0.2">
      <c r="L9203" s="43"/>
      <c r="M9203" s="43"/>
      <c r="N9203" s="43"/>
      <c r="O9203" s="43"/>
      <c r="Q9203" s="44"/>
      <c r="R9203" s="44"/>
      <c r="S9203" s="44"/>
      <c r="T9203" s="44"/>
    </row>
    <row r="9204" spans="12:20" x14ac:dyDescent="0.2">
      <c r="L9204" s="43"/>
      <c r="M9204" s="43"/>
      <c r="N9204" s="43"/>
      <c r="O9204" s="43"/>
      <c r="Q9204" s="44"/>
      <c r="R9204" s="44"/>
      <c r="S9204" s="44"/>
      <c r="T9204" s="44"/>
    </row>
    <row r="9205" spans="12:20" x14ac:dyDescent="0.2">
      <c r="L9205" s="43"/>
      <c r="M9205" s="43"/>
      <c r="N9205" s="43"/>
      <c r="O9205" s="43"/>
      <c r="Q9205" s="44"/>
      <c r="R9205" s="44"/>
      <c r="S9205" s="44"/>
      <c r="T9205" s="44"/>
    </row>
    <row r="9206" spans="12:20" x14ac:dyDescent="0.2">
      <c r="L9206" s="43"/>
      <c r="M9206" s="43"/>
      <c r="N9206" s="43"/>
      <c r="O9206" s="43"/>
      <c r="Q9206" s="44"/>
      <c r="R9206" s="44"/>
      <c r="S9206" s="44"/>
      <c r="T9206" s="44"/>
    </row>
    <row r="9207" spans="12:20" x14ac:dyDescent="0.2">
      <c r="L9207" s="43"/>
      <c r="M9207" s="43"/>
      <c r="N9207" s="43"/>
      <c r="O9207" s="43"/>
      <c r="Q9207" s="44"/>
      <c r="R9207" s="44"/>
      <c r="S9207" s="44"/>
      <c r="T9207" s="44"/>
    </row>
    <row r="9208" spans="12:20" x14ac:dyDescent="0.2">
      <c r="L9208" s="43"/>
      <c r="M9208" s="43"/>
      <c r="N9208" s="43"/>
      <c r="O9208" s="43"/>
      <c r="Q9208" s="44"/>
      <c r="R9208" s="44"/>
      <c r="S9208" s="44"/>
      <c r="T9208" s="44"/>
    </row>
    <row r="9209" spans="12:20" x14ac:dyDescent="0.2">
      <c r="L9209" s="43"/>
      <c r="M9209" s="43"/>
      <c r="N9209" s="43"/>
      <c r="O9209" s="43"/>
      <c r="Q9209" s="44"/>
      <c r="R9209" s="44"/>
      <c r="S9209" s="44"/>
      <c r="T9209" s="44"/>
    </row>
    <row r="9210" spans="12:20" x14ac:dyDescent="0.2">
      <c r="L9210" s="43"/>
      <c r="M9210" s="43"/>
      <c r="N9210" s="43"/>
      <c r="O9210" s="43"/>
      <c r="Q9210" s="44"/>
      <c r="R9210" s="44"/>
      <c r="S9210" s="44"/>
      <c r="T9210" s="44"/>
    </row>
    <row r="9211" spans="12:20" x14ac:dyDescent="0.2">
      <c r="L9211" s="43"/>
      <c r="M9211" s="43"/>
      <c r="N9211" s="43"/>
      <c r="O9211" s="43"/>
      <c r="Q9211" s="44"/>
      <c r="R9211" s="44"/>
      <c r="S9211" s="44"/>
      <c r="T9211" s="44"/>
    </row>
    <row r="9212" spans="12:20" x14ac:dyDescent="0.2">
      <c r="L9212" s="43"/>
      <c r="M9212" s="43"/>
      <c r="N9212" s="43"/>
      <c r="O9212" s="43"/>
      <c r="Q9212" s="44"/>
      <c r="R9212" s="44"/>
      <c r="S9212" s="44"/>
      <c r="T9212" s="44"/>
    </row>
    <row r="9213" spans="12:20" x14ac:dyDescent="0.2">
      <c r="L9213" s="43"/>
      <c r="M9213" s="43"/>
      <c r="N9213" s="43"/>
      <c r="O9213" s="43"/>
      <c r="Q9213" s="44"/>
      <c r="R9213" s="44"/>
      <c r="S9213" s="44"/>
      <c r="T9213" s="44"/>
    </row>
    <row r="9214" spans="12:20" x14ac:dyDescent="0.2">
      <c r="L9214" s="43"/>
      <c r="M9214" s="43"/>
      <c r="N9214" s="43"/>
      <c r="O9214" s="43"/>
      <c r="Q9214" s="44"/>
      <c r="R9214" s="44"/>
      <c r="S9214" s="44"/>
      <c r="T9214" s="44"/>
    </row>
    <row r="9215" spans="12:20" x14ac:dyDescent="0.2">
      <c r="L9215" s="43"/>
      <c r="M9215" s="43"/>
      <c r="N9215" s="43"/>
      <c r="O9215" s="43"/>
      <c r="Q9215" s="44"/>
      <c r="R9215" s="44"/>
      <c r="S9215" s="44"/>
      <c r="T9215" s="44"/>
    </row>
    <row r="9216" spans="12:20" x14ac:dyDescent="0.2">
      <c r="L9216" s="43"/>
      <c r="M9216" s="43"/>
      <c r="N9216" s="43"/>
      <c r="O9216" s="43"/>
      <c r="Q9216" s="44"/>
      <c r="R9216" s="44"/>
      <c r="S9216" s="44"/>
      <c r="T9216" s="44"/>
    </row>
    <row r="9217" spans="12:20" x14ac:dyDescent="0.2">
      <c r="L9217" s="43"/>
      <c r="M9217" s="43"/>
      <c r="N9217" s="43"/>
      <c r="O9217" s="43"/>
      <c r="Q9217" s="44"/>
      <c r="R9217" s="44"/>
      <c r="S9217" s="44"/>
      <c r="T9217" s="44"/>
    </row>
    <row r="9218" spans="12:20" x14ac:dyDescent="0.2">
      <c r="L9218" s="43"/>
      <c r="M9218" s="43"/>
      <c r="N9218" s="43"/>
      <c r="O9218" s="43"/>
      <c r="Q9218" s="44"/>
      <c r="R9218" s="44"/>
      <c r="S9218" s="44"/>
      <c r="T9218" s="44"/>
    </row>
    <row r="9219" spans="12:20" x14ac:dyDescent="0.2">
      <c r="L9219" s="43"/>
      <c r="M9219" s="43"/>
      <c r="N9219" s="43"/>
      <c r="O9219" s="43"/>
      <c r="Q9219" s="44"/>
      <c r="R9219" s="44"/>
      <c r="S9219" s="44"/>
      <c r="T9219" s="44"/>
    </row>
    <row r="9220" spans="12:20" x14ac:dyDescent="0.2">
      <c r="L9220" s="43"/>
      <c r="M9220" s="43"/>
      <c r="N9220" s="43"/>
      <c r="O9220" s="43"/>
      <c r="Q9220" s="44"/>
      <c r="R9220" s="44"/>
      <c r="S9220" s="44"/>
      <c r="T9220" s="44"/>
    </row>
    <row r="9221" spans="12:20" x14ac:dyDescent="0.2">
      <c r="L9221" s="43"/>
      <c r="M9221" s="43"/>
      <c r="N9221" s="43"/>
      <c r="O9221" s="43"/>
      <c r="Q9221" s="44"/>
      <c r="R9221" s="44"/>
      <c r="S9221" s="44"/>
      <c r="T9221" s="44"/>
    </row>
    <row r="9222" spans="12:20" x14ac:dyDescent="0.2">
      <c r="L9222" s="43"/>
      <c r="M9222" s="43"/>
      <c r="N9222" s="43"/>
      <c r="O9222" s="43"/>
      <c r="Q9222" s="44"/>
      <c r="R9222" s="44"/>
      <c r="S9222" s="44"/>
      <c r="T9222" s="44"/>
    </row>
    <row r="9223" spans="12:20" x14ac:dyDescent="0.2">
      <c r="L9223" s="43"/>
      <c r="M9223" s="43"/>
      <c r="N9223" s="43"/>
      <c r="O9223" s="43"/>
      <c r="Q9223" s="44"/>
      <c r="R9223" s="44"/>
      <c r="S9223" s="44"/>
      <c r="T9223" s="44"/>
    </row>
    <row r="9224" spans="12:20" x14ac:dyDescent="0.2">
      <c r="L9224" s="43"/>
      <c r="M9224" s="43"/>
      <c r="N9224" s="43"/>
      <c r="O9224" s="43"/>
      <c r="Q9224" s="44"/>
      <c r="R9224" s="44"/>
      <c r="S9224" s="44"/>
      <c r="T9224" s="44"/>
    </row>
    <row r="9225" spans="12:20" x14ac:dyDescent="0.2">
      <c r="L9225" s="43"/>
      <c r="M9225" s="43"/>
      <c r="N9225" s="43"/>
      <c r="O9225" s="43"/>
      <c r="Q9225" s="44"/>
      <c r="R9225" s="44"/>
      <c r="S9225" s="44"/>
      <c r="T9225" s="44"/>
    </row>
    <row r="9226" spans="12:20" x14ac:dyDescent="0.2">
      <c r="L9226" s="43"/>
      <c r="M9226" s="43"/>
      <c r="N9226" s="43"/>
      <c r="O9226" s="43"/>
      <c r="Q9226" s="44"/>
      <c r="R9226" s="44"/>
      <c r="S9226" s="44"/>
      <c r="T9226" s="44"/>
    </row>
    <row r="9227" spans="12:20" x14ac:dyDescent="0.2">
      <c r="L9227" s="43"/>
      <c r="M9227" s="43"/>
      <c r="N9227" s="43"/>
      <c r="O9227" s="43"/>
      <c r="Q9227" s="44"/>
      <c r="R9227" s="44"/>
      <c r="S9227" s="44"/>
      <c r="T9227" s="44"/>
    </row>
    <row r="9228" spans="12:20" x14ac:dyDescent="0.2">
      <c r="L9228" s="43"/>
      <c r="M9228" s="43"/>
      <c r="N9228" s="43"/>
      <c r="O9228" s="43"/>
      <c r="Q9228" s="44"/>
      <c r="R9228" s="44"/>
      <c r="S9228" s="44"/>
      <c r="T9228" s="44"/>
    </row>
    <row r="9229" spans="12:20" x14ac:dyDescent="0.2">
      <c r="L9229" s="43"/>
      <c r="M9229" s="43"/>
      <c r="N9229" s="43"/>
      <c r="O9229" s="43"/>
      <c r="Q9229" s="44"/>
      <c r="R9229" s="44"/>
      <c r="S9229" s="44"/>
      <c r="T9229" s="44"/>
    </row>
    <row r="9230" spans="12:20" x14ac:dyDescent="0.2">
      <c r="L9230" s="43"/>
      <c r="M9230" s="43"/>
      <c r="N9230" s="43"/>
      <c r="O9230" s="43"/>
      <c r="Q9230" s="44"/>
      <c r="R9230" s="44"/>
      <c r="S9230" s="44"/>
      <c r="T9230" s="44"/>
    </row>
    <row r="9231" spans="12:20" x14ac:dyDescent="0.2">
      <c r="L9231" s="43"/>
      <c r="M9231" s="43"/>
      <c r="N9231" s="43"/>
      <c r="O9231" s="43"/>
      <c r="Q9231" s="44"/>
      <c r="R9231" s="44"/>
      <c r="S9231" s="44"/>
      <c r="T9231" s="44"/>
    </row>
    <row r="9232" spans="12:20" x14ac:dyDescent="0.2">
      <c r="L9232" s="43"/>
      <c r="M9232" s="43"/>
      <c r="N9232" s="43"/>
      <c r="O9232" s="43"/>
      <c r="Q9232" s="44"/>
      <c r="R9232" s="44"/>
      <c r="S9232" s="44"/>
      <c r="T9232" s="44"/>
    </row>
    <row r="9233" spans="12:20" x14ac:dyDescent="0.2">
      <c r="L9233" s="43"/>
      <c r="M9233" s="43"/>
      <c r="N9233" s="43"/>
      <c r="O9233" s="43"/>
      <c r="Q9233" s="44"/>
      <c r="R9233" s="44"/>
      <c r="S9233" s="44"/>
      <c r="T9233" s="44"/>
    </row>
    <row r="9234" spans="12:20" x14ac:dyDescent="0.2">
      <c r="L9234" s="43"/>
      <c r="M9234" s="43"/>
      <c r="N9234" s="43"/>
      <c r="O9234" s="43"/>
      <c r="Q9234" s="44"/>
      <c r="R9234" s="44"/>
      <c r="S9234" s="44"/>
      <c r="T9234" s="44"/>
    </row>
    <row r="9235" spans="12:20" x14ac:dyDescent="0.2">
      <c r="L9235" s="43"/>
      <c r="M9235" s="43"/>
      <c r="N9235" s="43"/>
      <c r="O9235" s="43"/>
      <c r="Q9235" s="44"/>
      <c r="R9235" s="44"/>
      <c r="S9235" s="44"/>
      <c r="T9235" s="44"/>
    </row>
    <row r="9236" spans="12:20" x14ac:dyDescent="0.2">
      <c r="L9236" s="43"/>
      <c r="M9236" s="43"/>
      <c r="N9236" s="43"/>
      <c r="O9236" s="43"/>
      <c r="Q9236" s="44"/>
      <c r="R9236" s="44"/>
      <c r="S9236" s="44"/>
      <c r="T9236" s="44"/>
    </row>
    <row r="9237" spans="12:20" x14ac:dyDescent="0.2">
      <c r="L9237" s="43"/>
      <c r="M9237" s="43"/>
      <c r="N9237" s="43"/>
      <c r="O9237" s="43"/>
      <c r="Q9237" s="44"/>
      <c r="R9237" s="44"/>
      <c r="S9237" s="44"/>
      <c r="T9237" s="44"/>
    </row>
    <row r="9238" spans="12:20" x14ac:dyDescent="0.2">
      <c r="L9238" s="43"/>
      <c r="M9238" s="43"/>
      <c r="N9238" s="43"/>
      <c r="O9238" s="43"/>
      <c r="Q9238" s="44"/>
      <c r="R9238" s="44"/>
      <c r="S9238" s="44"/>
      <c r="T9238" s="44"/>
    </row>
    <row r="9239" spans="12:20" x14ac:dyDescent="0.2">
      <c r="L9239" s="43"/>
      <c r="M9239" s="43"/>
      <c r="N9239" s="43"/>
      <c r="O9239" s="43"/>
      <c r="Q9239" s="44"/>
      <c r="R9239" s="44"/>
      <c r="S9239" s="44"/>
      <c r="T9239" s="44"/>
    </row>
    <row r="9240" spans="12:20" x14ac:dyDescent="0.2">
      <c r="L9240" s="43"/>
      <c r="M9240" s="43"/>
      <c r="N9240" s="43"/>
      <c r="O9240" s="43"/>
      <c r="Q9240" s="44"/>
      <c r="R9240" s="44"/>
      <c r="S9240" s="44"/>
      <c r="T9240" s="44"/>
    </row>
    <row r="9241" spans="12:20" x14ac:dyDescent="0.2">
      <c r="L9241" s="43"/>
      <c r="M9241" s="43"/>
      <c r="N9241" s="43"/>
      <c r="O9241" s="43"/>
      <c r="Q9241" s="44"/>
      <c r="R9241" s="44"/>
      <c r="S9241" s="44"/>
      <c r="T9241" s="44"/>
    </row>
    <row r="9242" spans="12:20" x14ac:dyDescent="0.2">
      <c r="L9242" s="43"/>
      <c r="M9242" s="43"/>
      <c r="N9242" s="43"/>
      <c r="O9242" s="43"/>
      <c r="Q9242" s="44"/>
      <c r="R9242" s="44"/>
      <c r="S9242" s="44"/>
      <c r="T9242" s="44"/>
    </row>
    <row r="9243" spans="12:20" x14ac:dyDescent="0.2">
      <c r="L9243" s="43"/>
      <c r="M9243" s="43"/>
      <c r="N9243" s="43"/>
      <c r="O9243" s="43"/>
      <c r="Q9243" s="44"/>
      <c r="R9243" s="44"/>
      <c r="S9243" s="44"/>
      <c r="T9243" s="44"/>
    </row>
    <row r="9244" spans="12:20" x14ac:dyDescent="0.2">
      <c r="L9244" s="43"/>
      <c r="M9244" s="43"/>
      <c r="N9244" s="43"/>
      <c r="O9244" s="43"/>
      <c r="Q9244" s="44"/>
      <c r="R9244" s="44"/>
      <c r="S9244" s="44"/>
      <c r="T9244" s="44"/>
    </row>
    <row r="9245" spans="12:20" x14ac:dyDescent="0.2">
      <c r="L9245" s="43"/>
      <c r="M9245" s="43"/>
      <c r="N9245" s="43"/>
      <c r="O9245" s="43"/>
      <c r="Q9245" s="44"/>
      <c r="R9245" s="44"/>
      <c r="S9245" s="44"/>
      <c r="T9245" s="44"/>
    </row>
    <row r="9246" spans="12:20" x14ac:dyDescent="0.2">
      <c r="L9246" s="43"/>
      <c r="M9246" s="43"/>
      <c r="N9246" s="43"/>
      <c r="O9246" s="43"/>
      <c r="Q9246" s="44"/>
      <c r="R9246" s="44"/>
      <c r="S9246" s="44"/>
      <c r="T9246" s="44"/>
    </row>
    <row r="9247" spans="12:20" x14ac:dyDescent="0.2">
      <c r="L9247" s="43"/>
      <c r="M9247" s="43"/>
      <c r="N9247" s="43"/>
      <c r="O9247" s="43"/>
      <c r="Q9247" s="44"/>
      <c r="R9247" s="44"/>
      <c r="S9247" s="44"/>
      <c r="T9247" s="44"/>
    </row>
    <row r="9248" spans="12:20" x14ac:dyDescent="0.2">
      <c r="L9248" s="43"/>
      <c r="M9248" s="43"/>
      <c r="N9248" s="43"/>
      <c r="O9248" s="43"/>
      <c r="Q9248" s="44"/>
      <c r="R9248" s="44"/>
      <c r="S9248" s="44"/>
      <c r="T9248" s="44"/>
    </row>
    <row r="9249" spans="12:20" x14ac:dyDescent="0.2">
      <c r="L9249" s="43"/>
      <c r="M9249" s="43"/>
      <c r="N9249" s="43"/>
      <c r="O9249" s="43"/>
      <c r="Q9249" s="44"/>
      <c r="R9249" s="44"/>
      <c r="S9249" s="44"/>
      <c r="T9249" s="44"/>
    </row>
    <row r="9250" spans="12:20" x14ac:dyDescent="0.2">
      <c r="L9250" s="43"/>
      <c r="M9250" s="43"/>
      <c r="N9250" s="43"/>
      <c r="O9250" s="43"/>
      <c r="Q9250" s="44"/>
      <c r="R9250" s="44"/>
      <c r="S9250" s="44"/>
      <c r="T9250" s="44"/>
    </row>
    <row r="9251" spans="12:20" x14ac:dyDescent="0.2">
      <c r="L9251" s="43"/>
      <c r="M9251" s="43"/>
      <c r="N9251" s="43"/>
      <c r="O9251" s="43"/>
      <c r="Q9251" s="44"/>
      <c r="R9251" s="44"/>
      <c r="S9251" s="44"/>
      <c r="T9251" s="44"/>
    </row>
    <row r="9252" spans="12:20" x14ac:dyDescent="0.2">
      <c r="L9252" s="43"/>
      <c r="M9252" s="43"/>
      <c r="N9252" s="43"/>
      <c r="O9252" s="43"/>
      <c r="Q9252" s="44"/>
      <c r="R9252" s="44"/>
      <c r="S9252" s="44"/>
      <c r="T9252" s="44"/>
    </row>
    <row r="9253" spans="12:20" x14ac:dyDescent="0.2">
      <c r="L9253" s="43"/>
      <c r="M9253" s="43"/>
      <c r="N9253" s="43"/>
      <c r="O9253" s="43"/>
      <c r="Q9253" s="44"/>
      <c r="R9253" s="44"/>
      <c r="S9253" s="44"/>
      <c r="T9253" s="44"/>
    </row>
    <row r="9254" spans="12:20" x14ac:dyDescent="0.2">
      <c r="L9254" s="43"/>
      <c r="M9254" s="43"/>
      <c r="N9254" s="43"/>
      <c r="O9254" s="43"/>
      <c r="Q9254" s="44"/>
      <c r="R9254" s="44"/>
      <c r="S9254" s="44"/>
      <c r="T9254" s="44"/>
    </row>
    <row r="9255" spans="12:20" x14ac:dyDescent="0.2">
      <c r="L9255" s="43"/>
      <c r="M9255" s="43"/>
      <c r="N9255" s="43"/>
      <c r="O9255" s="43"/>
      <c r="Q9255" s="44"/>
      <c r="R9255" s="44"/>
      <c r="S9255" s="44"/>
      <c r="T9255" s="44"/>
    </row>
    <row r="9256" spans="12:20" x14ac:dyDescent="0.2">
      <c r="L9256" s="43"/>
      <c r="M9256" s="43"/>
      <c r="N9256" s="43"/>
      <c r="O9256" s="43"/>
      <c r="Q9256" s="44"/>
      <c r="R9256" s="44"/>
      <c r="S9256" s="44"/>
      <c r="T9256" s="44"/>
    </row>
    <row r="9257" spans="12:20" x14ac:dyDescent="0.2">
      <c r="L9257" s="43"/>
      <c r="M9257" s="43"/>
      <c r="N9257" s="43"/>
      <c r="O9257" s="43"/>
      <c r="Q9257" s="44"/>
      <c r="R9257" s="44"/>
      <c r="S9257" s="44"/>
      <c r="T9257" s="44"/>
    </row>
    <row r="9258" spans="12:20" x14ac:dyDescent="0.2">
      <c r="L9258" s="43"/>
      <c r="M9258" s="43"/>
      <c r="N9258" s="43"/>
      <c r="O9258" s="43"/>
      <c r="Q9258" s="44"/>
      <c r="R9258" s="44"/>
      <c r="S9258" s="44"/>
      <c r="T9258" s="44"/>
    </row>
    <row r="9259" spans="12:20" x14ac:dyDescent="0.2">
      <c r="L9259" s="43"/>
      <c r="M9259" s="43"/>
      <c r="N9259" s="43"/>
      <c r="O9259" s="43"/>
      <c r="Q9259" s="44"/>
      <c r="R9259" s="44"/>
      <c r="S9259" s="44"/>
      <c r="T9259" s="44"/>
    </row>
    <row r="9260" spans="12:20" x14ac:dyDescent="0.2">
      <c r="L9260" s="43"/>
      <c r="M9260" s="43"/>
      <c r="N9260" s="43"/>
      <c r="O9260" s="43"/>
      <c r="Q9260" s="44"/>
      <c r="R9260" s="44"/>
      <c r="S9260" s="44"/>
      <c r="T9260" s="44"/>
    </row>
    <row r="9261" spans="12:20" x14ac:dyDescent="0.2">
      <c r="L9261" s="43"/>
      <c r="M9261" s="43"/>
      <c r="N9261" s="43"/>
      <c r="O9261" s="43"/>
      <c r="Q9261" s="44"/>
      <c r="R9261" s="44"/>
      <c r="S9261" s="44"/>
      <c r="T9261" s="44"/>
    </row>
    <row r="9262" spans="12:20" x14ac:dyDescent="0.2">
      <c r="L9262" s="43"/>
      <c r="M9262" s="43"/>
      <c r="N9262" s="43"/>
      <c r="O9262" s="43"/>
      <c r="Q9262" s="44"/>
      <c r="R9262" s="44"/>
      <c r="S9262" s="44"/>
      <c r="T9262" s="44"/>
    </row>
    <row r="9263" spans="12:20" x14ac:dyDescent="0.2">
      <c r="L9263" s="43"/>
      <c r="M9263" s="43"/>
      <c r="N9263" s="43"/>
      <c r="O9263" s="43"/>
      <c r="Q9263" s="44"/>
      <c r="R9263" s="44"/>
      <c r="S9263" s="44"/>
      <c r="T9263" s="44"/>
    </row>
    <row r="9264" spans="12:20" x14ac:dyDescent="0.2">
      <c r="L9264" s="43"/>
      <c r="M9264" s="43"/>
      <c r="N9264" s="43"/>
      <c r="O9264" s="43"/>
      <c r="Q9264" s="44"/>
      <c r="R9264" s="44"/>
      <c r="S9264" s="44"/>
      <c r="T9264" s="44"/>
    </row>
    <row r="9265" spans="12:20" x14ac:dyDescent="0.2">
      <c r="L9265" s="43"/>
      <c r="M9265" s="43"/>
      <c r="N9265" s="43"/>
      <c r="O9265" s="43"/>
      <c r="Q9265" s="44"/>
      <c r="R9265" s="44"/>
      <c r="S9265" s="44"/>
      <c r="T9265" s="44"/>
    </row>
    <row r="9266" spans="12:20" x14ac:dyDescent="0.2">
      <c r="L9266" s="43"/>
      <c r="M9266" s="43"/>
      <c r="N9266" s="43"/>
      <c r="O9266" s="43"/>
      <c r="Q9266" s="44"/>
      <c r="R9266" s="44"/>
      <c r="S9266" s="44"/>
      <c r="T9266" s="44"/>
    </row>
    <row r="9267" spans="12:20" x14ac:dyDescent="0.2">
      <c r="L9267" s="43"/>
      <c r="M9267" s="43"/>
      <c r="N9267" s="43"/>
      <c r="O9267" s="43"/>
      <c r="Q9267" s="44"/>
      <c r="R9267" s="44"/>
      <c r="S9267" s="44"/>
      <c r="T9267" s="44"/>
    </row>
    <row r="9268" spans="12:20" x14ac:dyDescent="0.2">
      <c r="L9268" s="43"/>
      <c r="M9268" s="43"/>
      <c r="N9268" s="43"/>
      <c r="O9268" s="43"/>
      <c r="Q9268" s="44"/>
      <c r="R9268" s="44"/>
      <c r="S9268" s="44"/>
      <c r="T9268" s="44"/>
    </row>
    <row r="9269" spans="12:20" x14ac:dyDescent="0.2">
      <c r="L9269" s="43"/>
      <c r="M9269" s="43"/>
      <c r="N9269" s="43"/>
      <c r="O9269" s="43"/>
      <c r="Q9269" s="44"/>
      <c r="R9269" s="44"/>
      <c r="S9269" s="44"/>
      <c r="T9269" s="44"/>
    </row>
    <row r="9270" spans="12:20" x14ac:dyDescent="0.2">
      <c r="L9270" s="43"/>
      <c r="M9270" s="43"/>
      <c r="N9270" s="43"/>
      <c r="O9270" s="43"/>
      <c r="Q9270" s="44"/>
      <c r="R9270" s="44"/>
      <c r="S9270" s="44"/>
      <c r="T9270" s="44"/>
    </row>
    <row r="9271" spans="12:20" x14ac:dyDescent="0.2">
      <c r="L9271" s="43"/>
      <c r="M9271" s="43"/>
      <c r="N9271" s="43"/>
      <c r="O9271" s="43"/>
      <c r="Q9271" s="44"/>
      <c r="R9271" s="44"/>
      <c r="S9271" s="44"/>
      <c r="T9271" s="44"/>
    </row>
    <row r="9272" spans="12:20" x14ac:dyDescent="0.2">
      <c r="L9272" s="43"/>
      <c r="M9272" s="43"/>
      <c r="N9272" s="43"/>
      <c r="O9272" s="43"/>
      <c r="Q9272" s="44"/>
      <c r="R9272" s="44"/>
      <c r="S9272" s="44"/>
      <c r="T9272" s="44"/>
    </row>
    <row r="9273" spans="12:20" x14ac:dyDescent="0.2">
      <c r="L9273" s="43"/>
      <c r="M9273" s="43"/>
      <c r="N9273" s="43"/>
      <c r="O9273" s="43"/>
      <c r="Q9273" s="44"/>
      <c r="R9273" s="44"/>
      <c r="S9273" s="44"/>
      <c r="T9273" s="44"/>
    </row>
    <row r="9274" spans="12:20" x14ac:dyDescent="0.2">
      <c r="L9274" s="43"/>
      <c r="M9274" s="43"/>
      <c r="N9274" s="43"/>
      <c r="O9274" s="43"/>
      <c r="Q9274" s="44"/>
      <c r="R9274" s="44"/>
      <c r="S9274" s="44"/>
      <c r="T9274" s="44"/>
    </row>
    <row r="9275" spans="12:20" x14ac:dyDescent="0.2">
      <c r="L9275" s="43"/>
      <c r="M9275" s="43"/>
      <c r="N9275" s="43"/>
      <c r="O9275" s="43"/>
      <c r="Q9275" s="44"/>
      <c r="R9275" s="44"/>
      <c r="S9275" s="44"/>
      <c r="T9275" s="44"/>
    </row>
    <row r="9276" spans="12:20" x14ac:dyDescent="0.2">
      <c r="L9276" s="43"/>
      <c r="M9276" s="43"/>
      <c r="N9276" s="43"/>
      <c r="O9276" s="43"/>
      <c r="Q9276" s="44"/>
      <c r="R9276" s="44"/>
      <c r="S9276" s="44"/>
      <c r="T9276" s="44"/>
    </row>
    <row r="9277" spans="12:20" x14ac:dyDescent="0.2">
      <c r="L9277" s="43"/>
      <c r="M9277" s="43"/>
      <c r="N9277" s="43"/>
      <c r="O9277" s="43"/>
      <c r="Q9277" s="44"/>
      <c r="R9277" s="44"/>
      <c r="S9277" s="44"/>
      <c r="T9277" s="44"/>
    </row>
    <row r="9278" spans="12:20" x14ac:dyDescent="0.2">
      <c r="L9278" s="43"/>
      <c r="M9278" s="43"/>
      <c r="N9278" s="43"/>
      <c r="O9278" s="43"/>
      <c r="Q9278" s="44"/>
      <c r="R9278" s="44"/>
      <c r="S9278" s="44"/>
      <c r="T9278" s="44"/>
    </row>
    <row r="9279" spans="12:20" x14ac:dyDescent="0.2">
      <c r="L9279" s="43"/>
      <c r="M9279" s="43"/>
      <c r="N9279" s="43"/>
      <c r="O9279" s="43"/>
      <c r="Q9279" s="44"/>
      <c r="R9279" s="44"/>
      <c r="S9279" s="44"/>
      <c r="T9279" s="44"/>
    </row>
    <row r="9280" spans="12:20" x14ac:dyDescent="0.2">
      <c r="L9280" s="43"/>
      <c r="M9280" s="43"/>
      <c r="N9280" s="43"/>
      <c r="O9280" s="43"/>
      <c r="Q9280" s="44"/>
      <c r="R9280" s="44"/>
      <c r="S9280" s="44"/>
      <c r="T9280" s="44"/>
    </row>
    <row r="9281" spans="12:20" x14ac:dyDescent="0.2">
      <c r="L9281" s="43"/>
      <c r="M9281" s="43"/>
      <c r="N9281" s="43"/>
      <c r="O9281" s="43"/>
      <c r="Q9281" s="44"/>
      <c r="R9281" s="44"/>
      <c r="S9281" s="44"/>
      <c r="T9281" s="44"/>
    </row>
    <row r="9282" spans="12:20" x14ac:dyDescent="0.2">
      <c r="L9282" s="43"/>
      <c r="M9282" s="43"/>
      <c r="N9282" s="43"/>
      <c r="O9282" s="43"/>
      <c r="Q9282" s="44"/>
      <c r="R9282" s="44"/>
      <c r="S9282" s="44"/>
      <c r="T9282" s="44"/>
    </row>
    <row r="9283" spans="12:20" x14ac:dyDescent="0.2">
      <c r="L9283" s="43"/>
      <c r="M9283" s="43"/>
      <c r="N9283" s="43"/>
      <c r="O9283" s="43"/>
      <c r="Q9283" s="44"/>
      <c r="R9283" s="44"/>
      <c r="S9283" s="44"/>
      <c r="T9283" s="44"/>
    </row>
    <row r="9284" spans="12:20" x14ac:dyDescent="0.2">
      <c r="L9284" s="43"/>
      <c r="M9284" s="43"/>
      <c r="N9284" s="43"/>
      <c r="O9284" s="43"/>
      <c r="Q9284" s="44"/>
      <c r="R9284" s="44"/>
      <c r="S9284" s="44"/>
      <c r="T9284" s="44"/>
    </row>
    <row r="9285" spans="12:20" x14ac:dyDescent="0.2">
      <c r="L9285" s="43"/>
      <c r="M9285" s="43"/>
      <c r="N9285" s="43"/>
      <c r="O9285" s="43"/>
      <c r="Q9285" s="44"/>
      <c r="R9285" s="44"/>
      <c r="S9285" s="44"/>
      <c r="T9285" s="44"/>
    </row>
    <row r="9286" spans="12:20" x14ac:dyDescent="0.2">
      <c r="L9286" s="43"/>
      <c r="M9286" s="43"/>
      <c r="N9286" s="43"/>
      <c r="O9286" s="43"/>
      <c r="Q9286" s="44"/>
      <c r="R9286" s="44"/>
      <c r="S9286" s="44"/>
      <c r="T9286" s="44"/>
    </row>
    <row r="9287" spans="12:20" x14ac:dyDescent="0.2">
      <c r="L9287" s="43"/>
      <c r="M9287" s="43"/>
      <c r="N9287" s="43"/>
      <c r="O9287" s="43"/>
      <c r="Q9287" s="44"/>
      <c r="R9287" s="44"/>
      <c r="S9287" s="44"/>
      <c r="T9287" s="44"/>
    </row>
    <row r="9288" spans="12:20" x14ac:dyDescent="0.2">
      <c r="L9288" s="43"/>
      <c r="M9288" s="43"/>
      <c r="N9288" s="43"/>
      <c r="O9288" s="43"/>
      <c r="Q9288" s="44"/>
      <c r="R9288" s="44"/>
      <c r="S9288" s="44"/>
      <c r="T9288" s="44"/>
    </row>
    <row r="9289" spans="12:20" x14ac:dyDescent="0.2">
      <c r="L9289" s="43"/>
      <c r="M9289" s="43"/>
      <c r="N9289" s="43"/>
      <c r="O9289" s="43"/>
      <c r="Q9289" s="44"/>
      <c r="R9289" s="44"/>
      <c r="S9289" s="44"/>
      <c r="T9289" s="44"/>
    </row>
    <row r="9290" spans="12:20" x14ac:dyDescent="0.2">
      <c r="L9290" s="43"/>
      <c r="M9290" s="43"/>
      <c r="N9290" s="43"/>
      <c r="O9290" s="43"/>
      <c r="Q9290" s="44"/>
      <c r="R9290" s="44"/>
      <c r="S9290" s="44"/>
      <c r="T9290" s="44"/>
    </row>
    <row r="9291" spans="12:20" x14ac:dyDescent="0.2">
      <c r="L9291" s="43"/>
      <c r="M9291" s="43"/>
      <c r="N9291" s="43"/>
      <c r="O9291" s="43"/>
      <c r="Q9291" s="44"/>
      <c r="R9291" s="44"/>
      <c r="S9291" s="44"/>
      <c r="T9291" s="44"/>
    </row>
    <row r="9292" spans="12:20" x14ac:dyDescent="0.2">
      <c r="L9292" s="43"/>
      <c r="M9292" s="43"/>
      <c r="N9292" s="43"/>
      <c r="O9292" s="43"/>
      <c r="Q9292" s="44"/>
      <c r="R9292" s="44"/>
      <c r="S9292" s="44"/>
      <c r="T9292" s="44"/>
    </row>
    <row r="9293" spans="12:20" x14ac:dyDescent="0.2">
      <c r="L9293" s="43"/>
      <c r="M9293" s="43"/>
      <c r="N9293" s="43"/>
      <c r="O9293" s="43"/>
      <c r="Q9293" s="44"/>
      <c r="R9293" s="44"/>
      <c r="S9293" s="44"/>
      <c r="T9293" s="44"/>
    </row>
    <row r="9294" spans="12:20" x14ac:dyDescent="0.2">
      <c r="L9294" s="43"/>
      <c r="M9294" s="43"/>
      <c r="N9294" s="43"/>
      <c r="O9294" s="43"/>
      <c r="Q9294" s="44"/>
      <c r="R9294" s="44"/>
      <c r="S9294" s="44"/>
      <c r="T9294" s="44"/>
    </row>
    <row r="9295" spans="12:20" x14ac:dyDescent="0.2">
      <c r="L9295" s="43"/>
      <c r="M9295" s="43"/>
      <c r="N9295" s="43"/>
      <c r="O9295" s="43"/>
      <c r="Q9295" s="44"/>
      <c r="R9295" s="44"/>
      <c r="S9295" s="44"/>
      <c r="T9295" s="44"/>
    </row>
    <row r="9296" spans="12:20" x14ac:dyDescent="0.2">
      <c r="L9296" s="43"/>
      <c r="M9296" s="43"/>
      <c r="N9296" s="43"/>
      <c r="O9296" s="43"/>
      <c r="Q9296" s="44"/>
      <c r="R9296" s="44"/>
      <c r="S9296" s="44"/>
      <c r="T9296" s="44"/>
    </row>
    <row r="9297" spans="12:20" x14ac:dyDescent="0.2">
      <c r="L9297" s="43"/>
      <c r="M9297" s="43"/>
      <c r="N9297" s="43"/>
      <c r="O9297" s="43"/>
      <c r="Q9297" s="44"/>
      <c r="R9297" s="44"/>
      <c r="S9297" s="44"/>
      <c r="T9297" s="44"/>
    </row>
    <row r="9298" spans="12:20" x14ac:dyDescent="0.2">
      <c r="L9298" s="43"/>
      <c r="M9298" s="43"/>
      <c r="N9298" s="43"/>
      <c r="O9298" s="43"/>
      <c r="Q9298" s="44"/>
      <c r="R9298" s="44"/>
      <c r="S9298" s="44"/>
      <c r="T9298" s="44"/>
    </row>
    <row r="9299" spans="12:20" x14ac:dyDescent="0.2">
      <c r="L9299" s="43"/>
      <c r="M9299" s="43"/>
      <c r="N9299" s="43"/>
      <c r="O9299" s="43"/>
      <c r="Q9299" s="44"/>
      <c r="R9299" s="44"/>
      <c r="S9299" s="44"/>
      <c r="T9299" s="44"/>
    </row>
    <row r="9300" spans="12:20" x14ac:dyDescent="0.2">
      <c r="L9300" s="43"/>
      <c r="M9300" s="43"/>
      <c r="N9300" s="43"/>
      <c r="O9300" s="43"/>
      <c r="Q9300" s="44"/>
      <c r="R9300" s="44"/>
      <c r="S9300" s="44"/>
      <c r="T9300" s="44"/>
    </row>
    <row r="9301" spans="12:20" x14ac:dyDescent="0.2">
      <c r="L9301" s="43"/>
      <c r="M9301" s="43"/>
      <c r="N9301" s="43"/>
      <c r="O9301" s="43"/>
      <c r="Q9301" s="44"/>
      <c r="R9301" s="44"/>
      <c r="S9301" s="44"/>
      <c r="T9301" s="44"/>
    </row>
    <row r="9302" spans="12:20" x14ac:dyDescent="0.2">
      <c r="L9302" s="43"/>
      <c r="M9302" s="43"/>
      <c r="N9302" s="43"/>
      <c r="O9302" s="43"/>
      <c r="Q9302" s="44"/>
      <c r="R9302" s="44"/>
      <c r="S9302" s="44"/>
      <c r="T9302" s="44"/>
    </row>
    <row r="9303" spans="12:20" x14ac:dyDescent="0.2">
      <c r="L9303" s="43"/>
      <c r="M9303" s="43"/>
      <c r="N9303" s="43"/>
      <c r="O9303" s="43"/>
      <c r="Q9303" s="44"/>
      <c r="R9303" s="44"/>
      <c r="S9303" s="44"/>
      <c r="T9303" s="44"/>
    </row>
    <row r="9304" spans="12:20" x14ac:dyDescent="0.2">
      <c r="L9304" s="43"/>
      <c r="M9304" s="43"/>
      <c r="N9304" s="43"/>
      <c r="O9304" s="43"/>
      <c r="Q9304" s="44"/>
      <c r="R9304" s="44"/>
      <c r="S9304" s="44"/>
      <c r="T9304" s="44"/>
    </row>
    <row r="9305" spans="12:20" x14ac:dyDescent="0.2">
      <c r="L9305" s="43"/>
      <c r="M9305" s="43"/>
      <c r="N9305" s="43"/>
      <c r="O9305" s="43"/>
      <c r="Q9305" s="44"/>
      <c r="R9305" s="44"/>
      <c r="S9305" s="44"/>
      <c r="T9305" s="44"/>
    </row>
    <row r="9306" spans="12:20" x14ac:dyDescent="0.2">
      <c r="L9306" s="43"/>
      <c r="M9306" s="43"/>
      <c r="N9306" s="43"/>
      <c r="O9306" s="43"/>
      <c r="Q9306" s="44"/>
      <c r="R9306" s="44"/>
      <c r="S9306" s="44"/>
      <c r="T9306" s="44"/>
    </row>
    <row r="9307" spans="12:20" x14ac:dyDescent="0.2">
      <c r="L9307" s="43"/>
      <c r="M9307" s="43"/>
      <c r="N9307" s="43"/>
      <c r="O9307" s="43"/>
      <c r="Q9307" s="44"/>
      <c r="R9307" s="44"/>
      <c r="S9307" s="44"/>
      <c r="T9307" s="44"/>
    </row>
    <row r="9308" spans="12:20" x14ac:dyDescent="0.2">
      <c r="L9308" s="43"/>
      <c r="M9308" s="43"/>
      <c r="N9308" s="43"/>
      <c r="O9308" s="43"/>
      <c r="Q9308" s="44"/>
      <c r="R9308" s="44"/>
      <c r="S9308" s="44"/>
      <c r="T9308" s="44"/>
    </row>
    <row r="9309" spans="12:20" x14ac:dyDescent="0.2">
      <c r="L9309" s="43"/>
      <c r="M9309" s="43"/>
      <c r="N9309" s="43"/>
      <c r="O9309" s="43"/>
      <c r="Q9309" s="44"/>
      <c r="R9309" s="44"/>
      <c r="S9309" s="44"/>
      <c r="T9309" s="44"/>
    </row>
    <row r="9310" spans="12:20" x14ac:dyDescent="0.2">
      <c r="L9310" s="43"/>
      <c r="M9310" s="43"/>
      <c r="N9310" s="43"/>
      <c r="O9310" s="43"/>
      <c r="Q9310" s="44"/>
      <c r="R9310" s="44"/>
      <c r="S9310" s="44"/>
      <c r="T9310" s="44"/>
    </row>
    <row r="9311" spans="12:20" x14ac:dyDescent="0.2">
      <c r="L9311" s="43"/>
      <c r="M9311" s="43"/>
      <c r="N9311" s="43"/>
      <c r="O9311" s="43"/>
      <c r="Q9311" s="44"/>
      <c r="R9311" s="44"/>
      <c r="S9311" s="44"/>
      <c r="T9311" s="44"/>
    </row>
    <row r="9312" spans="12:20" x14ac:dyDescent="0.2">
      <c r="L9312" s="43"/>
      <c r="M9312" s="43"/>
      <c r="N9312" s="43"/>
      <c r="O9312" s="43"/>
      <c r="Q9312" s="44"/>
      <c r="R9312" s="44"/>
      <c r="S9312" s="44"/>
      <c r="T9312" s="44"/>
    </row>
    <row r="9313" spans="12:20" x14ac:dyDescent="0.2">
      <c r="L9313" s="43"/>
      <c r="M9313" s="43"/>
      <c r="N9313" s="43"/>
      <c r="O9313" s="43"/>
      <c r="Q9313" s="44"/>
      <c r="R9313" s="44"/>
      <c r="S9313" s="44"/>
      <c r="T9313" s="44"/>
    </row>
    <row r="9314" spans="12:20" x14ac:dyDescent="0.2">
      <c r="L9314" s="43"/>
      <c r="M9314" s="43"/>
      <c r="N9314" s="43"/>
      <c r="O9314" s="43"/>
      <c r="Q9314" s="44"/>
      <c r="R9314" s="44"/>
      <c r="S9314" s="44"/>
      <c r="T9314" s="44"/>
    </row>
    <row r="9315" spans="12:20" x14ac:dyDescent="0.2">
      <c r="L9315" s="43"/>
      <c r="M9315" s="43"/>
      <c r="N9315" s="43"/>
      <c r="O9315" s="43"/>
      <c r="Q9315" s="44"/>
      <c r="R9315" s="44"/>
      <c r="S9315" s="44"/>
      <c r="T9315" s="44"/>
    </row>
    <row r="9316" spans="12:20" x14ac:dyDescent="0.2">
      <c r="L9316" s="43"/>
      <c r="M9316" s="43"/>
      <c r="N9316" s="43"/>
      <c r="O9316" s="43"/>
      <c r="Q9316" s="44"/>
      <c r="R9316" s="44"/>
      <c r="S9316" s="44"/>
      <c r="T9316" s="44"/>
    </row>
    <row r="9317" spans="12:20" x14ac:dyDescent="0.2">
      <c r="L9317" s="43"/>
      <c r="M9317" s="43"/>
      <c r="N9317" s="43"/>
      <c r="O9317" s="43"/>
      <c r="Q9317" s="44"/>
      <c r="R9317" s="44"/>
      <c r="S9317" s="44"/>
      <c r="T9317" s="44"/>
    </row>
    <row r="9318" spans="12:20" x14ac:dyDescent="0.2">
      <c r="L9318" s="43"/>
      <c r="M9318" s="43"/>
      <c r="N9318" s="43"/>
      <c r="O9318" s="43"/>
      <c r="Q9318" s="44"/>
      <c r="R9318" s="44"/>
      <c r="S9318" s="44"/>
      <c r="T9318" s="44"/>
    </row>
    <row r="9319" spans="12:20" x14ac:dyDescent="0.2">
      <c r="L9319" s="43"/>
      <c r="M9319" s="43"/>
      <c r="N9319" s="43"/>
      <c r="O9319" s="43"/>
      <c r="Q9319" s="44"/>
      <c r="R9319" s="44"/>
      <c r="S9319" s="44"/>
      <c r="T9319" s="44"/>
    </row>
    <row r="9320" spans="12:20" x14ac:dyDescent="0.2">
      <c r="L9320" s="43"/>
      <c r="M9320" s="43"/>
      <c r="N9320" s="43"/>
      <c r="O9320" s="43"/>
      <c r="Q9320" s="44"/>
      <c r="R9320" s="44"/>
      <c r="S9320" s="44"/>
      <c r="T9320" s="44"/>
    </row>
    <row r="9321" spans="12:20" x14ac:dyDescent="0.2">
      <c r="L9321" s="43"/>
      <c r="M9321" s="43"/>
      <c r="N9321" s="43"/>
      <c r="O9321" s="43"/>
      <c r="Q9321" s="44"/>
      <c r="R9321" s="44"/>
      <c r="S9321" s="44"/>
      <c r="T9321" s="44"/>
    </row>
    <row r="9322" spans="12:20" x14ac:dyDescent="0.2">
      <c r="L9322" s="43"/>
      <c r="M9322" s="43"/>
      <c r="N9322" s="43"/>
      <c r="O9322" s="43"/>
      <c r="Q9322" s="44"/>
      <c r="R9322" s="44"/>
      <c r="S9322" s="44"/>
      <c r="T9322" s="44"/>
    </row>
    <row r="9323" spans="12:20" x14ac:dyDescent="0.2">
      <c r="L9323" s="43"/>
      <c r="M9323" s="43"/>
      <c r="N9323" s="43"/>
      <c r="O9323" s="43"/>
      <c r="Q9323" s="44"/>
      <c r="R9323" s="44"/>
      <c r="S9323" s="44"/>
      <c r="T9323" s="44"/>
    </row>
    <row r="9324" spans="12:20" x14ac:dyDescent="0.2">
      <c r="L9324" s="43"/>
      <c r="M9324" s="43"/>
      <c r="N9324" s="43"/>
      <c r="O9324" s="43"/>
      <c r="Q9324" s="44"/>
      <c r="R9324" s="44"/>
      <c r="S9324" s="44"/>
      <c r="T9324" s="44"/>
    </row>
    <row r="9325" spans="12:20" x14ac:dyDescent="0.2">
      <c r="L9325" s="43"/>
      <c r="M9325" s="43"/>
      <c r="N9325" s="43"/>
      <c r="O9325" s="43"/>
      <c r="Q9325" s="44"/>
      <c r="R9325" s="44"/>
      <c r="S9325" s="44"/>
      <c r="T9325" s="44"/>
    </row>
    <row r="9326" spans="12:20" x14ac:dyDescent="0.2">
      <c r="L9326" s="43"/>
      <c r="M9326" s="43"/>
      <c r="N9326" s="43"/>
      <c r="O9326" s="43"/>
      <c r="Q9326" s="44"/>
      <c r="R9326" s="44"/>
      <c r="S9326" s="44"/>
      <c r="T9326" s="44"/>
    </row>
    <row r="9327" spans="12:20" x14ac:dyDescent="0.2">
      <c r="L9327" s="43"/>
      <c r="M9327" s="43"/>
      <c r="N9327" s="43"/>
      <c r="O9327" s="43"/>
      <c r="Q9327" s="44"/>
      <c r="R9327" s="44"/>
      <c r="S9327" s="44"/>
      <c r="T9327" s="44"/>
    </row>
    <row r="9328" spans="12:20" x14ac:dyDescent="0.2">
      <c r="L9328" s="43"/>
      <c r="M9328" s="43"/>
      <c r="N9328" s="43"/>
      <c r="O9328" s="43"/>
      <c r="Q9328" s="44"/>
      <c r="R9328" s="44"/>
      <c r="S9328" s="44"/>
      <c r="T9328" s="44"/>
    </row>
    <row r="9329" spans="12:20" x14ac:dyDescent="0.2">
      <c r="L9329" s="43"/>
      <c r="M9329" s="43"/>
      <c r="N9329" s="43"/>
      <c r="O9329" s="43"/>
      <c r="Q9329" s="44"/>
      <c r="R9329" s="44"/>
      <c r="S9329" s="44"/>
      <c r="T9329" s="44"/>
    </row>
    <row r="9330" spans="12:20" x14ac:dyDescent="0.2">
      <c r="L9330" s="43"/>
      <c r="M9330" s="43"/>
      <c r="N9330" s="43"/>
      <c r="O9330" s="43"/>
      <c r="Q9330" s="44"/>
      <c r="R9330" s="44"/>
      <c r="S9330" s="44"/>
      <c r="T9330" s="44"/>
    </row>
    <row r="9331" spans="12:20" x14ac:dyDescent="0.2">
      <c r="L9331" s="43"/>
      <c r="M9331" s="43"/>
      <c r="N9331" s="43"/>
      <c r="O9331" s="43"/>
      <c r="Q9331" s="44"/>
      <c r="R9331" s="44"/>
      <c r="S9331" s="44"/>
      <c r="T9331" s="44"/>
    </row>
    <row r="9332" spans="12:20" x14ac:dyDescent="0.2">
      <c r="L9332" s="43"/>
      <c r="M9332" s="43"/>
      <c r="N9332" s="43"/>
      <c r="O9332" s="43"/>
      <c r="Q9332" s="44"/>
      <c r="R9332" s="44"/>
      <c r="S9332" s="44"/>
      <c r="T9332" s="44"/>
    </row>
    <row r="9333" spans="12:20" x14ac:dyDescent="0.2">
      <c r="L9333" s="43"/>
      <c r="M9333" s="43"/>
      <c r="N9333" s="43"/>
      <c r="O9333" s="43"/>
      <c r="Q9333" s="44"/>
      <c r="R9333" s="44"/>
      <c r="S9333" s="44"/>
      <c r="T9333" s="44"/>
    </row>
    <row r="9334" spans="12:20" x14ac:dyDescent="0.2">
      <c r="L9334" s="43"/>
      <c r="M9334" s="43"/>
      <c r="N9334" s="43"/>
      <c r="O9334" s="43"/>
      <c r="Q9334" s="44"/>
      <c r="R9334" s="44"/>
      <c r="S9334" s="44"/>
      <c r="T9334" s="44"/>
    </row>
    <row r="9335" spans="12:20" x14ac:dyDescent="0.2">
      <c r="L9335" s="43"/>
      <c r="M9335" s="43"/>
      <c r="N9335" s="43"/>
      <c r="O9335" s="43"/>
      <c r="Q9335" s="44"/>
      <c r="R9335" s="44"/>
      <c r="S9335" s="44"/>
      <c r="T9335" s="44"/>
    </row>
    <row r="9336" spans="12:20" x14ac:dyDescent="0.2">
      <c r="L9336" s="43"/>
      <c r="M9336" s="43"/>
      <c r="N9336" s="43"/>
      <c r="O9336" s="43"/>
      <c r="Q9336" s="44"/>
      <c r="R9336" s="44"/>
      <c r="S9336" s="44"/>
      <c r="T9336" s="44"/>
    </row>
    <row r="9337" spans="12:20" x14ac:dyDescent="0.2">
      <c r="L9337" s="43"/>
      <c r="M9337" s="43"/>
      <c r="N9337" s="43"/>
      <c r="O9337" s="43"/>
      <c r="Q9337" s="44"/>
      <c r="R9337" s="44"/>
      <c r="S9337" s="44"/>
      <c r="T9337" s="44"/>
    </row>
    <row r="9338" spans="12:20" x14ac:dyDescent="0.2">
      <c r="L9338" s="43"/>
      <c r="M9338" s="43"/>
      <c r="N9338" s="43"/>
      <c r="O9338" s="43"/>
      <c r="Q9338" s="44"/>
      <c r="R9338" s="44"/>
      <c r="S9338" s="44"/>
      <c r="T9338" s="44"/>
    </row>
    <row r="9339" spans="12:20" x14ac:dyDescent="0.2">
      <c r="L9339" s="43"/>
      <c r="M9339" s="43"/>
      <c r="N9339" s="43"/>
      <c r="O9339" s="43"/>
      <c r="Q9339" s="44"/>
      <c r="R9339" s="44"/>
      <c r="S9339" s="44"/>
      <c r="T9339" s="44"/>
    </row>
    <row r="9340" spans="12:20" x14ac:dyDescent="0.2">
      <c r="L9340" s="43"/>
      <c r="M9340" s="43"/>
      <c r="N9340" s="43"/>
      <c r="O9340" s="43"/>
      <c r="Q9340" s="44"/>
      <c r="R9340" s="44"/>
      <c r="S9340" s="44"/>
      <c r="T9340" s="44"/>
    </row>
    <row r="9341" spans="12:20" x14ac:dyDescent="0.2">
      <c r="L9341" s="43"/>
      <c r="M9341" s="43"/>
      <c r="N9341" s="43"/>
      <c r="O9341" s="43"/>
      <c r="Q9341" s="44"/>
      <c r="R9341" s="44"/>
      <c r="S9341" s="44"/>
      <c r="T9341" s="44"/>
    </row>
    <row r="9342" spans="12:20" x14ac:dyDescent="0.2">
      <c r="L9342" s="43"/>
      <c r="M9342" s="43"/>
      <c r="N9342" s="43"/>
      <c r="O9342" s="43"/>
      <c r="Q9342" s="44"/>
      <c r="R9342" s="44"/>
      <c r="S9342" s="44"/>
      <c r="T9342" s="44"/>
    </row>
    <row r="9343" spans="12:20" x14ac:dyDescent="0.2">
      <c r="L9343" s="43"/>
      <c r="M9343" s="43"/>
      <c r="N9343" s="43"/>
      <c r="O9343" s="43"/>
      <c r="Q9343" s="44"/>
      <c r="R9343" s="44"/>
      <c r="S9343" s="44"/>
      <c r="T9343" s="44"/>
    </row>
    <row r="9344" spans="12:20" x14ac:dyDescent="0.2">
      <c r="L9344" s="43"/>
      <c r="M9344" s="43"/>
      <c r="N9344" s="43"/>
      <c r="O9344" s="43"/>
      <c r="Q9344" s="44"/>
      <c r="R9344" s="44"/>
      <c r="S9344" s="44"/>
      <c r="T9344" s="44"/>
    </row>
    <row r="9345" spans="12:20" x14ac:dyDescent="0.2">
      <c r="L9345" s="43"/>
      <c r="M9345" s="43"/>
      <c r="N9345" s="43"/>
      <c r="O9345" s="43"/>
      <c r="Q9345" s="44"/>
      <c r="R9345" s="44"/>
      <c r="S9345" s="44"/>
      <c r="T9345" s="44"/>
    </row>
    <row r="9346" spans="12:20" x14ac:dyDescent="0.2">
      <c r="L9346" s="43"/>
      <c r="M9346" s="43"/>
      <c r="N9346" s="43"/>
      <c r="O9346" s="43"/>
      <c r="Q9346" s="44"/>
      <c r="R9346" s="44"/>
      <c r="S9346" s="44"/>
      <c r="T9346" s="44"/>
    </row>
    <row r="9347" spans="12:20" x14ac:dyDescent="0.2">
      <c r="L9347" s="43"/>
      <c r="M9347" s="43"/>
      <c r="N9347" s="43"/>
      <c r="O9347" s="43"/>
      <c r="Q9347" s="44"/>
      <c r="R9347" s="44"/>
      <c r="S9347" s="44"/>
      <c r="T9347" s="44"/>
    </row>
    <row r="9348" spans="12:20" x14ac:dyDescent="0.2">
      <c r="L9348" s="43"/>
      <c r="M9348" s="43"/>
      <c r="N9348" s="43"/>
      <c r="O9348" s="43"/>
      <c r="Q9348" s="44"/>
      <c r="R9348" s="44"/>
      <c r="S9348" s="44"/>
      <c r="T9348" s="44"/>
    </row>
    <row r="9349" spans="12:20" x14ac:dyDescent="0.2">
      <c r="L9349" s="43"/>
      <c r="M9349" s="43"/>
      <c r="N9349" s="43"/>
      <c r="O9349" s="43"/>
      <c r="Q9349" s="44"/>
      <c r="R9349" s="44"/>
      <c r="S9349" s="44"/>
      <c r="T9349" s="44"/>
    </row>
    <row r="9350" spans="12:20" x14ac:dyDescent="0.2">
      <c r="L9350" s="43"/>
      <c r="M9350" s="43"/>
      <c r="N9350" s="43"/>
      <c r="O9350" s="43"/>
      <c r="Q9350" s="44"/>
      <c r="R9350" s="44"/>
      <c r="S9350" s="44"/>
      <c r="T9350" s="44"/>
    </row>
    <row r="9351" spans="12:20" x14ac:dyDescent="0.2">
      <c r="L9351" s="43"/>
      <c r="M9351" s="43"/>
      <c r="N9351" s="43"/>
      <c r="O9351" s="43"/>
      <c r="Q9351" s="44"/>
      <c r="R9351" s="44"/>
      <c r="S9351" s="44"/>
      <c r="T9351" s="44"/>
    </row>
    <row r="9352" spans="12:20" x14ac:dyDescent="0.2">
      <c r="L9352" s="43"/>
      <c r="M9352" s="43"/>
      <c r="N9352" s="43"/>
      <c r="O9352" s="43"/>
      <c r="Q9352" s="44"/>
      <c r="R9352" s="44"/>
      <c r="S9352" s="44"/>
      <c r="T9352" s="44"/>
    </row>
    <row r="9353" spans="12:20" x14ac:dyDescent="0.2">
      <c r="L9353" s="43"/>
      <c r="M9353" s="43"/>
      <c r="N9353" s="43"/>
      <c r="O9353" s="43"/>
      <c r="Q9353" s="44"/>
      <c r="R9353" s="44"/>
      <c r="S9353" s="44"/>
      <c r="T9353" s="44"/>
    </row>
    <row r="9354" spans="12:20" x14ac:dyDescent="0.2">
      <c r="L9354" s="43"/>
      <c r="M9354" s="43"/>
      <c r="N9354" s="43"/>
      <c r="O9354" s="43"/>
      <c r="Q9354" s="44"/>
      <c r="R9354" s="44"/>
      <c r="S9354" s="44"/>
      <c r="T9354" s="44"/>
    </row>
    <row r="9355" spans="12:20" x14ac:dyDescent="0.2">
      <c r="L9355" s="43"/>
      <c r="M9355" s="43"/>
      <c r="N9355" s="43"/>
      <c r="O9355" s="43"/>
      <c r="Q9355" s="44"/>
      <c r="R9355" s="44"/>
      <c r="S9355" s="44"/>
      <c r="T9355" s="44"/>
    </row>
    <row r="9356" spans="12:20" x14ac:dyDescent="0.2">
      <c r="L9356" s="43"/>
      <c r="M9356" s="43"/>
      <c r="N9356" s="43"/>
      <c r="O9356" s="43"/>
      <c r="Q9356" s="44"/>
      <c r="R9356" s="44"/>
      <c r="S9356" s="44"/>
      <c r="T9356" s="44"/>
    </row>
    <row r="9357" spans="12:20" x14ac:dyDescent="0.2">
      <c r="L9357" s="43"/>
      <c r="M9357" s="43"/>
      <c r="N9357" s="43"/>
      <c r="O9357" s="43"/>
      <c r="Q9357" s="44"/>
      <c r="R9357" s="44"/>
      <c r="S9357" s="44"/>
      <c r="T9357" s="44"/>
    </row>
    <row r="9358" spans="12:20" x14ac:dyDescent="0.2">
      <c r="L9358" s="43"/>
      <c r="M9358" s="43"/>
      <c r="N9358" s="43"/>
      <c r="O9358" s="43"/>
      <c r="Q9358" s="44"/>
      <c r="R9358" s="44"/>
      <c r="S9358" s="44"/>
      <c r="T9358" s="44"/>
    </row>
    <row r="9359" spans="12:20" x14ac:dyDescent="0.2">
      <c r="L9359" s="43"/>
      <c r="M9359" s="43"/>
      <c r="N9359" s="43"/>
      <c r="O9359" s="43"/>
      <c r="Q9359" s="44"/>
      <c r="R9359" s="44"/>
      <c r="S9359" s="44"/>
      <c r="T9359" s="44"/>
    </row>
    <row r="9360" spans="12:20" x14ac:dyDescent="0.2">
      <c r="L9360" s="43"/>
      <c r="M9360" s="43"/>
      <c r="N9360" s="43"/>
      <c r="O9360" s="43"/>
      <c r="Q9360" s="44"/>
      <c r="R9360" s="44"/>
      <c r="S9360" s="44"/>
      <c r="T9360" s="44"/>
    </row>
    <row r="9361" spans="12:20" x14ac:dyDescent="0.2">
      <c r="L9361" s="43"/>
      <c r="M9361" s="43"/>
      <c r="N9361" s="43"/>
      <c r="O9361" s="43"/>
      <c r="Q9361" s="44"/>
      <c r="R9361" s="44"/>
      <c r="S9361" s="44"/>
      <c r="T9361" s="44"/>
    </row>
    <row r="9362" spans="12:20" x14ac:dyDescent="0.2">
      <c r="L9362" s="43"/>
      <c r="M9362" s="43"/>
      <c r="N9362" s="43"/>
      <c r="O9362" s="43"/>
      <c r="Q9362" s="44"/>
      <c r="R9362" s="44"/>
      <c r="S9362" s="44"/>
      <c r="T9362" s="44"/>
    </row>
    <row r="9363" spans="12:20" x14ac:dyDescent="0.2">
      <c r="L9363" s="43"/>
      <c r="M9363" s="43"/>
      <c r="N9363" s="43"/>
      <c r="O9363" s="43"/>
      <c r="Q9363" s="44"/>
      <c r="R9363" s="44"/>
      <c r="S9363" s="44"/>
      <c r="T9363" s="44"/>
    </row>
    <row r="9364" spans="12:20" x14ac:dyDescent="0.2">
      <c r="L9364" s="43"/>
      <c r="M9364" s="43"/>
      <c r="N9364" s="43"/>
      <c r="O9364" s="43"/>
      <c r="Q9364" s="44"/>
      <c r="R9364" s="44"/>
      <c r="S9364" s="44"/>
      <c r="T9364" s="44"/>
    </row>
    <row r="9365" spans="12:20" x14ac:dyDescent="0.2">
      <c r="L9365" s="43"/>
      <c r="M9365" s="43"/>
      <c r="N9365" s="43"/>
      <c r="O9365" s="43"/>
      <c r="Q9365" s="44"/>
      <c r="R9365" s="44"/>
      <c r="S9365" s="44"/>
      <c r="T9365" s="44"/>
    </row>
    <row r="9366" spans="12:20" x14ac:dyDescent="0.2">
      <c r="L9366" s="43"/>
      <c r="M9366" s="43"/>
      <c r="N9366" s="43"/>
      <c r="O9366" s="43"/>
      <c r="Q9366" s="44"/>
      <c r="R9366" s="44"/>
      <c r="S9366" s="44"/>
      <c r="T9366" s="44"/>
    </row>
    <row r="9367" spans="12:20" x14ac:dyDescent="0.2">
      <c r="L9367" s="43"/>
      <c r="M9367" s="43"/>
      <c r="N9367" s="43"/>
      <c r="O9367" s="43"/>
      <c r="Q9367" s="44"/>
      <c r="R9367" s="44"/>
      <c r="S9367" s="44"/>
      <c r="T9367" s="44"/>
    </row>
    <row r="9368" spans="12:20" x14ac:dyDescent="0.2">
      <c r="L9368" s="43"/>
      <c r="M9368" s="43"/>
      <c r="N9368" s="43"/>
      <c r="O9368" s="43"/>
      <c r="Q9368" s="44"/>
      <c r="R9368" s="44"/>
      <c r="S9368" s="44"/>
      <c r="T9368" s="44"/>
    </row>
    <row r="9369" spans="12:20" x14ac:dyDescent="0.2">
      <c r="L9369" s="43"/>
      <c r="M9369" s="43"/>
      <c r="N9369" s="43"/>
      <c r="O9369" s="43"/>
      <c r="Q9369" s="44"/>
      <c r="R9369" s="44"/>
      <c r="S9369" s="44"/>
      <c r="T9369" s="44"/>
    </row>
    <row r="9370" spans="12:20" x14ac:dyDescent="0.2">
      <c r="L9370" s="43"/>
      <c r="M9370" s="43"/>
      <c r="N9370" s="43"/>
      <c r="O9370" s="43"/>
      <c r="Q9370" s="44"/>
      <c r="R9370" s="44"/>
      <c r="S9370" s="44"/>
      <c r="T9370" s="44"/>
    </row>
    <row r="9371" spans="12:20" x14ac:dyDescent="0.2">
      <c r="L9371" s="43"/>
      <c r="M9371" s="43"/>
      <c r="N9371" s="43"/>
      <c r="O9371" s="43"/>
      <c r="Q9371" s="44"/>
      <c r="R9371" s="44"/>
      <c r="S9371" s="44"/>
      <c r="T9371" s="44"/>
    </row>
    <row r="9372" spans="12:20" x14ac:dyDescent="0.2">
      <c r="L9372" s="43"/>
      <c r="M9372" s="43"/>
      <c r="N9372" s="43"/>
      <c r="O9372" s="43"/>
      <c r="Q9372" s="44"/>
      <c r="R9372" s="44"/>
      <c r="S9372" s="44"/>
      <c r="T9372" s="44"/>
    </row>
    <row r="9373" spans="12:20" x14ac:dyDescent="0.2">
      <c r="L9373" s="43"/>
      <c r="M9373" s="43"/>
      <c r="N9373" s="43"/>
      <c r="O9373" s="43"/>
      <c r="Q9373" s="44"/>
      <c r="R9373" s="44"/>
      <c r="S9373" s="44"/>
      <c r="T9373" s="44"/>
    </row>
    <row r="9374" spans="12:20" x14ac:dyDescent="0.2">
      <c r="L9374" s="43"/>
      <c r="M9374" s="43"/>
      <c r="N9374" s="43"/>
      <c r="O9374" s="43"/>
      <c r="Q9374" s="44"/>
      <c r="R9374" s="44"/>
      <c r="S9374" s="44"/>
      <c r="T9374" s="44"/>
    </row>
    <row r="9375" spans="12:20" x14ac:dyDescent="0.2">
      <c r="L9375" s="43"/>
      <c r="M9375" s="43"/>
      <c r="N9375" s="43"/>
      <c r="O9375" s="43"/>
      <c r="Q9375" s="44"/>
      <c r="R9375" s="44"/>
      <c r="S9375" s="44"/>
      <c r="T9375" s="44"/>
    </row>
    <row r="9376" spans="12:20" x14ac:dyDescent="0.2">
      <c r="L9376" s="43"/>
      <c r="M9376" s="43"/>
      <c r="N9376" s="43"/>
      <c r="O9376" s="43"/>
      <c r="Q9376" s="44"/>
      <c r="R9376" s="44"/>
      <c r="S9376" s="44"/>
      <c r="T9376" s="44"/>
    </row>
    <row r="9377" spans="12:20" x14ac:dyDescent="0.2">
      <c r="L9377" s="43"/>
      <c r="M9377" s="43"/>
      <c r="N9377" s="43"/>
      <c r="O9377" s="43"/>
      <c r="Q9377" s="44"/>
      <c r="R9377" s="44"/>
      <c r="S9377" s="44"/>
      <c r="T9377" s="44"/>
    </row>
    <row r="9378" spans="12:20" x14ac:dyDescent="0.2">
      <c r="L9378" s="43"/>
      <c r="M9378" s="43"/>
      <c r="N9378" s="43"/>
      <c r="O9378" s="43"/>
      <c r="Q9378" s="44"/>
      <c r="R9378" s="44"/>
      <c r="S9378" s="44"/>
      <c r="T9378" s="44"/>
    </row>
    <row r="9379" spans="12:20" x14ac:dyDescent="0.2">
      <c r="L9379" s="43"/>
      <c r="M9379" s="43"/>
      <c r="N9379" s="43"/>
      <c r="O9379" s="43"/>
      <c r="Q9379" s="44"/>
      <c r="R9379" s="44"/>
      <c r="S9379" s="44"/>
      <c r="T9379" s="44"/>
    </row>
    <row r="9380" spans="12:20" x14ac:dyDescent="0.2">
      <c r="L9380" s="43"/>
      <c r="M9380" s="43"/>
      <c r="N9380" s="43"/>
      <c r="O9380" s="43"/>
      <c r="Q9380" s="44"/>
      <c r="R9380" s="44"/>
      <c r="S9380" s="44"/>
      <c r="T9380" s="44"/>
    </row>
    <row r="9381" spans="12:20" x14ac:dyDescent="0.2">
      <c r="L9381" s="43"/>
      <c r="M9381" s="43"/>
      <c r="N9381" s="43"/>
      <c r="O9381" s="43"/>
      <c r="Q9381" s="44"/>
      <c r="R9381" s="44"/>
      <c r="S9381" s="44"/>
      <c r="T9381" s="44"/>
    </row>
    <row r="9382" spans="12:20" x14ac:dyDescent="0.2">
      <c r="L9382" s="43"/>
      <c r="M9382" s="43"/>
      <c r="N9382" s="43"/>
      <c r="O9382" s="43"/>
      <c r="Q9382" s="44"/>
      <c r="R9382" s="44"/>
      <c r="S9382" s="44"/>
      <c r="T9382" s="44"/>
    </row>
    <row r="9383" spans="12:20" x14ac:dyDescent="0.2">
      <c r="L9383" s="43"/>
      <c r="M9383" s="43"/>
      <c r="N9383" s="43"/>
      <c r="O9383" s="43"/>
      <c r="Q9383" s="44"/>
      <c r="R9383" s="44"/>
      <c r="S9383" s="44"/>
      <c r="T9383" s="44"/>
    </row>
    <row r="9384" spans="12:20" x14ac:dyDescent="0.2">
      <c r="L9384" s="43"/>
      <c r="M9384" s="43"/>
      <c r="N9384" s="43"/>
      <c r="O9384" s="43"/>
      <c r="Q9384" s="44"/>
      <c r="R9384" s="44"/>
      <c r="S9384" s="44"/>
      <c r="T9384" s="44"/>
    </row>
    <row r="9385" spans="12:20" x14ac:dyDescent="0.2">
      <c r="L9385" s="43"/>
      <c r="M9385" s="43"/>
      <c r="N9385" s="43"/>
      <c r="O9385" s="43"/>
      <c r="Q9385" s="44"/>
      <c r="R9385" s="44"/>
      <c r="S9385" s="44"/>
      <c r="T9385" s="44"/>
    </row>
    <row r="9386" spans="12:20" x14ac:dyDescent="0.2">
      <c r="L9386" s="43"/>
      <c r="M9386" s="43"/>
      <c r="N9386" s="43"/>
      <c r="O9386" s="43"/>
      <c r="Q9386" s="44"/>
      <c r="R9386" s="44"/>
      <c r="S9386" s="44"/>
      <c r="T9386" s="44"/>
    </row>
    <row r="9387" spans="12:20" x14ac:dyDescent="0.2">
      <c r="L9387" s="43"/>
      <c r="M9387" s="43"/>
      <c r="N9387" s="43"/>
      <c r="O9387" s="43"/>
      <c r="Q9387" s="44"/>
      <c r="R9387" s="44"/>
      <c r="S9387" s="44"/>
      <c r="T9387" s="44"/>
    </row>
    <row r="9388" spans="12:20" x14ac:dyDescent="0.2">
      <c r="L9388" s="43"/>
      <c r="M9388" s="43"/>
      <c r="N9388" s="43"/>
      <c r="O9388" s="43"/>
      <c r="Q9388" s="44"/>
      <c r="R9388" s="44"/>
      <c r="S9388" s="44"/>
      <c r="T9388" s="44"/>
    </row>
    <row r="9389" spans="12:20" x14ac:dyDescent="0.2">
      <c r="L9389" s="43"/>
      <c r="M9389" s="43"/>
      <c r="N9389" s="43"/>
      <c r="O9389" s="43"/>
      <c r="Q9389" s="44"/>
      <c r="R9389" s="44"/>
      <c r="S9389" s="44"/>
      <c r="T9389" s="44"/>
    </row>
    <row r="9390" spans="12:20" x14ac:dyDescent="0.2">
      <c r="L9390" s="43"/>
      <c r="M9390" s="43"/>
      <c r="N9390" s="43"/>
      <c r="O9390" s="43"/>
      <c r="Q9390" s="44"/>
      <c r="R9390" s="44"/>
      <c r="S9390" s="44"/>
      <c r="T9390" s="44"/>
    </row>
    <row r="9391" spans="12:20" x14ac:dyDescent="0.2">
      <c r="L9391" s="43"/>
      <c r="M9391" s="43"/>
      <c r="N9391" s="43"/>
      <c r="O9391" s="43"/>
      <c r="Q9391" s="44"/>
      <c r="R9391" s="44"/>
      <c r="S9391" s="44"/>
      <c r="T9391" s="44"/>
    </row>
    <row r="9392" spans="12:20" x14ac:dyDescent="0.2">
      <c r="L9392" s="43"/>
      <c r="M9392" s="43"/>
      <c r="N9392" s="43"/>
      <c r="O9392" s="43"/>
      <c r="Q9392" s="44"/>
      <c r="R9392" s="44"/>
      <c r="S9392" s="44"/>
      <c r="T9392" s="44"/>
    </row>
    <row r="9393" spans="12:20" x14ac:dyDescent="0.2">
      <c r="L9393" s="43"/>
      <c r="M9393" s="43"/>
      <c r="N9393" s="43"/>
      <c r="O9393" s="43"/>
      <c r="Q9393" s="44"/>
      <c r="R9393" s="44"/>
      <c r="S9393" s="44"/>
      <c r="T9393" s="44"/>
    </row>
    <row r="9394" spans="12:20" x14ac:dyDescent="0.2">
      <c r="L9394" s="43"/>
      <c r="M9394" s="43"/>
      <c r="N9394" s="43"/>
      <c r="O9394" s="43"/>
      <c r="Q9394" s="44"/>
      <c r="R9394" s="44"/>
      <c r="S9394" s="44"/>
      <c r="T9394" s="44"/>
    </row>
    <row r="9395" spans="12:20" x14ac:dyDescent="0.2">
      <c r="L9395" s="43"/>
      <c r="M9395" s="43"/>
      <c r="N9395" s="43"/>
      <c r="O9395" s="43"/>
      <c r="Q9395" s="44"/>
      <c r="R9395" s="44"/>
      <c r="S9395" s="44"/>
      <c r="T9395" s="44"/>
    </row>
    <row r="9396" spans="12:20" x14ac:dyDescent="0.2">
      <c r="L9396" s="43"/>
      <c r="M9396" s="43"/>
      <c r="N9396" s="43"/>
      <c r="O9396" s="43"/>
      <c r="Q9396" s="44"/>
      <c r="R9396" s="44"/>
      <c r="S9396" s="44"/>
      <c r="T9396" s="44"/>
    </row>
    <row r="9397" spans="12:20" x14ac:dyDescent="0.2">
      <c r="L9397" s="43"/>
      <c r="M9397" s="43"/>
      <c r="N9397" s="43"/>
      <c r="O9397" s="43"/>
      <c r="Q9397" s="44"/>
      <c r="R9397" s="44"/>
      <c r="S9397" s="44"/>
      <c r="T9397" s="44"/>
    </row>
    <row r="9398" spans="12:20" x14ac:dyDescent="0.2">
      <c r="L9398" s="43"/>
      <c r="M9398" s="43"/>
      <c r="N9398" s="43"/>
      <c r="O9398" s="43"/>
      <c r="Q9398" s="44"/>
      <c r="R9398" s="44"/>
      <c r="S9398" s="44"/>
      <c r="T9398" s="44"/>
    </row>
    <row r="9399" spans="12:20" x14ac:dyDescent="0.2">
      <c r="L9399" s="43"/>
      <c r="M9399" s="43"/>
      <c r="N9399" s="43"/>
      <c r="O9399" s="43"/>
      <c r="Q9399" s="44"/>
      <c r="R9399" s="44"/>
      <c r="S9399" s="44"/>
      <c r="T9399" s="44"/>
    </row>
    <row r="9400" spans="12:20" x14ac:dyDescent="0.2">
      <c r="L9400" s="43"/>
      <c r="M9400" s="43"/>
      <c r="N9400" s="43"/>
      <c r="O9400" s="43"/>
      <c r="Q9400" s="44"/>
      <c r="R9400" s="44"/>
      <c r="S9400" s="44"/>
      <c r="T9400" s="44"/>
    </row>
    <row r="9401" spans="12:20" x14ac:dyDescent="0.2">
      <c r="L9401" s="43"/>
      <c r="M9401" s="43"/>
      <c r="N9401" s="43"/>
      <c r="O9401" s="43"/>
      <c r="Q9401" s="44"/>
      <c r="R9401" s="44"/>
      <c r="S9401" s="44"/>
      <c r="T9401" s="44"/>
    </row>
    <row r="9402" spans="12:20" x14ac:dyDescent="0.2">
      <c r="L9402" s="43"/>
      <c r="M9402" s="43"/>
      <c r="N9402" s="43"/>
      <c r="O9402" s="43"/>
      <c r="Q9402" s="44"/>
      <c r="R9402" s="44"/>
      <c r="S9402" s="44"/>
      <c r="T9402" s="44"/>
    </row>
    <row r="9403" spans="12:20" x14ac:dyDescent="0.2">
      <c r="L9403" s="43"/>
      <c r="M9403" s="43"/>
      <c r="N9403" s="43"/>
      <c r="O9403" s="43"/>
      <c r="Q9403" s="44"/>
      <c r="R9403" s="44"/>
      <c r="S9403" s="44"/>
      <c r="T9403" s="44"/>
    </row>
    <row r="9404" spans="12:20" x14ac:dyDescent="0.2">
      <c r="L9404" s="43"/>
      <c r="M9404" s="43"/>
      <c r="N9404" s="43"/>
      <c r="O9404" s="43"/>
      <c r="Q9404" s="44"/>
      <c r="R9404" s="44"/>
      <c r="S9404" s="44"/>
      <c r="T9404" s="44"/>
    </row>
    <row r="9405" spans="12:20" x14ac:dyDescent="0.2">
      <c r="L9405" s="43"/>
      <c r="M9405" s="43"/>
      <c r="N9405" s="43"/>
      <c r="O9405" s="43"/>
      <c r="Q9405" s="44"/>
      <c r="R9405" s="44"/>
      <c r="S9405" s="44"/>
      <c r="T9405" s="44"/>
    </row>
    <row r="9406" spans="12:20" x14ac:dyDescent="0.2">
      <c r="L9406" s="43"/>
      <c r="M9406" s="43"/>
      <c r="N9406" s="43"/>
      <c r="O9406" s="43"/>
      <c r="Q9406" s="44"/>
      <c r="R9406" s="44"/>
      <c r="S9406" s="44"/>
      <c r="T9406" s="44"/>
    </row>
    <row r="9407" spans="12:20" x14ac:dyDescent="0.2">
      <c r="L9407" s="43"/>
      <c r="M9407" s="43"/>
      <c r="N9407" s="43"/>
      <c r="O9407" s="43"/>
      <c r="Q9407" s="44"/>
      <c r="R9407" s="44"/>
      <c r="S9407" s="44"/>
      <c r="T9407" s="44"/>
    </row>
    <row r="9408" spans="12:20" x14ac:dyDescent="0.2">
      <c r="L9408" s="43"/>
      <c r="M9408" s="43"/>
      <c r="N9408" s="43"/>
      <c r="O9408" s="43"/>
      <c r="Q9408" s="44"/>
      <c r="R9408" s="44"/>
      <c r="S9408" s="44"/>
      <c r="T9408" s="44"/>
    </row>
    <row r="9409" spans="12:20" x14ac:dyDescent="0.2">
      <c r="L9409" s="43"/>
      <c r="M9409" s="43"/>
      <c r="N9409" s="43"/>
      <c r="O9409" s="43"/>
      <c r="Q9409" s="44"/>
      <c r="R9409" s="44"/>
      <c r="S9409" s="44"/>
      <c r="T9409" s="44"/>
    </row>
    <row r="9410" spans="12:20" x14ac:dyDescent="0.2">
      <c r="L9410" s="43"/>
      <c r="M9410" s="43"/>
      <c r="N9410" s="43"/>
      <c r="O9410" s="43"/>
      <c r="Q9410" s="44"/>
      <c r="R9410" s="44"/>
      <c r="S9410" s="44"/>
      <c r="T9410" s="44"/>
    </row>
    <row r="9411" spans="12:20" x14ac:dyDescent="0.2">
      <c r="L9411" s="43"/>
      <c r="M9411" s="43"/>
      <c r="N9411" s="43"/>
      <c r="O9411" s="43"/>
      <c r="Q9411" s="44"/>
      <c r="R9411" s="44"/>
      <c r="S9411" s="44"/>
      <c r="T9411" s="44"/>
    </row>
    <row r="9412" spans="12:20" x14ac:dyDescent="0.2">
      <c r="L9412" s="43"/>
      <c r="M9412" s="43"/>
      <c r="N9412" s="43"/>
      <c r="O9412" s="43"/>
      <c r="Q9412" s="44"/>
      <c r="R9412" s="44"/>
      <c r="S9412" s="44"/>
      <c r="T9412" s="44"/>
    </row>
    <row r="9413" spans="12:20" x14ac:dyDescent="0.2">
      <c r="L9413" s="43"/>
      <c r="M9413" s="43"/>
      <c r="N9413" s="43"/>
      <c r="O9413" s="43"/>
      <c r="Q9413" s="44"/>
      <c r="R9413" s="44"/>
      <c r="S9413" s="44"/>
      <c r="T9413" s="44"/>
    </row>
    <row r="9414" spans="12:20" x14ac:dyDescent="0.2">
      <c r="L9414" s="43"/>
      <c r="M9414" s="43"/>
      <c r="N9414" s="43"/>
      <c r="O9414" s="43"/>
      <c r="Q9414" s="44"/>
      <c r="R9414" s="44"/>
      <c r="S9414" s="44"/>
      <c r="T9414" s="44"/>
    </row>
    <row r="9415" spans="12:20" x14ac:dyDescent="0.2">
      <c r="L9415" s="43"/>
      <c r="M9415" s="43"/>
      <c r="N9415" s="43"/>
      <c r="O9415" s="43"/>
      <c r="Q9415" s="44"/>
      <c r="R9415" s="44"/>
      <c r="S9415" s="44"/>
      <c r="T9415" s="44"/>
    </row>
    <row r="9416" spans="12:20" x14ac:dyDescent="0.2">
      <c r="L9416" s="43"/>
      <c r="M9416" s="43"/>
      <c r="N9416" s="43"/>
      <c r="O9416" s="43"/>
      <c r="Q9416" s="44"/>
      <c r="R9416" s="44"/>
      <c r="S9416" s="44"/>
      <c r="T9416" s="44"/>
    </row>
    <row r="9417" spans="12:20" x14ac:dyDescent="0.2">
      <c r="L9417" s="43"/>
      <c r="M9417" s="43"/>
      <c r="N9417" s="43"/>
      <c r="O9417" s="43"/>
      <c r="Q9417" s="44"/>
      <c r="R9417" s="44"/>
      <c r="S9417" s="44"/>
      <c r="T9417" s="44"/>
    </row>
    <row r="9418" spans="12:20" x14ac:dyDescent="0.2">
      <c r="L9418" s="43"/>
      <c r="M9418" s="43"/>
      <c r="N9418" s="43"/>
      <c r="O9418" s="43"/>
      <c r="Q9418" s="44"/>
      <c r="R9418" s="44"/>
      <c r="S9418" s="44"/>
      <c r="T9418" s="44"/>
    </row>
    <row r="9419" spans="12:20" x14ac:dyDescent="0.2">
      <c r="L9419" s="43"/>
      <c r="M9419" s="43"/>
      <c r="N9419" s="43"/>
      <c r="O9419" s="43"/>
      <c r="Q9419" s="44"/>
      <c r="R9419" s="44"/>
      <c r="S9419" s="44"/>
      <c r="T9419" s="44"/>
    </row>
    <row r="9420" spans="12:20" x14ac:dyDescent="0.2">
      <c r="L9420" s="43"/>
      <c r="M9420" s="43"/>
      <c r="N9420" s="43"/>
      <c r="O9420" s="43"/>
      <c r="Q9420" s="44"/>
      <c r="R9420" s="44"/>
      <c r="S9420" s="44"/>
      <c r="T9420" s="44"/>
    </row>
    <row r="9421" spans="12:20" x14ac:dyDescent="0.2">
      <c r="L9421" s="43"/>
      <c r="M9421" s="43"/>
      <c r="N9421" s="43"/>
      <c r="O9421" s="43"/>
      <c r="Q9421" s="44"/>
      <c r="R9421" s="44"/>
      <c r="S9421" s="44"/>
      <c r="T9421" s="44"/>
    </row>
    <row r="9422" spans="12:20" x14ac:dyDescent="0.2">
      <c r="L9422" s="43"/>
      <c r="M9422" s="43"/>
      <c r="N9422" s="43"/>
      <c r="O9422" s="43"/>
      <c r="Q9422" s="44"/>
      <c r="R9422" s="44"/>
      <c r="S9422" s="44"/>
      <c r="T9422" s="44"/>
    </row>
    <row r="9423" spans="12:20" x14ac:dyDescent="0.2">
      <c r="L9423" s="43"/>
      <c r="M9423" s="43"/>
      <c r="N9423" s="43"/>
      <c r="O9423" s="43"/>
      <c r="Q9423" s="44"/>
      <c r="R9423" s="44"/>
      <c r="S9423" s="44"/>
      <c r="T9423" s="44"/>
    </row>
    <row r="9424" spans="12:20" x14ac:dyDescent="0.2">
      <c r="L9424" s="43"/>
      <c r="M9424" s="43"/>
      <c r="N9424" s="43"/>
      <c r="O9424" s="43"/>
      <c r="Q9424" s="44"/>
      <c r="R9424" s="44"/>
      <c r="S9424" s="44"/>
      <c r="T9424" s="44"/>
    </row>
    <row r="9425" spans="12:20" x14ac:dyDescent="0.2">
      <c r="L9425" s="43"/>
      <c r="M9425" s="43"/>
      <c r="N9425" s="43"/>
      <c r="O9425" s="43"/>
      <c r="Q9425" s="44"/>
      <c r="R9425" s="44"/>
      <c r="S9425" s="44"/>
      <c r="T9425" s="44"/>
    </row>
    <row r="9426" spans="12:20" x14ac:dyDescent="0.2">
      <c r="L9426" s="43"/>
      <c r="M9426" s="43"/>
      <c r="N9426" s="43"/>
      <c r="O9426" s="43"/>
      <c r="Q9426" s="44"/>
      <c r="R9426" s="44"/>
      <c r="S9426" s="44"/>
      <c r="T9426" s="44"/>
    </row>
    <row r="9427" spans="12:20" x14ac:dyDescent="0.2">
      <c r="L9427" s="43"/>
      <c r="M9427" s="43"/>
      <c r="N9427" s="43"/>
      <c r="O9427" s="43"/>
      <c r="Q9427" s="44"/>
      <c r="R9427" s="44"/>
      <c r="S9427" s="44"/>
      <c r="T9427" s="44"/>
    </row>
    <row r="9428" spans="12:20" x14ac:dyDescent="0.2">
      <c r="L9428" s="43"/>
      <c r="M9428" s="43"/>
      <c r="N9428" s="43"/>
      <c r="O9428" s="43"/>
      <c r="Q9428" s="44"/>
      <c r="R9428" s="44"/>
      <c r="S9428" s="44"/>
      <c r="T9428" s="44"/>
    </row>
    <row r="9429" spans="12:20" x14ac:dyDescent="0.2">
      <c r="L9429" s="43"/>
      <c r="M9429" s="43"/>
      <c r="N9429" s="43"/>
      <c r="O9429" s="43"/>
      <c r="Q9429" s="44"/>
      <c r="R9429" s="44"/>
      <c r="S9429" s="44"/>
      <c r="T9429" s="44"/>
    </row>
    <row r="9430" spans="12:20" x14ac:dyDescent="0.2">
      <c r="L9430" s="43"/>
      <c r="M9430" s="43"/>
      <c r="N9430" s="43"/>
      <c r="O9430" s="43"/>
      <c r="Q9430" s="44"/>
      <c r="R9430" s="44"/>
      <c r="S9430" s="44"/>
      <c r="T9430" s="44"/>
    </row>
    <row r="9431" spans="12:20" x14ac:dyDescent="0.2">
      <c r="L9431" s="43"/>
      <c r="M9431" s="43"/>
      <c r="N9431" s="43"/>
      <c r="O9431" s="43"/>
      <c r="Q9431" s="44"/>
      <c r="R9431" s="44"/>
      <c r="S9431" s="44"/>
      <c r="T9431" s="44"/>
    </row>
    <row r="9432" spans="12:20" x14ac:dyDescent="0.2">
      <c r="L9432" s="43"/>
      <c r="M9432" s="43"/>
      <c r="N9432" s="43"/>
      <c r="O9432" s="43"/>
      <c r="Q9432" s="44"/>
      <c r="R9432" s="44"/>
      <c r="S9432" s="44"/>
      <c r="T9432" s="44"/>
    </row>
    <row r="9433" spans="12:20" x14ac:dyDescent="0.2">
      <c r="L9433" s="43"/>
      <c r="M9433" s="43"/>
      <c r="N9433" s="43"/>
      <c r="O9433" s="43"/>
      <c r="Q9433" s="44"/>
      <c r="R9433" s="44"/>
      <c r="S9433" s="44"/>
      <c r="T9433" s="44"/>
    </row>
    <row r="9434" spans="12:20" x14ac:dyDescent="0.2">
      <c r="L9434" s="43"/>
      <c r="M9434" s="43"/>
      <c r="N9434" s="43"/>
      <c r="O9434" s="43"/>
      <c r="Q9434" s="44"/>
      <c r="R9434" s="44"/>
      <c r="S9434" s="44"/>
      <c r="T9434" s="44"/>
    </row>
    <row r="9435" spans="12:20" x14ac:dyDescent="0.2">
      <c r="L9435" s="43"/>
      <c r="M9435" s="43"/>
      <c r="N9435" s="43"/>
      <c r="O9435" s="43"/>
      <c r="Q9435" s="44"/>
      <c r="R9435" s="44"/>
      <c r="S9435" s="44"/>
      <c r="T9435" s="44"/>
    </row>
    <row r="9436" spans="12:20" x14ac:dyDescent="0.2">
      <c r="L9436" s="43"/>
      <c r="M9436" s="43"/>
      <c r="N9436" s="43"/>
      <c r="O9436" s="43"/>
      <c r="Q9436" s="44"/>
      <c r="R9436" s="44"/>
      <c r="S9436" s="44"/>
      <c r="T9436" s="44"/>
    </row>
    <row r="9437" spans="12:20" x14ac:dyDescent="0.2">
      <c r="L9437" s="43"/>
      <c r="M9437" s="43"/>
      <c r="N9437" s="43"/>
      <c r="O9437" s="43"/>
      <c r="Q9437" s="44"/>
      <c r="R9437" s="44"/>
      <c r="S9437" s="44"/>
      <c r="T9437" s="44"/>
    </row>
    <row r="9438" spans="12:20" x14ac:dyDescent="0.2">
      <c r="L9438" s="43"/>
      <c r="M9438" s="43"/>
      <c r="N9438" s="43"/>
      <c r="O9438" s="43"/>
      <c r="Q9438" s="44"/>
      <c r="R9438" s="44"/>
      <c r="S9438" s="44"/>
      <c r="T9438" s="44"/>
    </row>
    <row r="9439" spans="12:20" x14ac:dyDescent="0.2">
      <c r="L9439" s="43"/>
      <c r="M9439" s="43"/>
      <c r="N9439" s="43"/>
      <c r="O9439" s="43"/>
      <c r="Q9439" s="44"/>
      <c r="R9439" s="44"/>
      <c r="S9439" s="44"/>
      <c r="T9439" s="44"/>
    </row>
    <row r="9440" spans="12:20" x14ac:dyDescent="0.2">
      <c r="L9440" s="43"/>
      <c r="M9440" s="43"/>
      <c r="N9440" s="43"/>
      <c r="O9440" s="43"/>
      <c r="Q9440" s="44"/>
      <c r="R9440" s="44"/>
      <c r="S9440" s="44"/>
      <c r="T9440" s="44"/>
    </row>
    <row r="9441" spans="12:20" x14ac:dyDescent="0.2">
      <c r="L9441" s="43"/>
      <c r="M9441" s="43"/>
      <c r="N9441" s="43"/>
      <c r="O9441" s="43"/>
      <c r="Q9441" s="44"/>
      <c r="R9441" s="44"/>
      <c r="S9441" s="44"/>
      <c r="T9441" s="44"/>
    </row>
    <row r="9442" spans="12:20" x14ac:dyDescent="0.2">
      <c r="L9442" s="43"/>
      <c r="M9442" s="43"/>
      <c r="N9442" s="43"/>
      <c r="O9442" s="43"/>
      <c r="Q9442" s="44"/>
      <c r="R9442" s="44"/>
      <c r="S9442" s="44"/>
      <c r="T9442" s="44"/>
    </row>
    <row r="9443" spans="12:20" x14ac:dyDescent="0.2">
      <c r="L9443" s="43"/>
      <c r="M9443" s="43"/>
      <c r="N9443" s="43"/>
      <c r="O9443" s="43"/>
      <c r="Q9443" s="44"/>
      <c r="R9443" s="44"/>
      <c r="S9443" s="44"/>
      <c r="T9443" s="44"/>
    </row>
    <row r="9444" spans="12:20" x14ac:dyDescent="0.2">
      <c r="L9444" s="43"/>
      <c r="M9444" s="43"/>
      <c r="N9444" s="43"/>
      <c r="O9444" s="43"/>
      <c r="Q9444" s="44"/>
      <c r="R9444" s="44"/>
      <c r="S9444" s="44"/>
      <c r="T9444" s="44"/>
    </row>
    <row r="9445" spans="12:20" x14ac:dyDescent="0.2">
      <c r="L9445" s="43"/>
      <c r="M9445" s="43"/>
      <c r="N9445" s="43"/>
      <c r="O9445" s="43"/>
      <c r="Q9445" s="44"/>
      <c r="R9445" s="44"/>
      <c r="S9445" s="44"/>
      <c r="T9445" s="44"/>
    </row>
    <row r="9446" spans="12:20" x14ac:dyDescent="0.2">
      <c r="L9446" s="43"/>
      <c r="M9446" s="43"/>
      <c r="N9446" s="43"/>
      <c r="O9446" s="43"/>
      <c r="Q9446" s="44"/>
      <c r="R9446" s="44"/>
      <c r="S9446" s="44"/>
      <c r="T9446" s="44"/>
    </row>
    <row r="9447" spans="12:20" x14ac:dyDescent="0.2">
      <c r="L9447" s="43"/>
      <c r="M9447" s="43"/>
      <c r="N9447" s="43"/>
      <c r="O9447" s="43"/>
      <c r="Q9447" s="44"/>
      <c r="R9447" s="44"/>
      <c r="S9447" s="44"/>
      <c r="T9447" s="44"/>
    </row>
    <row r="9448" spans="12:20" x14ac:dyDescent="0.2">
      <c r="L9448" s="43"/>
      <c r="M9448" s="43"/>
      <c r="N9448" s="43"/>
      <c r="O9448" s="43"/>
      <c r="Q9448" s="44"/>
      <c r="R9448" s="44"/>
      <c r="S9448" s="44"/>
      <c r="T9448" s="44"/>
    </row>
    <row r="9449" spans="12:20" x14ac:dyDescent="0.2">
      <c r="L9449" s="43"/>
      <c r="M9449" s="43"/>
      <c r="N9449" s="43"/>
      <c r="O9449" s="43"/>
      <c r="Q9449" s="44"/>
      <c r="R9449" s="44"/>
      <c r="S9449" s="44"/>
      <c r="T9449" s="44"/>
    </row>
    <row r="9450" spans="12:20" x14ac:dyDescent="0.2">
      <c r="L9450" s="43"/>
      <c r="M9450" s="43"/>
      <c r="N9450" s="43"/>
      <c r="O9450" s="43"/>
      <c r="Q9450" s="44"/>
      <c r="R9450" s="44"/>
      <c r="S9450" s="44"/>
      <c r="T9450" s="44"/>
    </row>
    <row r="9451" spans="12:20" x14ac:dyDescent="0.2">
      <c r="L9451" s="43"/>
      <c r="M9451" s="43"/>
      <c r="N9451" s="43"/>
      <c r="O9451" s="43"/>
      <c r="Q9451" s="44"/>
      <c r="R9451" s="44"/>
      <c r="S9451" s="44"/>
      <c r="T9451" s="44"/>
    </row>
    <row r="9452" spans="12:20" x14ac:dyDescent="0.2">
      <c r="L9452" s="43"/>
      <c r="M9452" s="43"/>
      <c r="N9452" s="43"/>
      <c r="O9452" s="43"/>
      <c r="Q9452" s="44"/>
      <c r="R9452" s="44"/>
      <c r="S9452" s="44"/>
      <c r="T9452" s="44"/>
    </row>
    <row r="9453" spans="12:20" x14ac:dyDescent="0.2">
      <c r="L9453" s="43"/>
      <c r="M9453" s="43"/>
      <c r="N9453" s="43"/>
      <c r="O9453" s="43"/>
      <c r="Q9453" s="44"/>
      <c r="R9453" s="44"/>
      <c r="S9453" s="44"/>
      <c r="T9453" s="44"/>
    </row>
    <row r="9454" spans="12:20" x14ac:dyDescent="0.2">
      <c r="L9454" s="43"/>
      <c r="M9454" s="43"/>
      <c r="N9454" s="43"/>
      <c r="O9454" s="43"/>
      <c r="Q9454" s="44"/>
      <c r="R9454" s="44"/>
      <c r="S9454" s="44"/>
      <c r="T9454" s="44"/>
    </row>
    <row r="9455" spans="12:20" x14ac:dyDescent="0.2">
      <c r="L9455" s="43"/>
      <c r="M9455" s="43"/>
      <c r="N9455" s="43"/>
      <c r="O9455" s="43"/>
      <c r="Q9455" s="44"/>
      <c r="R9455" s="44"/>
      <c r="S9455" s="44"/>
      <c r="T9455" s="44"/>
    </row>
    <row r="9456" spans="12:20" x14ac:dyDescent="0.2">
      <c r="L9456" s="43"/>
      <c r="M9456" s="43"/>
      <c r="N9456" s="43"/>
      <c r="O9456" s="43"/>
      <c r="Q9456" s="44"/>
      <c r="R9456" s="44"/>
      <c r="S9456" s="44"/>
      <c r="T9456" s="44"/>
    </row>
    <row r="9457" spans="12:20" x14ac:dyDescent="0.2">
      <c r="L9457" s="43"/>
      <c r="M9457" s="43"/>
      <c r="N9457" s="43"/>
      <c r="O9457" s="43"/>
      <c r="Q9457" s="44"/>
      <c r="R9457" s="44"/>
      <c r="S9457" s="44"/>
      <c r="T9457" s="44"/>
    </row>
    <row r="9458" spans="12:20" x14ac:dyDescent="0.2">
      <c r="L9458" s="43"/>
      <c r="M9458" s="43"/>
      <c r="N9458" s="43"/>
      <c r="O9458" s="43"/>
      <c r="Q9458" s="44"/>
      <c r="R9458" s="44"/>
      <c r="S9458" s="44"/>
      <c r="T9458" s="44"/>
    </row>
    <row r="9459" spans="12:20" x14ac:dyDescent="0.2">
      <c r="L9459" s="43"/>
      <c r="M9459" s="43"/>
      <c r="N9459" s="43"/>
      <c r="O9459" s="43"/>
      <c r="Q9459" s="44"/>
      <c r="R9459" s="44"/>
      <c r="S9459" s="44"/>
      <c r="T9459" s="44"/>
    </row>
    <row r="9460" spans="12:20" x14ac:dyDescent="0.2">
      <c r="L9460" s="43"/>
      <c r="M9460" s="43"/>
      <c r="N9460" s="43"/>
      <c r="O9460" s="43"/>
      <c r="Q9460" s="44"/>
      <c r="R9460" s="44"/>
      <c r="S9460" s="44"/>
      <c r="T9460" s="44"/>
    </row>
    <row r="9461" spans="12:20" x14ac:dyDescent="0.2">
      <c r="L9461" s="43"/>
      <c r="M9461" s="43"/>
      <c r="N9461" s="43"/>
      <c r="O9461" s="43"/>
      <c r="Q9461" s="44"/>
      <c r="R9461" s="44"/>
      <c r="S9461" s="44"/>
      <c r="T9461" s="44"/>
    </row>
    <row r="9462" spans="12:20" x14ac:dyDescent="0.2">
      <c r="L9462" s="43"/>
      <c r="M9462" s="43"/>
      <c r="N9462" s="43"/>
      <c r="O9462" s="43"/>
      <c r="Q9462" s="44"/>
      <c r="R9462" s="44"/>
      <c r="S9462" s="44"/>
      <c r="T9462" s="44"/>
    </row>
    <row r="9463" spans="12:20" x14ac:dyDescent="0.2">
      <c r="L9463" s="43"/>
      <c r="M9463" s="43"/>
      <c r="N9463" s="43"/>
      <c r="O9463" s="43"/>
      <c r="Q9463" s="44"/>
      <c r="R9463" s="44"/>
      <c r="S9463" s="44"/>
      <c r="T9463" s="44"/>
    </row>
    <row r="9464" spans="12:20" x14ac:dyDescent="0.2">
      <c r="L9464" s="43"/>
      <c r="M9464" s="43"/>
      <c r="N9464" s="43"/>
      <c r="O9464" s="43"/>
      <c r="Q9464" s="44"/>
      <c r="R9464" s="44"/>
      <c r="S9464" s="44"/>
      <c r="T9464" s="44"/>
    </row>
    <row r="9465" spans="12:20" x14ac:dyDescent="0.2">
      <c r="L9465" s="43"/>
      <c r="M9465" s="43"/>
      <c r="N9465" s="43"/>
      <c r="O9465" s="43"/>
      <c r="Q9465" s="44"/>
      <c r="R9465" s="44"/>
      <c r="S9465" s="44"/>
      <c r="T9465" s="44"/>
    </row>
    <row r="9466" spans="12:20" x14ac:dyDescent="0.2">
      <c r="L9466" s="43"/>
      <c r="M9466" s="43"/>
      <c r="N9466" s="43"/>
      <c r="O9466" s="43"/>
      <c r="Q9466" s="44"/>
      <c r="R9466" s="44"/>
      <c r="S9466" s="44"/>
      <c r="T9466" s="44"/>
    </row>
    <row r="9467" spans="12:20" x14ac:dyDescent="0.2">
      <c r="L9467" s="43"/>
      <c r="M9467" s="43"/>
      <c r="N9467" s="43"/>
      <c r="O9467" s="43"/>
      <c r="Q9467" s="44"/>
      <c r="R9467" s="44"/>
      <c r="S9467" s="44"/>
      <c r="T9467" s="44"/>
    </row>
    <row r="9468" spans="12:20" x14ac:dyDescent="0.2">
      <c r="L9468" s="43"/>
      <c r="M9468" s="43"/>
      <c r="N9468" s="43"/>
      <c r="O9468" s="43"/>
      <c r="Q9468" s="44"/>
      <c r="R9468" s="44"/>
      <c r="S9468" s="44"/>
      <c r="T9468" s="44"/>
    </row>
    <row r="9469" spans="12:20" x14ac:dyDescent="0.2">
      <c r="L9469" s="43"/>
      <c r="M9469" s="43"/>
      <c r="N9469" s="43"/>
      <c r="O9469" s="43"/>
      <c r="Q9469" s="44"/>
      <c r="R9469" s="44"/>
      <c r="S9469" s="44"/>
      <c r="T9469" s="44"/>
    </row>
    <row r="9470" spans="12:20" x14ac:dyDescent="0.2">
      <c r="L9470" s="43"/>
      <c r="M9470" s="43"/>
      <c r="N9470" s="43"/>
      <c r="O9470" s="43"/>
      <c r="Q9470" s="44"/>
      <c r="R9470" s="44"/>
      <c r="S9470" s="44"/>
      <c r="T9470" s="44"/>
    </row>
    <row r="9471" spans="12:20" x14ac:dyDescent="0.2">
      <c r="L9471" s="43"/>
      <c r="M9471" s="43"/>
      <c r="N9471" s="43"/>
      <c r="O9471" s="43"/>
      <c r="Q9471" s="44"/>
      <c r="R9471" s="44"/>
      <c r="S9471" s="44"/>
      <c r="T9471" s="44"/>
    </row>
    <row r="9472" spans="12:20" x14ac:dyDescent="0.2">
      <c r="L9472" s="43"/>
      <c r="M9472" s="43"/>
      <c r="N9472" s="43"/>
      <c r="O9472" s="43"/>
      <c r="Q9472" s="44"/>
      <c r="R9472" s="44"/>
      <c r="S9472" s="44"/>
      <c r="T9472" s="44"/>
    </row>
    <row r="9473" spans="12:20" x14ac:dyDescent="0.2">
      <c r="L9473" s="43"/>
      <c r="M9473" s="43"/>
      <c r="N9473" s="43"/>
      <c r="O9473" s="43"/>
      <c r="Q9473" s="44"/>
      <c r="R9473" s="44"/>
      <c r="S9473" s="44"/>
      <c r="T9473" s="44"/>
    </row>
    <row r="9474" spans="12:20" x14ac:dyDescent="0.2">
      <c r="L9474" s="43"/>
      <c r="M9474" s="43"/>
      <c r="N9474" s="43"/>
      <c r="O9474" s="43"/>
      <c r="Q9474" s="44"/>
      <c r="R9474" s="44"/>
      <c r="S9474" s="44"/>
      <c r="T9474" s="44"/>
    </row>
    <row r="9475" spans="12:20" x14ac:dyDescent="0.2">
      <c r="L9475" s="43"/>
      <c r="M9475" s="43"/>
      <c r="N9475" s="43"/>
      <c r="O9475" s="43"/>
      <c r="Q9475" s="44"/>
      <c r="R9475" s="44"/>
      <c r="S9475" s="44"/>
      <c r="T9475" s="44"/>
    </row>
    <row r="9476" spans="12:20" x14ac:dyDescent="0.2">
      <c r="L9476" s="43"/>
      <c r="M9476" s="43"/>
      <c r="N9476" s="43"/>
      <c r="O9476" s="43"/>
      <c r="Q9476" s="44"/>
      <c r="R9476" s="44"/>
      <c r="S9476" s="44"/>
      <c r="T9476" s="44"/>
    </row>
    <row r="9477" spans="12:20" x14ac:dyDescent="0.2">
      <c r="L9477" s="43"/>
      <c r="M9477" s="43"/>
      <c r="N9477" s="43"/>
      <c r="O9477" s="43"/>
      <c r="Q9477" s="44"/>
      <c r="R9477" s="44"/>
      <c r="S9477" s="44"/>
      <c r="T9477" s="44"/>
    </row>
    <row r="9478" spans="12:20" x14ac:dyDescent="0.2">
      <c r="L9478" s="43"/>
      <c r="M9478" s="43"/>
      <c r="N9478" s="43"/>
      <c r="O9478" s="43"/>
      <c r="Q9478" s="44"/>
      <c r="R9478" s="44"/>
      <c r="S9478" s="44"/>
      <c r="T9478" s="44"/>
    </row>
    <row r="9479" spans="12:20" x14ac:dyDescent="0.2">
      <c r="L9479" s="43"/>
      <c r="M9479" s="43"/>
      <c r="N9479" s="43"/>
      <c r="O9479" s="43"/>
      <c r="Q9479" s="44"/>
      <c r="R9479" s="44"/>
      <c r="S9479" s="44"/>
      <c r="T9479" s="44"/>
    </row>
    <row r="9480" spans="12:20" x14ac:dyDescent="0.2">
      <c r="L9480" s="43"/>
      <c r="M9480" s="43"/>
      <c r="N9480" s="43"/>
      <c r="O9480" s="43"/>
      <c r="Q9480" s="44"/>
      <c r="R9480" s="44"/>
      <c r="S9480" s="44"/>
      <c r="T9480" s="44"/>
    </row>
    <row r="9481" spans="12:20" x14ac:dyDescent="0.2">
      <c r="L9481" s="43"/>
      <c r="M9481" s="43"/>
      <c r="N9481" s="43"/>
      <c r="O9481" s="43"/>
      <c r="Q9481" s="44"/>
      <c r="R9481" s="44"/>
      <c r="S9481" s="44"/>
      <c r="T9481" s="44"/>
    </row>
    <row r="9482" spans="12:20" x14ac:dyDescent="0.2">
      <c r="L9482" s="43"/>
      <c r="M9482" s="43"/>
      <c r="N9482" s="43"/>
      <c r="O9482" s="43"/>
      <c r="Q9482" s="44"/>
      <c r="R9482" s="44"/>
      <c r="S9482" s="44"/>
      <c r="T9482" s="44"/>
    </row>
    <row r="9483" spans="12:20" x14ac:dyDescent="0.2">
      <c r="L9483" s="43"/>
      <c r="M9483" s="43"/>
      <c r="N9483" s="43"/>
      <c r="O9483" s="43"/>
      <c r="Q9483" s="44"/>
      <c r="R9483" s="44"/>
      <c r="S9483" s="44"/>
      <c r="T9483" s="44"/>
    </row>
    <row r="9484" spans="12:20" x14ac:dyDescent="0.2">
      <c r="L9484" s="43"/>
      <c r="M9484" s="43"/>
      <c r="N9484" s="43"/>
      <c r="O9484" s="43"/>
      <c r="Q9484" s="44"/>
      <c r="R9484" s="44"/>
      <c r="S9484" s="44"/>
      <c r="T9484" s="44"/>
    </row>
    <row r="9485" spans="12:20" x14ac:dyDescent="0.2">
      <c r="L9485" s="43"/>
      <c r="M9485" s="43"/>
      <c r="N9485" s="43"/>
      <c r="O9485" s="43"/>
      <c r="Q9485" s="44"/>
      <c r="R9485" s="44"/>
      <c r="S9485" s="44"/>
      <c r="T9485" s="44"/>
    </row>
    <row r="9486" spans="12:20" x14ac:dyDescent="0.2">
      <c r="L9486" s="43"/>
      <c r="M9486" s="43"/>
      <c r="N9486" s="43"/>
      <c r="O9486" s="43"/>
      <c r="Q9486" s="44"/>
      <c r="R9486" s="44"/>
      <c r="S9486" s="44"/>
      <c r="T9486" s="44"/>
    </row>
    <row r="9487" spans="12:20" x14ac:dyDescent="0.2">
      <c r="L9487" s="43"/>
      <c r="M9487" s="43"/>
      <c r="N9487" s="43"/>
      <c r="O9487" s="43"/>
      <c r="Q9487" s="44"/>
      <c r="R9487" s="44"/>
      <c r="S9487" s="44"/>
      <c r="T9487" s="44"/>
    </row>
    <row r="9488" spans="12:20" x14ac:dyDescent="0.2">
      <c r="L9488" s="43"/>
      <c r="M9488" s="43"/>
      <c r="N9488" s="43"/>
      <c r="O9488" s="43"/>
      <c r="Q9488" s="44"/>
      <c r="R9488" s="44"/>
      <c r="S9488" s="44"/>
      <c r="T9488" s="44"/>
    </row>
    <row r="9489" spans="12:20" x14ac:dyDescent="0.2">
      <c r="L9489" s="43"/>
      <c r="M9489" s="43"/>
      <c r="N9489" s="43"/>
      <c r="O9489" s="43"/>
      <c r="Q9489" s="44"/>
      <c r="R9489" s="44"/>
      <c r="S9489" s="44"/>
      <c r="T9489" s="44"/>
    </row>
    <row r="9490" spans="12:20" x14ac:dyDescent="0.2">
      <c r="L9490" s="43"/>
      <c r="M9490" s="43"/>
      <c r="N9490" s="43"/>
      <c r="O9490" s="43"/>
      <c r="Q9490" s="44"/>
      <c r="R9490" s="44"/>
      <c r="S9490" s="44"/>
      <c r="T9490" s="44"/>
    </row>
    <row r="9491" spans="12:20" x14ac:dyDescent="0.2">
      <c r="L9491" s="43"/>
      <c r="M9491" s="43"/>
      <c r="N9491" s="43"/>
      <c r="O9491" s="43"/>
      <c r="Q9491" s="44"/>
      <c r="R9491" s="44"/>
      <c r="S9491" s="44"/>
      <c r="T9491" s="44"/>
    </row>
    <row r="9492" spans="12:20" x14ac:dyDescent="0.2">
      <c r="L9492" s="43"/>
      <c r="M9492" s="43"/>
      <c r="N9492" s="43"/>
      <c r="O9492" s="43"/>
      <c r="Q9492" s="44"/>
      <c r="R9492" s="44"/>
      <c r="S9492" s="44"/>
      <c r="T9492" s="44"/>
    </row>
    <row r="9493" spans="12:20" x14ac:dyDescent="0.2">
      <c r="L9493" s="43"/>
      <c r="M9493" s="43"/>
      <c r="N9493" s="43"/>
      <c r="O9493" s="43"/>
      <c r="Q9493" s="44"/>
      <c r="R9493" s="44"/>
      <c r="S9493" s="44"/>
      <c r="T9493" s="44"/>
    </row>
    <row r="9494" spans="12:20" x14ac:dyDescent="0.2">
      <c r="L9494" s="43"/>
      <c r="M9494" s="43"/>
      <c r="N9494" s="43"/>
      <c r="O9494" s="43"/>
      <c r="Q9494" s="44"/>
      <c r="R9494" s="44"/>
      <c r="S9494" s="44"/>
      <c r="T9494" s="44"/>
    </row>
    <row r="9495" spans="12:20" x14ac:dyDescent="0.2">
      <c r="L9495" s="43"/>
      <c r="M9495" s="43"/>
      <c r="N9495" s="43"/>
      <c r="O9495" s="43"/>
      <c r="Q9495" s="44"/>
      <c r="R9495" s="44"/>
      <c r="S9495" s="44"/>
      <c r="T9495" s="44"/>
    </row>
    <row r="9496" spans="12:20" x14ac:dyDescent="0.2">
      <c r="L9496" s="43"/>
      <c r="M9496" s="43"/>
      <c r="N9496" s="43"/>
      <c r="O9496" s="43"/>
      <c r="Q9496" s="44"/>
      <c r="R9496" s="44"/>
      <c r="S9496" s="44"/>
      <c r="T9496" s="44"/>
    </row>
    <row r="9497" spans="12:20" x14ac:dyDescent="0.2">
      <c r="L9497" s="43"/>
      <c r="M9497" s="43"/>
      <c r="N9497" s="43"/>
      <c r="O9497" s="43"/>
      <c r="Q9497" s="44"/>
      <c r="R9497" s="44"/>
      <c r="S9497" s="44"/>
      <c r="T9497" s="44"/>
    </row>
    <row r="9498" spans="12:20" x14ac:dyDescent="0.2">
      <c r="L9498" s="43"/>
      <c r="M9498" s="43"/>
      <c r="N9498" s="43"/>
      <c r="O9498" s="43"/>
      <c r="Q9498" s="44"/>
      <c r="R9498" s="44"/>
      <c r="S9498" s="44"/>
      <c r="T9498" s="44"/>
    </row>
    <row r="9499" spans="12:20" x14ac:dyDescent="0.2">
      <c r="L9499" s="43"/>
      <c r="M9499" s="43"/>
      <c r="N9499" s="43"/>
      <c r="O9499" s="43"/>
      <c r="Q9499" s="44"/>
      <c r="R9499" s="44"/>
      <c r="S9499" s="44"/>
      <c r="T9499" s="44"/>
    </row>
    <row r="9500" spans="12:20" x14ac:dyDescent="0.2">
      <c r="L9500" s="43"/>
      <c r="M9500" s="43"/>
      <c r="N9500" s="43"/>
      <c r="O9500" s="43"/>
      <c r="Q9500" s="44"/>
      <c r="R9500" s="44"/>
      <c r="S9500" s="44"/>
      <c r="T9500" s="44"/>
    </row>
    <row r="9501" spans="12:20" x14ac:dyDescent="0.2">
      <c r="L9501" s="43"/>
      <c r="M9501" s="43"/>
      <c r="N9501" s="43"/>
      <c r="O9501" s="43"/>
      <c r="Q9501" s="44"/>
      <c r="R9501" s="44"/>
      <c r="S9501" s="44"/>
      <c r="T9501" s="44"/>
    </row>
    <row r="9502" spans="12:20" x14ac:dyDescent="0.2">
      <c r="L9502" s="43"/>
      <c r="M9502" s="43"/>
      <c r="N9502" s="43"/>
      <c r="O9502" s="43"/>
      <c r="Q9502" s="44"/>
      <c r="R9502" s="44"/>
      <c r="S9502" s="44"/>
      <c r="T9502" s="44"/>
    </row>
    <row r="9503" spans="12:20" x14ac:dyDescent="0.2">
      <c r="L9503" s="43"/>
      <c r="M9503" s="43"/>
      <c r="N9503" s="43"/>
      <c r="O9503" s="43"/>
      <c r="Q9503" s="44"/>
      <c r="R9503" s="44"/>
      <c r="S9503" s="44"/>
      <c r="T9503" s="44"/>
    </row>
    <row r="9504" spans="12:20" x14ac:dyDescent="0.2">
      <c r="L9504" s="43"/>
      <c r="M9504" s="43"/>
      <c r="N9504" s="43"/>
      <c r="O9504" s="43"/>
      <c r="Q9504" s="44"/>
      <c r="R9504" s="44"/>
      <c r="S9504" s="44"/>
      <c r="T9504" s="44"/>
    </row>
    <row r="9505" spans="12:20" x14ac:dyDescent="0.2">
      <c r="L9505" s="43"/>
      <c r="M9505" s="43"/>
      <c r="N9505" s="43"/>
      <c r="O9505" s="43"/>
      <c r="Q9505" s="44"/>
      <c r="R9505" s="44"/>
      <c r="S9505" s="44"/>
      <c r="T9505" s="44"/>
    </row>
    <row r="9506" spans="12:20" x14ac:dyDescent="0.2">
      <c r="L9506" s="43"/>
      <c r="M9506" s="43"/>
      <c r="N9506" s="43"/>
      <c r="O9506" s="43"/>
      <c r="Q9506" s="44"/>
      <c r="R9506" s="44"/>
      <c r="S9506" s="44"/>
      <c r="T9506" s="44"/>
    </row>
    <row r="9507" spans="12:20" x14ac:dyDescent="0.2">
      <c r="L9507" s="43"/>
      <c r="M9507" s="43"/>
      <c r="N9507" s="43"/>
      <c r="O9507" s="43"/>
      <c r="Q9507" s="44"/>
      <c r="R9507" s="44"/>
      <c r="S9507" s="44"/>
      <c r="T9507" s="44"/>
    </row>
    <row r="9508" spans="12:20" x14ac:dyDescent="0.2">
      <c r="L9508" s="43"/>
      <c r="M9508" s="43"/>
      <c r="N9508" s="43"/>
      <c r="O9508" s="43"/>
      <c r="Q9508" s="44"/>
      <c r="R9508" s="44"/>
      <c r="S9508" s="44"/>
      <c r="T9508" s="44"/>
    </row>
    <row r="9509" spans="12:20" x14ac:dyDescent="0.2">
      <c r="L9509" s="43"/>
      <c r="M9509" s="43"/>
      <c r="N9509" s="43"/>
      <c r="O9509" s="43"/>
      <c r="Q9509" s="44"/>
      <c r="R9509" s="44"/>
      <c r="S9509" s="44"/>
      <c r="T9509" s="44"/>
    </row>
    <row r="9510" spans="12:20" x14ac:dyDescent="0.2">
      <c r="L9510" s="43"/>
      <c r="M9510" s="43"/>
      <c r="N9510" s="43"/>
      <c r="O9510" s="43"/>
      <c r="Q9510" s="44"/>
      <c r="R9510" s="44"/>
      <c r="S9510" s="44"/>
      <c r="T9510" s="44"/>
    </row>
    <row r="9511" spans="12:20" x14ac:dyDescent="0.2">
      <c r="L9511" s="43"/>
      <c r="M9511" s="43"/>
      <c r="N9511" s="43"/>
      <c r="O9511" s="43"/>
      <c r="Q9511" s="44"/>
      <c r="R9511" s="44"/>
      <c r="S9511" s="44"/>
      <c r="T9511" s="44"/>
    </row>
    <row r="9512" spans="12:20" x14ac:dyDescent="0.2">
      <c r="L9512" s="43"/>
      <c r="M9512" s="43"/>
      <c r="N9512" s="43"/>
      <c r="O9512" s="43"/>
      <c r="Q9512" s="44"/>
      <c r="R9512" s="44"/>
      <c r="S9512" s="44"/>
      <c r="T9512" s="44"/>
    </row>
    <row r="9513" spans="12:20" x14ac:dyDescent="0.2">
      <c r="L9513" s="43"/>
      <c r="M9513" s="43"/>
      <c r="N9513" s="43"/>
      <c r="O9513" s="43"/>
      <c r="Q9513" s="44"/>
      <c r="R9513" s="44"/>
      <c r="S9513" s="44"/>
      <c r="T9513" s="44"/>
    </row>
    <row r="9514" spans="12:20" x14ac:dyDescent="0.2">
      <c r="L9514" s="43"/>
      <c r="M9514" s="43"/>
      <c r="N9514" s="43"/>
      <c r="O9514" s="43"/>
      <c r="Q9514" s="44"/>
      <c r="R9514" s="44"/>
      <c r="S9514" s="44"/>
      <c r="T9514" s="44"/>
    </row>
    <row r="9515" spans="12:20" x14ac:dyDescent="0.2">
      <c r="L9515" s="43"/>
      <c r="M9515" s="43"/>
      <c r="N9515" s="43"/>
      <c r="O9515" s="43"/>
      <c r="Q9515" s="44"/>
      <c r="R9515" s="44"/>
      <c r="S9515" s="44"/>
      <c r="T9515" s="44"/>
    </row>
    <row r="9516" spans="12:20" x14ac:dyDescent="0.2">
      <c r="L9516" s="43"/>
      <c r="M9516" s="43"/>
      <c r="N9516" s="43"/>
      <c r="O9516" s="43"/>
      <c r="Q9516" s="44"/>
      <c r="R9516" s="44"/>
      <c r="S9516" s="44"/>
      <c r="T9516" s="44"/>
    </row>
    <row r="9517" spans="12:20" x14ac:dyDescent="0.2">
      <c r="L9517" s="43"/>
      <c r="M9517" s="43"/>
      <c r="N9517" s="43"/>
      <c r="O9517" s="43"/>
      <c r="Q9517" s="44"/>
      <c r="R9517" s="44"/>
      <c r="S9517" s="44"/>
      <c r="T9517" s="44"/>
    </row>
    <row r="9518" spans="12:20" x14ac:dyDescent="0.2">
      <c r="L9518" s="43"/>
      <c r="M9518" s="43"/>
      <c r="N9518" s="43"/>
      <c r="O9518" s="43"/>
      <c r="Q9518" s="44"/>
      <c r="R9518" s="44"/>
      <c r="S9518" s="44"/>
      <c r="T9518" s="44"/>
    </row>
    <row r="9519" spans="12:20" x14ac:dyDescent="0.2">
      <c r="L9519" s="43"/>
      <c r="M9519" s="43"/>
      <c r="N9519" s="43"/>
      <c r="O9519" s="43"/>
      <c r="Q9519" s="44"/>
      <c r="R9519" s="44"/>
      <c r="S9519" s="44"/>
      <c r="T9519" s="44"/>
    </row>
    <row r="9520" spans="12:20" x14ac:dyDescent="0.2">
      <c r="L9520" s="43"/>
      <c r="M9520" s="43"/>
      <c r="N9520" s="43"/>
      <c r="O9520" s="43"/>
      <c r="Q9520" s="44"/>
      <c r="R9520" s="44"/>
      <c r="S9520" s="44"/>
      <c r="T9520" s="44"/>
    </row>
    <row r="9521" spans="12:20" x14ac:dyDescent="0.2">
      <c r="L9521" s="43"/>
      <c r="M9521" s="43"/>
      <c r="N9521" s="43"/>
      <c r="O9521" s="43"/>
      <c r="Q9521" s="44"/>
      <c r="R9521" s="44"/>
      <c r="S9521" s="44"/>
      <c r="T9521" s="44"/>
    </row>
    <row r="9522" spans="12:20" x14ac:dyDescent="0.2">
      <c r="L9522" s="43"/>
      <c r="M9522" s="43"/>
      <c r="N9522" s="43"/>
      <c r="O9522" s="43"/>
      <c r="Q9522" s="44"/>
      <c r="R9522" s="44"/>
      <c r="S9522" s="44"/>
      <c r="T9522" s="44"/>
    </row>
    <row r="9523" spans="12:20" x14ac:dyDescent="0.2">
      <c r="L9523" s="43"/>
      <c r="M9523" s="43"/>
      <c r="N9523" s="43"/>
      <c r="O9523" s="43"/>
      <c r="Q9523" s="44"/>
      <c r="R9523" s="44"/>
      <c r="S9523" s="44"/>
      <c r="T9523" s="44"/>
    </row>
    <row r="9524" spans="12:20" x14ac:dyDescent="0.2">
      <c r="L9524" s="43"/>
      <c r="M9524" s="43"/>
      <c r="N9524" s="43"/>
      <c r="O9524" s="43"/>
      <c r="Q9524" s="44"/>
      <c r="R9524" s="44"/>
      <c r="S9524" s="44"/>
      <c r="T9524" s="44"/>
    </row>
    <row r="9525" spans="12:20" x14ac:dyDescent="0.2">
      <c r="L9525" s="43"/>
      <c r="M9525" s="43"/>
      <c r="N9525" s="43"/>
      <c r="O9525" s="43"/>
      <c r="Q9525" s="44"/>
      <c r="R9525" s="44"/>
      <c r="S9525" s="44"/>
      <c r="T9525" s="44"/>
    </row>
    <row r="9526" spans="12:20" x14ac:dyDescent="0.2">
      <c r="L9526" s="43"/>
      <c r="M9526" s="43"/>
      <c r="N9526" s="43"/>
      <c r="O9526" s="43"/>
      <c r="Q9526" s="44"/>
      <c r="R9526" s="44"/>
      <c r="S9526" s="44"/>
      <c r="T9526" s="44"/>
    </row>
    <row r="9527" spans="12:20" x14ac:dyDescent="0.2">
      <c r="L9527" s="43"/>
      <c r="M9527" s="43"/>
      <c r="N9527" s="43"/>
      <c r="O9527" s="43"/>
      <c r="Q9527" s="44"/>
      <c r="R9527" s="44"/>
      <c r="S9527" s="44"/>
      <c r="T9527" s="44"/>
    </row>
    <row r="9528" spans="12:20" x14ac:dyDescent="0.2">
      <c r="L9528" s="43"/>
      <c r="M9528" s="43"/>
      <c r="N9528" s="43"/>
      <c r="O9528" s="43"/>
      <c r="Q9528" s="44"/>
      <c r="R9528" s="44"/>
      <c r="S9528" s="44"/>
      <c r="T9528" s="44"/>
    </row>
    <row r="9529" spans="12:20" x14ac:dyDescent="0.2">
      <c r="L9529" s="43"/>
      <c r="M9529" s="43"/>
      <c r="N9529" s="43"/>
      <c r="O9529" s="43"/>
      <c r="Q9529" s="44"/>
      <c r="R9529" s="44"/>
      <c r="S9529" s="44"/>
      <c r="T9529" s="44"/>
    </row>
    <row r="9530" spans="12:20" x14ac:dyDescent="0.2">
      <c r="L9530" s="43"/>
      <c r="M9530" s="43"/>
      <c r="N9530" s="43"/>
      <c r="O9530" s="43"/>
      <c r="Q9530" s="44"/>
      <c r="R9530" s="44"/>
      <c r="S9530" s="44"/>
      <c r="T9530" s="44"/>
    </row>
    <row r="9531" spans="12:20" x14ac:dyDescent="0.2">
      <c r="L9531" s="43"/>
      <c r="M9531" s="43"/>
      <c r="N9531" s="43"/>
      <c r="O9531" s="43"/>
      <c r="Q9531" s="44"/>
      <c r="R9531" s="44"/>
      <c r="S9531" s="44"/>
      <c r="T9531" s="44"/>
    </row>
    <row r="9532" spans="12:20" x14ac:dyDescent="0.2">
      <c r="L9532" s="43"/>
      <c r="M9532" s="43"/>
      <c r="N9532" s="43"/>
      <c r="O9532" s="43"/>
      <c r="Q9532" s="44"/>
      <c r="R9532" s="44"/>
      <c r="S9532" s="44"/>
      <c r="T9532" s="44"/>
    </row>
    <row r="9533" spans="12:20" x14ac:dyDescent="0.2">
      <c r="L9533" s="43"/>
      <c r="M9533" s="43"/>
      <c r="N9533" s="43"/>
      <c r="O9533" s="43"/>
      <c r="Q9533" s="44"/>
      <c r="R9533" s="44"/>
      <c r="S9533" s="44"/>
      <c r="T9533" s="44"/>
    </row>
    <row r="9534" spans="12:20" x14ac:dyDescent="0.2">
      <c r="L9534" s="43"/>
      <c r="M9534" s="43"/>
      <c r="N9534" s="43"/>
      <c r="O9534" s="43"/>
      <c r="Q9534" s="44"/>
      <c r="R9534" s="44"/>
      <c r="S9534" s="44"/>
      <c r="T9534" s="44"/>
    </row>
    <row r="9535" spans="12:20" x14ac:dyDescent="0.2">
      <c r="L9535" s="43"/>
      <c r="M9535" s="43"/>
      <c r="N9535" s="43"/>
      <c r="O9535" s="43"/>
      <c r="Q9535" s="44"/>
      <c r="R9535" s="44"/>
      <c r="S9535" s="44"/>
      <c r="T9535" s="44"/>
    </row>
    <row r="9536" spans="12:20" x14ac:dyDescent="0.2">
      <c r="L9536" s="43"/>
      <c r="M9536" s="43"/>
      <c r="N9536" s="43"/>
      <c r="O9536" s="43"/>
      <c r="Q9536" s="44"/>
      <c r="R9536" s="44"/>
      <c r="S9536" s="44"/>
      <c r="T9536" s="44"/>
    </row>
    <row r="9537" spans="12:20" x14ac:dyDescent="0.2">
      <c r="L9537" s="43"/>
      <c r="M9537" s="43"/>
      <c r="N9537" s="43"/>
      <c r="O9537" s="43"/>
      <c r="Q9537" s="44"/>
      <c r="R9537" s="44"/>
      <c r="S9537" s="44"/>
      <c r="T9537" s="44"/>
    </row>
    <row r="9538" spans="12:20" x14ac:dyDescent="0.2">
      <c r="L9538" s="43"/>
      <c r="M9538" s="43"/>
      <c r="N9538" s="43"/>
      <c r="O9538" s="43"/>
      <c r="Q9538" s="44"/>
      <c r="R9538" s="44"/>
      <c r="S9538" s="44"/>
      <c r="T9538" s="44"/>
    </row>
    <row r="9539" spans="12:20" x14ac:dyDescent="0.2">
      <c r="L9539" s="43"/>
      <c r="M9539" s="43"/>
      <c r="N9539" s="43"/>
      <c r="O9539" s="43"/>
      <c r="Q9539" s="44"/>
      <c r="R9539" s="44"/>
      <c r="S9539" s="44"/>
      <c r="T9539" s="44"/>
    </row>
    <row r="9540" spans="12:20" x14ac:dyDescent="0.2">
      <c r="L9540" s="43"/>
      <c r="M9540" s="43"/>
      <c r="N9540" s="43"/>
      <c r="O9540" s="43"/>
      <c r="Q9540" s="44"/>
      <c r="R9540" s="44"/>
      <c r="S9540" s="44"/>
      <c r="T9540" s="44"/>
    </row>
    <row r="9541" spans="12:20" x14ac:dyDescent="0.2">
      <c r="L9541" s="43"/>
      <c r="M9541" s="43"/>
      <c r="N9541" s="43"/>
      <c r="O9541" s="43"/>
      <c r="Q9541" s="44"/>
      <c r="R9541" s="44"/>
      <c r="S9541" s="44"/>
      <c r="T9541" s="44"/>
    </row>
    <row r="9542" spans="12:20" x14ac:dyDescent="0.2">
      <c r="L9542" s="43"/>
      <c r="M9542" s="43"/>
      <c r="N9542" s="43"/>
      <c r="O9542" s="43"/>
      <c r="Q9542" s="44"/>
      <c r="R9542" s="44"/>
      <c r="S9542" s="44"/>
      <c r="T9542" s="44"/>
    </row>
    <row r="9543" spans="12:20" x14ac:dyDescent="0.2">
      <c r="L9543" s="43"/>
      <c r="M9543" s="43"/>
      <c r="N9543" s="43"/>
      <c r="O9543" s="43"/>
      <c r="Q9543" s="44"/>
      <c r="R9543" s="44"/>
      <c r="S9543" s="44"/>
      <c r="T9543" s="44"/>
    </row>
    <row r="9544" spans="12:20" x14ac:dyDescent="0.2">
      <c r="L9544" s="43"/>
      <c r="M9544" s="43"/>
      <c r="N9544" s="43"/>
      <c r="O9544" s="43"/>
      <c r="Q9544" s="44"/>
      <c r="R9544" s="44"/>
      <c r="S9544" s="44"/>
      <c r="T9544" s="44"/>
    </row>
    <row r="9545" spans="12:20" x14ac:dyDescent="0.2">
      <c r="L9545" s="43"/>
      <c r="M9545" s="43"/>
      <c r="N9545" s="43"/>
      <c r="O9545" s="43"/>
      <c r="Q9545" s="44"/>
      <c r="R9545" s="44"/>
      <c r="S9545" s="44"/>
      <c r="T9545" s="44"/>
    </row>
    <row r="9546" spans="12:20" x14ac:dyDescent="0.2">
      <c r="L9546" s="43"/>
      <c r="M9546" s="43"/>
      <c r="N9546" s="43"/>
      <c r="O9546" s="43"/>
      <c r="Q9546" s="44"/>
      <c r="R9546" s="44"/>
      <c r="S9546" s="44"/>
      <c r="T9546" s="44"/>
    </row>
    <row r="9547" spans="12:20" x14ac:dyDescent="0.2">
      <c r="L9547" s="43"/>
      <c r="M9547" s="43"/>
      <c r="N9547" s="43"/>
      <c r="O9547" s="43"/>
      <c r="Q9547" s="44"/>
      <c r="R9547" s="44"/>
      <c r="S9547" s="44"/>
      <c r="T9547" s="44"/>
    </row>
    <row r="9548" spans="12:20" x14ac:dyDescent="0.2">
      <c r="L9548" s="43"/>
      <c r="M9548" s="43"/>
      <c r="N9548" s="43"/>
      <c r="O9548" s="43"/>
      <c r="Q9548" s="44"/>
      <c r="R9548" s="44"/>
      <c r="S9548" s="44"/>
      <c r="T9548" s="44"/>
    </row>
    <row r="9549" spans="12:20" x14ac:dyDescent="0.2">
      <c r="L9549" s="43"/>
      <c r="M9549" s="43"/>
      <c r="N9549" s="43"/>
      <c r="O9549" s="43"/>
      <c r="Q9549" s="44"/>
      <c r="R9549" s="44"/>
      <c r="S9549" s="44"/>
      <c r="T9549" s="44"/>
    </row>
    <row r="9550" spans="12:20" x14ac:dyDescent="0.2">
      <c r="L9550" s="43"/>
      <c r="M9550" s="43"/>
      <c r="N9550" s="43"/>
      <c r="O9550" s="43"/>
      <c r="Q9550" s="44"/>
      <c r="R9550" s="44"/>
      <c r="S9550" s="44"/>
      <c r="T9550" s="44"/>
    </row>
    <row r="9551" spans="12:20" x14ac:dyDescent="0.2">
      <c r="L9551" s="43"/>
      <c r="M9551" s="43"/>
      <c r="N9551" s="43"/>
      <c r="O9551" s="43"/>
      <c r="Q9551" s="44"/>
      <c r="R9551" s="44"/>
      <c r="S9551" s="44"/>
      <c r="T9551" s="44"/>
    </row>
    <row r="9552" spans="12:20" x14ac:dyDescent="0.2">
      <c r="L9552" s="43"/>
      <c r="M9552" s="43"/>
      <c r="N9552" s="43"/>
      <c r="O9552" s="43"/>
      <c r="Q9552" s="44"/>
      <c r="R9552" s="44"/>
      <c r="S9552" s="44"/>
      <c r="T9552" s="44"/>
    </row>
    <row r="9553" spans="12:20" x14ac:dyDescent="0.2">
      <c r="L9553" s="43"/>
      <c r="M9553" s="43"/>
      <c r="N9553" s="43"/>
      <c r="O9553" s="43"/>
      <c r="Q9553" s="44"/>
      <c r="R9553" s="44"/>
      <c r="S9553" s="44"/>
      <c r="T9553" s="44"/>
    </row>
    <row r="9554" spans="12:20" x14ac:dyDescent="0.2">
      <c r="L9554" s="43"/>
      <c r="M9554" s="43"/>
      <c r="N9554" s="43"/>
      <c r="O9554" s="43"/>
      <c r="Q9554" s="44"/>
      <c r="R9554" s="44"/>
      <c r="S9554" s="44"/>
      <c r="T9554" s="44"/>
    </row>
    <row r="9555" spans="12:20" x14ac:dyDescent="0.2">
      <c r="L9555" s="43"/>
      <c r="M9555" s="43"/>
      <c r="N9555" s="43"/>
      <c r="O9555" s="43"/>
      <c r="Q9555" s="44"/>
      <c r="R9555" s="44"/>
      <c r="S9555" s="44"/>
      <c r="T9555" s="44"/>
    </row>
    <row r="9556" spans="12:20" x14ac:dyDescent="0.2">
      <c r="L9556" s="43"/>
      <c r="M9556" s="43"/>
      <c r="N9556" s="43"/>
      <c r="O9556" s="43"/>
      <c r="Q9556" s="44"/>
      <c r="R9556" s="44"/>
      <c r="S9556" s="44"/>
      <c r="T9556" s="44"/>
    </row>
    <row r="9557" spans="12:20" x14ac:dyDescent="0.2">
      <c r="L9557" s="43"/>
      <c r="M9557" s="43"/>
      <c r="N9557" s="43"/>
      <c r="O9557" s="43"/>
      <c r="Q9557" s="44"/>
      <c r="R9557" s="44"/>
      <c r="S9557" s="44"/>
      <c r="T9557" s="44"/>
    </row>
    <row r="9558" spans="12:20" x14ac:dyDescent="0.2">
      <c r="L9558" s="43"/>
      <c r="M9558" s="43"/>
      <c r="N9558" s="43"/>
      <c r="O9558" s="43"/>
      <c r="Q9558" s="44"/>
      <c r="R9558" s="44"/>
      <c r="S9558" s="44"/>
      <c r="T9558" s="44"/>
    </row>
    <row r="9559" spans="12:20" x14ac:dyDescent="0.2">
      <c r="L9559" s="43"/>
      <c r="M9559" s="43"/>
      <c r="N9559" s="43"/>
      <c r="O9559" s="43"/>
      <c r="Q9559" s="44"/>
      <c r="R9559" s="44"/>
      <c r="S9559" s="44"/>
      <c r="T9559" s="44"/>
    </row>
    <row r="9560" spans="12:20" x14ac:dyDescent="0.2">
      <c r="L9560" s="43"/>
      <c r="M9560" s="43"/>
      <c r="N9560" s="43"/>
      <c r="O9560" s="43"/>
      <c r="Q9560" s="44"/>
      <c r="R9560" s="44"/>
      <c r="S9560" s="44"/>
      <c r="T9560" s="44"/>
    </row>
    <row r="9561" spans="12:20" x14ac:dyDescent="0.2">
      <c r="L9561" s="43"/>
      <c r="M9561" s="43"/>
      <c r="N9561" s="43"/>
      <c r="O9561" s="43"/>
      <c r="Q9561" s="44"/>
      <c r="R9561" s="44"/>
      <c r="S9561" s="44"/>
      <c r="T9561" s="44"/>
    </row>
    <row r="9562" spans="12:20" x14ac:dyDescent="0.2">
      <c r="L9562" s="43"/>
      <c r="M9562" s="43"/>
      <c r="N9562" s="43"/>
      <c r="O9562" s="43"/>
      <c r="Q9562" s="44"/>
      <c r="R9562" s="44"/>
      <c r="S9562" s="44"/>
      <c r="T9562" s="44"/>
    </row>
    <row r="9563" spans="12:20" x14ac:dyDescent="0.2">
      <c r="L9563" s="43"/>
      <c r="M9563" s="43"/>
      <c r="N9563" s="43"/>
      <c r="O9563" s="43"/>
      <c r="Q9563" s="44"/>
      <c r="R9563" s="44"/>
      <c r="S9563" s="44"/>
      <c r="T9563" s="44"/>
    </row>
    <row r="9564" spans="12:20" x14ac:dyDescent="0.2">
      <c r="L9564" s="43"/>
      <c r="M9564" s="43"/>
      <c r="N9564" s="43"/>
      <c r="O9564" s="43"/>
      <c r="Q9564" s="44"/>
      <c r="R9564" s="44"/>
      <c r="S9564" s="44"/>
      <c r="T9564" s="44"/>
    </row>
    <row r="9565" spans="12:20" x14ac:dyDescent="0.2">
      <c r="L9565" s="43"/>
      <c r="M9565" s="43"/>
      <c r="N9565" s="43"/>
      <c r="O9565" s="43"/>
      <c r="Q9565" s="44"/>
      <c r="R9565" s="44"/>
      <c r="S9565" s="44"/>
      <c r="T9565" s="44"/>
    </row>
    <row r="9566" spans="12:20" x14ac:dyDescent="0.2">
      <c r="L9566" s="43"/>
      <c r="M9566" s="43"/>
      <c r="N9566" s="43"/>
      <c r="O9566" s="43"/>
      <c r="Q9566" s="44"/>
      <c r="R9566" s="44"/>
      <c r="S9566" s="44"/>
      <c r="T9566" s="44"/>
    </row>
    <row r="9567" spans="12:20" x14ac:dyDescent="0.2">
      <c r="L9567" s="43"/>
      <c r="M9567" s="43"/>
      <c r="N9567" s="43"/>
      <c r="O9567" s="43"/>
      <c r="Q9567" s="44"/>
      <c r="R9567" s="44"/>
      <c r="S9567" s="44"/>
      <c r="T9567" s="44"/>
    </row>
    <row r="9568" spans="12:20" x14ac:dyDescent="0.2">
      <c r="L9568" s="43"/>
      <c r="M9568" s="43"/>
      <c r="N9568" s="43"/>
      <c r="O9568" s="43"/>
      <c r="Q9568" s="44"/>
      <c r="R9568" s="44"/>
      <c r="S9568" s="44"/>
      <c r="T9568" s="44"/>
    </row>
    <row r="9569" spans="12:20" x14ac:dyDescent="0.2">
      <c r="L9569" s="43"/>
      <c r="M9569" s="43"/>
      <c r="N9569" s="43"/>
      <c r="O9569" s="43"/>
      <c r="Q9569" s="44"/>
      <c r="R9569" s="44"/>
      <c r="S9569" s="44"/>
      <c r="T9569" s="44"/>
    </row>
    <row r="9570" spans="12:20" x14ac:dyDescent="0.2">
      <c r="L9570" s="43"/>
      <c r="M9570" s="43"/>
      <c r="N9570" s="43"/>
      <c r="O9570" s="43"/>
      <c r="Q9570" s="44"/>
      <c r="R9570" s="44"/>
      <c r="S9570" s="44"/>
      <c r="T9570" s="44"/>
    </row>
    <row r="9571" spans="12:20" x14ac:dyDescent="0.2">
      <c r="L9571" s="43"/>
      <c r="M9571" s="43"/>
      <c r="N9571" s="43"/>
      <c r="O9571" s="43"/>
      <c r="Q9571" s="44"/>
      <c r="R9571" s="44"/>
      <c r="S9571" s="44"/>
      <c r="T9571" s="44"/>
    </row>
    <row r="9572" spans="12:20" x14ac:dyDescent="0.2">
      <c r="L9572" s="43"/>
      <c r="M9572" s="43"/>
      <c r="N9572" s="43"/>
      <c r="O9572" s="43"/>
      <c r="Q9572" s="44"/>
      <c r="R9572" s="44"/>
      <c r="S9572" s="44"/>
      <c r="T9572" s="44"/>
    </row>
    <row r="9573" spans="12:20" x14ac:dyDescent="0.2">
      <c r="L9573" s="43"/>
      <c r="M9573" s="43"/>
      <c r="N9573" s="43"/>
      <c r="O9573" s="43"/>
      <c r="Q9573" s="44"/>
      <c r="R9573" s="44"/>
      <c r="S9573" s="44"/>
      <c r="T9573" s="44"/>
    </row>
    <row r="9574" spans="12:20" x14ac:dyDescent="0.2">
      <c r="L9574" s="43"/>
      <c r="M9574" s="43"/>
      <c r="N9574" s="43"/>
      <c r="O9574" s="43"/>
      <c r="Q9574" s="44"/>
      <c r="R9574" s="44"/>
      <c r="S9574" s="44"/>
      <c r="T9574" s="44"/>
    </row>
    <row r="9575" spans="12:20" x14ac:dyDescent="0.2">
      <c r="L9575" s="43"/>
      <c r="M9575" s="43"/>
      <c r="N9575" s="43"/>
      <c r="O9575" s="43"/>
      <c r="Q9575" s="44"/>
      <c r="R9575" s="44"/>
      <c r="S9575" s="44"/>
      <c r="T9575" s="44"/>
    </row>
    <row r="9576" spans="12:20" x14ac:dyDescent="0.2">
      <c r="L9576" s="43"/>
      <c r="M9576" s="43"/>
      <c r="N9576" s="43"/>
      <c r="O9576" s="43"/>
      <c r="Q9576" s="44"/>
      <c r="R9576" s="44"/>
      <c r="S9576" s="44"/>
      <c r="T9576" s="44"/>
    </row>
    <row r="9577" spans="12:20" x14ac:dyDescent="0.2">
      <c r="L9577" s="43"/>
      <c r="M9577" s="43"/>
      <c r="N9577" s="43"/>
      <c r="O9577" s="43"/>
      <c r="Q9577" s="44"/>
      <c r="R9577" s="44"/>
      <c r="S9577" s="44"/>
      <c r="T9577" s="44"/>
    </row>
    <row r="9578" spans="12:20" x14ac:dyDescent="0.2">
      <c r="L9578" s="43"/>
      <c r="M9578" s="43"/>
      <c r="N9578" s="43"/>
      <c r="O9578" s="43"/>
      <c r="Q9578" s="44"/>
      <c r="R9578" s="44"/>
      <c r="S9578" s="44"/>
      <c r="T9578" s="44"/>
    </row>
    <row r="9579" spans="12:20" x14ac:dyDescent="0.2">
      <c r="L9579" s="43"/>
      <c r="M9579" s="43"/>
      <c r="N9579" s="43"/>
      <c r="O9579" s="43"/>
      <c r="Q9579" s="44"/>
      <c r="R9579" s="44"/>
      <c r="S9579" s="44"/>
      <c r="T9579" s="44"/>
    </row>
    <row r="9580" spans="12:20" x14ac:dyDescent="0.2">
      <c r="L9580" s="43"/>
      <c r="M9580" s="43"/>
      <c r="N9580" s="43"/>
      <c r="O9580" s="43"/>
      <c r="Q9580" s="44"/>
      <c r="R9580" s="44"/>
      <c r="S9580" s="44"/>
      <c r="T9580" s="44"/>
    </row>
    <row r="9581" spans="12:20" x14ac:dyDescent="0.2">
      <c r="L9581" s="43"/>
      <c r="M9581" s="43"/>
      <c r="N9581" s="43"/>
      <c r="O9581" s="43"/>
      <c r="Q9581" s="44"/>
      <c r="R9581" s="44"/>
      <c r="S9581" s="44"/>
      <c r="T9581" s="44"/>
    </row>
    <row r="9582" spans="12:20" x14ac:dyDescent="0.2">
      <c r="L9582" s="43"/>
      <c r="M9582" s="43"/>
      <c r="N9582" s="43"/>
      <c r="O9582" s="43"/>
      <c r="Q9582" s="44"/>
      <c r="R9582" s="44"/>
      <c r="S9582" s="44"/>
      <c r="T9582" s="44"/>
    </row>
    <row r="9583" spans="12:20" x14ac:dyDescent="0.2">
      <c r="L9583" s="43"/>
      <c r="M9583" s="43"/>
      <c r="N9583" s="43"/>
      <c r="O9583" s="43"/>
      <c r="Q9583" s="44"/>
      <c r="R9583" s="44"/>
      <c r="S9583" s="44"/>
      <c r="T9583" s="44"/>
    </row>
    <row r="9584" spans="12:20" x14ac:dyDescent="0.2">
      <c r="L9584" s="43"/>
      <c r="M9584" s="43"/>
      <c r="N9584" s="43"/>
      <c r="O9584" s="43"/>
      <c r="Q9584" s="44"/>
      <c r="R9584" s="44"/>
      <c r="S9584" s="44"/>
      <c r="T9584" s="44"/>
    </row>
    <row r="9585" spans="12:20" x14ac:dyDescent="0.2">
      <c r="L9585" s="43"/>
      <c r="M9585" s="43"/>
      <c r="N9585" s="43"/>
      <c r="O9585" s="43"/>
      <c r="Q9585" s="44"/>
      <c r="R9585" s="44"/>
      <c r="S9585" s="44"/>
      <c r="T9585" s="44"/>
    </row>
    <row r="9586" spans="12:20" x14ac:dyDescent="0.2">
      <c r="L9586" s="43"/>
      <c r="M9586" s="43"/>
      <c r="N9586" s="43"/>
      <c r="O9586" s="43"/>
      <c r="Q9586" s="44"/>
      <c r="R9586" s="44"/>
      <c r="S9586" s="44"/>
      <c r="T9586" s="44"/>
    </row>
    <row r="9587" spans="12:20" x14ac:dyDescent="0.2">
      <c r="L9587" s="43"/>
      <c r="M9587" s="43"/>
      <c r="N9587" s="43"/>
      <c r="O9587" s="43"/>
      <c r="Q9587" s="44"/>
      <c r="R9587" s="44"/>
      <c r="S9587" s="44"/>
      <c r="T9587" s="44"/>
    </row>
    <row r="9588" spans="12:20" x14ac:dyDescent="0.2">
      <c r="L9588" s="43"/>
      <c r="M9588" s="43"/>
      <c r="N9588" s="43"/>
      <c r="O9588" s="43"/>
      <c r="Q9588" s="44"/>
      <c r="R9588" s="44"/>
      <c r="S9588" s="44"/>
      <c r="T9588" s="44"/>
    </row>
    <row r="9589" spans="12:20" x14ac:dyDescent="0.2">
      <c r="L9589" s="43"/>
      <c r="M9589" s="43"/>
      <c r="N9589" s="43"/>
      <c r="O9589" s="43"/>
      <c r="Q9589" s="44"/>
      <c r="R9589" s="44"/>
      <c r="S9589" s="44"/>
      <c r="T9589" s="44"/>
    </row>
    <row r="9590" spans="12:20" x14ac:dyDescent="0.2">
      <c r="L9590" s="43"/>
      <c r="M9590" s="43"/>
      <c r="N9590" s="43"/>
      <c r="O9590" s="43"/>
      <c r="Q9590" s="44"/>
      <c r="R9590" s="44"/>
      <c r="S9590" s="44"/>
      <c r="T9590" s="44"/>
    </row>
    <row r="9591" spans="12:20" x14ac:dyDescent="0.2">
      <c r="L9591" s="43"/>
      <c r="M9591" s="43"/>
      <c r="N9591" s="43"/>
      <c r="O9591" s="43"/>
      <c r="Q9591" s="44"/>
      <c r="R9591" s="44"/>
      <c r="S9591" s="44"/>
      <c r="T9591" s="44"/>
    </row>
    <row r="9592" spans="12:20" x14ac:dyDescent="0.2">
      <c r="L9592" s="43"/>
      <c r="M9592" s="43"/>
      <c r="N9592" s="43"/>
      <c r="O9592" s="43"/>
      <c r="Q9592" s="44"/>
      <c r="R9592" s="44"/>
      <c r="S9592" s="44"/>
      <c r="T9592" s="44"/>
    </row>
    <row r="9593" spans="12:20" x14ac:dyDescent="0.2">
      <c r="L9593" s="43"/>
      <c r="M9593" s="43"/>
      <c r="N9593" s="43"/>
      <c r="O9593" s="43"/>
      <c r="Q9593" s="44"/>
      <c r="R9593" s="44"/>
      <c r="S9593" s="44"/>
      <c r="T9593" s="44"/>
    </row>
    <row r="9594" spans="12:20" x14ac:dyDescent="0.2">
      <c r="L9594" s="43"/>
      <c r="M9594" s="43"/>
      <c r="N9594" s="43"/>
      <c r="O9594" s="43"/>
      <c r="Q9594" s="44"/>
      <c r="R9594" s="44"/>
      <c r="S9594" s="44"/>
      <c r="T9594" s="44"/>
    </row>
    <row r="9595" spans="12:20" x14ac:dyDescent="0.2">
      <c r="L9595" s="43"/>
      <c r="M9595" s="43"/>
      <c r="N9595" s="43"/>
      <c r="O9595" s="43"/>
      <c r="Q9595" s="44"/>
      <c r="R9595" s="44"/>
      <c r="S9595" s="44"/>
      <c r="T9595" s="44"/>
    </row>
    <row r="9596" spans="12:20" x14ac:dyDescent="0.2">
      <c r="L9596" s="43"/>
      <c r="M9596" s="43"/>
      <c r="N9596" s="43"/>
      <c r="O9596" s="43"/>
      <c r="Q9596" s="44"/>
      <c r="R9596" s="44"/>
      <c r="S9596" s="44"/>
      <c r="T9596" s="44"/>
    </row>
    <row r="9597" spans="12:20" x14ac:dyDescent="0.2">
      <c r="L9597" s="43"/>
      <c r="M9597" s="43"/>
      <c r="N9597" s="43"/>
      <c r="O9597" s="43"/>
      <c r="Q9597" s="44"/>
      <c r="R9597" s="44"/>
      <c r="S9597" s="44"/>
      <c r="T9597" s="44"/>
    </row>
    <row r="9598" spans="12:20" x14ac:dyDescent="0.2">
      <c r="L9598" s="43"/>
      <c r="M9598" s="43"/>
      <c r="N9598" s="43"/>
      <c r="O9598" s="43"/>
      <c r="Q9598" s="44"/>
      <c r="R9598" s="44"/>
      <c r="S9598" s="44"/>
      <c r="T9598" s="44"/>
    </row>
    <row r="9599" spans="12:20" x14ac:dyDescent="0.2">
      <c r="L9599" s="43"/>
      <c r="M9599" s="43"/>
      <c r="N9599" s="43"/>
      <c r="O9599" s="43"/>
      <c r="Q9599" s="44"/>
      <c r="R9599" s="44"/>
      <c r="S9599" s="44"/>
      <c r="T9599" s="44"/>
    </row>
    <row r="9600" spans="12:20" x14ac:dyDescent="0.2">
      <c r="L9600" s="43"/>
      <c r="M9600" s="43"/>
      <c r="N9600" s="43"/>
      <c r="O9600" s="43"/>
      <c r="Q9600" s="44"/>
      <c r="R9600" s="44"/>
      <c r="S9600" s="44"/>
      <c r="T9600" s="44"/>
    </row>
    <row r="9601" spans="12:20" x14ac:dyDescent="0.2">
      <c r="L9601" s="43"/>
      <c r="M9601" s="43"/>
      <c r="N9601" s="43"/>
      <c r="O9601" s="43"/>
      <c r="Q9601" s="44"/>
      <c r="R9601" s="44"/>
      <c r="S9601" s="44"/>
      <c r="T9601" s="44"/>
    </row>
    <row r="9602" spans="12:20" x14ac:dyDescent="0.2">
      <c r="L9602" s="43"/>
      <c r="M9602" s="43"/>
      <c r="N9602" s="43"/>
      <c r="O9602" s="43"/>
      <c r="Q9602" s="44"/>
      <c r="R9602" s="44"/>
      <c r="S9602" s="44"/>
      <c r="T9602" s="44"/>
    </row>
    <row r="9603" spans="12:20" x14ac:dyDescent="0.2">
      <c r="L9603" s="43"/>
      <c r="M9603" s="43"/>
      <c r="N9603" s="43"/>
      <c r="O9603" s="43"/>
      <c r="Q9603" s="44"/>
      <c r="R9603" s="44"/>
      <c r="S9603" s="44"/>
      <c r="T9603" s="44"/>
    </row>
    <row r="9604" spans="12:20" x14ac:dyDescent="0.2">
      <c r="L9604" s="43"/>
      <c r="M9604" s="43"/>
      <c r="N9604" s="43"/>
      <c r="O9604" s="43"/>
      <c r="Q9604" s="44"/>
      <c r="R9604" s="44"/>
      <c r="S9604" s="44"/>
      <c r="T9604" s="44"/>
    </row>
    <row r="9605" spans="12:20" x14ac:dyDescent="0.2">
      <c r="L9605" s="43"/>
      <c r="M9605" s="43"/>
      <c r="N9605" s="43"/>
      <c r="O9605" s="43"/>
      <c r="Q9605" s="44"/>
      <c r="R9605" s="44"/>
      <c r="S9605" s="44"/>
      <c r="T9605" s="44"/>
    </row>
    <row r="9606" spans="12:20" x14ac:dyDescent="0.2">
      <c r="L9606" s="43"/>
      <c r="M9606" s="43"/>
      <c r="N9606" s="43"/>
      <c r="O9606" s="43"/>
      <c r="Q9606" s="44"/>
      <c r="R9606" s="44"/>
      <c r="S9606" s="44"/>
      <c r="T9606" s="44"/>
    </row>
    <row r="9607" spans="12:20" x14ac:dyDescent="0.2">
      <c r="L9607" s="43"/>
      <c r="M9607" s="43"/>
      <c r="N9607" s="43"/>
      <c r="O9607" s="43"/>
      <c r="Q9607" s="44"/>
      <c r="R9607" s="44"/>
      <c r="S9607" s="44"/>
      <c r="T9607" s="44"/>
    </row>
    <row r="9608" spans="12:20" x14ac:dyDescent="0.2">
      <c r="L9608" s="43"/>
      <c r="M9608" s="43"/>
      <c r="N9608" s="43"/>
      <c r="O9608" s="43"/>
      <c r="Q9608" s="44"/>
      <c r="R9608" s="44"/>
      <c r="S9608" s="44"/>
      <c r="T9608" s="44"/>
    </row>
    <row r="9609" spans="12:20" x14ac:dyDescent="0.2">
      <c r="L9609" s="43"/>
      <c r="M9609" s="43"/>
      <c r="N9609" s="43"/>
      <c r="O9609" s="43"/>
      <c r="Q9609" s="44"/>
      <c r="R9609" s="44"/>
      <c r="S9609" s="44"/>
      <c r="T9609" s="44"/>
    </row>
    <row r="9610" spans="12:20" x14ac:dyDescent="0.2">
      <c r="L9610" s="43"/>
      <c r="M9610" s="43"/>
      <c r="N9610" s="43"/>
      <c r="O9610" s="43"/>
      <c r="Q9610" s="44"/>
      <c r="R9610" s="44"/>
      <c r="S9610" s="44"/>
      <c r="T9610" s="44"/>
    </row>
    <row r="9611" spans="12:20" x14ac:dyDescent="0.2">
      <c r="L9611" s="43"/>
      <c r="M9611" s="43"/>
      <c r="N9611" s="43"/>
      <c r="O9611" s="43"/>
      <c r="Q9611" s="44"/>
      <c r="R9611" s="44"/>
      <c r="S9611" s="44"/>
      <c r="T9611" s="44"/>
    </row>
    <row r="9612" spans="12:20" x14ac:dyDescent="0.2">
      <c r="L9612" s="43"/>
      <c r="M9612" s="43"/>
      <c r="N9612" s="43"/>
      <c r="O9612" s="43"/>
      <c r="Q9612" s="44"/>
      <c r="R9612" s="44"/>
      <c r="S9612" s="44"/>
      <c r="T9612" s="44"/>
    </row>
    <row r="9613" spans="12:20" x14ac:dyDescent="0.2">
      <c r="L9613" s="43"/>
      <c r="M9613" s="43"/>
      <c r="N9613" s="43"/>
      <c r="O9613" s="43"/>
      <c r="Q9613" s="44"/>
      <c r="R9613" s="44"/>
      <c r="S9613" s="44"/>
      <c r="T9613" s="44"/>
    </row>
    <row r="9614" spans="12:20" x14ac:dyDescent="0.2">
      <c r="L9614" s="43"/>
      <c r="M9614" s="43"/>
      <c r="N9614" s="43"/>
      <c r="O9614" s="43"/>
      <c r="Q9614" s="44"/>
      <c r="R9614" s="44"/>
      <c r="S9614" s="44"/>
      <c r="T9614" s="44"/>
    </row>
    <row r="9615" spans="12:20" x14ac:dyDescent="0.2">
      <c r="L9615" s="43"/>
      <c r="M9615" s="43"/>
      <c r="N9615" s="43"/>
      <c r="O9615" s="43"/>
      <c r="Q9615" s="44"/>
      <c r="R9615" s="44"/>
      <c r="S9615" s="44"/>
      <c r="T9615" s="44"/>
    </row>
    <row r="9616" spans="12:20" x14ac:dyDescent="0.2">
      <c r="L9616" s="43"/>
      <c r="M9616" s="43"/>
      <c r="N9616" s="43"/>
      <c r="O9616" s="43"/>
      <c r="Q9616" s="44"/>
      <c r="R9616" s="44"/>
      <c r="S9616" s="44"/>
      <c r="T9616" s="44"/>
    </row>
    <row r="9617" spans="12:20" x14ac:dyDescent="0.2">
      <c r="L9617" s="43"/>
      <c r="M9617" s="43"/>
      <c r="N9617" s="43"/>
      <c r="O9617" s="43"/>
      <c r="Q9617" s="44"/>
      <c r="R9617" s="44"/>
      <c r="S9617" s="44"/>
      <c r="T9617" s="44"/>
    </row>
    <row r="9618" spans="12:20" x14ac:dyDescent="0.2">
      <c r="L9618" s="43"/>
      <c r="M9618" s="43"/>
      <c r="N9618" s="43"/>
      <c r="O9618" s="43"/>
      <c r="Q9618" s="44"/>
      <c r="R9618" s="44"/>
      <c r="S9618" s="44"/>
      <c r="T9618" s="44"/>
    </row>
    <row r="9619" spans="12:20" x14ac:dyDescent="0.2">
      <c r="L9619" s="43"/>
      <c r="M9619" s="43"/>
      <c r="N9619" s="43"/>
      <c r="O9619" s="43"/>
      <c r="Q9619" s="44"/>
      <c r="R9619" s="44"/>
      <c r="S9619" s="44"/>
      <c r="T9619" s="44"/>
    </row>
    <row r="9620" spans="12:20" x14ac:dyDescent="0.2">
      <c r="L9620" s="43"/>
      <c r="M9620" s="43"/>
      <c r="N9620" s="43"/>
      <c r="O9620" s="43"/>
      <c r="Q9620" s="44"/>
      <c r="R9620" s="44"/>
      <c r="S9620" s="44"/>
      <c r="T9620" s="44"/>
    </row>
    <row r="9621" spans="12:20" x14ac:dyDescent="0.2">
      <c r="L9621" s="43"/>
      <c r="M9621" s="43"/>
      <c r="N9621" s="43"/>
      <c r="O9621" s="43"/>
      <c r="Q9621" s="44"/>
      <c r="R9621" s="44"/>
      <c r="S9621" s="44"/>
      <c r="T9621" s="44"/>
    </row>
    <row r="9622" spans="12:20" x14ac:dyDescent="0.2">
      <c r="L9622" s="43"/>
      <c r="M9622" s="43"/>
      <c r="N9622" s="43"/>
      <c r="O9622" s="43"/>
      <c r="Q9622" s="44"/>
      <c r="R9622" s="44"/>
      <c r="S9622" s="44"/>
      <c r="T9622" s="44"/>
    </row>
    <row r="9623" spans="12:20" x14ac:dyDescent="0.2">
      <c r="L9623" s="43"/>
      <c r="M9623" s="43"/>
      <c r="N9623" s="43"/>
      <c r="O9623" s="43"/>
      <c r="Q9623" s="44"/>
      <c r="R9623" s="44"/>
      <c r="S9623" s="44"/>
      <c r="T9623" s="44"/>
    </row>
    <row r="9624" spans="12:20" x14ac:dyDescent="0.2">
      <c r="L9624" s="43"/>
      <c r="M9624" s="43"/>
      <c r="N9624" s="43"/>
      <c r="O9624" s="43"/>
      <c r="Q9624" s="44"/>
      <c r="R9624" s="44"/>
      <c r="S9624" s="44"/>
      <c r="T9624" s="44"/>
    </row>
    <row r="9625" spans="12:20" x14ac:dyDescent="0.2">
      <c r="L9625" s="43"/>
      <c r="M9625" s="43"/>
      <c r="N9625" s="43"/>
      <c r="O9625" s="43"/>
      <c r="Q9625" s="44"/>
      <c r="R9625" s="44"/>
      <c r="S9625" s="44"/>
      <c r="T9625" s="44"/>
    </row>
    <row r="9626" spans="12:20" x14ac:dyDescent="0.2">
      <c r="L9626" s="43"/>
      <c r="M9626" s="43"/>
      <c r="N9626" s="43"/>
      <c r="O9626" s="43"/>
      <c r="Q9626" s="44"/>
      <c r="R9626" s="44"/>
      <c r="S9626" s="44"/>
      <c r="T9626" s="44"/>
    </row>
    <row r="9627" spans="12:20" x14ac:dyDescent="0.2">
      <c r="L9627" s="43"/>
      <c r="M9627" s="43"/>
      <c r="N9627" s="43"/>
      <c r="O9627" s="43"/>
      <c r="Q9627" s="44"/>
      <c r="R9627" s="44"/>
      <c r="S9627" s="44"/>
      <c r="T9627" s="44"/>
    </row>
    <row r="9628" spans="12:20" x14ac:dyDescent="0.2">
      <c r="L9628" s="43"/>
      <c r="M9628" s="43"/>
      <c r="N9628" s="43"/>
      <c r="O9628" s="43"/>
      <c r="Q9628" s="44"/>
      <c r="R9628" s="44"/>
      <c r="S9628" s="44"/>
      <c r="T9628" s="44"/>
    </row>
    <row r="9629" spans="12:20" x14ac:dyDescent="0.2">
      <c r="L9629" s="43"/>
      <c r="M9629" s="43"/>
      <c r="N9629" s="43"/>
      <c r="O9629" s="43"/>
      <c r="Q9629" s="44"/>
      <c r="R9629" s="44"/>
      <c r="S9629" s="44"/>
      <c r="T9629" s="44"/>
    </row>
    <row r="9630" spans="12:20" x14ac:dyDescent="0.2">
      <c r="L9630" s="43"/>
      <c r="M9630" s="43"/>
      <c r="N9630" s="43"/>
      <c r="O9630" s="43"/>
      <c r="Q9630" s="44"/>
      <c r="R9630" s="44"/>
      <c r="S9630" s="44"/>
      <c r="T9630" s="44"/>
    </row>
    <row r="9631" spans="12:20" x14ac:dyDescent="0.2">
      <c r="L9631" s="43"/>
      <c r="M9631" s="43"/>
      <c r="N9631" s="43"/>
      <c r="O9631" s="43"/>
      <c r="Q9631" s="44"/>
      <c r="R9631" s="44"/>
      <c r="S9631" s="44"/>
      <c r="T9631" s="44"/>
    </row>
    <row r="9632" spans="12:20" x14ac:dyDescent="0.2">
      <c r="L9632" s="43"/>
      <c r="M9632" s="43"/>
      <c r="N9632" s="43"/>
      <c r="O9632" s="43"/>
      <c r="Q9632" s="44"/>
      <c r="R9632" s="44"/>
      <c r="S9632" s="44"/>
      <c r="T9632" s="44"/>
    </row>
    <row r="9633" spans="12:20" x14ac:dyDescent="0.2">
      <c r="L9633" s="43"/>
      <c r="M9633" s="43"/>
      <c r="N9633" s="43"/>
      <c r="O9633" s="43"/>
      <c r="Q9633" s="44"/>
      <c r="R9633" s="44"/>
      <c r="S9633" s="44"/>
      <c r="T9633" s="44"/>
    </row>
    <row r="9634" spans="12:20" x14ac:dyDescent="0.2">
      <c r="L9634" s="43"/>
      <c r="M9634" s="43"/>
      <c r="N9634" s="43"/>
      <c r="O9634" s="43"/>
      <c r="Q9634" s="44"/>
      <c r="R9634" s="44"/>
      <c r="S9634" s="44"/>
      <c r="T9634" s="44"/>
    </row>
    <row r="9635" spans="12:20" x14ac:dyDescent="0.2">
      <c r="L9635" s="43"/>
      <c r="M9635" s="43"/>
      <c r="N9635" s="43"/>
      <c r="O9635" s="43"/>
      <c r="Q9635" s="44"/>
      <c r="R9635" s="44"/>
      <c r="S9635" s="44"/>
      <c r="T9635" s="44"/>
    </row>
    <row r="9636" spans="12:20" x14ac:dyDescent="0.2">
      <c r="L9636" s="43"/>
      <c r="M9636" s="43"/>
      <c r="N9636" s="43"/>
      <c r="O9636" s="43"/>
      <c r="Q9636" s="44"/>
      <c r="R9636" s="44"/>
      <c r="S9636" s="44"/>
      <c r="T9636" s="44"/>
    </row>
    <row r="9637" spans="12:20" x14ac:dyDescent="0.2">
      <c r="L9637" s="43"/>
      <c r="M9637" s="43"/>
      <c r="N9637" s="43"/>
      <c r="O9637" s="43"/>
      <c r="Q9637" s="44"/>
      <c r="R9637" s="44"/>
      <c r="S9637" s="44"/>
      <c r="T9637" s="44"/>
    </row>
    <row r="9638" spans="12:20" x14ac:dyDescent="0.2">
      <c r="L9638" s="43"/>
      <c r="M9638" s="43"/>
      <c r="N9638" s="43"/>
      <c r="O9638" s="43"/>
      <c r="Q9638" s="44"/>
      <c r="R9638" s="44"/>
      <c r="S9638" s="44"/>
      <c r="T9638" s="44"/>
    </row>
    <row r="9639" spans="12:20" x14ac:dyDescent="0.2">
      <c r="L9639" s="43"/>
      <c r="M9639" s="43"/>
      <c r="N9639" s="43"/>
      <c r="O9639" s="43"/>
      <c r="Q9639" s="44"/>
      <c r="R9639" s="44"/>
      <c r="S9639" s="44"/>
      <c r="T9639" s="44"/>
    </row>
    <row r="9640" spans="12:20" x14ac:dyDescent="0.2">
      <c r="L9640" s="43"/>
      <c r="M9640" s="43"/>
      <c r="N9640" s="43"/>
      <c r="O9640" s="43"/>
      <c r="Q9640" s="44"/>
      <c r="R9640" s="44"/>
      <c r="S9640" s="44"/>
      <c r="T9640" s="44"/>
    </row>
    <row r="9641" spans="12:20" x14ac:dyDescent="0.2">
      <c r="L9641" s="43"/>
      <c r="M9641" s="43"/>
      <c r="N9641" s="43"/>
      <c r="O9641" s="43"/>
      <c r="Q9641" s="44"/>
      <c r="R9641" s="44"/>
      <c r="S9641" s="44"/>
      <c r="T9641" s="44"/>
    </row>
    <row r="9642" spans="12:20" x14ac:dyDescent="0.2">
      <c r="L9642" s="43"/>
      <c r="M9642" s="43"/>
      <c r="N9642" s="43"/>
      <c r="O9642" s="43"/>
      <c r="Q9642" s="44"/>
      <c r="R9642" s="44"/>
      <c r="S9642" s="44"/>
      <c r="T9642" s="44"/>
    </row>
    <row r="9643" spans="12:20" x14ac:dyDescent="0.2">
      <c r="L9643" s="43"/>
      <c r="M9643" s="43"/>
      <c r="N9643" s="43"/>
      <c r="O9643" s="43"/>
      <c r="Q9643" s="44"/>
      <c r="R9643" s="44"/>
      <c r="S9643" s="44"/>
      <c r="T9643" s="44"/>
    </row>
    <row r="9644" spans="12:20" x14ac:dyDescent="0.2">
      <c r="L9644" s="43"/>
      <c r="M9644" s="43"/>
      <c r="N9644" s="43"/>
      <c r="O9644" s="43"/>
      <c r="Q9644" s="44"/>
      <c r="R9644" s="44"/>
      <c r="S9644" s="44"/>
      <c r="T9644" s="44"/>
    </row>
    <row r="9645" spans="12:20" x14ac:dyDescent="0.2">
      <c r="L9645" s="43"/>
      <c r="M9645" s="43"/>
      <c r="N9645" s="43"/>
      <c r="O9645" s="43"/>
      <c r="Q9645" s="44"/>
      <c r="R9645" s="44"/>
      <c r="S9645" s="44"/>
      <c r="T9645" s="44"/>
    </row>
    <row r="9646" spans="12:20" x14ac:dyDescent="0.2">
      <c r="L9646" s="43"/>
      <c r="M9646" s="43"/>
      <c r="N9646" s="43"/>
      <c r="O9646" s="43"/>
      <c r="Q9646" s="44"/>
      <c r="R9646" s="44"/>
      <c r="S9646" s="44"/>
      <c r="T9646" s="44"/>
    </row>
    <row r="9647" spans="12:20" x14ac:dyDescent="0.2">
      <c r="L9647" s="43"/>
      <c r="M9647" s="43"/>
      <c r="N9647" s="43"/>
      <c r="O9647" s="43"/>
      <c r="Q9647" s="44"/>
      <c r="R9647" s="44"/>
      <c r="S9647" s="44"/>
      <c r="T9647" s="44"/>
    </row>
    <row r="9648" spans="12:20" x14ac:dyDescent="0.2">
      <c r="L9648" s="43"/>
      <c r="M9648" s="43"/>
      <c r="N9648" s="43"/>
      <c r="O9648" s="43"/>
      <c r="Q9648" s="44"/>
      <c r="R9648" s="44"/>
      <c r="S9648" s="44"/>
      <c r="T9648" s="44"/>
    </row>
    <row r="9649" spans="12:20" x14ac:dyDescent="0.2">
      <c r="L9649" s="43"/>
      <c r="M9649" s="43"/>
      <c r="N9649" s="43"/>
      <c r="O9649" s="43"/>
      <c r="Q9649" s="44"/>
      <c r="R9649" s="44"/>
      <c r="S9649" s="44"/>
      <c r="T9649" s="44"/>
    </row>
    <row r="9650" spans="12:20" x14ac:dyDescent="0.2">
      <c r="L9650" s="43"/>
      <c r="M9650" s="43"/>
      <c r="N9650" s="43"/>
      <c r="O9650" s="43"/>
      <c r="Q9650" s="44"/>
      <c r="R9650" s="44"/>
      <c r="S9650" s="44"/>
      <c r="T9650" s="44"/>
    </row>
    <row r="9651" spans="12:20" x14ac:dyDescent="0.2">
      <c r="L9651" s="43"/>
      <c r="M9651" s="43"/>
      <c r="N9651" s="43"/>
      <c r="O9651" s="43"/>
      <c r="Q9651" s="44"/>
      <c r="R9651" s="44"/>
      <c r="S9651" s="44"/>
      <c r="T9651" s="44"/>
    </row>
    <row r="9652" spans="12:20" x14ac:dyDescent="0.2">
      <c r="L9652" s="43"/>
      <c r="M9652" s="43"/>
      <c r="N9652" s="43"/>
      <c r="O9652" s="43"/>
      <c r="Q9652" s="44"/>
      <c r="R9652" s="44"/>
      <c r="S9652" s="44"/>
      <c r="T9652" s="44"/>
    </row>
    <row r="9653" spans="12:20" x14ac:dyDescent="0.2">
      <c r="L9653" s="43"/>
      <c r="M9653" s="43"/>
      <c r="N9653" s="43"/>
      <c r="O9653" s="43"/>
      <c r="Q9653" s="44"/>
      <c r="R9653" s="44"/>
      <c r="S9653" s="44"/>
      <c r="T9653" s="44"/>
    </row>
    <row r="9654" spans="12:20" x14ac:dyDescent="0.2">
      <c r="L9654" s="43"/>
      <c r="M9654" s="43"/>
      <c r="N9654" s="43"/>
      <c r="O9654" s="43"/>
      <c r="Q9654" s="44"/>
      <c r="R9654" s="44"/>
      <c r="S9654" s="44"/>
      <c r="T9654" s="44"/>
    </row>
    <row r="9655" spans="12:20" x14ac:dyDescent="0.2">
      <c r="L9655" s="43"/>
      <c r="M9655" s="43"/>
      <c r="N9655" s="43"/>
      <c r="O9655" s="43"/>
      <c r="Q9655" s="44"/>
      <c r="R9655" s="44"/>
      <c r="S9655" s="44"/>
      <c r="T9655" s="44"/>
    </row>
    <row r="9656" spans="12:20" x14ac:dyDescent="0.2">
      <c r="L9656" s="43"/>
      <c r="M9656" s="43"/>
      <c r="N9656" s="43"/>
      <c r="O9656" s="43"/>
      <c r="Q9656" s="44"/>
      <c r="R9656" s="44"/>
      <c r="S9656" s="44"/>
      <c r="T9656" s="44"/>
    </row>
    <row r="9657" spans="12:20" x14ac:dyDescent="0.2">
      <c r="L9657" s="43"/>
      <c r="M9657" s="43"/>
      <c r="N9657" s="43"/>
      <c r="O9657" s="43"/>
      <c r="Q9657" s="44"/>
      <c r="R9657" s="44"/>
      <c r="S9657" s="44"/>
      <c r="T9657" s="44"/>
    </row>
    <row r="9658" spans="12:20" x14ac:dyDescent="0.2">
      <c r="L9658" s="43"/>
      <c r="M9658" s="43"/>
      <c r="N9658" s="43"/>
      <c r="O9658" s="43"/>
      <c r="Q9658" s="44"/>
      <c r="R9658" s="44"/>
      <c r="S9658" s="44"/>
      <c r="T9658" s="44"/>
    </row>
    <row r="9659" spans="12:20" x14ac:dyDescent="0.2">
      <c r="L9659" s="43"/>
      <c r="M9659" s="43"/>
      <c r="N9659" s="43"/>
      <c r="O9659" s="43"/>
      <c r="Q9659" s="44"/>
      <c r="R9659" s="44"/>
      <c r="S9659" s="44"/>
      <c r="T9659" s="44"/>
    </row>
    <row r="9660" spans="12:20" x14ac:dyDescent="0.2">
      <c r="L9660" s="43"/>
      <c r="M9660" s="43"/>
      <c r="N9660" s="43"/>
      <c r="O9660" s="43"/>
      <c r="Q9660" s="44"/>
      <c r="R9660" s="44"/>
      <c r="S9660" s="44"/>
      <c r="T9660" s="44"/>
    </row>
    <row r="9661" spans="12:20" x14ac:dyDescent="0.2">
      <c r="L9661" s="43"/>
      <c r="M9661" s="43"/>
      <c r="N9661" s="43"/>
      <c r="O9661" s="43"/>
      <c r="Q9661" s="44"/>
      <c r="R9661" s="44"/>
      <c r="S9661" s="44"/>
      <c r="T9661" s="44"/>
    </row>
    <row r="9662" spans="12:20" x14ac:dyDescent="0.2">
      <c r="L9662" s="43"/>
      <c r="M9662" s="43"/>
      <c r="N9662" s="43"/>
      <c r="O9662" s="43"/>
      <c r="Q9662" s="44"/>
      <c r="R9662" s="44"/>
      <c r="S9662" s="44"/>
      <c r="T9662" s="44"/>
    </row>
    <row r="9663" spans="12:20" x14ac:dyDescent="0.2">
      <c r="L9663" s="43"/>
      <c r="M9663" s="43"/>
      <c r="N9663" s="43"/>
      <c r="O9663" s="43"/>
      <c r="Q9663" s="44"/>
      <c r="R9663" s="44"/>
      <c r="S9663" s="44"/>
      <c r="T9663" s="44"/>
    </row>
    <row r="9664" spans="12:20" x14ac:dyDescent="0.2">
      <c r="L9664" s="43"/>
      <c r="M9664" s="43"/>
      <c r="N9664" s="43"/>
      <c r="O9664" s="43"/>
      <c r="Q9664" s="44"/>
      <c r="R9664" s="44"/>
      <c r="S9664" s="44"/>
      <c r="T9664" s="44"/>
    </row>
    <row r="9665" spans="12:20" x14ac:dyDescent="0.2">
      <c r="L9665" s="43"/>
      <c r="M9665" s="43"/>
      <c r="N9665" s="43"/>
      <c r="O9665" s="43"/>
      <c r="Q9665" s="44"/>
      <c r="R9665" s="44"/>
      <c r="S9665" s="44"/>
      <c r="T9665" s="44"/>
    </row>
    <row r="9666" spans="12:20" x14ac:dyDescent="0.2">
      <c r="L9666" s="43"/>
      <c r="M9666" s="43"/>
      <c r="N9666" s="43"/>
      <c r="O9666" s="43"/>
      <c r="Q9666" s="44"/>
      <c r="R9666" s="44"/>
      <c r="S9666" s="44"/>
      <c r="T9666" s="44"/>
    </row>
    <row r="9667" spans="12:20" x14ac:dyDescent="0.2">
      <c r="L9667" s="43"/>
      <c r="M9667" s="43"/>
      <c r="N9667" s="43"/>
      <c r="O9667" s="43"/>
      <c r="Q9667" s="44"/>
      <c r="R9667" s="44"/>
      <c r="S9667" s="44"/>
      <c r="T9667" s="44"/>
    </row>
    <row r="9668" spans="12:20" x14ac:dyDescent="0.2">
      <c r="L9668" s="43"/>
      <c r="M9668" s="43"/>
      <c r="N9668" s="43"/>
      <c r="O9668" s="43"/>
      <c r="Q9668" s="44"/>
      <c r="R9668" s="44"/>
      <c r="S9668" s="44"/>
      <c r="T9668" s="44"/>
    </row>
    <row r="9669" spans="12:20" x14ac:dyDescent="0.2">
      <c r="L9669" s="43"/>
      <c r="M9669" s="43"/>
      <c r="N9669" s="43"/>
      <c r="O9669" s="43"/>
      <c r="Q9669" s="44"/>
      <c r="R9669" s="44"/>
      <c r="S9669" s="44"/>
      <c r="T9669" s="44"/>
    </row>
    <row r="9670" spans="12:20" x14ac:dyDescent="0.2">
      <c r="L9670" s="43"/>
      <c r="M9670" s="43"/>
      <c r="N9670" s="43"/>
      <c r="O9670" s="43"/>
      <c r="Q9670" s="44"/>
      <c r="R9670" s="44"/>
      <c r="S9670" s="44"/>
      <c r="T9670" s="44"/>
    </row>
    <row r="9671" spans="12:20" x14ac:dyDescent="0.2">
      <c r="L9671" s="43"/>
      <c r="M9671" s="43"/>
      <c r="N9671" s="43"/>
      <c r="O9671" s="43"/>
      <c r="Q9671" s="44"/>
      <c r="R9671" s="44"/>
      <c r="S9671" s="44"/>
      <c r="T9671" s="44"/>
    </row>
    <row r="9672" spans="12:20" x14ac:dyDescent="0.2">
      <c r="L9672" s="43"/>
      <c r="M9672" s="43"/>
      <c r="N9672" s="43"/>
      <c r="O9672" s="43"/>
      <c r="Q9672" s="44"/>
      <c r="R9672" s="44"/>
      <c r="S9672" s="44"/>
      <c r="T9672" s="44"/>
    </row>
    <row r="9673" spans="12:20" x14ac:dyDescent="0.2">
      <c r="L9673" s="43"/>
      <c r="M9673" s="43"/>
      <c r="N9673" s="43"/>
      <c r="O9673" s="43"/>
      <c r="Q9673" s="44"/>
      <c r="R9673" s="44"/>
      <c r="S9673" s="44"/>
      <c r="T9673" s="44"/>
    </row>
    <row r="9674" spans="12:20" x14ac:dyDescent="0.2">
      <c r="L9674" s="43"/>
      <c r="M9674" s="43"/>
      <c r="N9674" s="43"/>
      <c r="O9674" s="43"/>
      <c r="Q9674" s="44"/>
      <c r="R9674" s="44"/>
      <c r="S9674" s="44"/>
      <c r="T9674" s="44"/>
    </row>
    <row r="9675" spans="12:20" x14ac:dyDescent="0.2">
      <c r="L9675" s="43"/>
      <c r="M9675" s="43"/>
      <c r="N9675" s="43"/>
      <c r="O9675" s="43"/>
      <c r="Q9675" s="44"/>
      <c r="R9675" s="44"/>
      <c r="S9675" s="44"/>
      <c r="T9675" s="44"/>
    </row>
    <row r="9676" spans="12:20" x14ac:dyDescent="0.2">
      <c r="L9676" s="43"/>
      <c r="M9676" s="43"/>
      <c r="N9676" s="43"/>
      <c r="O9676" s="43"/>
      <c r="Q9676" s="44"/>
      <c r="R9676" s="44"/>
      <c r="S9676" s="44"/>
      <c r="T9676" s="44"/>
    </row>
    <row r="9677" spans="12:20" x14ac:dyDescent="0.2">
      <c r="L9677" s="43"/>
      <c r="M9677" s="43"/>
      <c r="N9677" s="43"/>
      <c r="O9677" s="43"/>
      <c r="Q9677" s="44"/>
      <c r="R9677" s="44"/>
      <c r="S9677" s="44"/>
      <c r="T9677" s="44"/>
    </row>
    <row r="9678" spans="12:20" x14ac:dyDescent="0.2">
      <c r="L9678" s="43"/>
      <c r="M9678" s="43"/>
      <c r="N9678" s="43"/>
      <c r="O9678" s="43"/>
      <c r="Q9678" s="44"/>
      <c r="R9678" s="44"/>
      <c r="S9678" s="44"/>
      <c r="T9678" s="44"/>
    </row>
    <row r="9679" spans="12:20" x14ac:dyDescent="0.2">
      <c r="L9679" s="43"/>
      <c r="M9679" s="43"/>
      <c r="N9679" s="43"/>
      <c r="O9679" s="43"/>
      <c r="Q9679" s="44"/>
      <c r="R9679" s="44"/>
      <c r="S9679" s="44"/>
      <c r="T9679" s="44"/>
    </row>
    <row r="9680" spans="12:20" x14ac:dyDescent="0.2">
      <c r="L9680" s="43"/>
      <c r="M9680" s="43"/>
      <c r="N9680" s="43"/>
      <c r="O9680" s="43"/>
      <c r="Q9680" s="44"/>
      <c r="R9680" s="44"/>
      <c r="S9680" s="44"/>
      <c r="T9680" s="44"/>
    </row>
    <row r="9681" spans="12:20" x14ac:dyDescent="0.2">
      <c r="L9681" s="43"/>
      <c r="M9681" s="43"/>
      <c r="N9681" s="43"/>
      <c r="O9681" s="43"/>
      <c r="Q9681" s="44"/>
      <c r="R9681" s="44"/>
      <c r="S9681" s="44"/>
      <c r="T9681" s="44"/>
    </row>
    <row r="9682" spans="12:20" x14ac:dyDescent="0.2">
      <c r="L9682" s="43"/>
      <c r="M9682" s="43"/>
      <c r="N9682" s="43"/>
      <c r="O9682" s="43"/>
      <c r="Q9682" s="44"/>
      <c r="R9682" s="44"/>
      <c r="S9682" s="44"/>
      <c r="T9682" s="44"/>
    </row>
    <row r="9683" spans="12:20" x14ac:dyDescent="0.2">
      <c r="L9683" s="43"/>
      <c r="M9683" s="43"/>
      <c r="N9683" s="43"/>
      <c r="O9683" s="43"/>
      <c r="Q9683" s="44"/>
      <c r="R9683" s="44"/>
      <c r="S9683" s="44"/>
      <c r="T9683" s="44"/>
    </row>
    <row r="9684" spans="12:20" x14ac:dyDescent="0.2">
      <c r="L9684" s="43"/>
      <c r="M9684" s="43"/>
      <c r="N9684" s="43"/>
      <c r="O9684" s="43"/>
      <c r="Q9684" s="44"/>
      <c r="R9684" s="44"/>
      <c r="S9684" s="44"/>
      <c r="T9684" s="44"/>
    </row>
    <row r="9685" spans="12:20" x14ac:dyDescent="0.2">
      <c r="L9685" s="43"/>
      <c r="M9685" s="43"/>
      <c r="N9685" s="43"/>
      <c r="O9685" s="43"/>
      <c r="Q9685" s="44"/>
      <c r="R9685" s="44"/>
      <c r="S9685" s="44"/>
      <c r="T9685" s="44"/>
    </row>
    <row r="9686" spans="12:20" x14ac:dyDescent="0.2">
      <c r="L9686" s="43"/>
      <c r="M9686" s="43"/>
      <c r="N9686" s="43"/>
      <c r="O9686" s="43"/>
      <c r="Q9686" s="44"/>
      <c r="R9686" s="44"/>
      <c r="S9686" s="44"/>
      <c r="T9686" s="44"/>
    </row>
    <row r="9687" spans="12:20" x14ac:dyDescent="0.2">
      <c r="L9687" s="43"/>
      <c r="M9687" s="43"/>
      <c r="N9687" s="43"/>
      <c r="O9687" s="43"/>
      <c r="Q9687" s="44"/>
      <c r="R9687" s="44"/>
      <c r="S9687" s="44"/>
      <c r="T9687" s="44"/>
    </row>
    <row r="9688" spans="12:20" x14ac:dyDescent="0.2">
      <c r="L9688" s="43"/>
      <c r="M9688" s="43"/>
      <c r="N9688" s="43"/>
      <c r="O9688" s="43"/>
      <c r="Q9688" s="44"/>
      <c r="R9688" s="44"/>
      <c r="S9688" s="44"/>
      <c r="T9688" s="44"/>
    </row>
    <row r="9689" spans="12:20" x14ac:dyDescent="0.2">
      <c r="L9689" s="43"/>
      <c r="M9689" s="43"/>
      <c r="N9689" s="43"/>
      <c r="O9689" s="43"/>
      <c r="Q9689" s="44"/>
      <c r="R9689" s="44"/>
      <c r="S9689" s="44"/>
      <c r="T9689" s="44"/>
    </row>
    <row r="9690" spans="12:20" x14ac:dyDescent="0.2">
      <c r="L9690" s="43"/>
      <c r="M9690" s="43"/>
      <c r="N9690" s="43"/>
      <c r="O9690" s="43"/>
      <c r="Q9690" s="44"/>
      <c r="R9690" s="44"/>
      <c r="S9690" s="44"/>
      <c r="T9690" s="44"/>
    </row>
    <row r="9691" spans="12:20" x14ac:dyDescent="0.2">
      <c r="L9691" s="43"/>
      <c r="M9691" s="43"/>
      <c r="N9691" s="43"/>
      <c r="O9691" s="43"/>
      <c r="Q9691" s="44"/>
      <c r="R9691" s="44"/>
      <c r="S9691" s="44"/>
      <c r="T9691" s="44"/>
    </row>
    <row r="9692" spans="12:20" x14ac:dyDescent="0.2">
      <c r="L9692" s="43"/>
      <c r="M9692" s="43"/>
      <c r="N9692" s="43"/>
      <c r="O9692" s="43"/>
      <c r="Q9692" s="44"/>
      <c r="R9692" s="44"/>
      <c r="S9692" s="44"/>
      <c r="T9692" s="44"/>
    </row>
    <row r="9693" spans="12:20" x14ac:dyDescent="0.2">
      <c r="L9693" s="43"/>
      <c r="M9693" s="43"/>
      <c r="N9693" s="43"/>
      <c r="O9693" s="43"/>
      <c r="Q9693" s="44"/>
      <c r="R9693" s="44"/>
      <c r="S9693" s="44"/>
      <c r="T9693" s="44"/>
    </row>
    <row r="9694" spans="12:20" x14ac:dyDescent="0.2">
      <c r="L9694" s="43"/>
      <c r="M9694" s="43"/>
      <c r="N9694" s="43"/>
      <c r="O9694" s="43"/>
      <c r="Q9694" s="44"/>
      <c r="R9694" s="44"/>
      <c r="S9694" s="44"/>
      <c r="T9694" s="44"/>
    </row>
    <row r="9695" spans="12:20" x14ac:dyDescent="0.2">
      <c r="L9695" s="43"/>
      <c r="M9695" s="43"/>
      <c r="N9695" s="43"/>
      <c r="O9695" s="43"/>
      <c r="Q9695" s="44"/>
      <c r="R9695" s="44"/>
      <c r="S9695" s="44"/>
      <c r="T9695" s="44"/>
    </row>
    <row r="9696" spans="12:20" x14ac:dyDescent="0.2">
      <c r="L9696" s="43"/>
      <c r="M9696" s="43"/>
      <c r="N9696" s="43"/>
      <c r="O9696" s="43"/>
      <c r="Q9696" s="44"/>
      <c r="R9696" s="44"/>
      <c r="S9696" s="44"/>
      <c r="T9696" s="44"/>
    </row>
    <row r="9697" spans="12:20" x14ac:dyDescent="0.2">
      <c r="L9697" s="43"/>
      <c r="M9697" s="43"/>
      <c r="N9697" s="43"/>
      <c r="O9697" s="43"/>
      <c r="Q9697" s="44"/>
      <c r="R9697" s="44"/>
      <c r="S9697" s="44"/>
      <c r="T9697" s="44"/>
    </row>
    <row r="9698" spans="12:20" x14ac:dyDescent="0.2">
      <c r="L9698" s="43"/>
      <c r="M9698" s="43"/>
      <c r="N9698" s="43"/>
      <c r="O9698" s="43"/>
      <c r="Q9698" s="44"/>
      <c r="R9698" s="44"/>
      <c r="S9698" s="44"/>
      <c r="T9698" s="44"/>
    </row>
    <row r="9699" spans="12:20" x14ac:dyDescent="0.2">
      <c r="L9699" s="43"/>
      <c r="M9699" s="43"/>
      <c r="N9699" s="43"/>
      <c r="O9699" s="43"/>
      <c r="Q9699" s="44"/>
      <c r="R9699" s="44"/>
      <c r="S9699" s="44"/>
      <c r="T9699" s="44"/>
    </row>
    <row r="9700" spans="12:20" x14ac:dyDescent="0.2">
      <c r="L9700" s="43"/>
      <c r="M9700" s="43"/>
      <c r="N9700" s="43"/>
      <c r="O9700" s="43"/>
      <c r="Q9700" s="44"/>
      <c r="R9700" s="44"/>
      <c r="S9700" s="44"/>
      <c r="T9700" s="44"/>
    </row>
    <row r="9701" spans="12:20" x14ac:dyDescent="0.2">
      <c r="L9701" s="43"/>
      <c r="M9701" s="43"/>
      <c r="N9701" s="43"/>
      <c r="O9701" s="43"/>
      <c r="Q9701" s="44"/>
      <c r="R9701" s="44"/>
      <c r="S9701" s="44"/>
      <c r="T9701" s="44"/>
    </row>
    <row r="9702" spans="12:20" x14ac:dyDescent="0.2">
      <c r="L9702" s="43"/>
      <c r="M9702" s="43"/>
      <c r="N9702" s="43"/>
      <c r="O9702" s="43"/>
      <c r="Q9702" s="44"/>
      <c r="R9702" s="44"/>
      <c r="S9702" s="44"/>
      <c r="T9702" s="44"/>
    </row>
    <row r="9703" spans="12:20" x14ac:dyDescent="0.2">
      <c r="L9703" s="43"/>
      <c r="M9703" s="43"/>
      <c r="N9703" s="43"/>
      <c r="O9703" s="43"/>
      <c r="Q9703" s="44"/>
      <c r="R9703" s="44"/>
      <c r="S9703" s="44"/>
      <c r="T9703" s="44"/>
    </row>
    <row r="9704" spans="12:20" x14ac:dyDescent="0.2">
      <c r="L9704" s="43"/>
      <c r="M9704" s="43"/>
      <c r="N9704" s="43"/>
      <c r="O9704" s="43"/>
      <c r="Q9704" s="44"/>
      <c r="R9704" s="44"/>
      <c r="S9704" s="44"/>
      <c r="T9704" s="44"/>
    </row>
    <row r="9705" spans="12:20" x14ac:dyDescent="0.2">
      <c r="L9705" s="43"/>
      <c r="M9705" s="43"/>
      <c r="N9705" s="43"/>
      <c r="O9705" s="43"/>
      <c r="Q9705" s="44"/>
      <c r="R9705" s="44"/>
      <c r="S9705" s="44"/>
      <c r="T9705" s="44"/>
    </row>
    <row r="9706" spans="12:20" x14ac:dyDescent="0.2">
      <c r="L9706" s="43"/>
      <c r="M9706" s="43"/>
      <c r="N9706" s="43"/>
      <c r="O9706" s="43"/>
      <c r="Q9706" s="44"/>
      <c r="R9706" s="44"/>
      <c r="S9706" s="44"/>
      <c r="T9706" s="44"/>
    </row>
    <row r="9707" spans="12:20" x14ac:dyDescent="0.2">
      <c r="L9707" s="43"/>
      <c r="M9707" s="43"/>
      <c r="N9707" s="43"/>
      <c r="O9707" s="43"/>
      <c r="Q9707" s="44"/>
      <c r="R9707" s="44"/>
      <c r="S9707" s="44"/>
      <c r="T9707" s="44"/>
    </row>
    <row r="9708" spans="12:20" x14ac:dyDescent="0.2">
      <c r="L9708" s="43"/>
      <c r="M9708" s="43"/>
      <c r="N9708" s="43"/>
      <c r="O9708" s="43"/>
      <c r="Q9708" s="44"/>
      <c r="R9708" s="44"/>
      <c r="S9708" s="44"/>
      <c r="T9708" s="44"/>
    </row>
    <row r="9709" spans="12:20" x14ac:dyDescent="0.2">
      <c r="L9709" s="43"/>
      <c r="M9709" s="43"/>
      <c r="N9709" s="43"/>
      <c r="O9709" s="43"/>
      <c r="Q9709" s="44"/>
      <c r="R9709" s="44"/>
      <c r="S9709" s="44"/>
      <c r="T9709" s="44"/>
    </row>
    <row r="9710" spans="12:20" x14ac:dyDescent="0.2">
      <c r="L9710" s="43"/>
      <c r="M9710" s="43"/>
      <c r="N9710" s="43"/>
      <c r="O9710" s="43"/>
      <c r="Q9710" s="44"/>
      <c r="R9710" s="44"/>
      <c r="S9710" s="44"/>
      <c r="T9710" s="44"/>
    </row>
    <row r="9711" spans="12:20" x14ac:dyDescent="0.2">
      <c r="L9711" s="43"/>
      <c r="M9711" s="43"/>
      <c r="N9711" s="43"/>
      <c r="O9711" s="43"/>
      <c r="Q9711" s="44"/>
      <c r="R9711" s="44"/>
      <c r="S9711" s="44"/>
      <c r="T9711" s="44"/>
    </row>
    <row r="9712" spans="12:20" x14ac:dyDescent="0.2">
      <c r="L9712" s="43"/>
      <c r="M9712" s="43"/>
      <c r="N9712" s="43"/>
      <c r="O9712" s="43"/>
      <c r="Q9712" s="44"/>
      <c r="R9712" s="44"/>
      <c r="S9712" s="44"/>
      <c r="T9712" s="44"/>
    </row>
    <row r="9713" spans="12:20" x14ac:dyDescent="0.2">
      <c r="L9713" s="43"/>
      <c r="M9713" s="43"/>
      <c r="N9713" s="43"/>
      <c r="O9713" s="43"/>
      <c r="Q9713" s="44"/>
      <c r="R9713" s="44"/>
      <c r="S9713" s="44"/>
      <c r="T9713" s="44"/>
    </row>
    <row r="9714" spans="12:20" x14ac:dyDescent="0.2">
      <c r="L9714" s="43"/>
      <c r="M9714" s="43"/>
      <c r="N9714" s="43"/>
      <c r="O9714" s="43"/>
      <c r="Q9714" s="44"/>
      <c r="R9714" s="44"/>
      <c r="S9714" s="44"/>
      <c r="T9714" s="44"/>
    </row>
    <row r="9715" spans="12:20" x14ac:dyDescent="0.2">
      <c r="L9715" s="43"/>
      <c r="M9715" s="43"/>
      <c r="N9715" s="43"/>
      <c r="O9715" s="43"/>
      <c r="Q9715" s="44"/>
      <c r="R9715" s="44"/>
      <c r="S9715" s="44"/>
      <c r="T9715" s="44"/>
    </row>
    <row r="9716" spans="12:20" x14ac:dyDescent="0.2">
      <c r="L9716" s="43"/>
      <c r="M9716" s="43"/>
      <c r="N9716" s="43"/>
      <c r="O9716" s="43"/>
      <c r="Q9716" s="44"/>
      <c r="R9716" s="44"/>
      <c r="S9716" s="44"/>
      <c r="T9716" s="44"/>
    </row>
    <row r="9717" spans="12:20" x14ac:dyDescent="0.2">
      <c r="L9717" s="43"/>
      <c r="M9717" s="43"/>
      <c r="N9717" s="43"/>
      <c r="O9717" s="43"/>
      <c r="Q9717" s="44"/>
      <c r="R9717" s="44"/>
      <c r="S9717" s="44"/>
      <c r="T9717" s="44"/>
    </row>
    <row r="9718" spans="12:20" x14ac:dyDescent="0.2">
      <c r="L9718" s="43"/>
      <c r="M9718" s="43"/>
      <c r="N9718" s="43"/>
      <c r="O9718" s="43"/>
      <c r="Q9718" s="44"/>
      <c r="R9718" s="44"/>
      <c r="S9718" s="44"/>
      <c r="T9718" s="44"/>
    </row>
    <row r="9719" spans="12:20" x14ac:dyDescent="0.2">
      <c r="L9719" s="43"/>
      <c r="M9719" s="43"/>
      <c r="N9719" s="43"/>
      <c r="O9719" s="43"/>
      <c r="Q9719" s="44"/>
      <c r="R9719" s="44"/>
      <c r="S9719" s="44"/>
      <c r="T9719" s="44"/>
    </row>
    <row r="9720" spans="12:20" x14ac:dyDescent="0.2">
      <c r="L9720" s="43"/>
      <c r="M9720" s="43"/>
      <c r="N9720" s="43"/>
      <c r="O9720" s="43"/>
      <c r="Q9720" s="44"/>
      <c r="R9720" s="44"/>
      <c r="S9720" s="44"/>
      <c r="T9720" s="44"/>
    </row>
    <row r="9721" spans="12:20" x14ac:dyDescent="0.2">
      <c r="L9721" s="43"/>
      <c r="M9721" s="43"/>
      <c r="N9721" s="43"/>
      <c r="O9721" s="43"/>
      <c r="Q9721" s="44"/>
      <c r="R9721" s="44"/>
      <c r="S9721" s="44"/>
      <c r="T9721" s="44"/>
    </row>
    <row r="9722" spans="12:20" x14ac:dyDescent="0.2">
      <c r="L9722" s="43"/>
      <c r="M9722" s="43"/>
      <c r="N9722" s="43"/>
      <c r="O9722" s="43"/>
      <c r="Q9722" s="44"/>
      <c r="R9722" s="44"/>
      <c r="S9722" s="44"/>
      <c r="T9722" s="44"/>
    </row>
    <row r="9723" spans="12:20" x14ac:dyDescent="0.2">
      <c r="L9723" s="43"/>
      <c r="M9723" s="43"/>
      <c r="N9723" s="43"/>
      <c r="O9723" s="43"/>
      <c r="Q9723" s="44"/>
      <c r="R9723" s="44"/>
      <c r="S9723" s="44"/>
      <c r="T9723" s="44"/>
    </row>
    <row r="9724" spans="12:20" x14ac:dyDescent="0.2">
      <c r="L9724" s="43"/>
      <c r="M9724" s="43"/>
      <c r="N9724" s="43"/>
      <c r="O9724" s="43"/>
      <c r="Q9724" s="44"/>
      <c r="R9724" s="44"/>
      <c r="S9724" s="44"/>
      <c r="T9724" s="44"/>
    </row>
    <row r="9725" spans="12:20" x14ac:dyDescent="0.2">
      <c r="L9725" s="43"/>
      <c r="M9725" s="43"/>
      <c r="N9725" s="43"/>
      <c r="O9725" s="43"/>
      <c r="Q9725" s="44"/>
      <c r="R9725" s="44"/>
      <c r="S9725" s="44"/>
      <c r="T9725" s="44"/>
    </row>
    <row r="9726" spans="12:20" x14ac:dyDescent="0.2">
      <c r="L9726" s="43"/>
      <c r="M9726" s="43"/>
      <c r="N9726" s="43"/>
      <c r="O9726" s="43"/>
      <c r="Q9726" s="44"/>
      <c r="R9726" s="44"/>
      <c r="S9726" s="44"/>
      <c r="T9726" s="44"/>
    </row>
    <row r="9727" spans="12:20" x14ac:dyDescent="0.2">
      <c r="L9727" s="43"/>
      <c r="M9727" s="43"/>
      <c r="N9727" s="43"/>
      <c r="O9727" s="43"/>
      <c r="Q9727" s="44"/>
      <c r="R9727" s="44"/>
      <c r="S9727" s="44"/>
      <c r="T9727" s="44"/>
    </row>
    <row r="9728" spans="12:20" x14ac:dyDescent="0.2">
      <c r="L9728" s="43"/>
      <c r="M9728" s="43"/>
      <c r="N9728" s="43"/>
      <c r="O9728" s="43"/>
      <c r="Q9728" s="44"/>
      <c r="R9728" s="44"/>
      <c r="S9728" s="44"/>
      <c r="T9728" s="44"/>
    </row>
    <row r="9729" spans="12:20" x14ac:dyDescent="0.2">
      <c r="L9729" s="43"/>
      <c r="M9729" s="43"/>
      <c r="N9729" s="43"/>
      <c r="O9729" s="43"/>
      <c r="Q9729" s="44"/>
      <c r="R9729" s="44"/>
      <c r="S9729" s="44"/>
      <c r="T9729" s="44"/>
    </row>
    <row r="9730" spans="12:20" x14ac:dyDescent="0.2">
      <c r="L9730" s="43"/>
      <c r="M9730" s="43"/>
      <c r="N9730" s="43"/>
      <c r="O9730" s="43"/>
      <c r="Q9730" s="44"/>
      <c r="R9730" s="44"/>
      <c r="S9730" s="44"/>
      <c r="T9730" s="44"/>
    </row>
    <row r="9731" spans="12:20" x14ac:dyDescent="0.2">
      <c r="L9731" s="43"/>
      <c r="M9731" s="43"/>
      <c r="N9731" s="43"/>
      <c r="O9731" s="43"/>
      <c r="Q9731" s="44"/>
      <c r="R9731" s="44"/>
      <c r="S9731" s="44"/>
      <c r="T9731" s="44"/>
    </row>
    <row r="9732" spans="12:20" x14ac:dyDescent="0.2">
      <c r="L9732" s="43"/>
      <c r="M9732" s="43"/>
      <c r="N9732" s="43"/>
      <c r="O9732" s="43"/>
      <c r="Q9732" s="44"/>
      <c r="R9732" s="44"/>
      <c r="S9732" s="44"/>
      <c r="T9732" s="44"/>
    </row>
    <row r="9733" spans="12:20" x14ac:dyDescent="0.2">
      <c r="L9733" s="43"/>
      <c r="M9733" s="43"/>
      <c r="N9733" s="43"/>
      <c r="O9733" s="43"/>
      <c r="Q9733" s="44"/>
      <c r="R9733" s="44"/>
      <c r="S9733" s="44"/>
      <c r="T9733" s="44"/>
    </row>
    <row r="9734" spans="12:20" x14ac:dyDescent="0.2">
      <c r="L9734" s="43"/>
      <c r="M9734" s="43"/>
      <c r="N9734" s="43"/>
      <c r="O9734" s="43"/>
      <c r="Q9734" s="44"/>
      <c r="R9734" s="44"/>
      <c r="S9734" s="44"/>
      <c r="T9734" s="44"/>
    </row>
    <row r="9735" spans="12:20" x14ac:dyDescent="0.2">
      <c r="L9735" s="43"/>
      <c r="M9735" s="43"/>
      <c r="N9735" s="43"/>
      <c r="O9735" s="43"/>
      <c r="Q9735" s="44"/>
      <c r="R9735" s="44"/>
      <c r="S9735" s="44"/>
      <c r="T9735" s="44"/>
    </row>
    <row r="9736" spans="12:20" x14ac:dyDescent="0.2">
      <c r="L9736" s="43"/>
      <c r="M9736" s="43"/>
      <c r="N9736" s="43"/>
      <c r="O9736" s="43"/>
      <c r="Q9736" s="44"/>
      <c r="R9736" s="44"/>
      <c r="S9736" s="44"/>
      <c r="T9736" s="44"/>
    </row>
    <row r="9737" spans="12:20" x14ac:dyDescent="0.2">
      <c r="L9737" s="43"/>
      <c r="M9737" s="43"/>
      <c r="N9737" s="43"/>
      <c r="O9737" s="43"/>
      <c r="Q9737" s="44"/>
      <c r="R9737" s="44"/>
      <c r="S9737" s="44"/>
      <c r="T9737" s="44"/>
    </row>
    <row r="9738" spans="12:20" x14ac:dyDescent="0.2">
      <c r="L9738" s="43"/>
      <c r="M9738" s="43"/>
      <c r="N9738" s="43"/>
      <c r="O9738" s="43"/>
      <c r="Q9738" s="44"/>
      <c r="R9738" s="44"/>
      <c r="S9738" s="44"/>
      <c r="T9738" s="44"/>
    </row>
    <row r="9739" spans="12:20" x14ac:dyDescent="0.2">
      <c r="L9739" s="43"/>
      <c r="M9739" s="43"/>
      <c r="N9739" s="43"/>
      <c r="O9739" s="43"/>
      <c r="Q9739" s="44"/>
      <c r="R9739" s="44"/>
      <c r="S9739" s="44"/>
      <c r="T9739" s="44"/>
    </row>
    <row r="9740" spans="12:20" x14ac:dyDescent="0.2">
      <c r="L9740" s="43"/>
      <c r="M9740" s="43"/>
      <c r="N9740" s="43"/>
      <c r="O9740" s="43"/>
      <c r="Q9740" s="44"/>
      <c r="R9740" s="44"/>
      <c r="S9740" s="44"/>
      <c r="T9740" s="44"/>
    </row>
    <row r="9741" spans="12:20" x14ac:dyDescent="0.2">
      <c r="L9741" s="43"/>
      <c r="M9741" s="43"/>
      <c r="N9741" s="43"/>
      <c r="O9741" s="43"/>
      <c r="Q9741" s="44"/>
      <c r="R9741" s="44"/>
      <c r="S9741" s="44"/>
      <c r="T9741" s="44"/>
    </row>
    <row r="9742" spans="12:20" x14ac:dyDescent="0.2">
      <c r="L9742" s="43"/>
      <c r="M9742" s="43"/>
      <c r="N9742" s="43"/>
      <c r="O9742" s="43"/>
      <c r="Q9742" s="44"/>
      <c r="R9742" s="44"/>
      <c r="S9742" s="44"/>
      <c r="T9742" s="44"/>
    </row>
    <row r="9743" spans="12:20" x14ac:dyDescent="0.2">
      <c r="L9743" s="43"/>
      <c r="M9743" s="43"/>
      <c r="N9743" s="43"/>
      <c r="O9743" s="43"/>
      <c r="Q9743" s="44"/>
      <c r="R9743" s="44"/>
      <c r="S9743" s="44"/>
      <c r="T9743" s="44"/>
    </row>
    <row r="9744" spans="12:20" x14ac:dyDescent="0.2">
      <c r="L9744" s="43"/>
      <c r="M9744" s="43"/>
      <c r="N9744" s="43"/>
      <c r="O9744" s="43"/>
      <c r="Q9744" s="44"/>
      <c r="R9744" s="44"/>
      <c r="S9744" s="44"/>
      <c r="T9744" s="44"/>
    </row>
    <row r="9745" spans="12:20" x14ac:dyDescent="0.2">
      <c r="L9745" s="43"/>
      <c r="M9745" s="43"/>
      <c r="N9745" s="43"/>
      <c r="O9745" s="43"/>
      <c r="Q9745" s="44"/>
      <c r="R9745" s="44"/>
      <c r="S9745" s="44"/>
      <c r="T9745" s="44"/>
    </row>
    <row r="9746" spans="12:20" x14ac:dyDescent="0.2">
      <c r="L9746" s="43"/>
      <c r="M9746" s="43"/>
      <c r="N9746" s="43"/>
      <c r="O9746" s="43"/>
      <c r="Q9746" s="44"/>
      <c r="R9746" s="44"/>
      <c r="S9746" s="44"/>
      <c r="T9746" s="44"/>
    </row>
    <row r="9747" spans="12:20" x14ac:dyDescent="0.2">
      <c r="L9747" s="43"/>
      <c r="M9747" s="43"/>
      <c r="N9747" s="43"/>
      <c r="O9747" s="43"/>
      <c r="Q9747" s="44"/>
      <c r="R9747" s="44"/>
      <c r="S9747" s="44"/>
      <c r="T9747" s="44"/>
    </row>
    <row r="9748" spans="12:20" x14ac:dyDescent="0.2">
      <c r="L9748" s="43"/>
      <c r="M9748" s="43"/>
      <c r="N9748" s="43"/>
      <c r="O9748" s="43"/>
      <c r="Q9748" s="44"/>
      <c r="R9748" s="44"/>
      <c r="S9748" s="44"/>
      <c r="T9748" s="44"/>
    </row>
    <row r="9749" spans="12:20" x14ac:dyDescent="0.2">
      <c r="L9749" s="43"/>
      <c r="M9749" s="43"/>
      <c r="N9749" s="43"/>
      <c r="O9749" s="43"/>
      <c r="Q9749" s="44"/>
      <c r="R9749" s="44"/>
      <c r="S9749" s="44"/>
      <c r="T9749" s="44"/>
    </row>
    <row r="9750" spans="12:20" x14ac:dyDescent="0.2">
      <c r="L9750" s="43"/>
      <c r="M9750" s="43"/>
      <c r="N9750" s="43"/>
      <c r="O9750" s="43"/>
      <c r="Q9750" s="44"/>
      <c r="R9750" s="44"/>
      <c r="S9750" s="44"/>
      <c r="T9750" s="44"/>
    </row>
    <row r="9751" spans="12:20" x14ac:dyDescent="0.2">
      <c r="L9751" s="43"/>
      <c r="M9751" s="43"/>
      <c r="N9751" s="43"/>
      <c r="O9751" s="43"/>
      <c r="Q9751" s="44"/>
      <c r="R9751" s="44"/>
      <c r="S9751" s="44"/>
      <c r="T9751" s="44"/>
    </row>
    <row r="9752" spans="12:20" x14ac:dyDescent="0.2">
      <c r="L9752" s="43"/>
      <c r="M9752" s="43"/>
      <c r="N9752" s="43"/>
      <c r="O9752" s="43"/>
      <c r="Q9752" s="44"/>
      <c r="R9752" s="44"/>
      <c r="S9752" s="44"/>
      <c r="T9752" s="44"/>
    </row>
    <row r="9753" spans="12:20" x14ac:dyDescent="0.2">
      <c r="L9753" s="43"/>
      <c r="M9753" s="43"/>
      <c r="N9753" s="43"/>
      <c r="O9753" s="43"/>
      <c r="Q9753" s="44"/>
      <c r="R9753" s="44"/>
      <c r="S9753" s="44"/>
      <c r="T9753" s="44"/>
    </row>
    <row r="9754" spans="12:20" x14ac:dyDescent="0.2">
      <c r="L9754" s="43"/>
      <c r="M9754" s="43"/>
      <c r="N9754" s="43"/>
      <c r="O9754" s="43"/>
      <c r="Q9754" s="44"/>
      <c r="R9754" s="44"/>
      <c r="S9754" s="44"/>
      <c r="T9754" s="44"/>
    </row>
    <row r="9755" spans="12:20" x14ac:dyDescent="0.2">
      <c r="L9755" s="43"/>
      <c r="M9755" s="43"/>
      <c r="N9755" s="43"/>
      <c r="O9755" s="43"/>
      <c r="Q9755" s="44"/>
      <c r="R9755" s="44"/>
      <c r="S9755" s="44"/>
      <c r="T9755" s="44"/>
    </row>
    <row r="9756" spans="12:20" x14ac:dyDescent="0.2">
      <c r="L9756" s="43"/>
      <c r="M9756" s="43"/>
      <c r="N9756" s="43"/>
      <c r="O9756" s="43"/>
      <c r="Q9756" s="44"/>
      <c r="R9756" s="44"/>
      <c r="S9756" s="44"/>
      <c r="T9756" s="44"/>
    </row>
    <row r="9757" spans="12:20" x14ac:dyDescent="0.2">
      <c r="L9757" s="43"/>
      <c r="M9757" s="43"/>
      <c r="N9757" s="43"/>
      <c r="O9757" s="43"/>
      <c r="Q9757" s="44"/>
      <c r="R9757" s="44"/>
      <c r="S9757" s="44"/>
      <c r="T9757" s="44"/>
    </row>
    <row r="9758" spans="12:20" x14ac:dyDescent="0.2">
      <c r="L9758" s="43"/>
      <c r="M9758" s="43"/>
      <c r="N9758" s="43"/>
      <c r="O9758" s="43"/>
      <c r="Q9758" s="44"/>
      <c r="R9758" s="44"/>
      <c r="S9758" s="44"/>
      <c r="T9758" s="44"/>
    </row>
    <row r="9759" spans="12:20" x14ac:dyDescent="0.2">
      <c r="L9759" s="43"/>
      <c r="M9759" s="43"/>
      <c r="N9759" s="43"/>
      <c r="O9759" s="43"/>
      <c r="Q9759" s="44"/>
      <c r="R9759" s="44"/>
      <c r="S9759" s="44"/>
      <c r="T9759" s="44"/>
    </row>
    <row r="9760" spans="12:20" x14ac:dyDescent="0.2">
      <c r="L9760" s="43"/>
      <c r="M9760" s="43"/>
      <c r="N9760" s="43"/>
      <c r="O9760" s="43"/>
      <c r="Q9760" s="44"/>
      <c r="R9760" s="44"/>
      <c r="S9760" s="44"/>
      <c r="T9760" s="44"/>
    </row>
    <row r="9761" spans="12:20" x14ac:dyDescent="0.2">
      <c r="L9761" s="43"/>
      <c r="M9761" s="43"/>
      <c r="N9761" s="43"/>
      <c r="O9761" s="43"/>
      <c r="Q9761" s="44"/>
      <c r="R9761" s="44"/>
      <c r="S9761" s="44"/>
      <c r="T9761" s="44"/>
    </row>
    <row r="9762" spans="12:20" x14ac:dyDescent="0.2">
      <c r="L9762" s="43"/>
      <c r="M9762" s="43"/>
      <c r="N9762" s="43"/>
      <c r="O9762" s="43"/>
      <c r="Q9762" s="44"/>
      <c r="R9762" s="44"/>
      <c r="S9762" s="44"/>
      <c r="T9762" s="44"/>
    </row>
    <row r="9763" spans="12:20" x14ac:dyDescent="0.2">
      <c r="L9763" s="43"/>
      <c r="M9763" s="43"/>
      <c r="N9763" s="43"/>
      <c r="O9763" s="43"/>
      <c r="Q9763" s="44"/>
      <c r="R9763" s="44"/>
      <c r="S9763" s="44"/>
      <c r="T9763" s="44"/>
    </row>
    <row r="9764" spans="12:20" x14ac:dyDescent="0.2">
      <c r="L9764" s="43"/>
      <c r="M9764" s="43"/>
      <c r="N9764" s="43"/>
      <c r="O9764" s="43"/>
      <c r="Q9764" s="44"/>
      <c r="R9764" s="44"/>
      <c r="S9764" s="44"/>
      <c r="T9764" s="44"/>
    </row>
    <row r="9765" spans="12:20" x14ac:dyDescent="0.2">
      <c r="L9765" s="43"/>
      <c r="M9765" s="43"/>
      <c r="N9765" s="43"/>
      <c r="O9765" s="43"/>
      <c r="Q9765" s="44"/>
      <c r="R9765" s="44"/>
      <c r="S9765" s="44"/>
      <c r="T9765" s="44"/>
    </row>
    <row r="9766" spans="12:20" x14ac:dyDescent="0.2">
      <c r="L9766" s="43"/>
      <c r="M9766" s="43"/>
      <c r="N9766" s="43"/>
      <c r="O9766" s="43"/>
      <c r="Q9766" s="44"/>
      <c r="R9766" s="44"/>
      <c r="S9766" s="44"/>
      <c r="T9766" s="44"/>
    </row>
    <row r="9767" spans="12:20" x14ac:dyDescent="0.2">
      <c r="L9767" s="43"/>
      <c r="M9767" s="43"/>
      <c r="N9767" s="43"/>
      <c r="O9767" s="43"/>
      <c r="Q9767" s="44"/>
      <c r="R9767" s="44"/>
      <c r="S9767" s="44"/>
      <c r="T9767" s="44"/>
    </row>
    <row r="9768" spans="12:20" x14ac:dyDescent="0.2">
      <c r="L9768" s="43"/>
      <c r="M9768" s="43"/>
      <c r="N9768" s="43"/>
      <c r="O9768" s="43"/>
      <c r="Q9768" s="44"/>
      <c r="R9768" s="44"/>
      <c r="S9768" s="44"/>
      <c r="T9768" s="44"/>
    </row>
    <row r="9769" spans="12:20" x14ac:dyDescent="0.2">
      <c r="L9769" s="43"/>
      <c r="M9769" s="43"/>
      <c r="N9769" s="43"/>
      <c r="O9769" s="43"/>
      <c r="Q9769" s="44"/>
      <c r="R9769" s="44"/>
      <c r="S9769" s="44"/>
      <c r="T9769" s="44"/>
    </row>
    <row r="9770" spans="12:20" x14ac:dyDescent="0.2">
      <c r="L9770" s="43"/>
      <c r="M9770" s="43"/>
      <c r="N9770" s="43"/>
      <c r="O9770" s="43"/>
      <c r="Q9770" s="44"/>
      <c r="R9770" s="44"/>
      <c r="S9770" s="44"/>
      <c r="T9770" s="44"/>
    </row>
    <row r="9771" spans="12:20" x14ac:dyDescent="0.2">
      <c r="L9771" s="43"/>
      <c r="M9771" s="43"/>
      <c r="N9771" s="43"/>
      <c r="O9771" s="43"/>
      <c r="Q9771" s="44"/>
      <c r="R9771" s="44"/>
      <c r="S9771" s="44"/>
      <c r="T9771" s="44"/>
    </row>
    <row r="9772" spans="12:20" x14ac:dyDescent="0.2">
      <c r="L9772" s="43"/>
      <c r="M9772" s="43"/>
      <c r="N9772" s="43"/>
      <c r="O9772" s="43"/>
      <c r="Q9772" s="44"/>
      <c r="R9772" s="44"/>
      <c r="S9772" s="44"/>
      <c r="T9772" s="44"/>
    </row>
    <row r="9773" spans="12:20" x14ac:dyDescent="0.2">
      <c r="L9773" s="43"/>
      <c r="M9773" s="43"/>
      <c r="N9773" s="43"/>
      <c r="O9773" s="43"/>
      <c r="Q9773" s="44"/>
      <c r="R9773" s="44"/>
      <c r="S9773" s="44"/>
      <c r="T9773" s="44"/>
    </row>
    <row r="9774" spans="12:20" x14ac:dyDescent="0.2">
      <c r="L9774" s="43"/>
      <c r="M9774" s="43"/>
      <c r="N9774" s="43"/>
      <c r="O9774" s="43"/>
      <c r="Q9774" s="44"/>
      <c r="R9774" s="44"/>
      <c r="S9774" s="44"/>
      <c r="T9774" s="44"/>
    </row>
    <row r="9775" spans="12:20" x14ac:dyDescent="0.2">
      <c r="L9775" s="43"/>
      <c r="M9775" s="43"/>
      <c r="N9775" s="43"/>
      <c r="O9775" s="43"/>
      <c r="Q9775" s="44"/>
      <c r="R9775" s="44"/>
      <c r="S9775" s="44"/>
      <c r="T9775" s="44"/>
    </row>
    <row r="9776" spans="12:20" x14ac:dyDescent="0.2">
      <c r="L9776" s="43"/>
      <c r="M9776" s="43"/>
      <c r="N9776" s="43"/>
      <c r="O9776" s="43"/>
      <c r="Q9776" s="44"/>
      <c r="R9776" s="44"/>
      <c r="S9776" s="44"/>
      <c r="T9776" s="44"/>
    </row>
    <row r="9777" spans="12:20" x14ac:dyDescent="0.2">
      <c r="L9777" s="43"/>
      <c r="M9777" s="43"/>
      <c r="N9777" s="43"/>
      <c r="O9777" s="43"/>
      <c r="Q9777" s="44"/>
      <c r="R9777" s="44"/>
      <c r="S9777" s="44"/>
      <c r="T9777" s="44"/>
    </row>
    <row r="9778" spans="12:20" x14ac:dyDescent="0.2">
      <c r="L9778" s="43"/>
      <c r="M9778" s="43"/>
      <c r="N9778" s="43"/>
      <c r="O9778" s="43"/>
      <c r="Q9778" s="44"/>
      <c r="R9778" s="44"/>
      <c r="S9778" s="44"/>
      <c r="T9778" s="44"/>
    </row>
    <row r="9779" spans="12:20" x14ac:dyDescent="0.2">
      <c r="L9779" s="43"/>
      <c r="M9779" s="43"/>
      <c r="N9779" s="43"/>
      <c r="O9779" s="43"/>
      <c r="Q9779" s="44"/>
      <c r="R9779" s="44"/>
      <c r="S9779" s="44"/>
      <c r="T9779" s="44"/>
    </row>
    <row r="9780" spans="12:20" x14ac:dyDescent="0.2">
      <c r="L9780" s="43"/>
      <c r="M9780" s="43"/>
      <c r="N9780" s="43"/>
      <c r="O9780" s="43"/>
      <c r="Q9780" s="44"/>
      <c r="R9780" s="44"/>
      <c r="S9780" s="44"/>
      <c r="T9780" s="44"/>
    </row>
    <row r="9781" spans="12:20" x14ac:dyDescent="0.2">
      <c r="L9781" s="43"/>
      <c r="M9781" s="43"/>
      <c r="N9781" s="43"/>
      <c r="O9781" s="43"/>
      <c r="Q9781" s="44"/>
      <c r="R9781" s="44"/>
      <c r="S9781" s="44"/>
      <c r="T9781" s="44"/>
    </row>
    <row r="9782" spans="12:20" x14ac:dyDescent="0.2">
      <c r="L9782" s="43"/>
      <c r="M9782" s="43"/>
      <c r="N9782" s="43"/>
      <c r="O9782" s="43"/>
      <c r="Q9782" s="44"/>
      <c r="R9782" s="44"/>
      <c r="S9782" s="44"/>
      <c r="T9782" s="44"/>
    </row>
    <row r="9783" spans="12:20" x14ac:dyDescent="0.2">
      <c r="L9783" s="43"/>
      <c r="M9783" s="43"/>
      <c r="N9783" s="43"/>
      <c r="O9783" s="43"/>
      <c r="Q9783" s="44"/>
      <c r="R9783" s="44"/>
      <c r="S9783" s="44"/>
      <c r="T9783" s="44"/>
    </row>
    <row r="9784" spans="12:20" x14ac:dyDescent="0.2">
      <c r="L9784" s="43"/>
      <c r="M9784" s="43"/>
      <c r="N9784" s="43"/>
      <c r="O9784" s="43"/>
      <c r="Q9784" s="44"/>
      <c r="R9784" s="44"/>
      <c r="S9784" s="44"/>
      <c r="T9784" s="44"/>
    </row>
    <row r="9785" spans="12:20" x14ac:dyDescent="0.2">
      <c r="L9785" s="43"/>
      <c r="M9785" s="43"/>
      <c r="N9785" s="43"/>
      <c r="O9785" s="43"/>
      <c r="Q9785" s="44"/>
      <c r="R9785" s="44"/>
      <c r="S9785" s="44"/>
      <c r="T9785" s="44"/>
    </row>
    <row r="9786" spans="12:20" x14ac:dyDescent="0.2">
      <c r="L9786" s="43"/>
      <c r="M9786" s="43"/>
      <c r="N9786" s="43"/>
      <c r="O9786" s="43"/>
      <c r="Q9786" s="44"/>
      <c r="R9786" s="44"/>
      <c r="S9786" s="44"/>
      <c r="T9786" s="44"/>
    </row>
    <row r="9787" spans="12:20" x14ac:dyDescent="0.2">
      <c r="L9787" s="43"/>
      <c r="M9787" s="43"/>
      <c r="N9787" s="43"/>
      <c r="O9787" s="43"/>
      <c r="Q9787" s="44"/>
      <c r="R9787" s="44"/>
      <c r="S9787" s="44"/>
      <c r="T9787" s="44"/>
    </row>
    <row r="9788" spans="12:20" x14ac:dyDescent="0.2">
      <c r="L9788" s="43"/>
      <c r="M9788" s="43"/>
      <c r="N9788" s="43"/>
      <c r="O9788" s="43"/>
      <c r="Q9788" s="44"/>
      <c r="R9788" s="44"/>
      <c r="S9788" s="44"/>
      <c r="T9788" s="44"/>
    </row>
    <row r="9789" spans="12:20" x14ac:dyDescent="0.2">
      <c r="L9789" s="43"/>
      <c r="M9789" s="43"/>
      <c r="N9789" s="43"/>
      <c r="O9789" s="43"/>
      <c r="Q9789" s="44"/>
      <c r="R9789" s="44"/>
      <c r="S9789" s="44"/>
      <c r="T9789" s="44"/>
    </row>
    <row r="9790" spans="12:20" x14ac:dyDescent="0.2">
      <c r="L9790" s="43"/>
      <c r="M9790" s="43"/>
      <c r="N9790" s="43"/>
      <c r="O9790" s="43"/>
      <c r="Q9790" s="44"/>
      <c r="R9790" s="44"/>
      <c r="S9790" s="44"/>
      <c r="T9790" s="44"/>
    </row>
    <row r="9791" spans="12:20" x14ac:dyDescent="0.2">
      <c r="L9791" s="43"/>
      <c r="M9791" s="43"/>
      <c r="N9791" s="43"/>
      <c r="O9791" s="43"/>
      <c r="Q9791" s="44"/>
      <c r="R9791" s="44"/>
      <c r="S9791" s="44"/>
      <c r="T9791" s="44"/>
    </row>
    <row r="9792" spans="12:20" x14ac:dyDescent="0.2">
      <c r="L9792" s="43"/>
      <c r="M9792" s="43"/>
      <c r="N9792" s="43"/>
      <c r="O9792" s="43"/>
      <c r="Q9792" s="44"/>
      <c r="R9792" s="44"/>
      <c r="S9792" s="44"/>
      <c r="T9792" s="44"/>
    </row>
    <row r="9793" spans="12:20" x14ac:dyDescent="0.2">
      <c r="L9793" s="43"/>
      <c r="M9793" s="43"/>
      <c r="N9793" s="43"/>
      <c r="O9793" s="43"/>
      <c r="Q9793" s="44"/>
      <c r="R9793" s="44"/>
      <c r="S9793" s="44"/>
      <c r="T9793" s="44"/>
    </row>
    <row r="9794" spans="12:20" x14ac:dyDescent="0.2">
      <c r="L9794" s="43"/>
      <c r="M9794" s="43"/>
      <c r="N9794" s="43"/>
      <c r="O9794" s="43"/>
      <c r="Q9794" s="44"/>
      <c r="R9794" s="44"/>
      <c r="S9794" s="44"/>
      <c r="T9794" s="44"/>
    </row>
    <row r="9795" spans="12:20" x14ac:dyDescent="0.2">
      <c r="L9795" s="43"/>
      <c r="M9795" s="43"/>
      <c r="N9795" s="43"/>
      <c r="O9795" s="43"/>
      <c r="Q9795" s="44"/>
      <c r="R9795" s="44"/>
      <c r="S9795" s="44"/>
      <c r="T9795" s="44"/>
    </row>
    <row r="9796" spans="12:20" x14ac:dyDescent="0.2">
      <c r="L9796" s="43"/>
      <c r="M9796" s="43"/>
      <c r="N9796" s="43"/>
      <c r="O9796" s="43"/>
      <c r="Q9796" s="44"/>
      <c r="R9796" s="44"/>
      <c r="S9796" s="44"/>
      <c r="T9796" s="44"/>
    </row>
    <row r="9797" spans="12:20" x14ac:dyDescent="0.2">
      <c r="L9797" s="43"/>
      <c r="M9797" s="43"/>
      <c r="N9797" s="43"/>
      <c r="O9797" s="43"/>
      <c r="Q9797" s="44"/>
      <c r="R9797" s="44"/>
      <c r="S9797" s="44"/>
      <c r="T9797" s="44"/>
    </row>
    <row r="9798" spans="12:20" x14ac:dyDescent="0.2">
      <c r="L9798" s="43"/>
      <c r="M9798" s="43"/>
      <c r="N9798" s="43"/>
      <c r="O9798" s="43"/>
      <c r="Q9798" s="44"/>
      <c r="R9798" s="44"/>
      <c r="S9798" s="44"/>
      <c r="T9798" s="44"/>
    </row>
    <row r="9799" spans="12:20" x14ac:dyDescent="0.2">
      <c r="L9799" s="43"/>
      <c r="M9799" s="43"/>
      <c r="N9799" s="43"/>
      <c r="O9799" s="43"/>
      <c r="Q9799" s="44"/>
      <c r="R9799" s="44"/>
      <c r="S9799" s="44"/>
      <c r="T9799" s="44"/>
    </row>
    <row r="9800" spans="12:20" x14ac:dyDescent="0.2">
      <c r="L9800" s="43"/>
      <c r="M9800" s="43"/>
      <c r="N9800" s="43"/>
      <c r="O9800" s="43"/>
      <c r="Q9800" s="44"/>
      <c r="R9800" s="44"/>
      <c r="S9800" s="44"/>
      <c r="T9800" s="44"/>
    </row>
    <row r="9801" spans="12:20" x14ac:dyDescent="0.2">
      <c r="L9801" s="43"/>
      <c r="M9801" s="43"/>
      <c r="N9801" s="43"/>
      <c r="O9801" s="43"/>
      <c r="Q9801" s="44"/>
      <c r="R9801" s="44"/>
      <c r="S9801" s="44"/>
      <c r="T9801" s="44"/>
    </row>
    <row r="9802" spans="12:20" x14ac:dyDescent="0.2">
      <c r="L9802" s="43"/>
      <c r="M9802" s="43"/>
      <c r="N9802" s="43"/>
      <c r="O9802" s="43"/>
      <c r="Q9802" s="44"/>
      <c r="R9802" s="44"/>
      <c r="S9802" s="44"/>
      <c r="T9802" s="44"/>
    </row>
    <row r="9803" spans="12:20" x14ac:dyDescent="0.2">
      <c r="L9803" s="43"/>
      <c r="M9803" s="43"/>
      <c r="N9803" s="43"/>
      <c r="O9803" s="43"/>
      <c r="Q9803" s="44"/>
      <c r="R9803" s="44"/>
      <c r="S9803" s="44"/>
      <c r="T9803" s="44"/>
    </row>
    <row r="9804" spans="12:20" x14ac:dyDescent="0.2">
      <c r="L9804" s="43"/>
      <c r="M9804" s="43"/>
      <c r="N9804" s="43"/>
      <c r="O9804" s="43"/>
      <c r="Q9804" s="44"/>
      <c r="R9804" s="44"/>
      <c r="S9804" s="44"/>
      <c r="T9804" s="44"/>
    </row>
    <row r="9805" spans="12:20" x14ac:dyDescent="0.2">
      <c r="L9805" s="43"/>
      <c r="M9805" s="43"/>
      <c r="N9805" s="43"/>
      <c r="O9805" s="43"/>
      <c r="Q9805" s="44"/>
      <c r="R9805" s="44"/>
      <c r="S9805" s="44"/>
      <c r="T9805" s="44"/>
    </row>
    <row r="9806" spans="12:20" x14ac:dyDescent="0.2">
      <c r="L9806" s="43"/>
      <c r="M9806" s="43"/>
      <c r="N9806" s="43"/>
      <c r="O9806" s="43"/>
      <c r="Q9806" s="44"/>
      <c r="R9806" s="44"/>
      <c r="S9806" s="44"/>
      <c r="T9806" s="44"/>
    </row>
    <row r="9807" spans="12:20" x14ac:dyDescent="0.2">
      <c r="L9807" s="43"/>
      <c r="M9807" s="43"/>
      <c r="N9807" s="43"/>
      <c r="O9807" s="43"/>
      <c r="Q9807" s="44"/>
      <c r="R9807" s="44"/>
      <c r="S9807" s="44"/>
      <c r="T9807" s="44"/>
    </row>
    <row r="9808" spans="12:20" x14ac:dyDescent="0.2">
      <c r="L9808" s="43"/>
      <c r="M9808" s="43"/>
      <c r="N9808" s="43"/>
      <c r="O9808" s="43"/>
      <c r="Q9808" s="44"/>
      <c r="R9808" s="44"/>
      <c r="S9808" s="44"/>
      <c r="T9808" s="44"/>
    </row>
    <row r="9809" spans="12:20" x14ac:dyDescent="0.2">
      <c r="L9809" s="43"/>
      <c r="M9809" s="43"/>
      <c r="N9809" s="43"/>
      <c r="O9809" s="43"/>
      <c r="Q9809" s="44"/>
      <c r="R9809" s="44"/>
      <c r="S9809" s="44"/>
      <c r="T9809" s="44"/>
    </row>
    <row r="9810" spans="12:20" x14ac:dyDescent="0.2">
      <c r="L9810" s="43"/>
      <c r="M9810" s="43"/>
      <c r="N9810" s="43"/>
      <c r="O9810" s="43"/>
      <c r="Q9810" s="44"/>
      <c r="R9810" s="44"/>
      <c r="S9810" s="44"/>
      <c r="T9810" s="44"/>
    </row>
    <row r="9811" spans="12:20" x14ac:dyDescent="0.2">
      <c r="L9811" s="43"/>
      <c r="M9811" s="43"/>
      <c r="N9811" s="43"/>
      <c r="O9811" s="43"/>
      <c r="Q9811" s="44"/>
      <c r="R9811" s="44"/>
      <c r="S9811" s="44"/>
      <c r="T9811" s="44"/>
    </row>
    <row r="9812" spans="12:20" x14ac:dyDescent="0.2">
      <c r="L9812" s="43"/>
      <c r="M9812" s="43"/>
      <c r="N9812" s="43"/>
      <c r="O9812" s="43"/>
      <c r="Q9812" s="44"/>
      <c r="R9812" s="44"/>
      <c r="S9812" s="44"/>
      <c r="T9812" s="44"/>
    </row>
    <row r="9813" spans="12:20" x14ac:dyDescent="0.2">
      <c r="L9813" s="43"/>
      <c r="M9813" s="43"/>
      <c r="N9813" s="43"/>
      <c r="O9813" s="43"/>
      <c r="Q9813" s="44"/>
      <c r="R9813" s="44"/>
      <c r="S9813" s="44"/>
      <c r="T9813" s="44"/>
    </row>
    <row r="9814" spans="12:20" x14ac:dyDescent="0.2">
      <c r="L9814" s="43"/>
      <c r="M9814" s="43"/>
      <c r="N9814" s="43"/>
      <c r="O9814" s="43"/>
      <c r="Q9814" s="44"/>
      <c r="R9814" s="44"/>
      <c r="S9814" s="44"/>
      <c r="T9814" s="44"/>
    </row>
    <row r="9815" spans="12:20" x14ac:dyDescent="0.2">
      <c r="L9815" s="43"/>
      <c r="M9815" s="43"/>
      <c r="N9815" s="43"/>
      <c r="O9815" s="43"/>
      <c r="Q9815" s="44"/>
      <c r="R9815" s="44"/>
      <c r="S9815" s="44"/>
      <c r="T9815" s="44"/>
    </row>
    <row r="9816" spans="12:20" x14ac:dyDescent="0.2">
      <c r="L9816" s="43"/>
      <c r="M9816" s="43"/>
      <c r="N9816" s="43"/>
      <c r="O9816" s="43"/>
      <c r="Q9816" s="44"/>
      <c r="R9816" s="44"/>
      <c r="S9816" s="44"/>
      <c r="T9816" s="44"/>
    </row>
    <row r="9817" spans="12:20" x14ac:dyDescent="0.2">
      <c r="L9817" s="43"/>
      <c r="M9817" s="43"/>
      <c r="N9817" s="43"/>
      <c r="O9817" s="43"/>
      <c r="Q9817" s="44"/>
      <c r="R9817" s="44"/>
      <c r="S9817" s="44"/>
      <c r="T9817" s="44"/>
    </row>
    <row r="9818" spans="12:20" x14ac:dyDescent="0.2">
      <c r="L9818" s="43"/>
      <c r="M9818" s="43"/>
      <c r="N9818" s="43"/>
      <c r="O9818" s="43"/>
      <c r="Q9818" s="44"/>
      <c r="R9818" s="44"/>
      <c r="S9818" s="44"/>
      <c r="T9818" s="44"/>
    </row>
    <row r="9819" spans="12:20" x14ac:dyDescent="0.2">
      <c r="L9819" s="43"/>
      <c r="M9819" s="43"/>
      <c r="N9819" s="43"/>
      <c r="O9819" s="43"/>
      <c r="Q9819" s="44"/>
      <c r="R9819" s="44"/>
      <c r="S9819" s="44"/>
      <c r="T9819" s="44"/>
    </row>
    <row r="9820" spans="12:20" x14ac:dyDescent="0.2">
      <c r="L9820" s="43"/>
      <c r="M9820" s="43"/>
      <c r="N9820" s="43"/>
      <c r="O9820" s="43"/>
      <c r="Q9820" s="44"/>
      <c r="R9820" s="44"/>
      <c r="S9820" s="44"/>
      <c r="T9820" s="44"/>
    </row>
    <row r="9821" spans="12:20" x14ac:dyDescent="0.2">
      <c r="L9821" s="43"/>
      <c r="M9821" s="43"/>
      <c r="N9821" s="43"/>
      <c r="O9821" s="43"/>
      <c r="Q9821" s="44"/>
      <c r="R9821" s="44"/>
      <c r="S9821" s="44"/>
      <c r="T9821" s="44"/>
    </row>
    <row r="9822" spans="12:20" x14ac:dyDescent="0.2">
      <c r="L9822" s="43"/>
      <c r="M9822" s="43"/>
      <c r="N9822" s="43"/>
      <c r="O9822" s="43"/>
      <c r="Q9822" s="44"/>
      <c r="R9822" s="44"/>
      <c r="S9822" s="44"/>
      <c r="T9822" s="44"/>
    </row>
    <row r="9823" spans="12:20" x14ac:dyDescent="0.2">
      <c r="L9823" s="43"/>
      <c r="M9823" s="43"/>
      <c r="N9823" s="43"/>
      <c r="O9823" s="43"/>
      <c r="Q9823" s="44"/>
      <c r="R9823" s="44"/>
      <c r="S9823" s="44"/>
      <c r="T9823" s="44"/>
    </row>
    <row r="9824" spans="12:20" x14ac:dyDescent="0.2">
      <c r="L9824" s="43"/>
      <c r="M9824" s="43"/>
      <c r="N9824" s="43"/>
      <c r="O9824" s="43"/>
      <c r="Q9824" s="44"/>
      <c r="R9824" s="44"/>
      <c r="S9824" s="44"/>
      <c r="T9824" s="44"/>
    </row>
    <row r="9825" spans="12:20" x14ac:dyDescent="0.2">
      <c r="L9825" s="43"/>
      <c r="M9825" s="43"/>
      <c r="N9825" s="43"/>
      <c r="O9825" s="43"/>
      <c r="Q9825" s="44"/>
      <c r="R9825" s="44"/>
      <c r="S9825" s="44"/>
      <c r="T9825" s="44"/>
    </row>
    <row r="9826" spans="12:20" x14ac:dyDescent="0.2">
      <c r="L9826" s="43"/>
      <c r="M9826" s="43"/>
      <c r="N9826" s="43"/>
      <c r="O9826" s="43"/>
      <c r="Q9826" s="44"/>
      <c r="R9826" s="44"/>
      <c r="S9826" s="44"/>
      <c r="T9826" s="44"/>
    </row>
    <row r="9827" spans="12:20" x14ac:dyDescent="0.2">
      <c r="L9827" s="43"/>
      <c r="M9827" s="43"/>
      <c r="N9827" s="43"/>
      <c r="O9827" s="43"/>
      <c r="Q9827" s="44"/>
      <c r="R9827" s="44"/>
      <c r="S9827" s="44"/>
      <c r="T9827" s="44"/>
    </row>
    <row r="9828" spans="12:20" x14ac:dyDescent="0.2">
      <c r="L9828" s="43"/>
      <c r="M9828" s="43"/>
      <c r="N9828" s="43"/>
      <c r="O9828" s="43"/>
      <c r="Q9828" s="44"/>
      <c r="R9828" s="44"/>
      <c r="S9828" s="44"/>
      <c r="T9828" s="44"/>
    </row>
    <row r="9829" spans="12:20" x14ac:dyDescent="0.2">
      <c r="L9829" s="43"/>
      <c r="M9829" s="43"/>
      <c r="N9829" s="43"/>
      <c r="O9829" s="43"/>
      <c r="Q9829" s="44"/>
      <c r="R9829" s="44"/>
      <c r="S9829" s="44"/>
      <c r="T9829" s="44"/>
    </row>
    <row r="9830" spans="12:20" x14ac:dyDescent="0.2">
      <c r="L9830" s="43"/>
      <c r="M9830" s="43"/>
      <c r="N9830" s="43"/>
      <c r="O9830" s="43"/>
      <c r="Q9830" s="44"/>
      <c r="R9830" s="44"/>
      <c r="S9830" s="44"/>
      <c r="T9830" s="44"/>
    </row>
    <row r="9831" spans="12:20" x14ac:dyDescent="0.2">
      <c r="L9831" s="43"/>
      <c r="M9831" s="43"/>
      <c r="N9831" s="43"/>
      <c r="O9831" s="43"/>
      <c r="Q9831" s="44"/>
      <c r="R9831" s="44"/>
      <c r="S9831" s="44"/>
      <c r="T9831" s="44"/>
    </row>
    <row r="9832" spans="12:20" x14ac:dyDescent="0.2">
      <c r="L9832" s="43"/>
      <c r="M9832" s="43"/>
      <c r="N9832" s="43"/>
      <c r="O9832" s="43"/>
      <c r="Q9832" s="44"/>
      <c r="R9832" s="44"/>
      <c r="S9832" s="44"/>
      <c r="T9832" s="44"/>
    </row>
    <row r="9833" spans="12:20" x14ac:dyDescent="0.2">
      <c r="L9833" s="43"/>
      <c r="M9833" s="43"/>
      <c r="N9833" s="43"/>
      <c r="O9833" s="43"/>
      <c r="Q9833" s="44"/>
      <c r="R9833" s="44"/>
      <c r="S9833" s="44"/>
      <c r="T9833" s="44"/>
    </row>
    <row r="9834" spans="12:20" x14ac:dyDescent="0.2">
      <c r="L9834" s="43"/>
      <c r="M9834" s="43"/>
      <c r="N9834" s="43"/>
      <c r="O9834" s="43"/>
      <c r="Q9834" s="44"/>
      <c r="R9834" s="44"/>
      <c r="S9834" s="44"/>
      <c r="T9834" s="44"/>
    </row>
    <row r="9835" spans="12:20" x14ac:dyDescent="0.2">
      <c r="L9835" s="43"/>
      <c r="M9835" s="43"/>
      <c r="N9835" s="43"/>
      <c r="O9835" s="43"/>
      <c r="Q9835" s="44"/>
      <c r="R9835" s="44"/>
      <c r="S9835" s="44"/>
      <c r="T9835" s="44"/>
    </row>
    <row r="9836" spans="12:20" x14ac:dyDescent="0.2">
      <c r="L9836" s="43"/>
      <c r="M9836" s="43"/>
      <c r="N9836" s="43"/>
      <c r="O9836" s="43"/>
      <c r="Q9836" s="44"/>
      <c r="R9836" s="44"/>
      <c r="S9836" s="44"/>
      <c r="T9836" s="44"/>
    </row>
    <row r="9837" spans="12:20" x14ac:dyDescent="0.2">
      <c r="L9837" s="43"/>
      <c r="M9837" s="43"/>
      <c r="N9837" s="43"/>
      <c r="O9837" s="43"/>
      <c r="Q9837" s="44"/>
      <c r="R9837" s="44"/>
      <c r="S9837" s="44"/>
      <c r="T9837" s="44"/>
    </row>
    <row r="9838" spans="12:20" x14ac:dyDescent="0.2">
      <c r="L9838" s="43"/>
      <c r="M9838" s="43"/>
      <c r="N9838" s="43"/>
      <c r="O9838" s="43"/>
      <c r="Q9838" s="44"/>
      <c r="R9838" s="44"/>
      <c r="S9838" s="44"/>
      <c r="T9838" s="44"/>
    </row>
    <row r="9839" spans="12:20" x14ac:dyDescent="0.2">
      <c r="L9839" s="43"/>
      <c r="M9839" s="43"/>
      <c r="N9839" s="43"/>
      <c r="O9839" s="43"/>
      <c r="Q9839" s="44"/>
      <c r="R9839" s="44"/>
      <c r="S9839" s="44"/>
      <c r="T9839" s="44"/>
    </row>
    <row r="9840" spans="12:20" x14ac:dyDescent="0.2">
      <c r="L9840" s="43"/>
      <c r="M9840" s="43"/>
      <c r="N9840" s="43"/>
      <c r="O9840" s="43"/>
      <c r="Q9840" s="44"/>
      <c r="R9840" s="44"/>
      <c r="S9840" s="44"/>
      <c r="T9840" s="44"/>
    </row>
    <row r="9841" spans="12:20" x14ac:dyDescent="0.2">
      <c r="L9841" s="43"/>
      <c r="M9841" s="43"/>
      <c r="N9841" s="43"/>
      <c r="O9841" s="43"/>
      <c r="Q9841" s="44"/>
      <c r="R9841" s="44"/>
      <c r="S9841" s="44"/>
      <c r="T9841" s="44"/>
    </row>
    <row r="9842" spans="12:20" x14ac:dyDescent="0.2">
      <c r="L9842" s="43"/>
      <c r="M9842" s="43"/>
      <c r="N9842" s="43"/>
      <c r="O9842" s="43"/>
      <c r="Q9842" s="44"/>
      <c r="R9842" s="44"/>
      <c r="S9842" s="44"/>
      <c r="T9842" s="44"/>
    </row>
    <row r="9843" spans="12:20" x14ac:dyDescent="0.2">
      <c r="L9843" s="43"/>
      <c r="M9843" s="43"/>
      <c r="N9843" s="43"/>
      <c r="O9843" s="43"/>
      <c r="Q9843" s="44"/>
      <c r="R9843" s="44"/>
      <c r="S9843" s="44"/>
      <c r="T9843" s="44"/>
    </row>
    <row r="9844" spans="12:20" x14ac:dyDescent="0.2">
      <c r="L9844" s="43"/>
      <c r="M9844" s="43"/>
      <c r="N9844" s="43"/>
      <c r="O9844" s="43"/>
      <c r="Q9844" s="44"/>
      <c r="R9844" s="44"/>
      <c r="S9844" s="44"/>
      <c r="T9844" s="44"/>
    </row>
    <row r="9845" spans="12:20" x14ac:dyDescent="0.2">
      <c r="L9845" s="43"/>
      <c r="M9845" s="43"/>
      <c r="N9845" s="43"/>
      <c r="O9845" s="43"/>
      <c r="Q9845" s="44"/>
      <c r="R9845" s="44"/>
      <c r="S9845" s="44"/>
      <c r="T9845" s="44"/>
    </row>
    <row r="9846" spans="12:20" x14ac:dyDescent="0.2">
      <c r="L9846" s="43"/>
      <c r="M9846" s="43"/>
      <c r="N9846" s="43"/>
      <c r="O9846" s="43"/>
      <c r="Q9846" s="44"/>
      <c r="R9846" s="44"/>
      <c r="S9846" s="44"/>
      <c r="T9846" s="44"/>
    </row>
    <row r="9847" spans="12:20" x14ac:dyDescent="0.2">
      <c r="L9847" s="43"/>
      <c r="M9847" s="43"/>
      <c r="N9847" s="43"/>
      <c r="O9847" s="43"/>
      <c r="Q9847" s="44"/>
      <c r="R9847" s="44"/>
      <c r="S9847" s="44"/>
      <c r="T9847" s="44"/>
    </row>
    <row r="9848" spans="12:20" x14ac:dyDescent="0.2">
      <c r="L9848" s="43"/>
      <c r="M9848" s="43"/>
      <c r="N9848" s="43"/>
      <c r="O9848" s="43"/>
      <c r="Q9848" s="44"/>
      <c r="R9848" s="44"/>
      <c r="S9848" s="44"/>
      <c r="T9848" s="44"/>
    </row>
    <row r="9849" spans="12:20" x14ac:dyDescent="0.2">
      <c r="L9849" s="43"/>
      <c r="M9849" s="43"/>
      <c r="N9849" s="43"/>
      <c r="O9849" s="43"/>
      <c r="Q9849" s="44"/>
      <c r="R9849" s="44"/>
      <c r="S9849" s="44"/>
      <c r="T9849" s="44"/>
    </row>
    <row r="9850" spans="12:20" x14ac:dyDescent="0.2">
      <c r="L9850" s="43"/>
      <c r="M9850" s="43"/>
      <c r="N9850" s="43"/>
      <c r="O9850" s="43"/>
      <c r="Q9850" s="44"/>
      <c r="R9850" s="44"/>
      <c r="S9850" s="44"/>
      <c r="T9850" s="44"/>
    </row>
    <row r="9851" spans="12:20" x14ac:dyDescent="0.2">
      <c r="L9851" s="43"/>
      <c r="M9851" s="43"/>
      <c r="N9851" s="43"/>
      <c r="O9851" s="43"/>
      <c r="Q9851" s="44"/>
      <c r="R9851" s="44"/>
      <c r="S9851" s="44"/>
      <c r="T9851" s="44"/>
    </row>
    <row r="9852" spans="12:20" x14ac:dyDescent="0.2">
      <c r="L9852" s="43"/>
      <c r="M9852" s="43"/>
      <c r="N9852" s="43"/>
      <c r="O9852" s="43"/>
      <c r="Q9852" s="44"/>
      <c r="R9852" s="44"/>
      <c r="S9852" s="44"/>
      <c r="T9852" s="44"/>
    </row>
    <row r="9853" spans="12:20" x14ac:dyDescent="0.2">
      <c r="L9853" s="43"/>
      <c r="M9853" s="43"/>
      <c r="N9853" s="43"/>
      <c r="O9853" s="43"/>
      <c r="Q9853" s="44"/>
      <c r="R9853" s="44"/>
      <c r="S9853" s="44"/>
      <c r="T9853" s="44"/>
    </row>
    <row r="9854" spans="12:20" x14ac:dyDescent="0.2">
      <c r="L9854" s="43"/>
      <c r="M9854" s="43"/>
      <c r="N9854" s="43"/>
      <c r="O9854" s="43"/>
      <c r="Q9854" s="44"/>
      <c r="R9854" s="44"/>
      <c r="S9854" s="44"/>
      <c r="T9854" s="44"/>
    </row>
    <row r="9855" spans="12:20" x14ac:dyDescent="0.2">
      <c r="L9855" s="43"/>
      <c r="M9855" s="43"/>
      <c r="N9855" s="43"/>
      <c r="O9855" s="43"/>
      <c r="Q9855" s="44"/>
      <c r="R9855" s="44"/>
      <c r="S9855" s="44"/>
      <c r="T9855" s="44"/>
    </row>
    <row r="9856" spans="12:20" x14ac:dyDescent="0.2">
      <c r="L9856" s="43"/>
      <c r="M9856" s="43"/>
      <c r="N9856" s="43"/>
      <c r="O9856" s="43"/>
      <c r="Q9856" s="44"/>
      <c r="R9856" s="44"/>
      <c r="S9856" s="44"/>
      <c r="T9856" s="44"/>
    </row>
    <row r="9857" spans="12:20" x14ac:dyDescent="0.2">
      <c r="L9857" s="43"/>
      <c r="M9857" s="43"/>
      <c r="N9857" s="43"/>
      <c r="O9857" s="43"/>
      <c r="Q9857" s="44"/>
      <c r="R9857" s="44"/>
      <c r="S9857" s="44"/>
      <c r="T9857" s="44"/>
    </row>
    <row r="9858" spans="12:20" x14ac:dyDescent="0.2">
      <c r="L9858" s="43"/>
      <c r="M9858" s="43"/>
      <c r="N9858" s="43"/>
      <c r="O9858" s="43"/>
      <c r="Q9858" s="44"/>
      <c r="R9858" s="44"/>
      <c r="S9858" s="44"/>
      <c r="T9858" s="44"/>
    </row>
    <row r="9859" spans="12:20" x14ac:dyDescent="0.2">
      <c r="L9859" s="43"/>
      <c r="M9859" s="43"/>
      <c r="N9859" s="43"/>
      <c r="O9859" s="43"/>
      <c r="Q9859" s="44"/>
      <c r="R9859" s="44"/>
      <c r="S9859" s="44"/>
      <c r="T9859" s="44"/>
    </row>
    <row r="9860" spans="12:20" x14ac:dyDescent="0.2">
      <c r="L9860" s="43"/>
      <c r="M9860" s="43"/>
      <c r="N9860" s="43"/>
      <c r="O9860" s="43"/>
      <c r="Q9860" s="44"/>
      <c r="R9860" s="44"/>
      <c r="S9860" s="44"/>
      <c r="T9860" s="44"/>
    </row>
    <row r="9861" spans="12:20" x14ac:dyDescent="0.2">
      <c r="L9861" s="43"/>
      <c r="M9861" s="43"/>
      <c r="N9861" s="43"/>
      <c r="O9861" s="43"/>
      <c r="Q9861" s="44"/>
      <c r="R9861" s="44"/>
      <c r="S9861" s="44"/>
      <c r="T9861" s="44"/>
    </row>
    <row r="9862" spans="12:20" x14ac:dyDescent="0.2">
      <c r="L9862" s="43"/>
      <c r="M9862" s="43"/>
      <c r="N9862" s="43"/>
      <c r="O9862" s="43"/>
      <c r="Q9862" s="44"/>
      <c r="R9862" s="44"/>
      <c r="S9862" s="44"/>
      <c r="T9862" s="44"/>
    </row>
    <row r="9863" spans="12:20" x14ac:dyDescent="0.2">
      <c r="L9863" s="43"/>
      <c r="M9863" s="43"/>
      <c r="N9863" s="43"/>
      <c r="O9863" s="43"/>
      <c r="Q9863" s="44"/>
      <c r="R9863" s="44"/>
      <c r="S9863" s="44"/>
      <c r="T9863" s="44"/>
    </row>
    <row r="9864" spans="12:20" x14ac:dyDescent="0.2">
      <c r="L9864" s="43"/>
      <c r="M9864" s="43"/>
      <c r="N9864" s="43"/>
      <c r="O9864" s="43"/>
      <c r="Q9864" s="44"/>
      <c r="R9864" s="44"/>
      <c r="S9864" s="44"/>
      <c r="T9864" s="44"/>
    </row>
    <row r="9865" spans="12:20" x14ac:dyDescent="0.2">
      <c r="L9865" s="43"/>
      <c r="M9865" s="43"/>
      <c r="N9865" s="43"/>
      <c r="O9865" s="43"/>
      <c r="Q9865" s="44"/>
      <c r="R9865" s="44"/>
      <c r="S9865" s="44"/>
      <c r="T9865" s="44"/>
    </row>
    <row r="9866" spans="12:20" x14ac:dyDescent="0.2">
      <c r="L9866" s="43"/>
      <c r="M9866" s="43"/>
      <c r="N9866" s="43"/>
      <c r="O9866" s="43"/>
      <c r="Q9866" s="44"/>
      <c r="R9866" s="44"/>
      <c r="S9866" s="44"/>
      <c r="T9866" s="44"/>
    </row>
    <row r="9867" spans="12:20" x14ac:dyDescent="0.2">
      <c r="L9867" s="43"/>
      <c r="M9867" s="43"/>
      <c r="N9867" s="43"/>
      <c r="O9867" s="43"/>
      <c r="Q9867" s="44"/>
      <c r="R9867" s="44"/>
      <c r="S9867" s="44"/>
      <c r="T9867" s="44"/>
    </row>
    <row r="9868" spans="12:20" x14ac:dyDescent="0.2">
      <c r="L9868" s="43"/>
      <c r="M9868" s="43"/>
      <c r="N9868" s="43"/>
      <c r="O9868" s="43"/>
      <c r="Q9868" s="44"/>
      <c r="R9868" s="44"/>
      <c r="S9868" s="44"/>
      <c r="T9868" s="44"/>
    </row>
    <row r="9869" spans="12:20" x14ac:dyDescent="0.2">
      <c r="L9869" s="43"/>
      <c r="M9869" s="43"/>
      <c r="N9869" s="43"/>
      <c r="O9869" s="43"/>
      <c r="Q9869" s="44"/>
      <c r="R9869" s="44"/>
      <c r="S9869" s="44"/>
      <c r="T9869" s="44"/>
    </row>
    <row r="9870" spans="12:20" x14ac:dyDescent="0.2">
      <c r="L9870" s="43"/>
      <c r="M9870" s="43"/>
      <c r="N9870" s="43"/>
      <c r="O9870" s="43"/>
      <c r="Q9870" s="44"/>
      <c r="R9870" s="44"/>
      <c r="S9870" s="44"/>
      <c r="T9870" s="44"/>
    </row>
    <row r="9871" spans="12:20" x14ac:dyDescent="0.2">
      <c r="L9871" s="43"/>
      <c r="M9871" s="43"/>
      <c r="N9871" s="43"/>
      <c r="O9871" s="43"/>
      <c r="Q9871" s="44"/>
      <c r="R9871" s="44"/>
      <c r="S9871" s="44"/>
      <c r="T9871" s="44"/>
    </row>
    <row r="9872" spans="12:20" x14ac:dyDescent="0.2">
      <c r="L9872" s="43"/>
      <c r="M9872" s="43"/>
      <c r="N9872" s="43"/>
      <c r="O9872" s="43"/>
      <c r="Q9872" s="44"/>
      <c r="R9872" s="44"/>
      <c r="S9872" s="44"/>
      <c r="T9872" s="44"/>
    </row>
    <row r="9873" spans="12:20" x14ac:dyDescent="0.2">
      <c r="L9873" s="43"/>
      <c r="M9873" s="43"/>
      <c r="N9873" s="43"/>
      <c r="O9873" s="43"/>
      <c r="Q9873" s="44"/>
      <c r="R9873" s="44"/>
      <c r="S9873" s="44"/>
      <c r="T9873" s="44"/>
    </row>
    <row r="9874" spans="12:20" x14ac:dyDescent="0.2">
      <c r="L9874" s="43"/>
      <c r="M9874" s="43"/>
      <c r="N9874" s="43"/>
      <c r="O9874" s="43"/>
      <c r="Q9874" s="44"/>
      <c r="R9874" s="44"/>
      <c r="S9874" s="44"/>
      <c r="T9874" s="44"/>
    </row>
    <row r="9875" spans="12:20" x14ac:dyDescent="0.2">
      <c r="L9875" s="43"/>
      <c r="M9875" s="43"/>
      <c r="N9875" s="43"/>
      <c r="O9875" s="43"/>
      <c r="Q9875" s="44"/>
      <c r="R9875" s="44"/>
      <c r="S9875" s="44"/>
      <c r="T9875" s="44"/>
    </row>
    <row r="9876" spans="12:20" x14ac:dyDescent="0.2">
      <c r="L9876" s="43"/>
      <c r="M9876" s="43"/>
      <c r="N9876" s="43"/>
      <c r="O9876" s="43"/>
      <c r="Q9876" s="44"/>
      <c r="R9876" s="44"/>
      <c r="S9876" s="44"/>
      <c r="T9876" s="44"/>
    </row>
    <row r="9877" spans="12:20" x14ac:dyDescent="0.2">
      <c r="L9877" s="43"/>
      <c r="M9877" s="43"/>
      <c r="N9877" s="43"/>
      <c r="O9877" s="43"/>
      <c r="Q9877" s="44"/>
      <c r="R9877" s="44"/>
      <c r="S9877" s="44"/>
      <c r="T9877" s="44"/>
    </row>
    <row r="9878" spans="12:20" x14ac:dyDescent="0.2">
      <c r="L9878" s="43"/>
      <c r="M9878" s="43"/>
      <c r="N9878" s="43"/>
      <c r="O9878" s="43"/>
      <c r="Q9878" s="44"/>
      <c r="R9878" s="44"/>
      <c r="S9878" s="44"/>
      <c r="T9878" s="44"/>
    </row>
    <row r="9879" spans="12:20" x14ac:dyDescent="0.2">
      <c r="L9879" s="43"/>
      <c r="M9879" s="43"/>
      <c r="N9879" s="43"/>
      <c r="O9879" s="43"/>
      <c r="Q9879" s="44"/>
      <c r="R9879" s="44"/>
      <c r="S9879" s="44"/>
      <c r="T9879" s="44"/>
    </row>
    <row r="9880" spans="12:20" x14ac:dyDescent="0.2">
      <c r="L9880" s="43"/>
      <c r="M9880" s="43"/>
      <c r="N9880" s="43"/>
      <c r="O9880" s="43"/>
      <c r="Q9880" s="44"/>
      <c r="R9880" s="44"/>
      <c r="S9880" s="44"/>
      <c r="T9880" s="44"/>
    </row>
    <row r="9881" spans="12:20" x14ac:dyDescent="0.2">
      <c r="L9881" s="43"/>
      <c r="M9881" s="43"/>
      <c r="N9881" s="43"/>
      <c r="O9881" s="43"/>
      <c r="Q9881" s="44"/>
      <c r="R9881" s="44"/>
      <c r="S9881" s="44"/>
      <c r="T9881" s="44"/>
    </row>
    <row r="9882" spans="12:20" x14ac:dyDescent="0.2">
      <c r="L9882" s="43"/>
      <c r="M9882" s="43"/>
      <c r="N9882" s="43"/>
      <c r="O9882" s="43"/>
      <c r="Q9882" s="44"/>
      <c r="R9882" s="44"/>
      <c r="S9882" s="44"/>
      <c r="T9882" s="44"/>
    </row>
    <row r="9883" spans="12:20" x14ac:dyDescent="0.2">
      <c r="L9883" s="43"/>
      <c r="M9883" s="43"/>
      <c r="N9883" s="43"/>
      <c r="O9883" s="43"/>
      <c r="Q9883" s="44"/>
      <c r="R9883" s="44"/>
      <c r="S9883" s="44"/>
      <c r="T9883" s="44"/>
    </row>
    <row r="9884" spans="12:20" x14ac:dyDescent="0.2">
      <c r="L9884" s="43"/>
      <c r="M9884" s="43"/>
      <c r="N9884" s="43"/>
      <c r="O9884" s="43"/>
      <c r="Q9884" s="44"/>
      <c r="R9884" s="44"/>
      <c r="S9884" s="44"/>
      <c r="T9884" s="44"/>
    </row>
    <row r="9885" spans="12:20" x14ac:dyDescent="0.2">
      <c r="L9885" s="43"/>
      <c r="M9885" s="43"/>
      <c r="N9885" s="43"/>
      <c r="O9885" s="43"/>
      <c r="Q9885" s="44"/>
      <c r="R9885" s="44"/>
      <c r="S9885" s="44"/>
      <c r="T9885" s="44"/>
    </row>
    <row r="9886" spans="12:20" x14ac:dyDescent="0.2">
      <c r="L9886" s="43"/>
      <c r="M9886" s="43"/>
      <c r="N9886" s="43"/>
      <c r="O9886" s="43"/>
      <c r="Q9886" s="44"/>
      <c r="R9886" s="44"/>
      <c r="S9886" s="44"/>
      <c r="T9886" s="44"/>
    </row>
    <row r="9887" spans="12:20" x14ac:dyDescent="0.2">
      <c r="L9887" s="43"/>
      <c r="M9887" s="43"/>
      <c r="N9887" s="43"/>
      <c r="O9887" s="43"/>
      <c r="Q9887" s="44"/>
      <c r="R9887" s="44"/>
      <c r="S9887" s="44"/>
      <c r="T9887" s="44"/>
    </row>
    <row r="9888" spans="12:20" x14ac:dyDescent="0.2">
      <c r="L9888" s="43"/>
      <c r="M9888" s="43"/>
      <c r="N9888" s="43"/>
      <c r="O9888" s="43"/>
      <c r="Q9888" s="44"/>
      <c r="R9888" s="44"/>
      <c r="S9888" s="44"/>
      <c r="T9888" s="44"/>
    </row>
    <row r="9889" spans="12:20" x14ac:dyDescent="0.2">
      <c r="L9889" s="43"/>
      <c r="M9889" s="43"/>
      <c r="N9889" s="43"/>
      <c r="O9889" s="43"/>
      <c r="Q9889" s="44"/>
      <c r="R9889" s="44"/>
      <c r="S9889" s="44"/>
      <c r="T9889" s="44"/>
    </row>
    <row r="9890" spans="12:20" x14ac:dyDescent="0.2">
      <c r="L9890" s="43"/>
      <c r="M9890" s="43"/>
      <c r="N9890" s="43"/>
      <c r="O9890" s="43"/>
      <c r="Q9890" s="44"/>
      <c r="R9890" s="44"/>
      <c r="S9890" s="44"/>
      <c r="T9890" s="44"/>
    </row>
    <row r="9891" spans="12:20" x14ac:dyDescent="0.2">
      <c r="L9891" s="43"/>
      <c r="M9891" s="43"/>
      <c r="N9891" s="43"/>
      <c r="O9891" s="43"/>
      <c r="Q9891" s="44"/>
      <c r="R9891" s="44"/>
      <c r="S9891" s="44"/>
      <c r="T9891" s="44"/>
    </row>
    <row r="9892" spans="12:20" x14ac:dyDescent="0.2">
      <c r="L9892" s="43"/>
      <c r="M9892" s="43"/>
      <c r="N9892" s="43"/>
      <c r="O9892" s="43"/>
      <c r="Q9892" s="44"/>
      <c r="R9892" s="44"/>
      <c r="S9892" s="44"/>
      <c r="T9892" s="44"/>
    </row>
    <row r="9893" spans="12:20" x14ac:dyDescent="0.2">
      <c r="L9893" s="43"/>
      <c r="M9893" s="43"/>
      <c r="N9893" s="43"/>
      <c r="O9893" s="43"/>
      <c r="Q9893" s="44"/>
      <c r="R9893" s="44"/>
      <c r="S9893" s="44"/>
      <c r="T9893" s="44"/>
    </row>
    <row r="9894" spans="12:20" x14ac:dyDescent="0.2">
      <c r="L9894" s="43"/>
      <c r="M9894" s="43"/>
      <c r="N9894" s="43"/>
      <c r="O9894" s="43"/>
      <c r="Q9894" s="44"/>
      <c r="R9894" s="44"/>
      <c r="S9894" s="44"/>
      <c r="T9894" s="44"/>
    </row>
    <row r="9895" spans="12:20" x14ac:dyDescent="0.2">
      <c r="L9895" s="43"/>
      <c r="M9895" s="43"/>
      <c r="N9895" s="43"/>
      <c r="O9895" s="43"/>
      <c r="Q9895" s="44"/>
      <c r="R9895" s="44"/>
      <c r="S9895" s="44"/>
      <c r="T9895" s="44"/>
    </row>
    <row r="9896" spans="12:20" x14ac:dyDescent="0.2">
      <c r="L9896" s="43"/>
      <c r="M9896" s="43"/>
      <c r="N9896" s="43"/>
      <c r="O9896" s="43"/>
      <c r="Q9896" s="44"/>
      <c r="R9896" s="44"/>
      <c r="S9896" s="44"/>
      <c r="T9896" s="44"/>
    </row>
    <row r="9897" spans="12:20" x14ac:dyDescent="0.2">
      <c r="L9897" s="43"/>
      <c r="M9897" s="43"/>
      <c r="N9897" s="43"/>
      <c r="O9897" s="43"/>
      <c r="Q9897" s="44"/>
      <c r="R9897" s="44"/>
      <c r="S9897" s="44"/>
      <c r="T9897" s="44"/>
    </row>
    <row r="9898" spans="12:20" x14ac:dyDescent="0.2">
      <c r="L9898" s="43"/>
      <c r="M9898" s="43"/>
      <c r="N9898" s="43"/>
      <c r="O9898" s="43"/>
      <c r="Q9898" s="44"/>
      <c r="R9898" s="44"/>
      <c r="S9898" s="44"/>
      <c r="T9898" s="44"/>
    </row>
    <row r="9899" spans="12:20" x14ac:dyDescent="0.2">
      <c r="L9899" s="43"/>
      <c r="M9899" s="43"/>
      <c r="N9899" s="43"/>
      <c r="O9899" s="43"/>
      <c r="Q9899" s="44"/>
      <c r="R9899" s="44"/>
      <c r="S9899" s="44"/>
      <c r="T9899" s="44"/>
    </row>
    <row r="9900" spans="12:20" x14ac:dyDescent="0.2">
      <c r="L9900" s="43"/>
      <c r="M9900" s="43"/>
      <c r="N9900" s="43"/>
      <c r="O9900" s="43"/>
      <c r="Q9900" s="44"/>
      <c r="R9900" s="44"/>
      <c r="S9900" s="44"/>
      <c r="T9900" s="44"/>
    </row>
    <row r="9901" spans="12:20" x14ac:dyDescent="0.2">
      <c r="L9901" s="43"/>
      <c r="M9901" s="43"/>
      <c r="N9901" s="43"/>
      <c r="O9901" s="43"/>
      <c r="Q9901" s="44"/>
      <c r="R9901" s="44"/>
      <c r="S9901" s="44"/>
      <c r="T9901" s="44"/>
    </row>
    <row r="9902" spans="12:20" x14ac:dyDescent="0.2">
      <c r="L9902" s="43"/>
      <c r="M9902" s="43"/>
      <c r="N9902" s="43"/>
      <c r="O9902" s="43"/>
      <c r="Q9902" s="44"/>
      <c r="R9902" s="44"/>
      <c r="S9902" s="44"/>
      <c r="T9902" s="44"/>
    </row>
    <row r="9903" spans="12:20" x14ac:dyDescent="0.2">
      <c r="L9903" s="43"/>
      <c r="M9903" s="43"/>
      <c r="N9903" s="43"/>
      <c r="O9903" s="43"/>
      <c r="Q9903" s="44"/>
      <c r="R9903" s="44"/>
      <c r="S9903" s="44"/>
      <c r="T9903" s="44"/>
    </row>
    <row r="9904" spans="12:20" x14ac:dyDescent="0.2">
      <c r="L9904" s="43"/>
      <c r="M9904" s="43"/>
      <c r="N9904" s="43"/>
      <c r="O9904" s="43"/>
      <c r="Q9904" s="44"/>
      <c r="R9904" s="44"/>
      <c r="S9904" s="44"/>
      <c r="T9904" s="44"/>
    </row>
    <row r="9905" spans="12:20" x14ac:dyDescent="0.2">
      <c r="L9905" s="43"/>
      <c r="M9905" s="43"/>
      <c r="N9905" s="43"/>
      <c r="O9905" s="43"/>
      <c r="Q9905" s="44"/>
      <c r="R9905" s="44"/>
      <c r="S9905" s="44"/>
      <c r="T9905" s="44"/>
    </row>
    <row r="9906" spans="12:20" x14ac:dyDescent="0.2">
      <c r="L9906" s="43"/>
      <c r="M9906" s="43"/>
      <c r="N9906" s="43"/>
      <c r="O9906" s="43"/>
      <c r="Q9906" s="44"/>
      <c r="R9906" s="44"/>
      <c r="S9906" s="44"/>
      <c r="T9906" s="44"/>
    </row>
    <row r="9907" spans="12:20" x14ac:dyDescent="0.2">
      <c r="L9907" s="43"/>
      <c r="M9907" s="43"/>
      <c r="N9907" s="43"/>
      <c r="O9907" s="43"/>
      <c r="Q9907" s="44"/>
      <c r="R9907" s="44"/>
      <c r="S9907" s="44"/>
      <c r="T9907" s="44"/>
    </row>
    <row r="9908" spans="12:20" x14ac:dyDescent="0.2">
      <c r="L9908" s="43"/>
      <c r="M9908" s="43"/>
      <c r="N9908" s="43"/>
      <c r="O9908" s="43"/>
      <c r="Q9908" s="44"/>
      <c r="R9908" s="44"/>
      <c r="S9908" s="44"/>
      <c r="T9908" s="44"/>
    </row>
    <row r="9909" spans="12:20" x14ac:dyDescent="0.2">
      <c r="L9909" s="43"/>
      <c r="M9909" s="43"/>
      <c r="N9909" s="43"/>
      <c r="O9909" s="43"/>
      <c r="Q9909" s="44"/>
      <c r="R9909" s="44"/>
      <c r="S9909" s="44"/>
      <c r="T9909" s="44"/>
    </row>
    <row r="9910" spans="12:20" x14ac:dyDescent="0.2">
      <c r="L9910" s="43"/>
      <c r="M9910" s="43"/>
      <c r="N9910" s="43"/>
      <c r="O9910" s="43"/>
      <c r="Q9910" s="44"/>
      <c r="R9910" s="44"/>
      <c r="S9910" s="44"/>
      <c r="T9910" s="44"/>
    </row>
    <row r="9911" spans="12:20" x14ac:dyDescent="0.2">
      <c r="L9911" s="43"/>
      <c r="M9911" s="43"/>
      <c r="N9911" s="43"/>
      <c r="O9911" s="43"/>
      <c r="Q9911" s="44"/>
      <c r="R9911" s="44"/>
      <c r="S9911" s="44"/>
      <c r="T9911" s="44"/>
    </row>
    <row r="9912" spans="12:20" x14ac:dyDescent="0.2">
      <c r="L9912" s="43"/>
      <c r="M9912" s="43"/>
      <c r="N9912" s="43"/>
      <c r="O9912" s="43"/>
      <c r="Q9912" s="44"/>
      <c r="R9912" s="44"/>
      <c r="S9912" s="44"/>
      <c r="T9912" s="44"/>
    </row>
    <row r="9913" spans="12:20" x14ac:dyDescent="0.2">
      <c r="L9913" s="43"/>
      <c r="M9913" s="43"/>
      <c r="N9913" s="43"/>
      <c r="O9913" s="43"/>
      <c r="Q9913" s="44"/>
      <c r="R9913" s="44"/>
      <c r="S9913" s="44"/>
      <c r="T9913" s="44"/>
    </row>
    <row r="9914" spans="12:20" x14ac:dyDescent="0.2">
      <c r="L9914" s="43"/>
      <c r="M9914" s="43"/>
      <c r="N9914" s="43"/>
      <c r="O9914" s="43"/>
      <c r="Q9914" s="44"/>
      <c r="R9914" s="44"/>
      <c r="S9914" s="44"/>
      <c r="T9914" s="44"/>
    </row>
    <row r="9915" spans="12:20" x14ac:dyDescent="0.2">
      <c r="L9915" s="43"/>
      <c r="M9915" s="43"/>
      <c r="N9915" s="43"/>
      <c r="O9915" s="43"/>
      <c r="Q9915" s="44"/>
      <c r="R9915" s="44"/>
      <c r="S9915" s="44"/>
      <c r="T9915" s="44"/>
    </row>
    <row r="9916" spans="12:20" x14ac:dyDescent="0.2">
      <c r="L9916" s="43"/>
      <c r="M9916" s="43"/>
      <c r="N9916" s="43"/>
      <c r="O9916" s="43"/>
      <c r="Q9916" s="44"/>
      <c r="R9916" s="44"/>
      <c r="S9916" s="44"/>
      <c r="T9916" s="44"/>
    </row>
    <row r="9917" spans="12:20" x14ac:dyDescent="0.2">
      <c r="L9917" s="43"/>
      <c r="M9917" s="43"/>
      <c r="N9917" s="43"/>
      <c r="O9917" s="43"/>
      <c r="Q9917" s="44"/>
      <c r="R9917" s="44"/>
      <c r="S9917" s="44"/>
      <c r="T9917" s="44"/>
    </row>
    <row r="9918" spans="12:20" x14ac:dyDescent="0.2">
      <c r="L9918" s="43"/>
      <c r="M9918" s="43"/>
      <c r="N9918" s="43"/>
      <c r="O9918" s="43"/>
      <c r="Q9918" s="44"/>
      <c r="R9918" s="44"/>
      <c r="S9918" s="44"/>
      <c r="T9918" s="44"/>
    </row>
    <row r="9919" spans="12:20" x14ac:dyDescent="0.2">
      <c r="L9919" s="43"/>
      <c r="M9919" s="43"/>
      <c r="N9919" s="43"/>
      <c r="O9919" s="43"/>
      <c r="Q9919" s="44"/>
      <c r="R9919" s="44"/>
      <c r="S9919" s="44"/>
      <c r="T9919" s="44"/>
    </row>
    <row r="9920" spans="12:20" x14ac:dyDescent="0.2">
      <c r="L9920" s="43"/>
      <c r="M9920" s="43"/>
      <c r="N9920" s="43"/>
      <c r="O9920" s="43"/>
      <c r="Q9920" s="44"/>
      <c r="R9920" s="44"/>
      <c r="S9920" s="44"/>
      <c r="T9920" s="44"/>
    </row>
    <row r="9921" spans="12:20" x14ac:dyDescent="0.2">
      <c r="L9921" s="43"/>
      <c r="M9921" s="43"/>
      <c r="N9921" s="43"/>
      <c r="O9921" s="43"/>
      <c r="Q9921" s="44"/>
      <c r="R9921" s="44"/>
      <c r="S9921" s="44"/>
      <c r="T9921" s="44"/>
    </row>
    <row r="9922" spans="12:20" x14ac:dyDescent="0.2">
      <c r="L9922" s="43"/>
      <c r="M9922" s="43"/>
      <c r="N9922" s="43"/>
      <c r="O9922" s="43"/>
      <c r="Q9922" s="44"/>
      <c r="R9922" s="44"/>
      <c r="S9922" s="44"/>
      <c r="T9922" s="44"/>
    </row>
    <row r="9923" spans="12:20" x14ac:dyDescent="0.2">
      <c r="L9923" s="43"/>
      <c r="M9923" s="43"/>
      <c r="N9923" s="43"/>
      <c r="O9923" s="43"/>
      <c r="Q9923" s="44"/>
      <c r="R9923" s="44"/>
      <c r="S9923" s="44"/>
      <c r="T9923" s="44"/>
    </row>
    <row r="9924" spans="12:20" x14ac:dyDescent="0.2">
      <c r="L9924" s="43"/>
      <c r="M9924" s="43"/>
      <c r="N9924" s="43"/>
      <c r="O9924" s="43"/>
      <c r="Q9924" s="44"/>
      <c r="R9924" s="44"/>
      <c r="S9924" s="44"/>
      <c r="T9924" s="44"/>
    </row>
    <row r="9925" spans="12:20" x14ac:dyDescent="0.2">
      <c r="L9925" s="43"/>
      <c r="M9925" s="43"/>
      <c r="N9925" s="43"/>
      <c r="O9925" s="43"/>
      <c r="Q9925" s="44"/>
      <c r="R9925" s="44"/>
      <c r="S9925" s="44"/>
      <c r="T9925" s="44"/>
    </row>
    <row r="9926" spans="12:20" x14ac:dyDescent="0.2">
      <c r="L9926" s="43"/>
      <c r="M9926" s="43"/>
      <c r="N9926" s="43"/>
      <c r="O9926" s="43"/>
      <c r="Q9926" s="44"/>
      <c r="R9926" s="44"/>
      <c r="S9926" s="44"/>
      <c r="T9926" s="44"/>
    </row>
    <row r="9927" spans="12:20" x14ac:dyDescent="0.2">
      <c r="L9927" s="43"/>
      <c r="M9927" s="43"/>
      <c r="N9927" s="43"/>
      <c r="O9927" s="43"/>
      <c r="Q9927" s="44"/>
      <c r="R9927" s="44"/>
      <c r="S9927" s="44"/>
      <c r="T9927" s="44"/>
    </row>
    <row r="9928" spans="12:20" x14ac:dyDescent="0.2">
      <c r="L9928" s="43"/>
      <c r="M9928" s="43"/>
      <c r="N9928" s="43"/>
      <c r="O9928" s="43"/>
      <c r="Q9928" s="44"/>
      <c r="R9928" s="44"/>
      <c r="S9928" s="44"/>
      <c r="T9928" s="44"/>
    </row>
    <row r="9929" spans="12:20" x14ac:dyDescent="0.2">
      <c r="L9929" s="43"/>
      <c r="M9929" s="43"/>
      <c r="N9929" s="43"/>
      <c r="O9929" s="43"/>
      <c r="Q9929" s="44"/>
      <c r="R9929" s="44"/>
      <c r="S9929" s="44"/>
      <c r="T9929" s="44"/>
    </row>
    <row r="9930" spans="12:20" x14ac:dyDescent="0.2">
      <c r="L9930" s="43"/>
      <c r="M9930" s="43"/>
      <c r="N9930" s="43"/>
      <c r="O9930" s="43"/>
      <c r="Q9930" s="44"/>
      <c r="R9930" s="44"/>
      <c r="S9930" s="44"/>
      <c r="T9930" s="44"/>
    </row>
    <row r="9931" spans="12:20" x14ac:dyDescent="0.2">
      <c r="L9931" s="43"/>
      <c r="M9931" s="43"/>
      <c r="N9931" s="43"/>
      <c r="O9931" s="43"/>
      <c r="Q9931" s="44"/>
      <c r="R9931" s="44"/>
      <c r="S9931" s="44"/>
      <c r="T9931" s="44"/>
    </row>
    <row r="9932" spans="12:20" x14ac:dyDescent="0.2">
      <c r="L9932" s="43"/>
      <c r="M9932" s="43"/>
      <c r="N9932" s="43"/>
      <c r="O9932" s="43"/>
      <c r="Q9932" s="44"/>
      <c r="R9932" s="44"/>
      <c r="S9932" s="44"/>
      <c r="T9932" s="44"/>
    </row>
    <row r="9933" spans="12:20" x14ac:dyDescent="0.2">
      <c r="L9933" s="43"/>
      <c r="M9933" s="43"/>
      <c r="N9933" s="43"/>
      <c r="O9933" s="43"/>
      <c r="Q9933" s="44"/>
      <c r="R9933" s="44"/>
      <c r="S9933" s="44"/>
      <c r="T9933" s="44"/>
    </row>
    <row r="9934" spans="12:20" x14ac:dyDescent="0.2">
      <c r="L9934" s="43"/>
      <c r="M9934" s="43"/>
      <c r="N9934" s="43"/>
      <c r="O9934" s="43"/>
      <c r="Q9934" s="44"/>
      <c r="R9934" s="44"/>
      <c r="S9934" s="44"/>
      <c r="T9934" s="44"/>
    </row>
    <row r="9935" spans="12:20" x14ac:dyDescent="0.2">
      <c r="L9935" s="43"/>
      <c r="M9935" s="43"/>
      <c r="N9935" s="43"/>
      <c r="O9935" s="43"/>
      <c r="Q9935" s="44"/>
      <c r="R9935" s="44"/>
      <c r="S9935" s="44"/>
      <c r="T9935" s="44"/>
    </row>
    <row r="9936" spans="12:20" x14ac:dyDescent="0.2">
      <c r="L9936" s="43"/>
      <c r="M9936" s="43"/>
      <c r="N9936" s="43"/>
      <c r="O9936" s="43"/>
      <c r="Q9936" s="44"/>
      <c r="R9936" s="44"/>
      <c r="S9936" s="44"/>
      <c r="T9936" s="44"/>
    </row>
    <row r="9937" spans="12:20" x14ac:dyDescent="0.2">
      <c r="L9937" s="43"/>
      <c r="M9937" s="43"/>
      <c r="N9937" s="43"/>
      <c r="O9937" s="43"/>
      <c r="Q9937" s="44"/>
      <c r="R9937" s="44"/>
      <c r="S9937" s="44"/>
      <c r="T9937" s="44"/>
    </row>
    <row r="9938" spans="12:20" x14ac:dyDescent="0.2">
      <c r="L9938" s="43"/>
      <c r="M9938" s="43"/>
      <c r="N9938" s="43"/>
      <c r="O9938" s="43"/>
      <c r="Q9938" s="44"/>
      <c r="R9938" s="44"/>
      <c r="S9938" s="44"/>
      <c r="T9938" s="44"/>
    </row>
    <row r="9939" spans="12:20" x14ac:dyDescent="0.2">
      <c r="L9939" s="43"/>
      <c r="M9939" s="43"/>
      <c r="N9939" s="43"/>
      <c r="O9939" s="43"/>
      <c r="Q9939" s="44"/>
      <c r="R9939" s="44"/>
      <c r="S9939" s="44"/>
      <c r="T9939" s="44"/>
    </row>
    <row r="9940" spans="12:20" x14ac:dyDescent="0.2">
      <c r="L9940" s="43"/>
      <c r="M9940" s="43"/>
      <c r="N9940" s="43"/>
      <c r="O9940" s="43"/>
      <c r="Q9940" s="44"/>
      <c r="R9940" s="44"/>
      <c r="S9940" s="44"/>
      <c r="T9940" s="44"/>
    </row>
    <row r="9941" spans="12:20" x14ac:dyDescent="0.2">
      <c r="L9941" s="43"/>
      <c r="M9941" s="43"/>
      <c r="N9941" s="43"/>
      <c r="O9941" s="43"/>
      <c r="Q9941" s="44"/>
      <c r="R9941" s="44"/>
      <c r="S9941" s="44"/>
      <c r="T9941" s="44"/>
    </row>
    <row r="9942" spans="12:20" x14ac:dyDescent="0.2">
      <c r="L9942" s="43"/>
      <c r="M9942" s="43"/>
      <c r="N9942" s="43"/>
      <c r="O9942" s="43"/>
      <c r="Q9942" s="44"/>
      <c r="R9942" s="44"/>
      <c r="S9942" s="44"/>
      <c r="T9942" s="44"/>
    </row>
    <row r="9943" spans="12:20" x14ac:dyDescent="0.2">
      <c r="L9943" s="43"/>
      <c r="M9943" s="43"/>
      <c r="N9943" s="43"/>
      <c r="O9943" s="43"/>
      <c r="Q9943" s="44"/>
      <c r="R9943" s="44"/>
      <c r="S9943" s="44"/>
      <c r="T9943" s="44"/>
    </row>
    <row r="9944" spans="12:20" x14ac:dyDescent="0.2">
      <c r="L9944" s="43"/>
      <c r="M9944" s="43"/>
      <c r="N9944" s="43"/>
      <c r="O9944" s="43"/>
      <c r="Q9944" s="44"/>
      <c r="R9944" s="44"/>
      <c r="S9944" s="44"/>
      <c r="T9944" s="44"/>
    </row>
    <row r="9945" spans="12:20" x14ac:dyDescent="0.2">
      <c r="L9945" s="43"/>
      <c r="M9945" s="43"/>
      <c r="N9945" s="43"/>
      <c r="O9945" s="43"/>
      <c r="Q9945" s="44"/>
      <c r="R9945" s="44"/>
      <c r="S9945" s="44"/>
      <c r="T9945" s="44"/>
    </row>
    <row r="9946" spans="12:20" x14ac:dyDescent="0.2">
      <c r="L9946" s="43"/>
      <c r="M9946" s="43"/>
      <c r="N9946" s="43"/>
      <c r="O9946" s="43"/>
      <c r="Q9946" s="44"/>
      <c r="R9946" s="44"/>
      <c r="S9946" s="44"/>
      <c r="T9946" s="44"/>
    </row>
    <row r="9947" spans="12:20" x14ac:dyDescent="0.2">
      <c r="L9947" s="43"/>
      <c r="M9947" s="43"/>
      <c r="N9947" s="43"/>
      <c r="O9947" s="43"/>
      <c r="Q9947" s="44"/>
      <c r="R9947" s="44"/>
      <c r="S9947" s="44"/>
      <c r="T9947" s="44"/>
    </row>
    <row r="9948" spans="12:20" x14ac:dyDescent="0.2">
      <c r="L9948" s="43"/>
      <c r="M9948" s="43"/>
      <c r="N9948" s="43"/>
      <c r="O9948" s="43"/>
      <c r="Q9948" s="44"/>
      <c r="R9948" s="44"/>
      <c r="S9948" s="44"/>
      <c r="T9948" s="44"/>
    </row>
    <row r="9949" spans="12:20" x14ac:dyDescent="0.2">
      <c r="L9949" s="43"/>
      <c r="M9949" s="43"/>
      <c r="N9949" s="43"/>
      <c r="O9949" s="43"/>
      <c r="Q9949" s="44"/>
      <c r="R9949" s="44"/>
      <c r="S9949" s="44"/>
      <c r="T9949" s="44"/>
    </row>
    <row r="9950" spans="12:20" x14ac:dyDescent="0.2">
      <c r="L9950" s="43"/>
      <c r="M9950" s="43"/>
      <c r="N9950" s="43"/>
      <c r="O9950" s="43"/>
      <c r="Q9950" s="44"/>
      <c r="R9950" s="44"/>
      <c r="S9950" s="44"/>
      <c r="T9950" s="44"/>
    </row>
    <row r="9951" spans="12:20" x14ac:dyDescent="0.2">
      <c r="L9951" s="43"/>
      <c r="M9951" s="43"/>
      <c r="N9951" s="43"/>
      <c r="O9951" s="43"/>
      <c r="Q9951" s="44"/>
      <c r="R9951" s="44"/>
      <c r="S9951" s="44"/>
      <c r="T9951" s="44"/>
    </row>
    <row r="9952" spans="12:20" x14ac:dyDescent="0.2">
      <c r="L9952" s="43"/>
      <c r="M9952" s="43"/>
      <c r="N9952" s="43"/>
      <c r="O9952" s="43"/>
      <c r="Q9952" s="44"/>
      <c r="R9952" s="44"/>
      <c r="S9952" s="44"/>
      <c r="T9952" s="44"/>
    </row>
    <row r="9953" spans="12:20" x14ac:dyDescent="0.2">
      <c r="L9953" s="43"/>
      <c r="M9953" s="43"/>
      <c r="N9953" s="43"/>
      <c r="O9953" s="43"/>
      <c r="Q9953" s="44"/>
      <c r="R9953" s="44"/>
      <c r="S9953" s="44"/>
      <c r="T9953" s="44"/>
    </row>
    <row r="9954" spans="12:20" x14ac:dyDescent="0.2">
      <c r="L9954" s="43"/>
      <c r="M9954" s="43"/>
      <c r="N9954" s="43"/>
      <c r="O9954" s="43"/>
      <c r="Q9954" s="44"/>
      <c r="R9954" s="44"/>
      <c r="S9954" s="44"/>
      <c r="T9954" s="44"/>
    </row>
    <row r="9955" spans="12:20" x14ac:dyDescent="0.2">
      <c r="L9955" s="43"/>
      <c r="M9955" s="43"/>
      <c r="N9955" s="43"/>
      <c r="O9955" s="43"/>
      <c r="Q9955" s="44"/>
      <c r="R9955" s="44"/>
      <c r="S9955" s="44"/>
      <c r="T9955" s="44"/>
    </row>
    <row r="9956" spans="12:20" x14ac:dyDescent="0.2">
      <c r="L9956" s="43"/>
      <c r="M9956" s="43"/>
      <c r="N9956" s="43"/>
      <c r="O9956" s="43"/>
      <c r="Q9956" s="44"/>
      <c r="R9956" s="44"/>
      <c r="S9956" s="44"/>
      <c r="T9956" s="44"/>
    </row>
    <row r="9957" spans="12:20" x14ac:dyDescent="0.2">
      <c r="L9957" s="43"/>
      <c r="M9957" s="43"/>
      <c r="N9957" s="43"/>
      <c r="O9957" s="43"/>
      <c r="Q9957" s="44"/>
      <c r="R9957" s="44"/>
      <c r="S9957" s="44"/>
      <c r="T9957" s="44"/>
    </row>
    <row r="9958" spans="12:20" x14ac:dyDescent="0.2">
      <c r="L9958" s="43"/>
      <c r="M9958" s="43"/>
      <c r="N9958" s="43"/>
      <c r="O9958" s="43"/>
      <c r="Q9958" s="44"/>
      <c r="R9958" s="44"/>
      <c r="S9958" s="44"/>
      <c r="T9958" s="44"/>
    </row>
    <row r="9959" spans="12:20" x14ac:dyDescent="0.2">
      <c r="L9959" s="43"/>
      <c r="M9959" s="43"/>
      <c r="N9959" s="43"/>
      <c r="O9959" s="43"/>
      <c r="Q9959" s="44"/>
      <c r="R9959" s="44"/>
      <c r="S9959" s="44"/>
      <c r="T9959" s="44"/>
    </row>
    <row r="9960" spans="12:20" x14ac:dyDescent="0.2">
      <c r="L9960" s="43"/>
      <c r="M9960" s="43"/>
      <c r="N9960" s="43"/>
      <c r="O9960" s="43"/>
      <c r="Q9960" s="44"/>
      <c r="R9960" s="44"/>
      <c r="S9960" s="44"/>
      <c r="T9960" s="44"/>
    </row>
    <row r="9961" spans="12:20" x14ac:dyDescent="0.2">
      <c r="L9961" s="43"/>
      <c r="M9961" s="43"/>
      <c r="N9961" s="43"/>
      <c r="O9961" s="43"/>
      <c r="Q9961" s="44"/>
      <c r="R9961" s="44"/>
      <c r="S9961" s="44"/>
      <c r="T9961" s="44"/>
    </row>
    <row r="9962" spans="12:20" x14ac:dyDescent="0.2">
      <c r="L9962" s="43"/>
      <c r="M9962" s="43"/>
      <c r="N9962" s="43"/>
      <c r="O9962" s="43"/>
      <c r="Q9962" s="44"/>
      <c r="R9962" s="44"/>
      <c r="S9962" s="44"/>
      <c r="T9962" s="44"/>
    </row>
    <row r="9963" spans="12:20" x14ac:dyDescent="0.2">
      <c r="L9963" s="43"/>
      <c r="M9963" s="43"/>
      <c r="N9963" s="43"/>
      <c r="O9963" s="43"/>
      <c r="Q9963" s="44"/>
      <c r="R9963" s="44"/>
      <c r="S9963" s="44"/>
      <c r="T9963" s="44"/>
    </row>
    <row r="9964" spans="12:20" x14ac:dyDescent="0.2">
      <c r="L9964" s="43"/>
      <c r="M9964" s="43"/>
      <c r="N9964" s="43"/>
      <c r="O9964" s="43"/>
      <c r="Q9964" s="44"/>
      <c r="R9964" s="44"/>
      <c r="S9964" s="44"/>
      <c r="T9964" s="44"/>
    </row>
    <row r="9965" spans="12:20" x14ac:dyDescent="0.2">
      <c r="L9965" s="43"/>
      <c r="M9965" s="43"/>
      <c r="N9965" s="43"/>
      <c r="O9965" s="43"/>
      <c r="Q9965" s="44"/>
      <c r="R9965" s="44"/>
      <c r="S9965" s="44"/>
      <c r="T9965" s="44"/>
    </row>
    <row r="9966" spans="12:20" x14ac:dyDescent="0.2">
      <c r="L9966" s="43"/>
      <c r="M9966" s="43"/>
      <c r="N9966" s="43"/>
      <c r="O9966" s="43"/>
      <c r="Q9966" s="44"/>
      <c r="R9966" s="44"/>
      <c r="S9966" s="44"/>
      <c r="T9966" s="44"/>
    </row>
    <row r="9967" spans="12:20" x14ac:dyDescent="0.2">
      <c r="L9967" s="43"/>
      <c r="M9967" s="43"/>
      <c r="N9967" s="43"/>
      <c r="O9967" s="43"/>
      <c r="Q9967" s="44"/>
      <c r="R9967" s="44"/>
      <c r="S9967" s="44"/>
      <c r="T9967" s="44"/>
    </row>
    <row r="9968" spans="12:20" x14ac:dyDescent="0.2">
      <c r="L9968" s="43"/>
      <c r="M9968" s="43"/>
      <c r="N9968" s="43"/>
      <c r="O9968" s="43"/>
      <c r="Q9968" s="44"/>
      <c r="R9968" s="44"/>
      <c r="S9968" s="44"/>
      <c r="T9968" s="44"/>
    </row>
    <row r="9969" spans="12:20" x14ac:dyDescent="0.2">
      <c r="L9969" s="43"/>
      <c r="M9969" s="43"/>
      <c r="N9969" s="43"/>
      <c r="O9969" s="43"/>
      <c r="Q9969" s="44"/>
      <c r="R9969" s="44"/>
      <c r="S9969" s="44"/>
      <c r="T9969" s="44"/>
    </row>
    <row r="9970" spans="12:20" x14ac:dyDescent="0.2">
      <c r="L9970" s="43"/>
      <c r="M9970" s="43"/>
      <c r="N9970" s="43"/>
      <c r="O9970" s="43"/>
      <c r="Q9970" s="44"/>
      <c r="R9970" s="44"/>
      <c r="S9970" s="44"/>
      <c r="T9970" s="44"/>
    </row>
    <row r="9971" spans="12:20" x14ac:dyDescent="0.2">
      <c r="L9971" s="43"/>
      <c r="M9971" s="43"/>
      <c r="N9971" s="43"/>
      <c r="O9971" s="43"/>
      <c r="Q9971" s="44"/>
      <c r="R9971" s="44"/>
      <c r="S9971" s="44"/>
      <c r="T9971" s="44"/>
    </row>
    <row r="9972" spans="12:20" x14ac:dyDescent="0.2">
      <c r="L9972" s="43"/>
      <c r="M9972" s="43"/>
      <c r="N9972" s="43"/>
      <c r="O9972" s="43"/>
      <c r="Q9972" s="44"/>
      <c r="R9972" s="44"/>
      <c r="S9972" s="44"/>
      <c r="T9972" s="44"/>
    </row>
    <row r="9973" spans="12:20" x14ac:dyDescent="0.2">
      <c r="L9973" s="43"/>
      <c r="M9973" s="43"/>
      <c r="N9973" s="43"/>
      <c r="O9973" s="43"/>
      <c r="Q9973" s="44"/>
      <c r="R9973" s="44"/>
      <c r="S9973" s="44"/>
      <c r="T9973" s="44"/>
    </row>
    <row r="9974" spans="12:20" x14ac:dyDescent="0.2">
      <c r="L9974" s="43"/>
      <c r="M9974" s="43"/>
      <c r="N9974" s="43"/>
      <c r="O9974" s="43"/>
      <c r="Q9974" s="44"/>
      <c r="R9974" s="44"/>
      <c r="S9974" s="44"/>
      <c r="T9974" s="44"/>
    </row>
    <row r="9975" spans="12:20" x14ac:dyDescent="0.2">
      <c r="L9975" s="43"/>
      <c r="M9975" s="43"/>
      <c r="N9975" s="43"/>
      <c r="O9975" s="43"/>
      <c r="Q9975" s="44"/>
      <c r="R9975" s="44"/>
      <c r="S9975" s="44"/>
      <c r="T9975" s="44"/>
    </row>
    <row r="9976" spans="12:20" x14ac:dyDescent="0.2">
      <c r="L9976" s="43"/>
      <c r="M9976" s="43"/>
      <c r="N9976" s="43"/>
      <c r="O9976" s="43"/>
      <c r="Q9976" s="44"/>
      <c r="R9976" s="44"/>
      <c r="S9976" s="44"/>
      <c r="T9976" s="44"/>
    </row>
    <row r="9977" spans="12:20" x14ac:dyDescent="0.2">
      <c r="L9977" s="43"/>
      <c r="M9977" s="43"/>
      <c r="N9977" s="43"/>
      <c r="O9977" s="43"/>
      <c r="Q9977" s="44"/>
      <c r="R9977" s="44"/>
      <c r="S9977" s="44"/>
      <c r="T9977" s="44"/>
    </row>
    <row r="9978" spans="12:20" x14ac:dyDescent="0.2">
      <c r="L9978" s="43"/>
      <c r="M9978" s="43"/>
      <c r="N9978" s="43"/>
      <c r="O9978" s="43"/>
      <c r="Q9978" s="44"/>
      <c r="R9978" s="44"/>
      <c r="S9978" s="44"/>
      <c r="T9978" s="44"/>
    </row>
    <row r="9979" spans="12:20" x14ac:dyDescent="0.2">
      <c r="L9979" s="43"/>
      <c r="M9979" s="43"/>
      <c r="N9979" s="43"/>
      <c r="O9979" s="43"/>
      <c r="Q9979" s="44"/>
      <c r="R9979" s="44"/>
      <c r="S9979" s="44"/>
      <c r="T9979" s="44"/>
    </row>
    <row r="9980" spans="12:20" x14ac:dyDescent="0.2">
      <c r="L9980" s="43"/>
      <c r="M9980" s="43"/>
      <c r="N9980" s="43"/>
      <c r="O9980" s="43"/>
      <c r="Q9980" s="44"/>
      <c r="R9980" s="44"/>
      <c r="S9980" s="44"/>
      <c r="T9980" s="44"/>
    </row>
    <row r="9981" spans="12:20" x14ac:dyDescent="0.2">
      <c r="L9981" s="43"/>
      <c r="M9981" s="43"/>
      <c r="N9981" s="43"/>
      <c r="O9981" s="43"/>
      <c r="Q9981" s="44"/>
      <c r="R9981" s="44"/>
      <c r="S9981" s="44"/>
      <c r="T9981" s="44"/>
    </row>
    <row r="9982" spans="12:20" x14ac:dyDescent="0.2">
      <c r="L9982" s="43"/>
      <c r="M9982" s="43"/>
      <c r="N9982" s="43"/>
      <c r="O9982" s="43"/>
      <c r="Q9982" s="44"/>
      <c r="R9982" s="44"/>
      <c r="S9982" s="44"/>
      <c r="T9982" s="44"/>
    </row>
    <row r="9983" spans="12:20" x14ac:dyDescent="0.2">
      <c r="L9983" s="43"/>
      <c r="M9983" s="43"/>
      <c r="N9983" s="43"/>
      <c r="O9983" s="43"/>
      <c r="Q9983" s="44"/>
      <c r="R9983" s="44"/>
      <c r="S9983" s="44"/>
      <c r="T9983" s="44"/>
    </row>
    <row r="9984" spans="12:20" x14ac:dyDescent="0.2">
      <c r="L9984" s="43"/>
      <c r="M9984" s="43"/>
      <c r="N9984" s="43"/>
      <c r="O9984" s="43"/>
      <c r="Q9984" s="44"/>
      <c r="R9984" s="44"/>
      <c r="S9984" s="44"/>
      <c r="T9984" s="44"/>
    </row>
    <row r="9985" spans="12:20" x14ac:dyDescent="0.2">
      <c r="L9985" s="43"/>
      <c r="M9985" s="43"/>
      <c r="N9985" s="43"/>
      <c r="O9985" s="43"/>
      <c r="Q9985" s="44"/>
      <c r="R9985" s="44"/>
      <c r="S9985" s="44"/>
      <c r="T9985" s="44"/>
    </row>
    <row r="9986" spans="12:20" x14ac:dyDescent="0.2">
      <c r="L9986" s="43"/>
      <c r="M9986" s="43"/>
      <c r="N9986" s="43"/>
      <c r="O9986" s="43"/>
      <c r="Q9986" s="44"/>
      <c r="R9986" s="44"/>
      <c r="S9986" s="44"/>
      <c r="T9986" s="44"/>
    </row>
    <row r="9987" spans="12:20" x14ac:dyDescent="0.2">
      <c r="L9987" s="43"/>
      <c r="M9987" s="43"/>
      <c r="N9987" s="43"/>
      <c r="O9987" s="43"/>
      <c r="Q9987" s="44"/>
      <c r="R9987" s="44"/>
      <c r="S9987" s="44"/>
      <c r="T9987" s="44"/>
    </row>
    <row r="9988" spans="12:20" x14ac:dyDescent="0.2">
      <c r="L9988" s="43"/>
      <c r="M9988" s="43"/>
      <c r="N9988" s="43"/>
      <c r="O9988" s="43"/>
      <c r="Q9988" s="44"/>
      <c r="R9988" s="44"/>
      <c r="S9988" s="44"/>
      <c r="T9988" s="44"/>
    </row>
    <row r="9989" spans="12:20" x14ac:dyDescent="0.2">
      <c r="L9989" s="43"/>
      <c r="M9989" s="43"/>
      <c r="N9989" s="43"/>
      <c r="O9989" s="43"/>
      <c r="Q9989" s="44"/>
      <c r="R9989" s="44"/>
      <c r="S9989" s="44"/>
      <c r="T9989" s="44"/>
    </row>
    <row r="9990" spans="12:20" x14ac:dyDescent="0.2">
      <c r="L9990" s="43"/>
      <c r="M9990" s="43"/>
      <c r="N9990" s="43"/>
      <c r="O9990" s="43"/>
      <c r="Q9990" s="44"/>
      <c r="R9990" s="44"/>
      <c r="S9990" s="44"/>
      <c r="T9990" s="44"/>
    </row>
    <row r="9991" spans="12:20" x14ac:dyDescent="0.2">
      <c r="L9991" s="43"/>
      <c r="M9991" s="43"/>
      <c r="N9991" s="43"/>
      <c r="O9991" s="43"/>
      <c r="Q9991" s="44"/>
      <c r="R9991" s="44"/>
      <c r="S9991" s="44"/>
      <c r="T9991" s="44"/>
    </row>
    <row r="9992" spans="12:20" x14ac:dyDescent="0.2">
      <c r="L9992" s="43"/>
      <c r="M9992" s="43"/>
      <c r="N9992" s="43"/>
      <c r="O9992" s="43"/>
      <c r="Q9992" s="44"/>
      <c r="R9992" s="44"/>
      <c r="S9992" s="44"/>
      <c r="T9992" s="44"/>
    </row>
    <row r="9993" spans="12:20" x14ac:dyDescent="0.2">
      <c r="L9993" s="43"/>
      <c r="M9993" s="43"/>
      <c r="N9993" s="43"/>
      <c r="O9993" s="43"/>
      <c r="Q9993" s="44"/>
      <c r="R9993" s="44"/>
      <c r="S9993" s="44"/>
      <c r="T9993" s="44"/>
    </row>
    <row r="9994" spans="12:20" x14ac:dyDescent="0.2">
      <c r="L9994" s="43"/>
      <c r="M9994" s="43"/>
      <c r="N9994" s="43"/>
      <c r="O9994" s="43"/>
      <c r="Q9994" s="44"/>
      <c r="R9994" s="44"/>
      <c r="S9994" s="44"/>
      <c r="T9994" s="44"/>
    </row>
    <row r="9995" spans="12:20" x14ac:dyDescent="0.2">
      <c r="L9995" s="43"/>
      <c r="M9995" s="43"/>
      <c r="N9995" s="43"/>
      <c r="O9995" s="43"/>
      <c r="Q9995" s="44"/>
      <c r="R9995" s="44"/>
      <c r="S9995" s="44"/>
      <c r="T9995" s="44"/>
    </row>
    <row r="9996" spans="12:20" x14ac:dyDescent="0.2">
      <c r="L9996" s="43"/>
      <c r="M9996" s="43"/>
      <c r="N9996" s="43"/>
      <c r="O9996" s="43"/>
      <c r="Q9996" s="44"/>
      <c r="R9996" s="44"/>
      <c r="S9996" s="44"/>
      <c r="T9996" s="44"/>
    </row>
    <row r="9997" spans="12:20" x14ac:dyDescent="0.2">
      <c r="L9997" s="43"/>
      <c r="M9997" s="43"/>
      <c r="N9997" s="43"/>
      <c r="O9997" s="43"/>
      <c r="Q9997" s="44"/>
      <c r="R9997" s="44"/>
      <c r="S9997" s="44"/>
      <c r="T9997" s="44"/>
    </row>
    <row r="9998" spans="12:20" x14ac:dyDescent="0.2">
      <c r="L9998" s="43"/>
      <c r="M9998" s="43"/>
      <c r="N9998" s="43"/>
      <c r="O9998" s="43"/>
      <c r="Q9998" s="44"/>
      <c r="R9998" s="44"/>
      <c r="S9998" s="44"/>
      <c r="T9998" s="44"/>
    </row>
    <row r="9999" spans="12:20" x14ac:dyDescent="0.2">
      <c r="L9999" s="43"/>
      <c r="M9999" s="43"/>
      <c r="N9999" s="43"/>
      <c r="O9999" s="43"/>
      <c r="Q9999" s="44"/>
      <c r="R9999" s="44"/>
      <c r="S9999" s="44"/>
      <c r="T9999" s="44"/>
    </row>
    <row r="10000" spans="12:20" x14ac:dyDescent="0.2">
      <c r="L10000" s="43"/>
      <c r="M10000" s="43"/>
      <c r="N10000" s="43"/>
      <c r="O10000" s="43"/>
      <c r="Q10000" s="44"/>
      <c r="R10000" s="44"/>
      <c r="S10000" s="44"/>
      <c r="T10000" s="44"/>
    </row>
    <row r="10001" spans="12:20" x14ac:dyDescent="0.2">
      <c r="L10001" s="43"/>
      <c r="M10001" s="43"/>
      <c r="N10001" s="43"/>
      <c r="O10001" s="43"/>
      <c r="Q10001" s="44"/>
      <c r="R10001" s="44"/>
      <c r="S10001" s="44"/>
      <c r="T10001" s="44"/>
    </row>
    <row r="10002" spans="12:20" x14ac:dyDescent="0.2">
      <c r="L10002" s="43"/>
      <c r="M10002" s="43"/>
      <c r="N10002" s="43"/>
      <c r="O10002" s="43"/>
      <c r="Q10002" s="44"/>
      <c r="R10002" s="44"/>
      <c r="S10002" s="44"/>
      <c r="T10002" s="44"/>
    </row>
    <row r="10003" spans="12:20" x14ac:dyDescent="0.2">
      <c r="L10003" s="43"/>
      <c r="M10003" s="43"/>
      <c r="N10003" s="43"/>
      <c r="O10003" s="43"/>
      <c r="Q10003" s="44"/>
      <c r="R10003" s="44"/>
      <c r="S10003" s="44"/>
      <c r="T10003" s="44"/>
    </row>
    <row r="10004" spans="12:20" x14ac:dyDescent="0.2">
      <c r="L10004" s="43"/>
      <c r="M10004" s="43"/>
      <c r="N10004" s="43"/>
      <c r="O10004" s="43"/>
      <c r="Q10004" s="44"/>
      <c r="R10004" s="44"/>
      <c r="S10004" s="44"/>
      <c r="T10004" s="44"/>
    </row>
    <row r="10005" spans="12:20" x14ac:dyDescent="0.2">
      <c r="L10005" s="43"/>
      <c r="M10005" s="43"/>
      <c r="N10005" s="43"/>
      <c r="O10005" s="43"/>
      <c r="Q10005" s="44"/>
      <c r="R10005" s="44"/>
      <c r="S10005" s="44"/>
      <c r="T10005" s="44"/>
    </row>
    <row r="10006" spans="12:20" x14ac:dyDescent="0.2">
      <c r="L10006" s="43"/>
      <c r="M10006" s="43"/>
      <c r="N10006" s="43"/>
      <c r="O10006" s="43"/>
      <c r="Q10006" s="44"/>
      <c r="R10006" s="44"/>
      <c r="S10006" s="44"/>
      <c r="T10006" s="44"/>
    </row>
    <row r="10007" spans="12:20" x14ac:dyDescent="0.2">
      <c r="L10007" s="43"/>
      <c r="M10007" s="43"/>
      <c r="N10007" s="43"/>
      <c r="O10007" s="43"/>
      <c r="Q10007" s="44"/>
      <c r="R10007" s="44"/>
      <c r="S10007" s="44"/>
      <c r="T10007" s="44"/>
    </row>
  </sheetData>
  <mergeCells count="4">
    <mergeCell ref="C4:D4"/>
    <mergeCell ref="E4:F4"/>
    <mergeCell ref="G4:H4"/>
    <mergeCell ref="I4:J4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C1:W59"/>
  <sheetViews>
    <sheetView zoomScale="70" zoomScaleNormal="70" zoomScalePageLayoutView="70" workbookViewId="0">
      <selection activeCell="R5" sqref="R5"/>
    </sheetView>
  </sheetViews>
  <sheetFormatPr defaultColWidth="8.85546875" defaultRowHeight="12.75" x14ac:dyDescent="0.2"/>
  <cols>
    <col min="1" max="1" width="3.140625" style="30" customWidth="1"/>
    <col min="2" max="2" width="2.85546875" style="30" customWidth="1"/>
    <col min="3" max="4" width="10.7109375" style="30" customWidth="1"/>
    <col min="5" max="5" width="2.85546875" style="30" customWidth="1"/>
    <col min="6" max="6" width="20.42578125" style="30" customWidth="1"/>
    <col min="7" max="9" width="10.7109375" style="30" customWidth="1"/>
    <col min="10" max="10" width="2.85546875" style="30" customWidth="1"/>
    <col min="11" max="13" width="11.28515625" style="30" customWidth="1"/>
    <col min="14" max="15" width="2.85546875" style="30" customWidth="1"/>
    <col min="16" max="16" width="10.28515625" style="30" customWidth="1"/>
    <col min="17" max="17" width="2.85546875" style="30" customWidth="1"/>
    <col min="18" max="18" width="39.140625" style="32" bestFit="1" customWidth="1"/>
    <col min="19" max="19" width="2.42578125" style="30" customWidth="1"/>
    <col min="20" max="20" width="12.7109375" style="30" customWidth="1"/>
    <col min="21" max="21" width="17.85546875" style="30" bestFit="1" customWidth="1"/>
    <col min="22" max="22" width="8.85546875" style="30"/>
    <col min="23" max="23" width="10.140625" style="30" bestFit="1" customWidth="1"/>
    <col min="24" max="243" width="8.85546875" style="30"/>
    <col min="244" max="244" width="3.140625" style="30" customWidth="1"/>
    <col min="245" max="245" width="2.85546875" style="30" customWidth="1"/>
    <col min="246" max="247" width="10.7109375" style="30" customWidth="1"/>
    <col min="248" max="248" width="2.85546875" style="30" customWidth="1"/>
    <col min="249" max="252" width="10.7109375" style="30" customWidth="1"/>
    <col min="253" max="253" width="2.85546875" style="30" customWidth="1"/>
    <col min="254" max="257" width="10.7109375" style="30" customWidth="1"/>
    <col min="258" max="258" width="2.85546875" style="30" customWidth="1"/>
    <col min="259" max="262" width="10.7109375" style="30" customWidth="1"/>
    <col min="263" max="263" width="2.85546875" style="30" customWidth="1"/>
    <col min="264" max="267" width="10.7109375" style="30" customWidth="1"/>
    <col min="268" max="269" width="2.85546875" style="30" customWidth="1"/>
    <col min="270" max="270" width="8.85546875" style="30"/>
    <col min="271" max="271" width="2.85546875" style="30" customWidth="1"/>
    <col min="272" max="272" width="8.85546875" style="30"/>
    <col min="273" max="273" width="2.85546875" style="30" customWidth="1"/>
    <col min="274" max="274" width="8.85546875" style="30"/>
    <col min="275" max="275" width="2.85546875" style="30" customWidth="1"/>
    <col min="276" max="499" width="8.85546875" style="30"/>
    <col min="500" max="500" width="3.140625" style="30" customWidth="1"/>
    <col min="501" max="501" width="2.85546875" style="30" customWidth="1"/>
    <col min="502" max="503" width="10.7109375" style="30" customWidth="1"/>
    <col min="504" max="504" width="2.85546875" style="30" customWidth="1"/>
    <col min="505" max="508" width="10.7109375" style="30" customWidth="1"/>
    <col min="509" max="509" width="2.85546875" style="30" customWidth="1"/>
    <col min="510" max="513" width="10.7109375" style="30" customWidth="1"/>
    <col min="514" max="514" width="2.85546875" style="30" customWidth="1"/>
    <col min="515" max="518" width="10.7109375" style="30" customWidth="1"/>
    <col min="519" max="519" width="2.85546875" style="30" customWidth="1"/>
    <col min="520" max="523" width="10.7109375" style="30" customWidth="1"/>
    <col min="524" max="525" width="2.85546875" style="30" customWidth="1"/>
    <col min="526" max="526" width="8.85546875" style="30"/>
    <col min="527" max="527" width="2.85546875" style="30" customWidth="1"/>
    <col min="528" max="528" width="8.85546875" style="30"/>
    <col min="529" max="529" width="2.85546875" style="30" customWidth="1"/>
    <col min="530" max="530" width="8.85546875" style="30"/>
    <col min="531" max="531" width="2.85546875" style="30" customWidth="1"/>
    <col min="532" max="755" width="8.85546875" style="30"/>
    <col min="756" max="756" width="3.140625" style="30" customWidth="1"/>
    <col min="757" max="757" width="2.85546875" style="30" customWidth="1"/>
    <col min="758" max="759" width="10.7109375" style="30" customWidth="1"/>
    <col min="760" max="760" width="2.85546875" style="30" customWidth="1"/>
    <col min="761" max="764" width="10.7109375" style="30" customWidth="1"/>
    <col min="765" max="765" width="2.85546875" style="30" customWidth="1"/>
    <col min="766" max="769" width="10.7109375" style="30" customWidth="1"/>
    <col min="770" max="770" width="2.85546875" style="30" customWidth="1"/>
    <col min="771" max="774" width="10.7109375" style="30" customWidth="1"/>
    <col min="775" max="775" width="2.85546875" style="30" customWidth="1"/>
    <col min="776" max="779" width="10.7109375" style="30" customWidth="1"/>
    <col min="780" max="781" width="2.85546875" style="30" customWidth="1"/>
    <col min="782" max="782" width="8.85546875" style="30"/>
    <col min="783" max="783" width="2.85546875" style="30" customWidth="1"/>
    <col min="784" max="784" width="8.85546875" style="30"/>
    <col min="785" max="785" width="2.85546875" style="30" customWidth="1"/>
    <col min="786" max="786" width="8.85546875" style="30"/>
    <col min="787" max="787" width="2.85546875" style="30" customWidth="1"/>
    <col min="788" max="1011" width="8.85546875" style="30"/>
    <col min="1012" max="1012" width="3.140625" style="30" customWidth="1"/>
    <col min="1013" max="1013" width="2.85546875" style="30" customWidth="1"/>
    <col min="1014" max="1015" width="10.7109375" style="30" customWidth="1"/>
    <col min="1016" max="1016" width="2.85546875" style="30" customWidth="1"/>
    <col min="1017" max="1020" width="10.7109375" style="30" customWidth="1"/>
    <col min="1021" max="1021" width="2.85546875" style="30" customWidth="1"/>
    <col min="1022" max="1025" width="10.7109375" style="30" customWidth="1"/>
    <col min="1026" max="1026" width="2.85546875" style="30" customWidth="1"/>
    <col min="1027" max="1030" width="10.7109375" style="30" customWidth="1"/>
    <col min="1031" max="1031" width="2.85546875" style="30" customWidth="1"/>
    <col min="1032" max="1035" width="10.7109375" style="30" customWidth="1"/>
    <col min="1036" max="1037" width="2.85546875" style="30" customWidth="1"/>
    <col min="1038" max="1038" width="8.85546875" style="30"/>
    <col min="1039" max="1039" width="2.85546875" style="30" customWidth="1"/>
    <col min="1040" max="1040" width="8.85546875" style="30"/>
    <col min="1041" max="1041" width="2.85546875" style="30" customWidth="1"/>
    <col min="1042" max="1042" width="8.85546875" style="30"/>
    <col min="1043" max="1043" width="2.85546875" style="30" customWidth="1"/>
    <col min="1044" max="1267" width="8.85546875" style="30"/>
    <col min="1268" max="1268" width="3.140625" style="30" customWidth="1"/>
    <col min="1269" max="1269" width="2.85546875" style="30" customWidth="1"/>
    <col min="1270" max="1271" width="10.7109375" style="30" customWidth="1"/>
    <col min="1272" max="1272" width="2.85546875" style="30" customWidth="1"/>
    <col min="1273" max="1276" width="10.7109375" style="30" customWidth="1"/>
    <col min="1277" max="1277" width="2.85546875" style="30" customWidth="1"/>
    <col min="1278" max="1281" width="10.7109375" style="30" customWidth="1"/>
    <col min="1282" max="1282" width="2.85546875" style="30" customWidth="1"/>
    <col min="1283" max="1286" width="10.7109375" style="30" customWidth="1"/>
    <col min="1287" max="1287" width="2.85546875" style="30" customWidth="1"/>
    <col min="1288" max="1291" width="10.7109375" style="30" customWidth="1"/>
    <col min="1292" max="1293" width="2.85546875" style="30" customWidth="1"/>
    <col min="1294" max="1294" width="8.85546875" style="30"/>
    <col min="1295" max="1295" width="2.85546875" style="30" customWidth="1"/>
    <col min="1296" max="1296" width="8.85546875" style="30"/>
    <col min="1297" max="1297" width="2.85546875" style="30" customWidth="1"/>
    <col min="1298" max="1298" width="8.85546875" style="30"/>
    <col min="1299" max="1299" width="2.85546875" style="30" customWidth="1"/>
    <col min="1300" max="1523" width="8.85546875" style="30"/>
    <col min="1524" max="1524" width="3.140625" style="30" customWidth="1"/>
    <col min="1525" max="1525" width="2.85546875" style="30" customWidth="1"/>
    <col min="1526" max="1527" width="10.7109375" style="30" customWidth="1"/>
    <col min="1528" max="1528" width="2.85546875" style="30" customWidth="1"/>
    <col min="1529" max="1532" width="10.7109375" style="30" customWidth="1"/>
    <col min="1533" max="1533" width="2.85546875" style="30" customWidth="1"/>
    <col min="1534" max="1537" width="10.7109375" style="30" customWidth="1"/>
    <col min="1538" max="1538" width="2.85546875" style="30" customWidth="1"/>
    <col min="1539" max="1542" width="10.7109375" style="30" customWidth="1"/>
    <col min="1543" max="1543" width="2.85546875" style="30" customWidth="1"/>
    <col min="1544" max="1547" width="10.7109375" style="30" customWidth="1"/>
    <col min="1548" max="1549" width="2.85546875" style="30" customWidth="1"/>
    <col min="1550" max="1550" width="8.85546875" style="30"/>
    <col min="1551" max="1551" width="2.85546875" style="30" customWidth="1"/>
    <col min="1552" max="1552" width="8.85546875" style="30"/>
    <col min="1553" max="1553" width="2.85546875" style="30" customWidth="1"/>
    <col min="1554" max="1554" width="8.85546875" style="30"/>
    <col min="1555" max="1555" width="2.85546875" style="30" customWidth="1"/>
    <col min="1556" max="1779" width="8.85546875" style="30"/>
    <col min="1780" max="1780" width="3.140625" style="30" customWidth="1"/>
    <col min="1781" max="1781" width="2.85546875" style="30" customWidth="1"/>
    <col min="1782" max="1783" width="10.7109375" style="30" customWidth="1"/>
    <col min="1784" max="1784" width="2.85546875" style="30" customWidth="1"/>
    <col min="1785" max="1788" width="10.7109375" style="30" customWidth="1"/>
    <col min="1789" max="1789" width="2.85546875" style="30" customWidth="1"/>
    <col min="1790" max="1793" width="10.7109375" style="30" customWidth="1"/>
    <col min="1794" max="1794" width="2.85546875" style="30" customWidth="1"/>
    <col min="1795" max="1798" width="10.7109375" style="30" customWidth="1"/>
    <col min="1799" max="1799" width="2.85546875" style="30" customWidth="1"/>
    <col min="1800" max="1803" width="10.7109375" style="30" customWidth="1"/>
    <col min="1804" max="1805" width="2.85546875" style="30" customWidth="1"/>
    <col min="1806" max="1806" width="8.85546875" style="30"/>
    <col min="1807" max="1807" width="2.85546875" style="30" customWidth="1"/>
    <col min="1808" max="1808" width="8.85546875" style="30"/>
    <col min="1809" max="1809" width="2.85546875" style="30" customWidth="1"/>
    <col min="1810" max="1810" width="8.85546875" style="30"/>
    <col min="1811" max="1811" width="2.85546875" style="30" customWidth="1"/>
    <col min="1812" max="2035" width="8.85546875" style="30"/>
    <col min="2036" max="2036" width="3.140625" style="30" customWidth="1"/>
    <col min="2037" max="2037" width="2.85546875" style="30" customWidth="1"/>
    <col min="2038" max="2039" width="10.7109375" style="30" customWidth="1"/>
    <col min="2040" max="2040" width="2.85546875" style="30" customWidth="1"/>
    <col min="2041" max="2044" width="10.7109375" style="30" customWidth="1"/>
    <col min="2045" max="2045" width="2.85546875" style="30" customWidth="1"/>
    <col min="2046" max="2049" width="10.7109375" style="30" customWidth="1"/>
    <col min="2050" max="2050" width="2.85546875" style="30" customWidth="1"/>
    <col min="2051" max="2054" width="10.7109375" style="30" customWidth="1"/>
    <col min="2055" max="2055" width="2.85546875" style="30" customWidth="1"/>
    <col min="2056" max="2059" width="10.7109375" style="30" customWidth="1"/>
    <col min="2060" max="2061" width="2.85546875" style="30" customWidth="1"/>
    <col min="2062" max="2062" width="8.85546875" style="30"/>
    <col min="2063" max="2063" width="2.85546875" style="30" customWidth="1"/>
    <col min="2064" max="2064" width="8.85546875" style="30"/>
    <col min="2065" max="2065" width="2.85546875" style="30" customWidth="1"/>
    <col min="2066" max="2066" width="8.85546875" style="30"/>
    <col min="2067" max="2067" width="2.85546875" style="30" customWidth="1"/>
    <col min="2068" max="2291" width="8.85546875" style="30"/>
    <col min="2292" max="2292" width="3.140625" style="30" customWidth="1"/>
    <col min="2293" max="2293" width="2.85546875" style="30" customWidth="1"/>
    <col min="2294" max="2295" width="10.7109375" style="30" customWidth="1"/>
    <col min="2296" max="2296" width="2.85546875" style="30" customWidth="1"/>
    <col min="2297" max="2300" width="10.7109375" style="30" customWidth="1"/>
    <col min="2301" max="2301" width="2.85546875" style="30" customWidth="1"/>
    <col min="2302" max="2305" width="10.7109375" style="30" customWidth="1"/>
    <col min="2306" max="2306" width="2.85546875" style="30" customWidth="1"/>
    <col min="2307" max="2310" width="10.7109375" style="30" customWidth="1"/>
    <col min="2311" max="2311" width="2.85546875" style="30" customWidth="1"/>
    <col min="2312" max="2315" width="10.7109375" style="30" customWidth="1"/>
    <col min="2316" max="2317" width="2.85546875" style="30" customWidth="1"/>
    <col min="2318" max="2318" width="8.85546875" style="30"/>
    <col min="2319" max="2319" width="2.85546875" style="30" customWidth="1"/>
    <col min="2320" max="2320" width="8.85546875" style="30"/>
    <col min="2321" max="2321" width="2.85546875" style="30" customWidth="1"/>
    <col min="2322" max="2322" width="8.85546875" style="30"/>
    <col min="2323" max="2323" width="2.85546875" style="30" customWidth="1"/>
    <col min="2324" max="2547" width="8.85546875" style="30"/>
    <col min="2548" max="2548" width="3.140625" style="30" customWidth="1"/>
    <col min="2549" max="2549" width="2.85546875" style="30" customWidth="1"/>
    <col min="2550" max="2551" width="10.7109375" style="30" customWidth="1"/>
    <col min="2552" max="2552" width="2.85546875" style="30" customWidth="1"/>
    <col min="2553" max="2556" width="10.7109375" style="30" customWidth="1"/>
    <col min="2557" max="2557" width="2.85546875" style="30" customWidth="1"/>
    <col min="2558" max="2561" width="10.7109375" style="30" customWidth="1"/>
    <col min="2562" max="2562" width="2.85546875" style="30" customWidth="1"/>
    <col min="2563" max="2566" width="10.7109375" style="30" customWidth="1"/>
    <col min="2567" max="2567" width="2.85546875" style="30" customWidth="1"/>
    <col min="2568" max="2571" width="10.7109375" style="30" customWidth="1"/>
    <col min="2572" max="2573" width="2.85546875" style="30" customWidth="1"/>
    <col min="2574" max="2574" width="8.85546875" style="30"/>
    <col min="2575" max="2575" width="2.85546875" style="30" customWidth="1"/>
    <col min="2576" max="2576" width="8.85546875" style="30"/>
    <col min="2577" max="2577" width="2.85546875" style="30" customWidth="1"/>
    <col min="2578" max="2578" width="8.85546875" style="30"/>
    <col min="2579" max="2579" width="2.85546875" style="30" customWidth="1"/>
    <col min="2580" max="2803" width="8.85546875" style="30"/>
    <col min="2804" max="2804" width="3.140625" style="30" customWidth="1"/>
    <col min="2805" max="2805" width="2.85546875" style="30" customWidth="1"/>
    <col min="2806" max="2807" width="10.7109375" style="30" customWidth="1"/>
    <col min="2808" max="2808" width="2.85546875" style="30" customWidth="1"/>
    <col min="2809" max="2812" width="10.7109375" style="30" customWidth="1"/>
    <col min="2813" max="2813" width="2.85546875" style="30" customWidth="1"/>
    <col min="2814" max="2817" width="10.7109375" style="30" customWidth="1"/>
    <col min="2818" max="2818" width="2.85546875" style="30" customWidth="1"/>
    <col min="2819" max="2822" width="10.7109375" style="30" customWidth="1"/>
    <col min="2823" max="2823" width="2.85546875" style="30" customWidth="1"/>
    <col min="2824" max="2827" width="10.7109375" style="30" customWidth="1"/>
    <col min="2828" max="2829" width="2.85546875" style="30" customWidth="1"/>
    <col min="2830" max="2830" width="8.85546875" style="30"/>
    <col min="2831" max="2831" width="2.85546875" style="30" customWidth="1"/>
    <col min="2832" max="2832" width="8.85546875" style="30"/>
    <col min="2833" max="2833" width="2.85546875" style="30" customWidth="1"/>
    <col min="2834" max="2834" width="8.85546875" style="30"/>
    <col min="2835" max="2835" width="2.85546875" style="30" customWidth="1"/>
    <col min="2836" max="3059" width="8.85546875" style="30"/>
    <col min="3060" max="3060" width="3.140625" style="30" customWidth="1"/>
    <col min="3061" max="3061" width="2.85546875" style="30" customWidth="1"/>
    <col min="3062" max="3063" width="10.7109375" style="30" customWidth="1"/>
    <col min="3064" max="3064" width="2.85546875" style="30" customWidth="1"/>
    <col min="3065" max="3068" width="10.7109375" style="30" customWidth="1"/>
    <col min="3069" max="3069" width="2.85546875" style="30" customWidth="1"/>
    <col min="3070" max="3073" width="10.7109375" style="30" customWidth="1"/>
    <col min="3074" max="3074" width="2.85546875" style="30" customWidth="1"/>
    <col min="3075" max="3078" width="10.7109375" style="30" customWidth="1"/>
    <col min="3079" max="3079" width="2.85546875" style="30" customWidth="1"/>
    <col min="3080" max="3083" width="10.7109375" style="30" customWidth="1"/>
    <col min="3084" max="3085" width="2.85546875" style="30" customWidth="1"/>
    <col min="3086" max="3086" width="8.85546875" style="30"/>
    <col min="3087" max="3087" width="2.85546875" style="30" customWidth="1"/>
    <col min="3088" max="3088" width="8.85546875" style="30"/>
    <col min="3089" max="3089" width="2.85546875" style="30" customWidth="1"/>
    <col min="3090" max="3090" width="8.85546875" style="30"/>
    <col min="3091" max="3091" width="2.85546875" style="30" customWidth="1"/>
    <col min="3092" max="3315" width="8.85546875" style="30"/>
    <col min="3316" max="3316" width="3.140625" style="30" customWidth="1"/>
    <col min="3317" max="3317" width="2.85546875" style="30" customWidth="1"/>
    <col min="3318" max="3319" width="10.7109375" style="30" customWidth="1"/>
    <col min="3320" max="3320" width="2.85546875" style="30" customWidth="1"/>
    <col min="3321" max="3324" width="10.7109375" style="30" customWidth="1"/>
    <col min="3325" max="3325" width="2.85546875" style="30" customWidth="1"/>
    <col min="3326" max="3329" width="10.7109375" style="30" customWidth="1"/>
    <col min="3330" max="3330" width="2.85546875" style="30" customWidth="1"/>
    <col min="3331" max="3334" width="10.7109375" style="30" customWidth="1"/>
    <col min="3335" max="3335" width="2.85546875" style="30" customWidth="1"/>
    <col min="3336" max="3339" width="10.7109375" style="30" customWidth="1"/>
    <col min="3340" max="3341" width="2.85546875" style="30" customWidth="1"/>
    <col min="3342" max="3342" width="8.85546875" style="30"/>
    <col min="3343" max="3343" width="2.85546875" style="30" customWidth="1"/>
    <col min="3344" max="3344" width="8.85546875" style="30"/>
    <col min="3345" max="3345" width="2.85546875" style="30" customWidth="1"/>
    <col min="3346" max="3346" width="8.85546875" style="30"/>
    <col min="3347" max="3347" width="2.85546875" style="30" customWidth="1"/>
    <col min="3348" max="3571" width="8.85546875" style="30"/>
    <col min="3572" max="3572" width="3.140625" style="30" customWidth="1"/>
    <col min="3573" max="3573" width="2.85546875" style="30" customWidth="1"/>
    <col min="3574" max="3575" width="10.7109375" style="30" customWidth="1"/>
    <col min="3576" max="3576" width="2.85546875" style="30" customWidth="1"/>
    <col min="3577" max="3580" width="10.7109375" style="30" customWidth="1"/>
    <col min="3581" max="3581" width="2.85546875" style="30" customWidth="1"/>
    <col min="3582" max="3585" width="10.7109375" style="30" customWidth="1"/>
    <col min="3586" max="3586" width="2.85546875" style="30" customWidth="1"/>
    <col min="3587" max="3590" width="10.7109375" style="30" customWidth="1"/>
    <col min="3591" max="3591" width="2.85546875" style="30" customWidth="1"/>
    <col min="3592" max="3595" width="10.7109375" style="30" customWidth="1"/>
    <col min="3596" max="3597" width="2.85546875" style="30" customWidth="1"/>
    <col min="3598" max="3598" width="8.85546875" style="30"/>
    <col min="3599" max="3599" width="2.85546875" style="30" customWidth="1"/>
    <col min="3600" max="3600" width="8.85546875" style="30"/>
    <col min="3601" max="3601" width="2.85546875" style="30" customWidth="1"/>
    <col min="3602" max="3602" width="8.85546875" style="30"/>
    <col min="3603" max="3603" width="2.85546875" style="30" customWidth="1"/>
    <col min="3604" max="3827" width="8.85546875" style="30"/>
    <col min="3828" max="3828" width="3.140625" style="30" customWidth="1"/>
    <col min="3829" max="3829" width="2.85546875" style="30" customWidth="1"/>
    <col min="3830" max="3831" width="10.7109375" style="30" customWidth="1"/>
    <col min="3832" max="3832" width="2.85546875" style="30" customWidth="1"/>
    <col min="3833" max="3836" width="10.7109375" style="30" customWidth="1"/>
    <col min="3837" max="3837" width="2.85546875" style="30" customWidth="1"/>
    <col min="3838" max="3841" width="10.7109375" style="30" customWidth="1"/>
    <col min="3842" max="3842" width="2.85546875" style="30" customWidth="1"/>
    <col min="3843" max="3846" width="10.7109375" style="30" customWidth="1"/>
    <col min="3847" max="3847" width="2.85546875" style="30" customWidth="1"/>
    <col min="3848" max="3851" width="10.7109375" style="30" customWidth="1"/>
    <col min="3852" max="3853" width="2.85546875" style="30" customWidth="1"/>
    <col min="3854" max="3854" width="8.85546875" style="30"/>
    <col min="3855" max="3855" width="2.85546875" style="30" customWidth="1"/>
    <col min="3856" max="3856" width="8.85546875" style="30"/>
    <col min="3857" max="3857" width="2.85546875" style="30" customWidth="1"/>
    <col min="3858" max="3858" width="8.85546875" style="30"/>
    <col min="3859" max="3859" width="2.85546875" style="30" customWidth="1"/>
    <col min="3860" max="4083" width="8.85546875" style="30"/>
    <col min="4084" max="4084" width="3.140625" style="30" customWidth="1"/>
    <col min="4085" max="4085" width="2.85546875" style="30" customWidth="1"/>
    <col min="4086" max="4087" width="10.7109375" style="30" customWidth="1"/>
    <col min="4088" max="4088" width="2.85546875" style="30" customWidth="1"/>
    <col min="4089" max="4092" width="10.7109375" style="30" customWidth="1"/>
    <col min="4093" max="4093" width="2.85546875" style="30" customWidth="1"/>
    <col min="4094" max="4097" width="10.7109375" style="30" customWidth="1"/>
    <col min="4098" max="4098" width="2.85546875" style="30" customWidth="1"/>
    <col min="4099" max="4102" width="10.7109375" style="30" customWidth="1"/>
    <col min="4103" max="4103" width="2.85546875" style="30" customWidth="1"/>
    <col min="4104" max="4107" width="10.7109375" style="30" customWidth="1"/>
    <col min="4108" max="4109" width="2.85546875" style="30" customWidth="1"/>
    <col min="4110" max="4110" width="8.85546875" style="30"/>
    <col min="4111" max="4111" width="2.85546875" style="30" customWidth="1"/>
    <col min="4112" max="4112" width="8.85546875" style="30"/>
    <col min="4113" max="4113" width="2.85546875" style="30" customWidth="1"/>
    <col min="4114" max="4114" width="8.85546875" style="30"/>
    <col min="4115" max="4115" width="2.85546875" style="30" customWidth="1"/>
    <col min="4116" max="4339" width="8.85546875" style="30"/>
    <col min="4340" max="4340" width="3.140625" style="30" customWidth="1"/>
    <col min="4341" max="4341" width="2.85546875" style="30" customWidth="1"/>
    <col min="4342" max="4343" width="10.7109375" style="30" customWidth="1"/>
    <col min="4344" max="4344" width="2.85546875" style="30" customWidth="1"/>
    <col min="4345" max="4348" width="10.7109375" style="30" customWidth="1"/>
    <col min="4349" max="4349" width="2.85546875" style="30" customWidth="1"/>
    <col min="4350" max="4353" width="10.7109375" style="30" customWidth="1"/>
    <col min="4354" max="4354" width="2.85546875" style="30" customWidth="1"/>
    <col min="4355" max="4358" width="10.7109375" style="30" customWidth="1"/>
    <col min="4359" max="4359" width="2.85546875" style="30" customWidth="1"/>
    <col min="4360" max="4363" width="10.7109375" style="30" customWidth="1"/>
    <col min="4364" max="4365" width="2.85546875" style="30" customWidth="1"/>
    <col min="4366" max="4366" width="8.85546875" style="30"/>
    <col min="4367" max="4367" width="2.85546875" style="30" customWidth="1"/>
    <col min="4368" max="4368" width="8.85546875" style="30"/>
    <col min="4369" max="4369" width="2.85546875" style="30" customWidth="1"/>
    <col min="4370" max="4370" width="8.85546875" style="30"/>
    <col min="4371" max="4371" width="2.85546875" style="30" customWidth="1"/>
    <col min="4372" max="4595" width="8.85546875" style="30"/>
    <col min="4596" max="4596" width="3.140625" style="30" customWidth="1"/>
    <col min="4597" max="4597" width="2.85546875" style="30" customWidth="1"/>
    <col min="4598" max="4599" width="10.7109375" style="30" customWidth="1"/>
    <col min="4600" max="4600" width="2.85546875" style="30" customWidth="1"/>
    <col min="4601" max="4604" width="10.7109375" style="30" customWidth="1"/>
    <col min="4605" max="4605" width="2.85546875" style="30" customWidth="1"/>
    <col min="4606" max="4609" width="10.7109375" style="30" customWidth="1"/>
    <col min="4610" max="4610" width="2.85546875" style="30" customWidth="1"/>
    <col min="4611" max="4614" width="10.7109375" style="30" customWidth="1"/>
    <col min="4615" max="4615" width="2.85546875" style="30" customWidth="1"/>
    <col min="4616" max="4619" width="10.7109375" style="30" customWidth="1"/>
    <col min="4620" max="4621" width="2.85546875" style="30" customWidth="1"/>
    <col min="4622" max="4622" width="8.85546875" style="30"/>
    <col min="4623" max="4623" width="2.85546875" style="30" customWidth="1"/>
    <col min="4624" max="4624" width="8.85546875" style="30"/>
    <col min="4625" max="4625" width="2.85546875" style="30" customWidth="1"/>
    <col min="4626" max="4626" width="8.85546875" style="30"/>
    <col min="4627" max="4627" width="2.85546875" style="30" customWidth="1"/>
    <col min="4628" max="4851" width="8.85546875" style="30"/>
    <col min="4852" max="4852" width="3.140625" style="30" customWidth="1"/>
    <col min="4853" max="4853" width="2.85546875" style="30" customWidth="1"/>
    <col min="4854" max="4855" width="10.7109375" style="30" customWidth="1"/>
    <col min="4856" max="4856" width="2.85546875" style="30" customWidth="1"/>
    <col min="4857" max="4860" width="10.7109375" style="30" customWidth="1"/>
    <col min="4861" max="4861" width="2.85546875" style="30" customWidth="1"/>
    <col min="4862" max="4865" width="10.7109375" style="30" customWidth="1"/>
    <col min="4866" max="4866" width="2.85546875" style="30" customWidth="1"/>
    <col min="4867" max="4870" width="10.7109375" style="30" customWidth="1"/>
    <col min="4871" max="4871" width="2.85546875" style="30" customWidth="1"/>
    <col min="4872" max="4875" width="10.7109375" style="30" customWidth="1"/>
    <col min="4876" max="4877" width="2.85546875" style="30" customWidth="1"/>
    <col min="4878" max="4878" width="8.85546875" style="30"/>
    <col min="4879" max="4879" width="2.85546875" style="30" customWidth="1"/>
    <col min="4880" max="4880" width="8.85546875" style="30"/>
    <col min="4881" max="4881" width="2.85546875" style="30" customWidth="1"/>
    <col min="4882" max="4882" width="8.85546875" style="30"/>
    <col min="4883" max="4883" width="2.85546875" style="30" customWidth="1"/>
    <col min="4884" max="5107" width="8.85546875" style="30"/>
    <col min="5108" max="5108" width="3.140625" style="30" customWidth="1"/>
    <col min="5109" max="5109" width="2.85546875" style="30" customWidth="1"/>
    <col min="5110" max="5111" width="10.7109375" style="30" customWidth="1"/>
    <col min="5112" max="5112" width="2.85546875" style="30" customWidth="1"/>
    <col min="5113" max="5116" width="10.7109375" style="30" customWidth="1"/>
    <col min="5117" max="5117" width="2.85546875" style="30" customWidth="1"/>
    <col min="5118" max="5121" width="10.7109375" style="30" customWidth="1"/>
    <col min="5122" max="5122" width="2.85546875" style="30" customWidth="1"/>
    <col min="5123" max="5126" width="10.7109375" style="30" customWidth="1"/>
    <col min="5127" max="5127" width="2.85546875" style="30" customWidth="1"/>
    <col min="5128" max="5131" width="10.7109375" style="30" customWidth="1"/>
    <col min="5132" max="5133" width="2.85546875" style="30" customWidth="1"/>
    <col min="5134" max="5134" width="8.85546875" style="30"/>
    <col min="5135" max="5135" width="2.85546875" style="30" customWidth="1"/>
    <col min="5136" max="5136" width="8.85546875" style="30"/>
    <col min="5137" max="5137" width="2.85546875" style="30" customWidth="1"/>
    <col min="5138" max="5138" width="8.85546875" style="30"/>
    <col min="5139" max="5139" width="2.85546875" style="30" customWidth="1"/>
    <col min="5140" max="5363" width="8.85546875" style="30"/>
    <col min="5364" max="5364" width="3.140625" style="30" customWidth="1"/>
    <col min="5365" max="5365" width="2.85546875" style="30" customWidth="1"/>
    <col min="5366" max="5367" width="10.7109375" style="30" customWidth="1"/>
    <col min="5368" max="5368" width="2.85546875" style="30" customWidth="1"/>
    <col min="5369" max="5372" width="10.7109375" style="30" customWidth="1"/>
    <col min="5373" max="5373" width="2.85546875" style="30" customWidth="1"/>
    <col min="5374" max="5377" width="10.7109375" style="30" customWidth="1"/>
    <col min="5378" max="5378" width="2.85546875" style="30" customWidth="1"/>
    <col min="5379" max="5382" width="10.7109375" style="30" customWidth="1"/>
    <col min="5383" max="5383" width="2.85546875" style="30" customWidth="1"/>
    <col min="5384" max="5387" width="10.7109375" style="30" customWidth="1"/>
    <col min="5388" max="5389" width="2.85546875" style="30" customWidth="1"/>
    <col min="5390" max="5390" width="8.85546875" style="30"/>
    <col min="5391" max="5391" width="2.85546875" style="30" customWidth="1"/>
    <col min="5392" max="5392" width="8.85546875" style="30"/>
    <col min="5393" max="5393" width="2.85546875" style="30" customWidth="1"/>
    <col min="5394" max="5394" width="8.85546875" style="30"/>
    <col min="5395" max="5395" width="2.85546875" style="30" customWidth="1"/>
    <col min="5396" max="5619" width="8.85546875" style="30"/>
    <col min="5620" max="5620" width="3.140625" style="30" customWidth="1"/>
    <col min="5621" max="5621" width="2.85546875" style="30" customWidth="1"/>
    <col min="5622" max="5623" width="10.7109375" style="30" customWidth="1"/>
    <col min="5624" max="5624" width="2.85546875" style="30" customWidth="1"/>
    <col min="5625" max="5628" width="10.7109375" style="30" customWidth="1"/>
    <col min="5629" max="5629" width="2.85546875" style="30" customWidth="1"/>
    <col min="5630" max="5633" width="10.7109375" style="30" customWidth="1"/>
    <col min="5634" max="5634" width="2.85546875" style="30" customWidth="1"/>
    <col min="5635" max="5638" width="10.7109375" style="30" customWidth="1"/>
    <col min="5639" max="5639" width="2.85546875" style="30" customWidth="1"/>
    <col min="5640" max="5643" width="10.7109375" style="30" customWidth="1"/>
    <col min="5644" max="5645" width="2.85546875" style="30" customWidth="1"/>
    <col min="5646" max="5646" width="8.85546875" style="30"/>
    <col min="5647" max="5647" width="2.85546875" style="30" customWidth="1"/>
    <col min="5648" max="5648" width="8.85546875" style="30"/>
    <col min="5649" max="5649" width="2.85546875" style="30" customWidth="1"/>
    <col min="5650" max="5650" width="8.85546875" style="30"/>
    <col min="5651" max="5651" width="2.85546875" style="30" customWidth="1"/>
    <col min="5652" max="5875" width="8.85546875" style="30"/>
    <col min="5876" max="5876" width="3.140625" style="30" customWidth="1"/>
    <col min="5877" max="5877" width="2.85546875" style="30" customWidth="1"/>
    <col min="5878" max="5879" width="10.7109375" style="30" customWidth="1"/>
    <col min="5880" max="5880" width="2.85546875" style="30" customWidth="1"/>
    <col min="5881" max="5884" width="10.7109375" style="30" customWidth="1"/>
    <col min="5885" max="5885" width="2.85546875" style="30" customWidth="1"/>
    <col min="5886" max="5889" width="10.7109375" style="30" customWidth="1"/>
    <col min="5890" max="5890" width="2.85546875" style="30" customWidth="1"/>
    <col min="5891" max="5894" width="10.7109375" style="30" customWidth="1"/>
    <col min="5895" max="5895" width="2.85546875" style="30" customWidth="1"/>
    <col min="5896" max="5899" width="10.7109375" style="30" customWidth="1"/>
    <col min="5900" max="5901" width="2.85546875" style="30" customWidth="1"/>
    <col min="5902" max="5902" width="8.85546875" style="30"/>
    <col min="5903" max="5903" width="2.85546875" style="30" customWidth="1"/>
    <col min="5904" max="5904" width="8.85546875" style="30"/>
    <col min="5905" max="5905" width="2.85546875" style="30" customWidth="1"/>
    <col min="5906" max="5906" width="8.85546875" style="30"/>
    <col min="5907" max="5907" width="2.85546875" style="30" customWidth="1"/>
    <col min="5908" max="6131" width="8.85546875" style="30"/>
    <col min="6132" max="6132" width="3.140625" style="30" customWidth="1"/>
    <col min="6133" max="6133" width="2.85546875" style="30" customWidth="1"/>
    <col min="6134" max="6135" width="10.7109375" style="30" customWidth="1"/>
    <col min="6136" max="6136" width="2.85546875" style="30" customWidth="1"/>
    <col min="6137" max="6140" width="10.7109375" style="30" customWidth="1"/>
    <col min="6141" max="6141" width="2.85546875" style="30" customWidth="1"/>
    <col min="6142" max="6145" width="10.7109375" style="30" customWidth="1"/>
    <col min="6146" max="6146" width="2.85546875" style="30" customWidth="1"/>
    <col min="6147" max="6150" width="10.7109375" style="30" customWidth="1"/>
    <col min="6151" max="6151" width="2.85546875" style="30" customWidth="1"/>
    <col min="6152" max="6155" width="10.7109375" style="30" customWidth="1"/>
    <col min="6156" max="6157" width="2.85546875" style="30" customWidth="1"/>
    <col min="6158" max="6158" width="8.85546875" style="30"/>
    <col min="6159" max="6159" width="2.85546875" style="30" customWidth="1"/>
    <col min="6160" max="6160" width="8.85546875" style="30"/>
    <col min="6161" max="6161" width="2.85546875" style="30" customWidth="1"/>
    <col min="6162" max="6162" width="8.85546875" style="30"/>
    <col min="6163" max="6163" width="2.85546875" style="30" customWidth="1"/>
    <col min="6164" max="6387" width="8.85546875" style="30"/>
    <col min="6388" max="6388" width="3.140625" style="30" customWidth="1"/>
    <col min="6389" max="6389" width="2.85546875" style="30" customWidth="1"/>
    <col min="6390" max="6391" width="10.7109375" style="30" customWidth="1"/>
    <col min="6392" max="6392" width="2.85546875" style="30" customWidth="1"/>
    <col min="6393" max="6396" width="10.7109375" style="30" customWidth="1"/>
    <col min="6397" max="6397" width="2.85546875" style="30" customWidth="1"/>
    <col min="6398" max="6401" width="10.7109375" style="30" customWidth="1"/>
    <col min="6402" max="6402" width="2.85546875" style="30" customWidth="1"/>
    <col min="6403" max="6406" width="10.7109375" style="30" customWidth="1"/>
    <col min="6407" max="6407" width="2.85546875" style="30" customWidth="1"/>
    <col min="6408" max="6411" width="10.7109375" style="30" customWidth="1"/>
    <col min="6412" max="6413" width="2.85546875" style="30" customWidth="1"/>
    <col min="6414" max="6414" width="8.85546875" style="30"/>
    <col min="6415" max="6415" width="2.85546875" style="30" customWidth="1"/>
    <col min="6416" max="6416" width="8.85546875" style="30"/>
    <col min="6417" max="6417" width="2.85546875" style="30" customWidth="1"/>
    <col min="6418" max="6418" width="8.85546875" style="30"/>
    <col min="6419" max="6419" width="2.85546875" style="30" customWidth="1"/>
    <col min="6420" max="6643" width="8.85546875" style="30"/>
    <col min="6644" max="6644" width="3.140625" style="30" customWidth="1"/>
    <col min="6645" max="6645" width="2.85546875" style="30" customWidth="1"/>
    <col min="6646" max="6647" width="10.7109375" style="30" customWidth="1"/>
    <col min="6648" max="6648" width="2.85546875" style="30" customWidth="1"/>
    <col min="6649" max="6652" width="10.7109375" style="30" customWidth="1"/>
    <col min="6653" max="6653" width="2.85546875" style="30" customWidth="1"/>
    <col min="6654" max="6657" width="10.7109375" style="30" customWidth="1"/>
    <col min="6658" max="6658" width="2.85546875" style="30" customWidth="1"/>
    <col min="6659" max="6662" width="10.7109375" style="30" customWidth="1"/>
    <col min="6663" max="6663" width="2.85546875" style="30" customWidth="1"/>
    <col min="6664" max="6667" width="10.7109375" style="30" customWidth="1"/>
    <col min="6668" max="6669" width="2.85546875" style="30" customWidth="1"/>
    <col min="6670" max="6670" width="8.85546875" style="30"/>
    <col min="6671" max="6671" width="2.85546875" style="30" customWidth="1"/>
    <col min="6672" max="6672" width="8.85546875" style="30"/>
    <col min="6673" max="6673" width="2.85546875" style="30" customWidth="1"/>
    <col min="6674" max="6674" width="8.85546875" style="30"/>
    <col min="6675" max="6675" width="2.85546875" style="30" customWidth="1"/>
    <col min="6676" max="6899" width="8.85546875" style="30"/>
    <col min="6900" max="6900" width="3.140625" style="30" customWidth="1"/>
    <col min="6901" max="6901" width="2.85546875" style="30" customWidth="1"/>
    <col min="6902" max="6903" width="10.7109375" style="30" customWidth="1"/>
    <col min="6904" max="6904" width="2.85546875" style="30" customWidth="1"/>
    <col min="6905" max="6908" width="10.7109375" style="30" customWidth="1"/>
    <col min="6909" max="6909" width="2.85546875" style="30" customWidth="1"/>
    <col min="6910" max="6913" width="10.7109375" style="30" customWidth="1"/>
    <col min="6914" max="6914" width="2.85546875" style="30" customWidth="1"/>
    <col min="6915" max="6918" width="10.7109375" style="30" customWidth="1"/>
    <col min="6919" max="6919" width="2.85546875" style="30" customWidth="1"/>
    <col min="6920" max="6923" width="10.7109375" style="30" customWidth="1"/>
    <col min="6924" max="6925" width="2.85546875" style="30" customWidth="1"/>
    <col min="6926" max="6926" width="8.85546875" style="30"/>
    <col min="6927" max="6927" width="2.85546875" style="30" customWidth="1"/>
    <col min="6928" max="6928" width="8.85546875" style="30"/>
    <col min="6929" max="6929" width="2.85546875" style="30" customWidth="1"/>
    <col min="6930" max="6930" width="8.85546875" style="30"/>
    <col min="6931" max="6931" width="2.85546875" style="30" customWidth="1"/>
    <col min="6932" max="7155" width="8.85546875" style="30"/>
    <col min="7156" max="7156" width="3.140625" style="30" customWidth="1"/>
    <col min="7157" max="7157" width="2.85546875" style="30" customWidth="1"/>
    <col min="7158" max="7159" width="10.7109375" style="30" customWidth="1"/>
    <col min="7160" max="7160" width="2.85546875" style="30" customWidth="1"/>
    <col min="7161" max="7164" width="10.7109375" style="30" customWidth="1"/>
    <col min="7165" max="7165" width="2.85546875" style="30" customWidth="1"/>
    <col min="7166" max="7169" width="10.7109375" style="30" customWidth="1"/>
    <col min="7170" max="7170" width="2.85546875" style="30" customWidth="1"/>
    <col min="7171" max="7174" width="10.7109375" style="30" customWidth="1"/>
    <col min="7175" max="7175" width="2.85546875" style="30" customWidth="1"/>
    <col min="7176" max="7179" width="10.7109375" style="30" customWidth="1"/>
    <col min="7180" max="7181" width="2.85546875" style="30" customWidth="1"/>
    <col min="7182" max="7182" width="8.85546875" style="30"/>
    <col min="7183" max="7183" width="2.85546875" style="30" customWidth="1"/>
    <col min="7184" max="7184" width="8.85546875" style="30"/>
    <col min="7185" max="7185" width="2.85546875" style="30" customWidth="1"/>
    <col min="7186" max="7186" width="8.85546875" style="30"/>
    <col min="7187" max="7187" width="2.85546875" style="30" customWidth="1"/>
    <col min="7188" max="7411" width="8.85546875" style="30"/>
    <col min="7412" max="7412" width="3.140625" style="30" customWidth="1"/>
    <col min="7413" max="7413" width="2.85546875" style="30" customWidth="1"/>
    <col min="7414" max="7415" width="10.7109375" style="30" customWidth="1"/>
    <col min="7416" max="7416" width="2.85546875" style="30" customWidth="1"/>
    <col min="7417" max="7420" width="10.7109375" style="30" customWidth="1"/>
    <col min="7421" max="7421" width="2.85546875" style="30" customWidth="1"/>
    <col min="7422" max="7425" width="10.7109375" style="30" customWidth="1"/>
    <col min="7426" max="7426" width="2.85546875" style="30" customWidth="1"/>
    <col min="7427" max="7430" width="10.7109375" style="30" customWidth="1"/>
    <col min="7431" max="7431" width="2.85546875" style="30" customWidth="1"/>
    <col min="7432" max="7435" width="10.7109375" style="30" customWidth="1"/>
    <col min="7436" max="7437" width="2.85546875" style="30" customWidth="1"/>
    <col min="7438" max="7438" width="8.85546875" style="30"/>
    <col min="7439" max="7439" width="2.85546875" style="30" customWidth="1"/>
    <col min="7440" max="7440" width="8.85546875" style="30"/>
    <col min="7441" max="7441" width="2.85546875" style="30" customWidth="1"/>
    <col min="7442" max="7442" width="8.85546875" style="30"/>
    <col min="7443" max="7443" width="2.85546875" style="30" customWidth="1"/>
    <col min="7444" max="7667" width="8.85546875" style="30"/>
    <col min="7668" max="7668" width="3.140625" style="30" customWidth="1"/>
    <col min="7669" max="7669" width="2.85546875" style="30" customWidth="1"/>
    <col min="7670" max="7671" width="10.7109375" style="30" customWidth="1"/>
    <col min="7672" max="7672" width="2.85546875" style="30" customWidth="1"/>
    <col min="7673" max="7676" width="10.7109375" style="30" customWidth="1"/>
    <col min="7677" max="7677" width="2.85546875" style="30" customWidth="1"/>
    <col min="7678" max="7681" width="10.7109375" style="30" customWidth="1"/>
    <col min="7682" max="7682" width="2.85546875" style="30" customWidth="1"/>
    <col min="7683" max="7686" width="10.7109375" style="30" customWidth="1"/>
    <col min="7687" max="7687" width="2.85546875" style="30" customWidth="1"/>
    <col min="7688" max="7691" width="10.7109375" style="30" customWidth="1"/>
    <col min="7692" max="7693" width="2.85546875" style="30" customWidth="1"/>
    <col min="7694" max="7694" width="8.85546875" style="30"/>
    <col min="7695" max="7695" width="2.85546875" style="30" customWidth="1"/>
    <col min="7696" max="7696" width="8.85546875" style="30"/>
    <col min="7697" max="7697" width="2.85546875" style="30" customWidth="1"/>
    <col min="7698" max="7698" width="8.85546875" style="30"/>
    <col min="7699" max="7699" width="2.85546875" style="30" customWidth="1"/>
    <col min="7700" max="7923" width="8.85546875" style="30"/>
    <col min="7924" max="7924" width="3.140625" style="30" customWidth="1"/>
    <col min="7925" max="7925" width="2.85546875" style="30" customWidth="1"/>
    <col min="7926" max="7927" width="10.7109375" style="30" customWidth="1"/>
    <col min="7928" max="7928" width="2.85546875" style="30" customWidth="1"/>
    <col min="7929" max="7932" width="10.7109375" style="30" customWidth="1"/>
    <col min="7933" max="7933" width="2.85546875" style="30" customWidth="1"/>
    <col min="7934" max="7937" width="10.7109375" style="30" customWidth="1"/>
    <col min="7938" max="7938" width="2.85546875" style="30" customWidth="1"/>
    <col min="7939" max="7942" width="10.7109375" style="30" customWidth="1"/>
    <col min="7943" max="7943" width="2.85546875" style="30" customWidth="1"/>
    <col min="7944" max="7947" width="10.7109375" style="30" customWidth="1"/>
    <col min="7948" max="7949" width="2.85546875" style="30" customWidth="1"/>
    <col min="7950" max="7950" width="8.85546875" style="30"/>
    <col min="7951" max="7951" width="2.85546875" style="30" customWidth="1"/>
    <col min="7952" max="7952" width="8.85546875" style="30"/>
    <col min="7953" max="7953" width="2.85546875" style="30" customWidth="1"/>
    <col min="7954" max="7954" width="8.85546875" style="30"/>
    <col min="7955" max="7955" width="2.85546875" style="30" customWidth="1"/>
    <col min="7956" max="8179" width="8.85546875" style="30"/>
    <col min="8180" max="8180" width="3.140625" style="30" customWidth="1"/>
    <col min="8181" max="8181" width="2.85546875" style="30" customWidth="1"/>
    <col min="8182" max="8183" width="10.7109375" style="30" customWidth="1"/>
    <col min="8184" max="8184" width="2.85546875" style="30" customWidth="1"/>
    <col min="8185" max="8188" width="10.7109375" style="30" customWidth="1"/>
    <col min="8189" max="8189" width="2.85546875" style="30" customWidth="1"/>
    <col min="8190" max="8193" width="10.7109375" style="30" customWidth="1"/>
    <col min="8194" max="8194" width="2.85546875" style="30" customWidth="1"/>
    <col min="8195" max="8198" width="10.7109375" style="30" customWidth="1"/>
    <col min="8199" max="8199" width="2.85546875" style="30" customWidth="1"/>
    <col min="8200" max="8203" width="10.7109375" style="30" customWidth="1"/>
    <col min="8204" max="8205" width="2.85546875" style="30" customWidth="1"/>
    <col min="8206" max="8206" width="8.85546875" style="30"/>
    <col min="8207" max="8207" width="2.85546875" style="30" customWidth="1"/>
    <col min="8208" max="8208" width="8.85546875" style="30"/>
    <col min="8209" max="8209" width="2.85546875" style="30" customWidth="1"/>
    <col min="8210" max="8210" width="8.85546875" style="30"/>
    <col min="8211" max="8211" width="2.85546875" style="30" customWidth="1"/>
    <col min="8212" max="8435" width="8.85546875" style="30"/>
    <col min="8436" max="8436" width="3.140625" style="30" customWidth="1"/>
    <col min="8437" max="8437" width="2.85546875" style="30" customWidth="1"/>
    <col min="8438" max="8439" width="10.7109375" style="30" customWidth="1"/>
    <col min="8440" max="8440" width="2.85546875" style="30" customWidth="1"/>
    <col min="8441" max="8444" width="10.7109375" style="30" customWidth="1"/>
    <col min="8445" max="8445" width="2.85546875" style="30" customWidth="1"/>
    <col min="8446" max="8449" width="10.7109375" style="30" customWidth="1"/>
    <col min="8450" max="8450" width="2.85546875" style="30" customWidth="1"/>
    <col min="8451" max="8454" width="10.7109375" style="30" customWidth="1"/>
    <col min="8455" max="8455" width="2.85546875" style="30" customWidth="1"/>
    <col min="8456" max="8459" width="10.7109375" style="30" customWidth="1"/>
    <col min="8460" max="8461" width="2.85546875" style="30" customWidth="1"/>
    <col min="8462" max="8462" width="8.85546875" style="30"/>
    <col min="8463" max="8463" width="2.85546875" style="30" customWidth="1"/>
    <col min="8464" max="8464" width="8.85546875" style="30"/>
    <col min="8465" max="8465" width="2.85546875" style="30" customWidth="1"/>
    <col min="8466" max="8466" width="8.85546875" style="30"/>
    <col min="8467" max="8467" width="2.85546875" style="30" customWidth="1"/>
    <col min="8468" max="8691" width="8.85546875" style="30"/>
    <col min="8692" max="8692" width="3.140625" style="30" customWidth="1"/>
    <col min="8693" max="8693" width="2.85546875" style="30" customWidth="1"/>
    <col min="8694" max="8695" width="10.7109375" style="30" customWidth="1"/>
    <col min="8696" max="8696" width="2.85546875" style="30" customWidth="1"/>
    <col min="8697" max="8700" width="10.7109375" style="30" customWidth="1"/>
    <col min="8701" max="8701" width="2.85546875" style="30" customWidth="1"/>
    <col min="8702" max="8705" width="10.7109375" style="30" customWidth="1"/>
    <col min="8706" max="8706" width="2.85546875" style="30" customWidth="1"/>
    <col min="8707" max="8710" width="10.7109375" style="30" customWidth="1"/>
    <col min="8711" max="8711" width="2.85546875" style="30" customWidth="1"/>
    <col min="8712" max="8715" width="10.7109375" style="30" customWidth="1"/>
    <col min="8716" max="8717" width="2.85546875" style="30" customWidth="1"/>
    <col min="8718" max="8718" width="8.85546875" style="30"/>
    <col min="8719" max="8719" width="2.85546875" style="30" customWidth="1"/>
    <col min="8720" max="8720" width="8.85546875" style="30"/>
    <col min="8721" max="8721" width="2.85546875" style="30" customWidth="1"/>
    <col min="8722" max="8722" width="8.85546875" style="30"/>
    <col min="8723" max="8723" width="2.85546875" style="30" customWidth="1"/>
    <col min="8724" max="8947" width="8.85546875" style="30"/>
    <col min="8948" max="8948" width="3.140625" style="30" customWidth="1"/>
    <col min="8949" max="8949" width="2.85546875" style="30" customWidth="1"/>
    <col min="8950" max="8951" width="10.7109375" style="30" customWidth="1"/>
    <col min="8952" max="8952" width="2.85546875" style="30" customWidth="1"/>
    <col min="8953" max="8956" width="10.7109375" style="30" customWidth="1"/>
    <col min="8957" max="8957" width="2.85546875" style="30" customWidth="1"/>
    <col min="8958" max="8961" width="10.7109375" style="30" customWidth="1"/>
    <col min="8962" max="8962" width="2.85546875" style="30" customWidth="1"/>
    <col min="8963" max="8966" width="10.7109375" style="30" customWidth="1"/>
    <col min="8967" max="8967" width="2.85546875" style="30" customWidth="1"/>
    <col min="8968" max="8971" width="10.7109375" style="30" customWidth="1"/>
    <col min="8972" max="8973" width="2.85546875" style="30" customWidth="1"/>
    <col min="8974" max="8974" width="8.85546875" style="30"/>
    <col min="8975" max="8975" width="2.85546875" style="30" customWidth="1"/>
    <col min="8976" max="8976" width="8.85546875" style="30"/>
    <col min="8977" max="8977" width="2.85546875" style="30" customWidth="1"/>
    <col min="8978" max="8978" width="8.85546875" style="30"/>
    <col min="8979" max="8979" width="2.85546875" style="30" customWidth="1"/>
    <col min="8980" max="9203" width="8.85546875" style="30"/>
    <col min="9204" max="9204" width="3.140625" style="30" customWidth="1"/>
    <col min="9205" max="9205" width="2.85546875" style="30" customWidth="1"/>
    <col min="9206" max="9207" width="10.7109375" style="30" customWidth="1"/>
    <col min="9208" max="9208" width="2.85546875" style="30" customWidth="1"/>
    <col min="9209" max="9212" width="10.7109375" style="30" customWidth="1"/>
    <col min="9213" max="9213" width="2.85546875" style="30" customWidth="1"/>
    <col min="9214" max="9217" width="10.7109375" style="30" customWidth="1"/>
    <col min="9218" max="9218" width="2.85546875" style="30" customWidth="1"/>
    <col min="9219" max="9222" width="10.7109375" style="30" customWidth="1"/>
    <col min="9223" max="9223" width="2.85546875" style="30" customWidth="1"/>
    <col min="9224" max="9227" width="10.7109375" style="30" customWidth="1"/>
    <col min="9228" max="9229" width="2.85546875" style="30" customWidth="1"/>
    <col min="9230" max="9230" width="8.85546875" style="30"/>
    <col min="9231" max="9231" width="2.85546875" style="30" customWidth="1"/>
    <col min="9232" max="9232" width="8.85546875" style="30"/>
    <col min="9233" max="9233" width="2.85546875" style="30" customWidth="1"/>
    <col min="9234" max="9234" width="8.85546875" style="30"/>
    <col min="9235" max="9235" width="2.85546875" style="30" customWidth="1"/>
    <col min="9236" max="9459" width="8.85546875" style="30"/>
    <col min="9460" max="9460" width="3.140625" style="30" customWidth="1"/>
    <col min="9461" max="9461" width="2.85546875" style="30" customWidth="1"/>
    <col min="9462" max="9463" width="10.7109375" style="30" customWidth="1"/>
    <col min="9464" max="9464" width="2.85546875" style="30" customWidth="1"/>
    <col min="9465" max="9468" width="10.7109375" style="30" customWidth="1"/>
    <col min="9469" max="9469" width="2.85546875" style="30" customWidth="1"/>
    <col min="9470" max="9473" width="10.7109375" style="30" customWidth="1"/>
    <col min="9474" max="9474" width="2.85546875" style="30" customWidth="1"/>
    <col min="9475" max="9478" width="10.7109375" style="30" customWidth="1"/>
    <col min="9479" max="9479" width="2.85546875" style="30" customWidth="1"/>
    <col min="9480" max="9483" width="10.7109375" style="30" customWidth="1"/>
    <col min="9484" max="9485" width="2.85546875" style="30" customWidth="1"/>
    <col min="9486" max="9486" width="8.85546875" style="30"/>
    <col min="9487" max="9487" width="2.85546875" style="30" customWidth="1"/>
    <col min="9488" max="9488" width="8.85546875" style="30"/>
    <col min="9489" max="9489" width="2.85546875" style="30" customWidth="1"/>
    <col min="9490" max="9490" width="8.85546875" style="30"/>
    <col min="9491" max="9491" width="2.85546875" style="30" customWidth="1"/>
    <col min="9492" max="9715" width="8.85546875" style="30"/>
    <col min="9716" max="9716" width="3.140625" style="30" customWidth="1"/>
    <col min="9717" max="9717" width="2.85546875" style="30" customWidth="1"/>
    <col min="9718" max="9719" width="10.7109375" style="30" customWidth="1"/>
    <col min="9720" max="9720" width="2.85546875" style="30" customWidth="1"/>
    <col min="9721" max="9724" width="10.7109375" style="30" customWidth="1"/>
    <col min="9725" max="9725" width="2.85546875" style="30" customWidth="1"/>
    <col min="9726" max="9729" width="10.7109375" style="30" customWidth="1"/>
    <col min="9730" max="9730" width="2.85546875" style="30" customWidth="1"/>
    <col min="9731" max="9734" width="10.7109375" style="30" customWidth="1"/>
    <col min="9735" max="9735" width="2.85546875" style="30" customWidth="1"/>
    <col min="9736" max="9739" width="10.7109375" style="30" customWidth="1"/>
    <col min="9740" max="9741" width="2.85546875" style="30" customWidth="1"/>
    <col min="9742" max="9742" width="8.85546875" style="30"/>
    <col min="9743" max="9743" width="2.85546875" style="30" customWidth="1"/>
    <col min="9744" max="9744" width="8.85546875" style="30"/>
    <col min="9745" max="9745" width="2.85546875" style="30" customWidth="1"/>
    <col min="9746" max="9746" width="8.85546875" style="30"/>
    <col min="9747" max="9747" width="2.85546875" style="30" customWidth="1"/>
    <col min="9748" max="9971" width="8.85546875" style="30"/>
    <col min="9972" max="9972" width="3.140625" style="30" customWidth="1"/>
    <col min="9973" max="9973" width="2.85546875" style="30" customWidth="1"/>
    <col min="9974" max="9975" width="10.7109375" style="30" customWidth="1"/>
    <col min="9976" max="9976" width="2.85546875" style="30" customWidth="1"/>
    <col min="9977" max="9980" width="10.7109375" style="30" customWidth="1"/>
    <col min="9981" max="9981" width="2.85546875" style="30" customWidth="1"/>
    <col min="9982" max="9985" width="10.7109375" style="30" customWidth="1"/>
    <col min="9986" max="9986" width="2.85546875" style="30" customWidth="1"/>
    <col min="9987" max="9990" width="10.7109375" style="30" customWidth="1"/>
    <col min="9991" max="9991" width="2.85546875" style="30" customWidth="1"/>
    <col min="9992" max="9995" width="10.7109375" style="30" customWidth="1"/>
    <col min="9996" max="9997" width="2.85546875" style="30" customWidth="1"/>
    <col min="9998" max="9998" width="8.85546875" style="30"/>
    <col min="9999" max="9999" width="2.85546875" style="30" customWidth="1"/>
    <col min="10000" max="10000" width="8.85546875" style="30"/>
    <col min="10001" max="10001" width="2.85546875" style="30" customWidth="1"/>
    <col min="10002" max="10002" width="8.85546875" style="30"/>
    <col min="10003" max="10003" width="2.85546875" style="30" customWidth="1"/>
    <col min="10004" max="10227" width="8.85546875" style="30"/>
    <col min="10228" max="10228" width="3.140625" style="30" customWidth="1"/>
    <col min="10229" max="10229" width="2.85546875" style="30" customWidth="1"/>
    <col min="10230" max="10231" width="10.7109375" style="30" customWidth="1"/>
    <col min="10232" max="10232" width="2.85546875" style="30" customWidth="1"/>
    <col min="10233" max="10236" width="10.7109375" style="30" customWidth="1"/>
    <col min="10237" max="10237" width="2.85546875" style="30" customWidth="1"/>
    <col min="10238" max="10241" width="10.7109375" style="30" customWidth="1"/>
    <col min="10242" max="10242" width="2.85546875" style="30" customWidth="1"/>
    <col min="10243" max="10246" width="10.7109375" style="30" customWidth="1"/>
    <col min="10247" max="10247" width="2.85546875" style="30" customWidth="1"/>
    <col min="10248" max="10251" width="10.7109375" style="30" customWidth="1"/>
    <col min="10252" max="10253" width="2.85546875" style="30" customWidth="1"/>
    <col min="10254" max="10254" width="8.85546875" style="30"/>
    <col min="10255" max="10255" width="2.85546875" style="30" customWidth="1"/>
    <col min="10256" max="10256" width="8.85546875" style="30"/>
    <col min="10257" max="10257" width="2.85546875" style="30" customWidth="1"/>
    <col min="10258" max="10258" width="8.85546875" style="30"/>
    <col min="10259" max="10259" width="2.85546875" style="30" customWidth="1"/>
    <col min="10260" max="10483" width="8.85546875" style="30"/>
    <col min="10484" max="10484" width="3.140625" style="30" customWidth="1"/>
    <col min="10485" max="10485" width="2.85546875" style="30" customWidth="1"/>
    <col min="10486" max="10487" width="10.7109375" style="30" customWidth="1"/>
    <col min="10488" max="10488" width="2.85546875" style="30" customWidth="1"/>
    <col min="10489" max="10492" width="10.7109375" style="30" customWidth="1"/>
    <col min="10493" max="10493" width="2.85546875" style="30" customWidth="1"/>
    <col min="10494" max="10497" width="10.7109375" style="30" customWidth="1"/>
    <col min="10498" max="10498" width="2.85546875" style="30" customWidth="1"/>
    <col min="10499" max="10502" width="10.7109375" style="30" customWidth="1"/>
    <col min="10503" max="10503" width="2.85546875" style="30" customWidth="1"/>
    <col min="10504" max="10507" width="10.7109375" style="30" customWidth="1"/>
    <col min="10508" max="10509" width="2.85546875" style="30" customWidth="1"/>
    <col min="10510" max="10510" width="8.85546875" style="30"/>
    <col min="10511" max="10511" width="2.85546875" style="30" customWidth="1"/>
    <col min="10512" max="10512" width="8.85546875" style="30"/>
    <col min="10513" max="10513" width="2.85546875" style="30" customWidth="1"/>
    <col min="10514" max="10514" width="8.85546875" style="30"/>
    <col min="10515" max="10515" width="2.85546875" style="30" customWidth="1"/>
    <col min="10516" max="10739" width="8.85546875" style="30"/>
    <col min="10740" max="10740" width="3.140625" style="30" customWidth="1"/>
    <col min="10741" max="10741" width="2.85546875" style="30" customWidth="1"/>
    <col min="10742" max="10743" width="10.7109375" style="30" customWidth="1"/>
    <col min="10744" max="10744" width="2.85546875" style="30" customWidth="1"/>
    <col min="10745" max="10748" width="10.7109375" style="30" customWidth="1"/>
    <col min="10749" max="10749" width="2.85546875" style="30" customWidth="1"/>
    <col min="10750" max="10753" width="10.7109375" style="30" customWidth="1"/>
    <col min="10754" max="10754" width="2.85546875" style="30" customWidth="1"/>
    <col min="10755" max="10758" width="10.7109375" style="30" customWidth="1"/>
    <col min="10759" max="10759" width="2.85546875" style="30" customWidth="1"/>
    <col min="10760" max="10763" width="10.7109375" style="30" customWidth="1"/>
    <col min="10764" max="10765" width="2.85546875" style="30" customWidth="1"/>
    <col min="10766" max="10766" width="8.85546875" style="30"/>
    <col min="10767" max="10767" width="2.85546875" style="30" customWidth="1"/>
    <col min="10768" max="10768" width="8.85546875" style="30"/>
    <col min="10769" max="10769" width="2.85546875" style="30" customWidth="1"/>
    <col min="10770" max="10770" width="8.85546875" style="30"/>
    <col min="10771" max="10771" width="2.85546875" style="30" customWidth="1"/>
    <col min="10772" max="10995" width="8.85546875" style="30"/>
    <col min="10996" max="10996" width="3.140625" style="30" customWidth="1"/>
    <col min="10997" max="10997" width="2.85546875" style="30" customWidth="1"/>
    <col min="10998" max="10999" width="10.7109375" style="30" customWidth="1"/>
    <col min="11000" max="11000" width="2.85546875" style="30" customWidth="1"/>
    <col min="11001" max="11004" width="10.7109375" style="30" customWidth="1"/>
    <col min="11005" max="11005" width="2.85546875" style="30" customWidth="1"/>
    <col min="11006" max="11009" width="10.7109375" style="30" customWidth="1"/>
    <col min="11010" max="11010" width="2.85546875" style="30" customWidth="1"/>
    <col min="11011" max="11014" width="10.7109375" style="30" customWidth="1"/>
    <col min="11015" max="11015" width="2.85546875" style="30" customWidth="1"/>
    <col min="11016" max="11019" width="10.7109375" style="30" customWidth="1"/>
    <col min="11020" max="11021" width="2.85546875" style="30" customWidth="1"/>
    <col min="11022" max="11022" width="8.85546875" style="30"/>
    <col min="11023" max="11023" width="2.85546875" style="30" customWidth="1"/>
    <col min="11024" max="11024" width="8.85546875" style="30"/>
    <col min="11025" max="11025" width="2.85546875" style="30" customWidth="1"/>
    <col min="11026" max="11026" width="8.85546875" style="30"/>
    <col min="11027" max="11027" width="2.85546875" style="30" customWidth="1"/>
    <col min="11028" max="11251" width="8.85546875" style="30"/>
    <col min="11252" max="11252" width="3.140625" style="30" customWidth="1"/>
    <col min="11253" max="11253" width="2.85546875" style="30" customWidth="1"/>
    <col min="11254" max="11255" width="10.7109375" style="30" customWidth="1"/>
    <col min="11256" max="11256" width="2.85546875" style="30" customWidth="1"/>
    <col min="11257" max="11260" width="10.7109375" style="30" customWidth="1"/>
    <col min="11261" max="11261" width="2.85546875" style="30" customWidth="1"/>
    <col min="11262" max="11265" width="10.7109375" style="30" customWidth="1"/>
    <col min="11266" max="11266" width="2.85546875" style="30" customWidth="1"/>
    <col min="11267" max="11270" width="10.7109375" style="30" customWidth="1"/>
    <col min="11271" max="11271" width="2.85546875" style="30" customWidth="1"/>
    <col min="11272" max="11275" width="10.7109375" style="30" customWidth="1"/>
    <col min="11276" max="11277" width="2.85546875" style="30" customWidth="1"/>
    <col min="11278" max="11278" width="8.85546875" style="30"/>
    <col min="11279" max="11279" width="2.85546875" style="30" customWidth="1"/>
    <col min="11280" max="11280" width="8.85546875" style="30"/>
    <col min="11281" max="11281" width="2.85546875" style="30" customWidth="1"/>
    <col min="11282" max="11282" width="8.85546875" style="30"/>
    <col min="11283" max="11283" width="2.85546875" style="30" customWidth="1"/>
    <col min="11284" max="11507" width="8.85546875" style="30"/>
    <col min="11508" max="11508" width="3.140625" style="30" customWidth="1"/>
    <col min="11509" max="11509" width="2.85546875" style="30" customWidth="1"/>
    <col min="11510" max="11511" width="10.7109375" style="30" customWidth="1"/>
    <col min="11512" max="11512" width="2.85546875" style="30" customWidth="1"/>
    <col min="11513" max="11516" width="10.7109375" style="30" customWidth="1"/>
    <col min="11517" max="11517" width="2.85546875" style="30" customWidth="1"/>
    <col min="11518" max="11521" width="10.7109375" style="30" customWidth="1"/>
    <col min="11522" max="11522" width="2.85546875" style="30" customWidth="1"/>
    <col min="11523" max="11526" width="10.7109375" style="30" customWidth="1"/>
    <col min="11527" max="11527" width="2.85546875" style="30" customWidth="1"/>
    <col min="11528" max="11531" width="10.7109375" style="30" customWidth="1"/>
    <col min="11532" max="11533" width="2.85546875" style="30" customWidth="1"/>
    <col min="11534" max="11534" width="8.85546875" style="30"/>
    <col min="11535" max="11535" width="2.85546875" style="30" customWidth="1"/>
    <col min="11536" max="11536" width="8.85546875" style="30"/>
    <col min="11537" max="11537" width="2.85546875" style="30" customWidth="1"/>
    <col min="11538" max="11538" width="8.85546875" style="30"/>
    <col min="11539" max="11539" width="2.85546875" style="30" customWidth="1"/>
    <col min="11540" max="11763" width="8.85546875" style="30"/>
    <col min="11764" max="11764" width="3.140625" style="30" customWidth="1"/>
    <col min="11765" max="11765" width="2.85546875" style="30" customWidth="1"/>
    <col min="11766" max="11767" width="10.7109375" style="30" customWidth="1"/>
    <col min="11768" max="11768" width="2.85546875" style="30" customWidth="1"/>
    <col min="11769" max="11772" width="10.7109375" style="30" customWidth="1"/>
    <col min="11773" max="11773" width="2.85546875" style="30" customWidth="1"/>
    <col min="11774" max="11777" width="10.7109375" style="30" customWidth="1"/>
    <col min="11778" max="11778" width="2.85546875" style="30" customWidth="1"/>
    <col min="11779" max="11782" width="10.7109375" style="30" customWidth="1"/>
    <col min="11783" max="11783" width="2.85546875" style="30" customWidth="1"/>
    <col min="11784" max="11787" width="10.7109375" style="30" customWidth="1"/>
    <col min="11788" max="11789" width="2.85546875" style="30" customWidth="1"/>
    <col min="11790" max="11790" width="8.85546875" style="30"/>
    <col min="11791" max="11791" width="2.85546875" style="30" customWidth="1"/>
    <col min="11792" max="11792" width="8.85546875" style="30"/>
    <col min="11793" max="11793" width="2.85546875" style="30" customWidth="1"/>
    <col min="11794" max="11794" width="8.85546875" style="30"/>
    <col min="11795" max="11795" width="2.85546875" style="30" customWidth="1"/>
    <col min="11796" max="12019" width="8.85546875" style="30"/>
    <col min="12020" max="12020" width="3.140625" style="30" customWidth="1"/>
    <col min="12021" max="12021" width="2.85546875" style="30" customWidth="1"/>
    <col min="12022" max="12023" width="10.7109375" style="30" customWidth="1"/>
    <col min="12024" max="12024" width="2.85546875" style="30" customWidth="1"/>
    <col min="12025" max="12028" width="10.7109375" style="30" customWidth="1"/>
    <col min="12029" max="12029" width="2.85546875" style="30" customWidth="1"/>
    <col min="12030" max="12033" width="10.7109375" style="30" customWidth="1"/>
    <col min="12034" max="12034" width="2.85546875" style="30" customWidth="1"/>
    <col min="12035" max="12038" width="10.7109375" style="30" customWidth="1"/>
    <col min="12039" max="12039" width="2.85546875" style="30" customWidth="1"/>
    <col min="12040" max="12043" width="10.7109375" style="30" customWidth="1"/>
    <col min="12044" max="12045" width="2.85546875" style="30" customWidth="1"/>
    <col min="12046" max="12046" width="8.85546875" style="30"/>
    <col min="12047" max="12047" width="2.85546875" style="30" customWidth="1"/>
    <col min="12048" max="12048" width="8.85546875" style="30"/>
    <col min="12049" max="12049" width="2.85546875" style="30" customWidth="1"/>
    <col min="12050" max="12050" width="8.85546875" style="30"/>
    <col min="12051" max="12051" width="2.85546875" style="30" customWidth="1"/>
    <col min="12052" max="12275" width="8.85546875" style="30"/>
    <col min="12276" max="12276" width="3.140625" style="30" customWidth="1"/>
    <col min="12277" max="12277" width="2.85546875" style="30" customWidth="1"/>
    <col min="12278" max="12279" width="10.7109375" style="30" customWidth="1"/>
    <col min="12280" max="12280" width="2.85546875" style="30" customWidth="1"/>
    <col min="12281" max="12284" width="10.7109375" style="30" customWidth="1"/>
    <col min="12285" max="12285" width="2.85546875" style="30" customWidth="1"/>
    <col min="12286" max="12289" width="10.7109375" style="30" customWidth="1"/>
    <col min="12290" max="12290" width="2.85546875" style="30" customWidth="1"/>
    <col min="12291" max="12294" width="10.7109375" style="30" customWidth="1"/>
    <col min="12295" max="12295" width="2.85546875" style="30" customWidth="1"/>
    <col min="12296" max="12299" width="10.7109375" style="30" customWidth="1"/>
    <col min="12300" max="12301" width="2.85546875" style="30" customWidth="1"/>
    <col min="12302" max="12302" width="8.85546875" style="30"/>
    <col min="12303" max="12303" width="2.85546875" style="30" customWidth="1"/>
    <col min="12304" max="12304" width="8.85546875" style="30"/>
    <col min="12305" max="12305" width="2.85546875" style="30" customWidth="1"/>
    <col min="12306" max="12306" width="8.85546875" style="30"/>
    <col min="12307" max="12307" width="2.85546875" style="30" customWidth="1"/>
    <col min="12308" max="12531" width="8.85546875" style="30"/>
    <col min="12532" max="12532" width="3.140625" style="30" customWidth="1"/>
    <col min="12533" max="12533" width="2.85546875" style="30" customWidth="1"/>
    <col min="12534" max="12535" width="10.7109375" style="30" customWidth="1"/>
    <col min="12536" max="12536" width="2.85546875" style="30" customWidth="1"/>
    <col min="12537" max="12540" width="10.7109375" style="30" customWidth="1"/>
    <col min="12541" max="12541" width="2.85546875" style="30" customWidth="1"/>
    <col min="12542" max="12545" width="10.7109375" style="30" customWidth="1"/>
    <col min="12546" max="12546" width="2.85546875" style="30" customWidth="1"/>
    <col min="12547" max="12550" width="10.7109375" style="30" customWidth="1"/>
    <col min="12551" max="12551" width="2.85546875" style="30" customWidth="1"/>
    <col min="12552" max="12555" width="10.7109375" style="30" customWidth="1"/>
    <col min="12556" max="12557" width="2.85546875" style="30" customWidth="1"/>
    <col min="12558" max="12558" width="8.85546875" style="30"/>
    <col min="12559" max="12559" width="2.85546875" style="30" customWidth="1"/>
    <col min="12560" max="12560" width="8.85546875" style="30"/>
    <col min="12561" max="12561" width="2.85546875" style="30" customWidth="1"/>
    <col min="12562" max="12562" width="8.85546875" style="30"/>
    <col min="12563" max="12563" width="2.85546875" style="30" customWidth="1"/>
    <col min="12564" max="12787" width="8.85546875" style="30"/>
    <col min="12788" max="12788" width="3.140625" style="30" customWidth="1"/>
    <col min="12789" max="12789" width="2.85546875" style="30" customWidth="1"/>
    <col min="12790" max="12791" width="10.7109375" style="30" customWidth="1"/>
    <col min="12792" max="12792" width="2.85546875" style="30" customWidth="1"/>
    <col min="12793" max="12796" width="10.7109375" style="30" customWidth="1"/>
    <col min="12797" max="12797" width="2.85546875" style="30" customWidth="1"/>
    <col min="12798" max="12801" width="10.7109375" style="30" customWidth="1"/>
    <col min="12802" max="12802" width="2.85546875" style="30" customWidth="1"/>
    <col min="12803" max="12806" width="10.7109375" style="30" customWidth="1"/>
    <col min="12807" max="12807" width="2.85546875" style="30" customWidth="1"/>
    <col min="12808" max="12811" width="10.7109375" style="30" customWidth="1"/>
    <col min="12812" max="12813" width="2.85546875" style="30" customWidth="1"/>
    <col min="12814" max="12814" width="8.85546875" style="30"/>
    <col min="12815" max="12815" width="2.85546875" style="30" customWidth="1"/>
    <col min="12816" max="12816" width="8.85546875" style="30"/>
    <col min="12817" max="12817" width="2.85546875" style="30" customWidth="1"/>
    <col min="12818" max="12818" width="8.85546875" style="30"/>
    <col min="12819" max="12819" width="2.85546875" style="30" customWidth="1"/>
    <col min="12820" max="13043" width="8.85546875" style="30"/>
    <col min="13044" max="13044" width="3.140625" style="30" customWidth="1"/>
    <col min="13045" max="13045" width="2.85546875" style="30" customWidth="1"/>
    <col min="13046" max="13047" width="10.7109375" style="30" customWidth="1"/>
    <col min="13048" max="13048" width="2.85546875" style="30" customWidth="1"/>
    <col min="13049" max="13052" width="10.7109375" style="30" customWidth="1"/>
    <col min="13053" max="13053" width="2.85546875" style="30" customWidth="1"/>
    <col min="13054" max="13057" width="10.7109375" style="30" customWidth="1"/>
    <col min="13058" max="13058" width="2.85546875" style="30" customWidth="1"/>
    <col min="13059" max="13062" width="10.7109375" style="30" customWidth="1"/>
    <col min="13063" max="13063" width="2.85546875" style="30" customWidth="1"/>
    <col min="13064" max="13067" width="10.7109375" style="30" customWidth="1"/>
    <col min="13068" max="13069" width="2.85546875" style="30" customWidth="1"/>
    <col min="13070" max="13070" width="8.85546875" style="30"/>
    <col min="13071" max="13071" width="2.85546875" style="30" customWidth="1"/>
    <col min="13072" max="13072" width="8.85546875" style="30"/>
    <col min="13073" max="13073" width="2.85546875" style="30" customWidth="1"/>
    <col min="13074" max="13074" width="8.85546875" style="30"/>
    <col min="13075" max="13075" width="2.85546875" style="30" customWidth="1"/>
    <col min="13076" max="13299" width="8.85546875" style="30"/>
    <col min="13300" max="13300" width="3.140625" style="30" customWidth="1"/>
    <col min="13301" max="13301" width="2.85546875" style="30" customWidth="1"/>
    <col min="13302" max="13303" width="10.7109375" style="30" customWidth="1"/>
    <col min="13304" max="13304" width="2.85546875" style="30" customWidth="1"/>
    <col min="13305" max="13308" width="10.7109375" style="30" customWidth="1"/>
    <col min="13309" max="13309" width="2.85546875" style="30" customWidth="1"/>
    <col min="13310" max="13313" width="10.7109375" style="30" customWidth="1"/>
    <col min="13314" max="13314" width="2.85546875" style="30" customWidth="1"/>
    <col min="13315" max="13318" width="10.7109375" style="30" customWidth="1"/>
    <col min="13319" max="13319" width="2.85546875" style="30" customWidth="1"/>
    <col min="13320" max="13323" width="10.7109375" style="30" customWidth="1"/>
    <col min="13324" max="13325" width="2.85546875" style="30" customWidth="1"/>
    <col min="13326" max="13326" width="8.85546875" style="30"/>
    <col min="13327" max="13327" width="2.85546875" style="30" customWidth="1"/>
    <col min="13328" max="13328" width="8.85546875" style="30"/>
    <col min="13329" max="13329" width="2.85546875" style="30" customWidth="1"/>
    <col min="13330" max="13330" width="8.85546875" style="30"/>
    <col min="13331" max="13331" width="2.85546875" style="30" customWidth="1"/>
    <col min="13332" max="13555" width="8.85546875" style="30"/>
    <col min="13556" max="13556" width="3.140625" style="30" customWidth="1"/>
    <col min="13557" max="13557" width="2.85546875" style="30" customWidth="1"/>
    <col min="13558" max="13559" width="10.7109375" style="30" customWidth="1"/>
    <col min="13560" max="13560" width="2.85546875" style="30" customWidth="1"/>
    <col min="13561" max="13564" width="10.7109375" style="30" customWidth="1"/>
    <col min="13565" max="13565" width="2.85546875" style="30" customWidth="1"/>
    <col min="13566" max="13569" width="10.7109375" style="30" customWidth="1"/>
    <col min="13570" max="13570" width="2.85546875" style="30" customWidth="1"/>
    <col min="13571" max="13574" width="10.7109375" style="30" customWidth="1"/>
    <col min="13575" max="13575" width="2.85546875" style="30" customWidth="1"/>
    <col min="13576" max="13579" width="10.7109375" style="30" customWidth="1"/>
    <col min="13580" max="13581" width="2.85546875" style="30" customWidth="1"/>
    <col min="13582" max="13582" width="8.85546875" style="30"/>
    <col min="13583" max="13583" width="2.85546875" style="30" customWidth="1"/>
    <col min="13584" max="13584" width="8.85546875" style="30"/>
    <col min="13585" max="13585" width="2.85546875" style="30" customWidth="1"/>
    <col min="13586" max="13586" width="8.85546875" style="30"/>
    <col min="13587" max="13587" width="2.85546875" style="30" customWidth="1"/>
    <col min="13588" max="13811" width="8.85546875" style="30"/>
    <col min="13812" max="13812" width="3.140625" style="30" customWidth="1"/>
    <col min="13813" max="13813" width="2.85546875" style="30" customWidth="1"/>
    <col min="13814" max="13815" width="10.7109375" style="30" customWidth="1"/>
    <col min="13816" max="13816" width="2.85546875" style="30" customWidth="1"/>
    <col min="13817" max="13820" width="10.7109375" style="30" customWidth="1"/>
    <col min="13821" max="13821" width="2.85546875" style="30" customWidth="1"/>
    <col min="13822" max="13825" width="10.7109375" style="30" customWidth="1"/>
    <col min="13826" max="13826" width="2.85546875" style="30" customWidth="1"/>
    <col min="13827" max="13830" width="10.7109375" style="30" customWidth="1"/>
    <col min="13831" max="13831" width="2.85546875" style="30" customWidth="1"/>
    <col min="13832" max="13835" width="10.7109375" style="30" customWidth="1"/>
    <col min="13836" max="13837" width="2.85546875" style="30" customWidth="1"/>
    <col min="13838" max="13838" width="8.85546875" style="30"/>
    <col min="13839" max="13839" width="2.85546875" style="30" customWidth="1"/>
    <col min="13840" max="13840" width="8.85546875" style="30"/>
    <col min="13841" max="13841" width="2.85546875" style="30" customWidth="1"/>
    <col min="13842" max="13842" width="8.85546875" style="30"/>
    <col min="13843" max="13843" width="2.85546875" style="30" customWidth="1"/>
    <col min="13844" max="14067" width="8.85546875" style="30"/>
    <col min="14068" max="14068" width="3.140625" style="30" customWidth="1"/>
    <col min="14069" max="14069" width="2.85546875" style="30" customWidth="1"/>
    <col min="14070" max="14071" width="10.7109375" style="30" customWidth="1"/>
    <col min="14072" max="14072" width="2.85546875" style="30" customWidth="1"/>
    <col min="14073" max="14076" width="10.7109375" style="30" customWidth="1"/>
    <col min="14077" max="14077" width="2.85546875" style="30" customWidth="1"/>
    <col min="14078" max="14081" width="10.7109375" style="30" customWidth="1"/>
    <col min="14082" max="14082" width="2.85546875" style="30" customWidth="1"/>
    <col min="14083" max="14086" width="10.7109375" style="30" customWidth="1"/>
    <col min="14087" max="14087" width="2.85546875" style="30" customWidth="1"/>
    <col min="14088" max="14091" width="10.7109375" style="30" customWidth="1"/>
    <col min="14092" max="14093" width="2.85546875" style="30" customWidth="1"/>
    <col min="14094" max="14094" width="8.85546875" style="30"/>
    <col min="14095" max="14095" width="2.85546875" style="30" customWidth="1"/>
    <col min="14096" max="14096" width="8.85546875" style="30"/>
    <col min="14097" max="14097" width="2.85546875" style="30" customWidth="1"/>
    <col min="14098" max="14098" width="8.85546875" style="30"/>
    <col min="14099" max="14099" width="2.85546875" style="30" customWidth="1"/>
    <col min="14100" max="14323" width="8.85546875" style="30"/>
    <col min="14324" max="14324" width="3.140625" style="30" customWidth="1"/>
    <col min="14325" max="14325" width="2.85546875" style="30" customWidth="1"/>
    <col min="14326" max="14327" width="10.7109375" style="30" customWidth="1"/>
    <col min="14328" max="14328" width="2.85546875" style="30" customWidth="1"/>
    <col min="14329" max="14332" width="10.7109375" style="30" customWidth="1"/>
    <col min="14333" max="14333" width="2.85546875" style="30" customWidth="1"/>
    <col min="14334" max="14337" width="10.7109375" style="30" customWidth="1"/>
    <col min="14338" max="14338" width="2.85546875" style="30" customWidth="1"/>
    <col min="14339" max="14342" width="10.7109375" style="30" customWidth="1"/>
    <col min="14343" max="14343" width="2.85546875" style="30" customWidth="1"/>
    <col min="14344" max="14347" width="10.7109375" style="30" customWidth="1"/>
    <col min="14348" max="14349" width="2.85546875" style="30" customWidth="1"/>
    <col min="14350" max="14350" width="8.85546875" style="30"/>
    <col min="14351" max="14351" width="2.85546875" style="30" customWidth="1"/>
    <col min="14352" max="14352" width="8.85546875" style="30"/>
    <col min="14353" max="14353" width="2.85546875" style="30" customWidth="1"/>
    <col min="14354" max="14354" width="8.85546875" style="30"/>
    <col min="14355" max="14355" width="2.85546875" style="30" customWidth="1"/>
    <col min="14356" max="14579" width="8.85546875" style="30"/>
    <col min="14580" max="14580" width="3.140625" style="30" customWidth="1"/>
    <col min="14581" max="14581" width="2.85546875" style="30" customWidth="1"/>
    <col min="14582" max="14583" width="10.7109375" style="30" customWidth="1"/>
    <col min="14584" max="14584" width="2.85546875" style="30" customWidth="1"/>
    <col min="14585" max="14588" width="10.7109375" style="30" customWidth="1"/>
    <col min="14589" max="14589" width="2.85546875" style="30" customWidth="1"/>
    <col min="14590" max="14593" width="10.7109375" style="30" customWidth="1"/>
    <col min="14594" max="14594" width="2.85546875" style="30" customWidth="1"/>
    <col min="14595" max="14598" width="10.7109375" style="30" customWidth="1"/>
    <col min="14599" max="14599" width="2.85546875" style="30" customWidth="1"/>
    <col min="14600" max="14603" width="10.7109375" style="30" customWidth="1"/>
    <col min="14604" max="14605" width="2.85546875" style="30" customWidth="1"/>
    <col min="14606" max="14606" width="8.85546875" style="30"/>
    <col min="14607" max="14607" width="2.85546875" style="30" customWidth="1"/>
    <col min="14608" max="14608" width="8.85546875" style="30"/>
    <col min="14609" max="14609" width="2.85546875" style="30" customWidth="1"/>
    <col min="14610" max="14610" width="8.85546875" style="30"/>
    <col min="14611" max="14611" width="2.85546875" style="30" customWidth="1"/>
    <col min="14612" max="14835" width="8.85546875" style="30"/>
    <col min="14836" max="14836" width="3.140625" style="30" customWidth="1"/>
    <col min="14837" max="14837" width="2.85546875" style="30" customWidth="1"/>
    <col min="14838" max="14839" width="10.7109375" style="30" customWidth="1"/>
    <col min="14840" max="14840" width="2.85546875" style="30" customWidth="1"/>
    <col min="14841" max="14844" width="10.7109375" style="30" customWidth="1"/>
    <col min="14845" max="14845" width="2.85546875" style="30" customWidth="1"/>
    <col min="14846" max="14849" width="10.7109375" style="30" customWidth="1"/>
    <col min="14850" max="14850" width="2.85546875" style="30" customWidth="1"/>
    <col min="14851" max="14854" width="10.7109375" style="30" customWidth="1"/>
    <col min="14855" max="14855" width="2.85546875" style="30" customWidth="1"/>
    <col min="14856" max="14859" width="10.7109375" style="30" customWidth="1"/>
    <col min="14860" max="14861" width="2.85546875" style="30" customWidth="1"/>
    <col min="14862" max="14862" width="8.85546875" style="30"/>
    <col min="14863" max="14863" width="2.85546875" style="30" customWidth="1"/>
    <col min="14864" max="14864" width="8.85546875" style="30"/>
    <col min="14865" max="14865" width="2.85546875" style="30" customWidth="1"/>
    <col min="14866" max="14866" width="8.85546875" style="30"/>
    <col min="14867" max="14867" width="2.85546875" style="30" customWidth="1"/>
    <col min="14868" max="15091" width="8.85546875" style="30"/>
    <col min="15092" max="15092" width="3.140625" style="30" customWidth="1"/>
    <col min="15093" max="15093" width="2.85546875" style="30" customWidth="1"/>
    <col min="15094" max="15095" width="10.7109375" style="30" customWidth="1"/>
    <col min="15096" max="15096" width="2.85546875" style="30" customWidth="1"/>
    <col min="15097" max="15100" width="10.7109375" style="30" customWidth="1"/>
    <col min="15101" max="15101" width="2.85546875" style="30" customWidth="1"/>
    <col min="15102" max="15105" width="10.7109375" style="30" customWidth="1"/>
    <col min="15106" max="15106" width="2.85546875" style="30" customWidth="1"/>
    <col min="15107" max="15110" width="10.7109375" style="30" customWidth="1"/>
    <col min="15111" max="15111" width="2.85546875" style="30" customWidth="1"/>
    <col min="15112" max="15115" width="10.7109375" style="30" customWidth="1"/>
    <col min="15116" max="15117" width="2.85546875" style="30" customWidth="1"/>
    <col min="15118" max="15118" width="8.85546875" style="30"/>
    <col min="15119" max="15119" width="2.85546875" style="30" customWidth="1"/>
    <col min="15120" max="15120" width="8.85546875" style="30"/>
    <col min="15121" max="15121" width="2.85546875" style="30" customWidth="1"/>
    <col min="15122" max="15122" width="8.85546875" style="30"/>
    <col min="15123" max="15123" width="2.85546875" style="30" customWidth="1"/>
    <col min="15124" max="15347" width="8.85546875" style="30"/>
    <col min="15348" max="15348" width="3.140625" style="30" customWidth="1"/>
    <col min="15349" max="15349" width="2.85546875" style="30" customWidth="1"/>
    <col min="15350" max="15351" width="10.7109375" style="30" customWidth="1"/>
    <col min="15352" max="15352" width="2.85546875" style="30" customWidth="1"/>
    <col min="15353" max="15356" width="10.7109375" style="30" customWidth="1"/>
    <col min="15357" max="15357" width="2.85546875" style="30" customWidth="1"/>
    <col min="15358" max="15361" width="10.7109375" style="30" customWidth="1"/>
    <col min="15362" max="15362" width="2.85546875" style="30" customWidth="1"/>
    <col min="15363" max="15366" width="10.7109375" style="30" customWidth="1"/>
    <col min="15367" max="15367" width="2.85546875" style="30" customWidth="1"/>
    <col min="15368" max="15371" width="10.7109375" style="30" customWidth="1"/>
    <col min="15372" max="15373" width="2.85546875" style="30" customWidth="1"/>
    <col min="15374" max="15374" width="8.85546875" style="30"/>
    <col min="15375" max="15375" width="2.85546875" style="30" customWidth="1"/>
    <col min="15376" max="15376" width="8.85546875" style="30"/>
    <col min="15377" max="15377" width="2.85546875" style="30" customWidth="1"/>
    <col min="15378" max="15378" width="8.85546875" style="30"/>
    <col min="15379" max="15379" width="2.85546875" style="30" customWidth="1"/>
    <col min="15380" max="15603" width="8.85546875" style="30"/>
    <col min="15604" max="15604" width="3.140625" style="30" customWidth="1"/>
    <col min="15605" max="15605" width="2.85546875" style="30" customWidth="1"/>
    <col min="15606" max="15607" width="10.7109375" style="30" customWidth="1"/>
    <col min="15608" max="15608" width="2.85546875" style="30" customWidth="1"/>
    <col min="15609" max="15612" width="10.7109375" style="30" customWidth="1"/>
    <col min="15613" max="15613" width="2.85546875" style="30" customWidth="1"/>
    <col min="15614" max="15617" width="10.7109375" style="30" customWidth="1"/>
    <col min="15618" max="15618" width="2.85546875" style="30" customWidth="1"/>
    <col min="15619" max="15622" width="10.7109375" style="30" customWidth="1"/>
    <col min="15623" max="15623" width="2.85546875" style="30" customWidth="1"/>
    <col min="15624" max="15627" width="10.7109375" style="30" customWidth="1"/>
    <col min="15628" max="15629" width="2.85546875" style="30" customWidth="1"/>
    <col min="15630" max="15630" width="8.85546875" style="30"/>
    <col min="15631" max="15631" width="2.85546875" style="30" customWidth="1"/>
    <col min="15632" max="15632" width="8.85546875" style="30"/>
    <col min="15633" max="15633" width="2.85546875" style="30" customWidth="1"/>
    <col min="15634" max="15634" width="8.85546875" style="30"/>
    <col min="15635" max="15635" width="2.85546875" style="30" customWidth="1"/>
    <col min="15636" max="15859" width="8.85546875" style="30"/>
    <col min="15860" max="15860" width="3.140625" style="30" customWidth="1"/>
    <col min="15861" max="15861" width="2.85546875" style="30" customWidth="1"/>
    <col min="15862" max="15863" width="10.7109375" style="30" customWidth="1"/>
    <col min="15864" max="15864" width="2.85546875" style="30" customWidth="1"/>
    <col min="15865" max="15868" width="10.7109375" style="30" customWidth="1"/>
    <col min="15869" max="15869" width="2.85546875" style="30" customWidth="1"/>
    <col min="15870" max="15873" width="10.7109375" style="30" customWidth="1"/>
    <col min="15874" max="15874" width="2.85546875" style="30" customWidth="1"/>
    <col min="15875" max="15878" width="10.7109375" style="30" customWidth="1"/>
    <col min="15879" max="15879" width="2.85546875" style="30" customWidth="1"/>
    <col min="15880" max="15883" width="10.7109375" style="30" customWidth="1"/>
    <col min="15884" max="15885" width="2.85546875" style="30" customWidth="1"/>
    <col min="15886" max="15886" width="8.85546875" style="30"/>
    <col min="15887" max="15887" width="2.85546875" style="30" customWidth="1"/>
    <col min="15888" max="15888" width="8.85546875" style="30"/>
    <col min="15889" max="15889" width="2.85546875" style="30" customWidth="1"/>
    <col min="15890" max="15890" width="8.85546875" style="30"/>
    <col min="15891" max="15891" width="2.85546875" style="30" customWidth="1"/>
    <col min="15892" max="16115" width="8.85546875" style="30"/>
    <col min="16116" max="16116" width="3.140625" style="30" customWidth="1"/>
    <col min="16117" max="16117" width="2.85546875" style="30" customWidth="1"/>
    <col min="16118" max="16119" width="10.7109375" style="30" customWidth="1"/>
    <col min="16120" max="16120" width="2.85546875" style="30" customWidth="1"/>
    <col min="16121" max="16124" width="10.7109375" style="30" customWidth="1"/>
    <col min="16125" max="16125" width="2.85546875" style="30" customWidth="1"/>
    <col min="16126" max="16129" width="10.7109375" style="30" customWidth="1"/>
    <col min="16130" max="16130" width="2.85546875" style="30" customWidth="1"/>
    <col min="16131" max="16134" width="10.7109375" style="30" customWidth="1"/>
    <col min="16135" max="16135" width="2.85546875" style="30" customWidth="1"/>
    <col min="16136" max="16139" width="10.7109375" style="30" customWidth="1"/>
    <col min="16140" max="16141" width="2.85546875" style="30" customWidth="1"/>
    <col min="16142" max="16142" width="8.85546875" style="30"/>
    <col min="16143" max="16143" width="2.85546875" style="30" customWidth="1"/>
    <col min="16144" max="16144" width="8.85546875" style="30"/>
    <col min="16145" max="16145" width="2.85546875" style="30" customWidth="1"/>
    <col min="16146" max="16146" width="8.85546875" style="30"/>
    <col min="16147" max="16147" width="2.85546875" style="30" customWidth="1"/>
    <col min="16148" max="16384" width="8.85546875" style="30"/>
  </cols>
  <sheetData>
    <row r="1" spans="6:21" x14ac:dyDescent="0.2">
      <c r="P1" s="44"/>
      <c r="Q1" s="44"/>
      <c r="R1" s="45"/>
      <c r="S1" s="44"/>
      <c r="T1" s="44"/>
    </row>
    <row r="2" spans="6:21" x14ac:dyDescent="0.2">
      <c r="F2" s="30" t="s">
        <v>193</v>
      </c>
      <c r="P2" s="44"/>
      <c r="Q2" s="44"/>
      <c r="R2" s="45"/>
      <c r="S2" s="44"/>
      <c r="T2" s="44"/>
    </row>
    <row r="3" spans="6:21" x14ac:dyDescent="0.2">
      <c r="P3" s="46" t="s">
        <v>62</v>
      </c>
      <c r="Q3" s="46"/>
      <c r="R3" s="47" t="s">
        <v>60</v>
      </c>
      <c r="S3" s="46"/>
      <c r="T3" s="46" t="s">
        <v>195</v>
      </c>
      <c r="U3" s="30" t="s">
        <v>186</v>
      </c>
    </row>
    <row r="4" spans="6:21" x14ac:dyDescent="0.2">
      <c r="K4" s="30" t="s">
        <v>131</v>
      </c>
      <c r="P4" s="46"/>
      <c r="Q4" s="46"/>
      <c r="R4" s="47"/>
      <c r="S4" s="46"/>
      <c r="T4" s="46"/>
    </row>
    <row r="5" spans="6:21" x14ac:dyDescent="0.2">
      <c r="P5" s="44">
        <f ca="1">F9*K6</f>
        <v>0.98284065229441675</v>
      </c>
      <c r="Q5" s="44"/>
      <c r="R5" s="62">
        <f ca="1">(cATSso + cTPE3d)</f>
        <v>15565.598073609135</v>
      </c>
      <c r="S5" s="44"/>
      <c r="T5" s="66">
        <f ca="1">R5*P5</f>
        <v>15298.50256401872</v>
      </c>
      <c r="U5" s="61">
        <f ca="1">P5</f>
        <v>0.98284065229441675</v>
      </c>
    </row>
    <row r="6" spans="6:21" x14ac:dyDescent="0.2">
      <c r="K6" s="30">
        <f ca="1">1-K12</f>
        <v>0.98300099816731157</v>
      </c>
      <c r="P6" s="46"/>
      <c r="Q6" s="46"/>
      <c r="R6" s="47"/>
      <c r="S6" s="46"/>
      <c r="T6" s="46"/>
    </row>
    <row r="7" spans="6:21" x14ac:dyDescent="0.2">
      <c r="F7" s="44" t="s">
        <v>192</v>
      </c>
      <c r="P7" s="44"/>
      <c r="Q7" s="44"/>
      <c r="R7" s="45"/>
      <c r="S7" s="44"/>
      <c r="T7" s="44"/>
    </row>
    <row r="8" spans="6:21" x14ac:dyDescent="0.2">
      <c r="P8" s="44"/>
      <c r="Q8" s="44"/>
      <c r="R8" s="62"/>
      <c r="S8" s="44"/>
      <c r="T8" s="44"/>
      <c r="U8" s="61"/>
    </row>
    <row r="9" spans="6:21" x14ac:dyDescent="0.2">
      <c r="F9" s="61">
        <f ca="1">1-SUM(F18,F27,F36,F45,F54)</f>
        <v>0.99983688127154113</v>
      </c>
      <c r="P9" s="44"/>
      <c r="Q9" s="44"/>
      <c r="R9" s="62"/>
      <c r="S9" s="44"/>
      <c r="T9" s="44"/>
    </row>
    <row r="10" spans="6:21" x14ac:dyDescent="0.2">
      <c r="K10" s="30" t="s">
        <v>132</v>
      </c>
      <c r="P10" s="44"/>
      <c r="Q10" s="44"/>
      <c r="R10" s="62"/>
      <c r="S10" s="44"/>
      <c r="T10" s="44"/>
    </row>
    <row r="11" spans="6:21" x14ac:dyDescent="0.2">
      <c r="P11" s="44">
        <f ca="1">F9*K12</f>
        <v>1.6996228977124415E-2</v>
      </c>
      <c r="Q11" s="44"/>
      <c r="R11" s="62">
        <f ca="1">(cATSso + cTPE3d)</f>
        <v>15565.598073609135</v>
      </c>
      <c r="S11" s="44"/>
      <c r="T11" s="66">
        <f ca="1">R11*P11</f>
        <v>264.55646902494755</v>
      </c>
      <c r="U11" s="61"/>
    </row>
    <row r="12" spans="6:21" x14ac:dyDescent="0.2">
      <c r="K12" s="30">
        <f ca="1">pDeath</f>
        <v>1.6999001832688432E-2</v>
      </c>
      <c r="P12" s="44"/>
      <c r="Q12" s="44"/>
      <c r="R12" s="62"/>
      <c r="S12" s="44"/>
      <c r="T12" s="44"/>
    </row>
    <row r="13" spans="6:21" x14ac:dyDescent="0.2">
      <c r="K13" s="30" t="s">
        <v>131</v>
      </c>
      <c r="P13" s="44"/>
      <c r="Q13" s="44"/>
      <c r="R13" s="62"/>
      <c r="S13" s="44"/>
      <c r="T13" s="44"/>
    </row>
    <row r="14" spans="6:21" x14ac:dyDescent="0.2">
      <c r="P14" s="44">
        <f ca="1">F18*K15</f>
        <v>3.5789480737263688E-6</v>
      </c>
      <c r="Q14" s="44"/>
      <c r="R14" s="62">
        <f ca="1">(cATSso + cTPE3d + cInf)</f>
        <v>17365.967741458328</v>
      </c>
      <c r="S14" s="44"/>
      <c r="T14" s="66">
        <f ca="1">R14*P14</f>
        <v>6.2151896796686541E-2</v>
      </c>
      <c r="U14" s="61">
        <f ca="1">P14</f>
        <v>3.5789480737263688E-6</v>
      </c>
    </row>
    <row r="15" spans="6:21" x14ac:dyDescent="0.2">
      <c r="K15" s="30">
        <f ca="1">1-K21</f>
        <v>0.98300099816731157</v>
      </c>
      <c r="P15" s="44"/>
      <c r="Q15" s="44"/>
      <c r="R15" s="62"/>
      <c r="S15" s="44"/>
      <c r="T15" s="44"/>
    </row>
    <row r="16" spans="6:21" x14ac:dyDescent="0.2">
      <c r="F16" s="48" t="s">
        <v>134</v>
      </c>
      <c r="P16" s="44"/>
      <c r="Q16" s="44"/>
      <c r="R16" s="62"/>
      <c r="S16" s="44"/>
      <c r="T16" s="44"/>
      <c r="U16" s="61"/>
    </row>
    <row r="17" spans="3:21" x14ac:dyDescent="0.2">
      <c r="P17" s="44"/>
      <c r="R17" s="63"/>
      <c r="T17" s="44"/>
    </row>
    <row r="18" spans="3:21" x14ac:dyDescent="0.2">
      <c r="F18" s="30">
        <f ca="1">pInf</f>
        <v>3.640838697416271E-6</v>
      </c>
      <c r="P18" s="44"/>
      <c r="Q18" s="44"/>
      <c r="R18" s="62"/>
      <c r="S18" s="44"/>
      <c r="T18" s="44"/>
    </row>
    <row r="19" spans="3:21" x14ac:dyDescent="0.2">
      <c r="K19" s="30" t="s">
        <v>132</v>
      </c>
      <c r="P19" s="44"/>
      <c r="Q19" s="44"/>
      <c r="R19" s="62"/>
      <c r="S19" s="44"/>
      <c r="T19" s="44"/>
    </row>
    <row r="20" spans="3:21" x14ac:dyDescent="0.2">
      <c r="P20" s="44">
        <f ca="1">K21*F18</f>
        <v>6.1890623689902159E-8</v>
      </c>
      <c r="Q20" s="44"/>
      <c r="R20" s="62">
        <f ca="1">(cATSso + cTPE3d + cInf)</f>
        <v>17365.967741458328</v>
      </c>
      <c r="S20" s="44"/>
      <c r="T20" s="66">
        <f ca="1">R20*P20</f>
        <v>1.0747905744975775E-3</v>
      </c>
      <c r="U20" s="61"/>
    </row>
    <row r="21" spans="3:21" x14ac:dyDescent="0.2">
      <c r="K21" s="30">
        <f ca="1">pDeath</f>
        <v>1.6999001832688432E-2</v>
      </c>
      <c r="P21" s="44"/>
      <c r="Q21" s="44"/>
      <c r="R21" s="62"/>
      <c r="S21" s="44"/>
      <c r="T21" s="44"/>
    </row>
    <row r="22" spans="3:21" x14ac:dyDescent="0.2">
      <c r="K22" s="30" t="s">
        <v>131</v>
      </c>
      <c r="P22" s="44"/>
      <c r="Q22" s="44"/>
      <c r="R22" s="62"/>
      <c r="S22" s="44"/>
      <c r="T22" s="44"/>
    </row>
    <row r="23" spans="3:21" x14ac:dyDescent="0.2">
      <c r="P23" s="44">
        <f ca="1">F27*K24</f>
        <v>3.1206601468890514E-5</v>
      </c>
      <c r="Q23" s="44"/>
      <c r="R23" s="62">
        <f ca="1">(cATSso + cTPE3d + cCATH)</f>
        <v>17570.765576425747</v>
      </c>
      <c r="S23" s="44"/>
      <c r="T23" s="66">
        <f ca="1">R23*P23</f>
        <v>0.54832387884681855</v>
      </c>
      <c r="U23" s="61">
        <f ca="1">F27</f>
        <v>3.1746256135112283E-5</v>
      </c>
    </row>
    <row r="24" spans="3:21" x14ac:dyDescent="0.2">
      <c r="K24" s="30">
        <f ca="1">1-K30</f>
        <v>0.98300099816731157</v>
      </c>
      <c r="P24" s="44"/>
      <c r="Q24" s="44"/>
      <c r="R24" s="62"/>
      <c r="S24" s="44"/>
      <c r="T24" s="44"/>
    </row>
    <row r="25" spans="3:21" x14ac:dyDescent="0.2">
      <c r="F25" s="48" t="s">
        <v>183</v>
      </c>
      <c r="P25" s="44"/>
      <c r="Q25" s="44"/>
      <c r="R25" s="62"/>
      <c r="S25" s="44"/>
      <c r="T25" s="44"/>
    </row>
    <row r="26" spans="3:21" x14ac:dyDescent="0.2">
      <c r="P26" s="44"/>
      <c r="Q26" s="44"/>
      <c r="R26" s="62"/>
      <c r="S26" s="44"/>
      <c r="T26" s="44"/>
    </row>
    <row r="27" spans="3:21" x14ac:dyDescent="0.2">
      <c r="F27" s="30">
        <f ca="1">pCATH</f>
        <v>3.1746256135112283E-5</v>
      </c>
      <c r="P27" s="44"/>
      <c r="Q27" s="44"/>
      <c r="R27" s="62"/>
      <c r="S27" s="44"/>
      <c r="T27" s="44"/>
    </row>
    <row r="28" spans="3:21" x14ac:dyDescent="0.2">
      <c r="K28" s="30" t="s">
        <v>132</v>
      </c>
      <c r="P28" s="44"/>
      <c r="Q28" s="44"/>
      <c r="R28" s="62"/>
      <c r="S28" s="44"/>
      <c r="T28" s="44"/>
    </row>
    <row r="29" spans="3:21" x14ac:dyDescent="0.2">
      <c r="P29" s="44">
        <f ca="1">F27*K30</f>
        <v>5.3965466622177004E-7</v>
      </c>
      <c r="Q29" s="44"/>
      <c r="R29" s="62">
        <f ca="1">(cATSso + cTPE3d + cCATH)</f>
        <v>17570.765576425747</v>
      </c>
      <c r="S29" s="44"/>
      <c r="T29" s="66">
        <f ca="1">R29*P29</f>
        <v>9.4821456324070026E-3</v>
      </c>
      <c r="U29" s="61"/>
    </row>
    <row r="30" spans="3:21" x14ac:dyDescent="0.2">
      <c r="C30" s="48" t="s">
        <v>63</v>
      </c>
      <c r="K30" s="30">
        <f ca="1">pDeath</f>
        <v>1.6999001832688432E-2</v>
      </c>
      <c r="R30" s="30"/>
    </row>
    <row r="31" spans="3:21" x14ac:dyDescent="0.2">
      <c r="C31" s="48"/>
      <c r="K31" s="30" t="s">
        <v>131</v>
      </c>
      <c r="P31" s="44"/>
      <c r="Q31" s="44"/>
      <c r="R31" s="62"/>
      <c r="S31" s="44"/>
      <c r="T31" s="44"/>
    </row>
    <row r="32" spans="3:21" x14ac:dyDescent="0.2">
      <c r="C32" s="48" t="s">
        <v>64</v>
      </c>
      <c r="P32" s="44">
        <f ca="1">F36*K33</f>
        <v>8.9923327329243408E-6</v>
      </c>
      <c r="Q32" s="44"/>
      <c r="R32" s="62">
        <f ca="1">(cATSso + cTPE3d + cVETH)</f>
        <v>20309.502725396851</v>
      </c>
      <c r="S32" s="44"/>
      <c r="T32" s="66">
        <f ca="1">R32*P32</f>
        <v>0.18262980614700222</v>
      </c>
      <c r="U32" s="61">
        <f>F33</f>
        <v>0</v>
      </c>
    </row>
    <row r="33" spans="3:21" x14ac:dyDescent="0.2">
      <c r="C33" s="30" t="s">
        <v>130</v>
      </c>
      <c r="K33" s="30">
        <f ca="1">1-K39</f>
        <v>0.98300099816731157</v>
      </c>
      <c r="P33" s="44"/>
      <c r="Q33" s="44"/>
      <c r="R33" s="62"/>
      <c r="S33" s="44"/>
      <c r="T33" s="44"/>
    </row>
    <row r="34" spans="3:21" x14ac:dyDescent="0.2">
      <c r="F34" s="48" t="s">
        <v>184</v>
      </c>
      <c r="P34" s="44"/>
      <c r="Q34" s="44"/>
      <c r="R34" s="62"/>
      <c r="S34" s="44"/>
      <c r="T34" s="44"/>
    </row>
    <row r="35" spans="3:21" x14ac:dyDescent="0.2">
      <c r="P35" s="44"/>
      <c r="Q35" s="44"/>
      <c r="R35" s="62"/>
      <c r="S35" s="44"/>
      <c r="T35" s="44"/>
    </row>
    <row r="36" spans="3:21" x14ac:dyDescent="0.2">
      <c r="F36" s="30">
        <f ca="1">pVETH</f>
        <v>9.1478368279274136E-6</v>
      </c>
      <c r="P36" s="44"/>
      <c r="Q36" s="44"/>
      <c r="R36" s="62"/>
      <c r="S36" s="44"/>
      <c r="T36" s="44"/>
    </row>
    <row r="37" spans="3:21" x14ac:dyDescent="0.2">
      <c r="K37" s="30" t="s">
        <v>132</v>
      </c>
      <c r="P37" s="44"/>
      <c r="Q37" s="44"/>
      <c r="R37" s="62"/>
      <c r="S37" s="44"/>
      <c r="T37" s="44"/>
    </row>
    <row r="38" spans="3:21" x14ac:dyDescent="0.2">
      <c r="P38" s="44">
        <f ca="1">F36*K39</f>
        <v>1.5550409500307284E-7</v>
      </c>
      <c r="Q38" s="44"/>
      <c r="R38" s="62">
        <f ca="1">(cATSso + cTPE3d + cVETH)</f>
        <v>20309.502725396851</v>
      </c>
      <c r="S38" s="44"/>
      <c r="T38" s="66">
        <f ca="1">R38*P38</f>
        <v>3.1582108412752784E-3</v>
      </c>
      <c r="U38" s="61"/>
    </row>
    <row r="39" spans="3:21" x14ac:dyDescent="0.2">
      <c r="K39" s="30">
        <f ca="1">pDeath</f>
        <v>1.6999001832688432E-2</v>
      </c>
      <c r="P39" s="44"/>
      <c r="Q39" s="44"/>
      <c r="R39" s="62"/>
      <c r="S39" s="44"/>
      <c r="T39" s="44"/>
    </row>
    <row r="40" spans="3:21" x14ac:dyDescent="0.2">
      <c r="K40" s="30" t="s">
        <v>131</v>
      </c>
      <c r="P40" s="44"/>
      <c r="Q40" s="44"/>
      <c r="R40" s="62"/>
      <c r="S40" s="44"/>
      <c r="T40" s="44"/>
    </row>
    <row r="41" spans="3:21" x14ac:dyDescent="0.2">
      <c r="P41" s="44">
        <f ca="1">F45*K42</f>
        <v>1.0393628755700357E-4</v>
      </c>
      <c r="Q41" s="44"/>
      <c r="R41" s="62">
        <f ca="1">(cATSso + cTPE3d + cBL)</f>
        <v>29074.624314336499</v>
      </c>
      <c r="S41" s="44"/>
      <c r="T41" s="66">
        <f ca="1">R41*P41</f>
        <v>3.0219085133467263</v>
      </c>
      <c r="U41" s="61">
        <f>F42</f>
        <v>0</v>
      </c>
    </row>
    <row r="42" spans="3:21" x14ac:dyDescent="0.2">
      <c r="K42" s="30">
        <f ca="1">1-K48</f>
        <v>0.98300099816731157</v>
      </c>
      <c r="P42" s="44"/>
      <c r="Q42" s="44"/>
      <c r="R42" s="62"/>
      <c r="S42" s="44"/>
      <c r="T42" s="44"/>
    </row>
    <row r="43" spans="3:21" x14ac:dyDescent="0.2">
      <c r="F43" s="48" t="s">
        <v>185</v>
      </c>
      <c r="P43" s="44"/>
      <c r="Q43" s="44"/>
      <c r="R43" s="62"/>
      <c r="S43" s="44"/>
      <c r="T43" s="44"/>
    </row>
    <row r="44" spans="3:21" x14ac:dyDescent="0.2">
      <c r="P44" s="44"/>
      <c r="Q44" s="44"/>
      <c r="R44" s="62"/>
      <c r="S44" s="44"/>
      <c r="T44" s="44"/>
    </row>
    <row r="45" spans="3:21" x14ac:dyDescent="0.2">
      <c r="F45" s="30">
        <f ca="1">pBL</f>
        <v>1.0573365413746316E-4</v>
      </c>
      <c r="P45" s="44"/>
      <c r="Q45" s="44"/>
      <c r="R45" s="62"/>
      <c r="S45" s="44"/>
      <c r="T45" s="44"/>
    </row>
    <row r="46" spans="3:21" x14ac:dyDescent="0.2">
      <c r="K46" s="30" t="s">
        <v>132</v>
      </c>
      <c r="P46" s="44"/>
      <c r="Q46" s="44"/>
      <c r="R46" s="62"/>
      <c r="S46" s="44"/>
      <c r="T46" s="44"/>
    </row>
    <row r="47" spans="3:21" x14ac:dyDescent="0.2">
      <c r="P47" s="44">
        <f ca="1">F45*K48</f>
        <v>1.7973665804595811E-6</v>
      </c>
      <c r="Q47" s="44"/>
      <c r="R47" s="62">
        <f ca="1">(cATSso + cTPE3d + cBL)</f>
        <v>29074.624314336499</v>
      </c>
      <c r="S47" s="44"/>
      <c r="T47" s="66">
        <f ca="1">R47*P47</f>
        <v>5.2257758082005987E-2</v>
      </c>
      <c r="U47" s="61"/>
    </row>
    <row r="48" spans="3:21" x14ac:dyDescent="0.2">
      <c r="K48" s="30">
        <f ca="1">pDeath</f>
        <v>1.6999001832688432E-2</v>
      </c>
      <c r="P48" s="44"/>
      <c r="Q48" s="44"/>
      <c r="R48" s="45"/>
      <c r="S48" s="44"/>
      <c r="T48" s="44"/>
    </row>
    <row r="49" spans="6:23" x14ac:dyDescent="0.2">
      <c r="K49" s="30" t="s">
        <v>131</v>
      </c>
      <c r="P49" s="44"/>
      <c r="Q49" s="44"/>
      <c r="R49" s="45"/>
      <c r="S49" s="44"/>
      <c r="T49" s="44"/>
    </row>
    <row r="50" spans="6:23" x14ac:dyDescent="0.2">
      <c r="P50" s="44"/>
      <c r="Q50" s="44"/>
      <c r="R50" s="45"/>
      <c r="S50" s="44"/>
      <c r="T50" s="44"/>
    </row>
    <row r="51" spans="6:23" x14ac:dyDescent="0.2">
      <c r="P51" s="44"/>
      <c r="Q51" s="44"/>
      <c r="R51" s="45"/>
      <c r="S51" s="44"/>
      <c r="T51" s="44"/>
    </row>
    <row r="52" spans="6:23" x14ac:dyDescent="0.2">
      <c r="F52" s="30" t="s">
        <v>194</v>
      </c>
      <c r="P52" s="44"/>
      <c r="Q52" s="44"/>
      <c r="R52" s="45"/>
      <c r="S52" s="44"/>
      <c r="T52" s="44"/>
    </row>
    <row r="53" spans="6:23" x14ac:dyDescent="0.2">
      <c r="P53" s="44">
        <f ca="1">F54</f>
        <v>1.2850142660947306E-5</v>
      </c>
      <c r="Q53" s="44"/>
      <c r="R53" s="62">
        <f ca="1">(cATSso + cTPE3d)</f>
        <v>15565.598073609135</v>
      </c>
      <c r="S53" s="44"/>
      <c r="T53" s="66">
        <f ca="1">R53*P53</f>
        <v>0.20002015584884394</v>
      </c>
    </row>
    <row r="54" spans="6:23" x14ac:dyDescent="0.2">
      <c r="F54" s="30">
        <f ca="1">pDeathcomp</f>
        <v>1.2850142660947306E-5</v>
      </c>
      <c r="P54" s="44"/>
      <c r="Q54" s="44"/>
      <c r="R54" s="45"/>
      <c r="S54" s="44"/>
      <c r="T54" s="44"/>
    </row>
    <row r="55" spans="6:23" x14ac:dyDescent="0.2">
      <c r="P55" s="44"/>
      <c r="Q55" s="44"/>
      <c r="R55" s="45"/>
      <c r="S55" s="44"/>
      <c r="T55" s="44"/>
      <c r="W55" s="30" t="s">
        <v>187</v>
      </c>
    </row>
    <row r="56" spans="6:23" x14ac:dyDescent="0.2">
      <c r="P56" s="44">
        <f ca="1">SUM(P5:P53)</f>
        <v>1</v>
      </c>
      <c r="Q56" s="44"/>
      <c r="R56" s="45">
        <f ca="1">SUM(R5:R53)</f>
        <v>215338.5149360623</v>
      </c>
      <c r="S56" s="44"/>
      <c r="T56" s="66">
        <f ca="1">SUM(T5:T53)</f>
        <v>15567.140040199785</v>
      </c>
      <c r="U56" s="65">
        <f ca="1">SUM(U5:U53)</f>
        <v>0.98287597749862554</v>
      </c>
      <c r="W56" s="64">
        <f ca="1">T56/U56</f>
        <v>15838.356411779892</v>
      </c>
    </row>
    <row r="57" spans="6:23" x14ac:dyDescent="0.2">
      <c r="P57" s="44"/>
      <c r="Q57" s="44"/>
      <c r="R57" s="45"/>
      <c r="S57" s="44"/>
      <c r="T57" s="44"/>
    </row>
    <row r="58" spans="6:23" x14ac:dyDescent="0.2">
      <c r="P58" s="44"/>
      <c r="Q58" s="44"/>
      <c r="R58" s="45"/>
      <c r="S58" s="44"/>
      <c r="T58" s="44"/>
    </row>
    <row r="59" spans="6:23" x14ac:dyDescent="0.2">
      <c r="P59" s="44"/>
      <c r="Q59" s="44"/>
      <c r="R59" s="45"/>
      <c r="S59" s="45"/>
      <c r="T59" s="45"/>
    </row>
  </sheetData>
  <pageMargins left="0.75" right="0.75" top="1" bottom="1" header="0.5" footer="0.5"/>
  <pageSetup scale="45" orientation="landscape" horizontalDpi="4294967292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D141"/>
  <sheetViews>
    <sheetView topLeftCell="A88" zoomScale="70" zoomScaleNormal="70" zoomScalePageLayoutView="70" workbookViewId="0">
      <selection activeCell="T84" sqref="T84"/>
    </sheetView>
  </sheetViews>
  <sheetFormatPr defaultColWidth="8.85546875" defaultRowHeight="15" x14ac:dyDescent="0.25"/>
  <cols>
    <col min="4" max="4" width="3" customWidth="1"/>
    <col min="9" max="9" width="3.28515625" customWidth="1"/>
    <col min="14" max="14" width="3" customWidth="1"/>
    <col min="15" max="15" width="20.42578125" customWidth="1"/>
    <col min="18" max="18" width="3.140625" customWidth="1"/>
    <col min="19" max="19" width="3.42578125" customWidth="1"/>
    <col min="23" max="23" width="2.85546875" customWidth="1"/>
    <col min="24" max="24" width="12.28515625" bestFit="1" customWidth="1"/>
    <col min="26" max="26" width="42" customWidth="1"/>
    <col min="28" max="28" width="16.140625" customWidth="1"/>
    <col min="29" max="29" width="18" customWidth="1"/>
    <col min="30" max="30" width="10.28515625" bestFit="1" customWidth="1"/>
  </cols>
  <sheetData>
    <row r="2" spans="14:29" x14ac:dyDescent="0.25">
      <c r="X2" s="46" t="s">
        <v>62</v>
      </c>
      <c r="Y2" s="46"/>
      <c r="Z2" s="47" t="s">
        <v>60</v>
      </c>
      <c r="AA2" s="46"/>
      <c r="AB2" s="46" t="s">
        <v>195</v>
      </c>
      <c r="AC2" s="30" t="s">
        <v>186</v>
      </c>
    </row>
    <row r="4" spans="14:29" x14ac:dyDescent="0.25">
      <c r="N4" s="30"/>
      <c r="O4" s="30"/>
      <c r="P4" s="30"/>
      <c r="Q4" s="30"/>
      <c r="R4" s="30"/>
      <c r="S4" s="30"/>
      <c r="T4" s="30" t="s">
        <v>131</v>
      </c>
      <c r="U4" s="30"/>
      <c r="V4" s="30"/>
      <c r="W4" s="30"/>
    </row>
    <row r="5" spans="14:29" x14ac:dyDescent="0.25">
      <c r="N5" s="30"/>
      <c r="O5" s="30"/>
      <c r="P5" s="30"/>
      <c r="Q5" s="30"/>
      <c r="R5" s="30"/>
      <c r="S5" s="30"/>
      <c r="T5" s="30"/>
      <c r="U5" s="30"/>
      <c r="V5" s="30"/>
      <c r="W5" s="30"/>
      <c r="X5" s="44">
        <f ca="1">O9*T6*J32*E63</f>
        <v>0.29884728362657914</v>
      </c>
      <c r="Y5" s="44"/>
      <c r="Z5" s="62">
        <f ca="1">cATSih + cTPE3d</f>
        <v>15454.598073609135</v>
      </c>
      <c r="AA5" s="44"/>
      <c r="AB5" s="66">
        <f ca="1">Z5*X5</f>
        <v>4618.5646538386527</v>
      </c>
      <c r="AC5" s="61">
        <f ca="1">X5</f>
        <v>0.29884728362657914</v>
      </c>
    </row>
    <row r="6" spans="14:29" x14ac:dyDescent="0.25">
      <c r="N6" s="30"/>
      <c r="O6" s="30"/>
      <c r="P6" s="30"/>
      <c r="Q6" s="30"/>
      <c r="R6" s="30"/>
      <c r="S6" s="30"/>
      <c r="T6" s="30">
        <f ca="1">1-T12</f>
        <v>0.98300099816731157</v>
      </c>
      <c r="U6" s="30"/>
      <c r="V6" s="30"/>
      <c r="W6" s="30"/>
      <c r="X6" s="46"/>
      <c r="Y6" s="46"/>
      <c r="Z6" s="47"/>
      <c r="AA6" s="46"/>
      <c r="AB6" s="46"/>
      <c r="AC6" s="30"/>
    </row>
    <row r="7" spans="14:29" x14ac:dyDescent="0.25">
      <c r="N7" s="30"/>
      <c r="O7" s="44" t="s">
        <v>192</v>
      </c>
      <c r="P7" s="30"/>
      <c r="Q7" s="30"/>
      <c r="R7" s="30"/>
      <c r="S7" s="30"/>
      <c r="T7" s="30"/>
      <c r="U7" s="30"/>
      <c r="V7" s="30"/>
      <c r="W7" s="30"/>
      <c r="X7" s="44"/>
      <c r="Y7" s="44"/>
      <c r="Z7" s="45"/>
      <c r="AA7" s="44"/>
      <c r="AB7" s="44"/>
      <c r="AC7" s="30"/>
    </row>
    <row r="8" spans="14:29" x14ac:dyDescent="0.25">
      <c r="N8" s="30"/>
      <c r="O8" s="30"/>
      <c r="P8" s="30"/>
      <c r="Q8" s="30"/>
      <c r="R8" s="30"/>
      <c r="S8" s="30"/>
      <c r="T8" s="30"/>
      <c r="U8" s="30"/>
      <c r="V8" s="30"/>
      <c r="W8" s="30"/>
      <c r="X8" s="44"/>
      <c r="Y8" s="44"/>
      <c r="Z8" s="62"/>
      <c r="AA8" s="44"/>
      <c r="AB8" s="44"/>
      <c r="AC8" s="61"/>
    </row>
    <row r="9" spans="14:29" x14ac:dyDescent="0.25">
      <c r="N9" s="30"/>
      <c r="O9" s="61">
        <f ca="1">1-SUM(O18,O27,O36,O45,O54)</f>
        <v>0.99983688127154113</v>
      </c>
      <c r="P9" s="30"/>
      <c r="Q9" s="30"/>
      <c r="R9" s="30"/>
      <c r="S9" s="30"/>
      <c r="T9" s="30"/>
      <c r="U9" s="30"/>
      <c r="V9" s="30"/>
      <c r="W9" s="30"/>
      <c r="X9" s="44"/>
      <c r="Y9" s="44"/>
      <c r="Z9" s="62"/>
      <c r="AA9" s="44"/>
      <c r="AB9" s="44"/>
      <c r="AC9" s="30"/>
    </row>
    <row r="10" spans="14:29" x14ac:dyDescent="0.25">
      <c r="N10" s="30"/>
      <c r="O10" s="30"/>
      <c r="P10" s="30"/>
      <c r="Q10" s="30"/>
      <c r="R10" s="30"/>
      <c r="S10" s="30"/>
      <c r="T10" s="30" t="s">
        <v>132</v>
      </c>
      <c r="U10" s="30"/>
      <c r="V10" s="30"/>
      <c r="W10" s="30"/>
      <c r="X10" s="44"/>
      <c r="Y10" s="44"/>
      <c r="Z10" s="62"/>
      <c r="AA10" s="44"/>
      <c r="AB10" s="44"/>
      <c r="AC10" s="30"/>
    </row>
    <row r="11" spans="14:29" x14ac:dyDescent="0.25"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44">
        <f ca="1">O9*T12*J32*E63</f>
        <v>5.1679556089296256E-3</v>
      </c>
      <c r="Y11" s="44"/>
      <c r="Z11" s="62">
        <f ca="1">cATSih + cTPE3d</f>
        <v>15454.598073609135</v>
      </c>
      <c r="AA11" s="44"/>
      <c r="AB11" s="66">
        <f ca="1">Z11*X11</f>
        <v>79.868676798261319</v>
      </c>
      <c r="AC11" s="61"/>
    </row>
    <row r="12" spans="14:29" x14ac:dyDescent="0.25">
      <c r="N12" s="30"/>
      <c r="O12" s="30"/>
      <c r="P12" s="30"/>
      <c r="Q12" s="30"/>
      <c r="R12" s="30"/>
      <c r="S12" s="30"/>
      <c r="T12" s="30">
        <f ca="1">pDeath</f>
        <v>1.6999001832688432E-2</v>
      </c>
      <c r="U12" s="30"/>
      <c r="V12" s="30"/>
      <c r="W12" s="30"/>
      <c r="X12" s="44"/>
      <c r="Y12" s="44"/>
      <c r="Z12" s="62"/>
      <c r="AA12" s="44"/>
      <c r="AB12" s="44"/>
      <c r="AC12" s="30"/>
    </row>
    <row r="13" spans="14:29" x14ac:dyDescent="0.25">
      <c r="N13" s="30"/>
      <c r="O13" s="30"/>
      <c r="P13" s="30"/>
      <c r="Q13" s="30"/>
      <c r="R13" s="30"/>
      <c r="S13" s="30"/>
      <c r="T13" s="30" t="s">
        <v>131</v>
      </c>
      <c r="U13" s="30"/>
      <c r="V13" s="30"/>
      <c r="W13" s="30"/>
      <c r="X13" s="44"/>
      <c r="Y13" s="44"/>
      <c r="Z13" s="62"/>
      <c r="AA13" s="44"/>
      <c r="AB13" s="44"/>
      <c r="AC13" s="30"/>
    </row>
    <row r="14" spans="14:29" x14ac:dyDescent="0.25"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44">
        <f ca="1">O18*T15*J32*E63</f>
        <v>1.0882322659088681E-6</v>
      </c>
      <c r="Y14" s="44"/>
      <c r="Z14" s="62">
        <f ca="1">cATSih + cTPE3d + cInf</f>
        <v>17254.967741458328</v>
      </c>
      <c r="AA14" s="44"/>
      <c r="AB14" s="66">
        <f ca="1">Z14*X14</f>
        <v>1.877741264347162E-2</v>
      </c>
      <c r="AC14" s="61">
        <f ca="1">X14</f>
        <v>1.0882322659088681E-6</v>
      </c>
    </row>
    <row r="15" spans="14:29" x14ac:dyDescent="0.25">
      <c r="N15" s="30"/>
      <c r="O15" s="30"/>
      <c r="P15" s="30"/>
      <c r="Q15" s="30"/>
      <c r="R15" s="30"/>
      <c r="S15" s="30"/>
      <c r="T15" s="30">
        <f ca="1">1-T21</f>
        <v>0.98300099816731157</v>
      </c>
      <c r="U15" s="30"/>
      <c r="V15" s="30"/>
      <c r="W15" s="30"/>
      <c r="X15" s="44"/>
      <c r="Y15" s="44"/>
      <c r="Z15" s="62"/>
      <c r="AA15" s="44"/>
      <c r="AB15" s="44"/>
      <c r="AC15" s="30"/>
    </row>
    <row r="16" spans="14:29" x14ac:dyDescent="0.25">
      <c r="N16" s="30"/>
      <c r="O16" s="48" t="s">
        <v>134</v>
      </c>
      <c r="P16" s="30"/>
      <c r="Q16" s="30"/>
      <c r="R16" s="30"/>
      <c r="S16" s="30"/>
      <c r="T16" s="30"/>
      <c r="U16" s="30"/>
      <c r="V16" s="30"/>
      <c r="W16" s="30"/>
      <c r="X16" s="44"/>
      <c r="Y16" s="44"/>
      <c r="Z16" s="62"/>
      <c r="AA16" s="44"/>
      <c r="AB16" s="44"/>
      <c r="AC16" s="61"/>
    </row>
    <row r="17" spans="10:29" x14ac:dyDescent="0.25"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44"/>
      <c r="Y17" s="30"/>
      <c r="Z17" s="63"/>
      <c r="AA17" s="30"/>
      <c r="AB17" s="44"/>
      <c r="AC17" s="30"/>
    </row>
    <row r="18" spans="10:29" x14ac:dyDescent="0.25">
      <c r="N18" s="30"/>
      <c r="O18" s="30">
        <f ca="1">pInf</f>
        <v>3.640838697416271E-6</v>
      </c>
      <c r="P18" s="30"/>
      <c r="Q18" s="30"/>
      <c r="R18" s="30"/>
      <c r="S18" s="30"/>
      <c r="T18" s="30"/>
      <c r="U18" s="30"/>
      <c r="V18" s="30"/>
      <c r="W18" s="30"/>
      <c r="X18" s="44"/>
      <c r="Y18" s="44"/>
      <c r="Z18" s="62"/>
      <c r="AA18" s="44"/>
      <c r="AB18" s="44"/>
      <c r="AC18" s="30"/>
    </row>
    <row r="19" spans="10:29" x14ac:dyDescent="0.25">
      <c r="N19" s="30"/>
      <c r="O19" s="30"/>
      <c r="P19" s="30"/>
      <c r="Q19" s="30"/>
      <c r="R19" s="30"/>
      <c r="S19" s="30"/>
      <c r="T19" s="30" t="s">
        <v>132</v>
      </c>
      <c r="U19" s="30"/>
      <c r="V19" s="30"/>
      <c r="W19" s="30"/>
      <c r="X19" s="44"/>
      <c r="Y19" s="44"/>
      <c r="Z19" s="62"/>
      <c r="AA19" s="44"/>
      <c r="AB19" s="44"/>
      <c r="AC19" s="30"/>
    </row>
    <row r="20" spans="10:29" x14ac:dyDescent="0.25"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44">
        <f ca="1">T21*O18*J32*E63</f>
        <v>1.8818762460124114E-8</v>
      </c>
      <c r="Y20" s="44"/>
      <c r="Z20" s="62">
        <f ca="1">cATSih + cTPE3d + cInf</f>
        <v>17254.967741458328</v>
      </c>
      <c r="AA20" s="44"/>
      <c r="AB20" s="66">
        <f ca="1">Z20*X20</f>
        <v>3.2471713918360857E-4</v>
      </c>
      <c r="AC20" s="61"/>
    </row>
    <row r="21" spans="10:29" x14ac:dyDescent="0.25">
      <c r="N21" s="30"/>
      <c r="O21" s="30"/>
      <c r="P21" s="30"/>
      <c r="Q21" s="30"/>
      <c r="R21" s="30"/>
      <c r="S21" s="30"/>
      <c r="T21" s="30">
        <f ca="1">pDeath</f>
        <v>1.6999001832688432E-2</v>
      </c>
      <c r="U21" s="30"/>
      <c r="V21" s="30"/>
      <c r="W21" s="30"/>
      <c r="X21" s="44"/>
      <c r="Y21" s="44"/>
      <c r="Z21" s="62"/>
      <c r="AA21" s="44"/>
      <c r="AB21" s="44"/>
      <c r="AC21" s="30"/>
    </row>
    <row r="22" spans="10:29" x14ac:dyDescent="0.25">
      <c r="N22" s="30"/>
      <c r="O22" s="30"/>
      <c r="P22" s="30"/>
      <c r="Q22" s="30"/>
      <c r="R22" s="30"/>
      <c r="S22" s="30"/>
      <c r="T22" s="30" t="s">
        <v>131</v>
      </c>
      <c r="U22" s="30"/>
      <c r="V22" s="30"/>
      <c r="W22" s="30"/>
      <c r="X22" s="44"/>
      <c r="Y22" s="44"/>
      <c r="Z22" s="62"/>
      <c r="AA22" s="44"/>
      <c r="AB22" s="44"/>
      <c r="AC22" s="30"/>
    </row>
    <row r="23" spans="10:29" x14ac:dyDescent="0.25"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44">
        <f ca="1">O27*T24*J32*E63</f>
        <v>9.4888302172115214E-6</v>
      </c>
      <c r="Y23" s="44"/>
      <c r="Z23" s="62">
        <f ca="1">cATSih + cTPE3d + cCATH</f>
        <v>17459.765576425747</v>
      </c>
      <c r="AA23" s="44"/>
      <c r="AB23" s="66">
        <f ca="1">Z23*X23</f>
        <v>0.16567275118701816</v>
      </c>
      <c r="AC23" s="61">
        <f ca="1">X23</f>
        <v>9.4888302172115214E-6</v>
      </c>
    </row>
    <row r="24" spans="10:29" x14ac:dyDescent="0.25">
      <c r="N24" s="30"/>
      <c r="O24" s="30"/>
      <c r="P24" s="30"/>
      <c r="Q24" s="30"/>
      <c r="R24" s="30"/>
      <c r="S24" s="30"/>
      <c r="T24" s="30">
        <f ca="1">1-T30</f>
        <v>0.98300099816731157</v>
      </c>
      <c r="U24" s="30"/>
      <c r="V24" s="30"/>
      <c r="W24" s="30"/>
      <c r="X24" s="44"/>
      <c r="Y24" s="44"/>
      <c r="Z24" s="62"/>
      <c r="AA24" s="44"/>
      <c r="AB24" s="44"/>
      <c r="AC24" s="30"/>
    </row>
    <row r="25" spans="10:29" x14ac:dyDescent="0.25">
      <c r="N25" s="30"/>
      <c r="O25" s="48" t="s">
        <v>183</v>
      </c>
      <c r="P25" s="30"/>
      <c r="Q25" s="30"/>
      <c r="R25" s="30"/>
      <c r="S25" s="30"/>
      <c r="T25" s="30"/>
      <c r="U25" s="30"/>
      <c r="V25" s="30"/>
      <c r="W25" s="30"/>
      <c r="X25" s="44"/>
      <c r="Y25" s="44"/>
      <c r="Z25" s="62"/>
      <c r="AA25" s="44"/>
      <c r="AB25" s="44"/>
      <c r="AC25" s="30"/>
    </row>
    <row r="26" spans="10:29" x14ac:dyDescent="0.25"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44"/>
      <c r="Y26" s="44"/>
      <c r="Z26" s="62"/>
      <c r="AA26" s="44"/>
      <c r="AB26" s="44"/>
      <c r="AC26" s="30"/>
    </row>
    <row r="27" spans="10:29" x14ac:dyDescent="0.25">
      <c r="N27" s="30"/>
      <c r="O27" s="30">
        <f ca="1">pCATH</f>
        <v>3.1746256135112283E-5</v>
      </c>
      <c r="P27" s="30"/>
      <c r="Q27" s="30"/>
      <c r="R27" s="30"/>
      <c r="S27" s="30"/>
      <c r="T27" s="30"/>
      <c r="U27" s="30"/>
      <c r="V27" s="30"/>
      <c r="W27" s="30"/>
      <c r="X27" s="44"/>
      <c r="Y27" s="44"/>
      <c r="Z27" s="62"/>
      <c r="AA27" s="44"/>
      <c r="AB27" s="44"/>
      <c r="AC27" s="30"/>
    </row>
    <row r="28" spans="10:29" x14ac:dyDescent="0.25">
      <c r="N28" s="30"/>
      <c r="O28" s="30"/>
      <c r="P28" s="30"/>
      <c r="Q28" s="30"/>
      <c r="R28" s="30"/>
      <c r="S28" s="30"/>
      <c r="T28" s="30" t="s">
        <v>132</v>
      </c>
      <c r="U28" s="30"/>
      <c r="V28" s="30"/>
      <c r="W28" s="30"/>
      <c r="X28" s="44"/>
      <c r="Y28" s="44"/>
      <c r="Z28" s="62"/>
      <c r="AA28" s="44"/>
      <c r="AB28" s="44"/>
      <c r="AC28" s="30"/>
    </row>
    <row r="29" spans="10:29" x14ac:dyDescent="0.25"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44">
        <f ca="1">O27*T30*J32*E63</f>
        <v>1.6409000860952725E-7</v>
      </c>
      <c r="Y29" s="44"/>
      <c r="Z29" s="62">
        <f ca="1">cATSih + cTPE3d + cCATH</f>
        <v>17459.765576425747</v>
      </c>
      <c r="AA29" s="44"/>
      <c r="AB29" s="66">
        <f ca="1">Z29*X29</f>
        <v>2.8649730837560284E-3</v>
      </c>
      <c r="AC29" s="61"/>
    </row>
    <row r="30" spans="10:29" x14ac:dyDescent="0.25">
      <c r="J30" s="48" t="s">
        <v>190</v>
      </c>
      <c r="K30" t="s">
        <v>200</v>
      </c>
      <c r="N30" s="30"/>
      <c r="O30" s="30"/>
      <c r="P30" s="30"/>
      <c r="Q30" s="30"/>
      <c r="R30" s="30"/>
      <c r="S30" s="30"/>
      <c r="T30" s="30">
        <f ca="1">pDeath</f>
        <v>1.6999001832688432E-2</v>
      </c>
      <c r="U30" s="30"/>
      <c r="V30" s="30"/>
      <c r="W30" s="30"/>
      <c r="X30" s="30"/>
      <c r="Y30" s="30"/>
      <c r="Z30" s="30"/>
      <c r="AA30" s="30"/>
      <c r="AB30" s="30"/>
      <c r="AC30" s="30"/>
    </row>
    <row r="31" spans="10:29" x14ac:dyDescent="0.25">
      <c r="J31" s="30"/>
      <c r="N31" s="30"/>
      <c r="O31" s="30"/>
      <c r="P31" s="30"/>
      <c r="Q31" s="30"/>
      <c r="R31" s="30"/>
      <c r="S31" s="30"/>
      <c r="T31" s="30" t="s">
        <v>131</v>
      </c>
      <c r="U31" s="30"/>
      <c r="V31" s="30"/>
      <c r="W31" s="30"/>
      <c r="X31" s="44"/>
      <c r="Y31" s="44"/>
      <c r="Z31" s="62"/>
      <c r="AA31" s="44"/>
      <c r="AB31" s="44"/>
      <c r="AC31" s="30"/>
    </row>
    <row r="32" spans="10:29" x14ac:dyDescent="0.25">
      <c r="J32" s="30">
        <f ca="1">SensADAM</f>
        <v>0.89</v>
      </c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44">
        <f ca="1">O36*T33*J32*E63</f>
        <v>2.7342521948265956E-6</v>
      </c>
      <c r="Y32" s="44"/>
      <c r="Z32" s="62">
        <f ca="1">(cATSih + cTPE3d + cVETH)</f>
        <v>20198.502725396851</v>
      </c>
      <c r="AA32" s="44"/>
      <c r="AB32" s="66">
        <f ca="1">Z32*X32</f>
        <v>5.5227800409127309E-2</v>
      </c>
      <c r="AC32" s="61">
        <f ca="1">X32</f>
        <v>2.7342521948265956E-6</v>
      </c>
    </row>
    <row r="33" spans="14:29" x14ac:dyDescent="0.25">
      <c r="N33" s="30"/>
      <c r="O33" s="30"/>
      <c r="P33" s="30"/>
      <c r="Q33" s="30"/>
      <c r="R33" s="30"/>
      <c r="S33" s="30"/>
      <c r="T33" s="30">
        <f ca="1">1-T39</f>
        <v>0.98300099816731157</v>
      </c>
      <c r="U33" s="30"/>
      <c r="V33" s="30"/>
      <c r="W33" s="30"/>
      <c r="X33" s="44"/>
      <c r="Y33" s="44"/>
      <c r="Z33" s="62"/>
      <c r="AA33" s="44"/>
      <c r="AB33" s="44"/>
      <c r="AC33" s="30"/>
    </row>
    <row r="34" spans="14:29" x14ac:dyDescent="0.25">
      <c r="N34" s="30"/>
      <c r="O34" s="48" t="s">
        <v>184</v>
      </c>
      <c r="P34" s="30"/>
      <c r="Q34" s="30"/>
      <c r="R34" s="30"/>
      <c r="S34" s="30"/>
      <c r="T34" s="30"/>
      <c r="U34" s="30"/>
      <c r="V34" s="30"/>
      <c r="W34" s="30"/>
      <c r="X34" s="44"/>
      <c r="Y34" s="44"/>
      <c r="Z34" s="62"/>
      <c r="AA34" s="44"/>
      <c r="AB34" s="44"/>
      <c r="AC34" s="30"/>
    </row>
    <row r="35" spans="14:29" x14ac:dyDescent="0.25"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44"/>
      <c r="Y35" s="44"/>
      <c r="Z35" s="62"/>
      <c r="AA35" s="44"/>
      <c r="AB35" s="44"/>
      <c r="AC35" s="30"/>
    </row>
    <row r="36" spans="14:29" x14ac:dyDescent="0.25">
      <c r="N36" s="30"/>
      <c r="O36" s="30">
        <f ca="1">pVETH</f>
        <v>9.1478368279274136E-6</v>
      </c>
      <c r="P36" s="30"/>
      <c r="Q36" s="30"/>
      <c r="R36" s="30"/>
      <c r="S36" s="30"/>
      <c r="T36" s="30"/>
      <c r="U36" s="30"/>
      <c r="V36" s="30"/>
      <c r="W36" s="30"/>
      <c r="X36" s="44"/>
      <c r="Y36" s="44"/>
      <c r="Z36" s="62"/>
      <c r="AA36" s="44"/>
      <c r="AB36" s="44"/>
      <c r="AC36" s="30"/>
    </row>
    <row r="37" spans="14:29" x14ac:dyDescent="0.25">
      <c r="N37" s="30"/>
      <c r="O37" s="30"/>
      <c r="P37" s="30"/>
      <c r="Q37" s="30"/>
      <c r="R37" s="30"/>
      <c r="S37" s="30"/>
      <c r="T37" s="30" t="s">
        <v>132</v>
      </c>
      <c r="U37" s="30"/>
      <c r="V37" s="30"/>
      <c r="W37" s="30"/>
      <c r="X37" s="44"/>
      <c r="Y37" s="44"/>
      <c r="Z37" s="62"/>
      <c r="AA37" s="44"/>
      <c r="AB37" s="44"/>
      <c r="AC37" s="30"/>
    </row>
    <row r="38" spans="14:29" x14ac:dyDescent="0.25"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44">
        <f ca="1">O36*T39*J32*E63</f>
        <v>4.7283327440709895E-8</v>
      </c>
      <c r="Y38" s="44"/>
      <c r="Z38" s="62">
        <f ca="1">(cATSih + cTPE3d + cVETH)</f>
        <v>20198.502725396851</v>
      </c>
      <c r="AA38" s="44"/>
      <c r="AB38" s="66">
        <f ca="1">Z38*X38</f>
        <v>9.5505241817701056E-4</v>
      </c>
      <c r="AC38" s="61"/>
    </row>
    <row r="39" spans="14:29" x14ac:dyDescent="0.25">
      <c r="N39" s="30"/>
      <c r="O39" s="30"/>
      <c r="P39" s="30"/>
      <c r="Q39" s="30"/>
      <c r="R39" s="30"/>
      <c r="S39" s="30"/>
      <c r="T39" s="30">
        <f ca="1">pDeath</f>
        <v>1.6999001832688432E-2</v>
      </c>
      <c r="U39" s="30"/>
      <c r="V39" s="30"/>
      <c r="W39" s="30"/>
      <c r="X39" s="44"/>
      <c r="Y39" s="44"/>
      <c r="Z39" s="62"/>
      <c r="AA39" s="44"/>
      <c r="AB39" s="44"/>
      <c r="AC39" s="30"/>
    </row>
    <row r="40" spans="14:29" x14ac:dyDescent="0.25">
      <c r="N40" s="30"/>
      <c r="O40" s="30"/>
      <c r="P40" s="30"/>
      <c r="Q40" s="30"/>
      <c r="R40" s="30"/>
      <c r="S40" s="30"/>
      <c r="T40" s="30" t="s">
        <v>131</v>
      </c>
      <c r="U40" s="30"/>
      <c r="V40" s="30"/>
      <c r="W40" s="30"/>
      <c r="X40" s="44"/>
      <c r="Y40" s="44"/>
      <c r="Z40" s="62"/>
      <c r="AA40" s="44"/>
      <c r="AB40" s="44"/>
      <c r="AC40" s="30"/>
    </row>
    <row r="41" spans="14:29" x14ac:dyDescent="0.25"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44">
        <f ca="1">O45*T42*J32*E63</f>
        <v>3.160337042849238E-5</v>
      </c>
      <c r="Y41" s="44"/>
      <c r="Z41" s="62">
        <f ca="1">(cATSih + cTPE3d + cBL)</f>
        <v>28963.624314336499</v>
      </c>
      <c r="AA41" s="44"/>
      <c r="AB41" s="66">
        <f ca="1">Z41*X41</f>
        <v>0.91534814815766496</v>
      </c>
      <c r="AC41" s="61">
        <f ca="1">X41</f>
        <v>3.160337042849238E-5</v>
      </c>
    </row>
    <row r="42" spans="14:29" x14ac:dyDescent="0.25">
      <c r="N42" s="30"/>
      <c r="O42" s="30"/>
      <c r="P42" s="30"/>
      <c r="Q42" s="30"/>
      <c r="R42" s="30"/>
      <c r="S42" s="30"/>
      <c r="T42" s="30">
        <f ca="1">1-T48</f>
        <v>0.98300099816731157</v>
      </c>
      <c r="U42" s="30"/>
      <c r="V42" s="30"/>
      <c r="W42" s="30"/>
      <c r="X42" s="44"/>
      <c r="Y42" s="44"/>
      <c r="Z42" s="62"/>
      <c r="AA42" s="44"/>
      <c r="AB42" s="44"/>
      <c r="AC42" s="30"/>
    </row>
    <row r="43" spans="14:29" x14ac:dyDescent="0.25">
      <c r="N43" s="30"/>
      <c r="O43" s="48" t="s">
        <v>185</v>
      </c>
      <c r="P43" s="30"/>
      <c r="Q43" s="30"/>
      <c r="R43" s="30"/>
      <c r="S43" s="30"/>
      <c r="T43" s="30"/>
      <c r="U43" s="30"/>
      <c r="V43" s="30"/>
      <c r="W43" s="30"/>
      <c r="X43" s="44"/>
      <c r="Y43" s="44"/>
      <c r="Z43" s="62"/>
      <c r="AA43" s="44"/>
      <c r="AB43" s="44"/>
      <c r="AC43" s="30"/>
    </row>
    <row r="44" spans="14:29" x14ac:dyDescent="0.25"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44"/>
      <c r="Y44" s="44"/>
      <c r="Z44" s="62"/>
      <c r="AA44" s="44"/>
      <c r="AB44" s="44"/>
      <c r="AC44" s="30"/>
    </row>
    <row r="45" spans="14:29" x14ac:dyDescent="0.25">
      <c r="N45" s="30"/>
      <c r="O45" s="30">
        <f ca="1">pBL</f>
        <v>1.0573365413746316E-4</v>
      </c>
      <c r="P45" s="30"/>
      <c r="Q45" s="30"/>
      <c r="R45" s="30"/>
      <c r="S45" s="30"/>
      <c r="T45" s="30"/>
      <c r="U45" s="30"/>
      <c r="V45" s="30"/>
      <c r="W45" s="30"/>
      <c r="X45" s="44"/>
      <c r="Y45" s="44"/>
      <c r="Z45" s="62"/>
      <c r="AA45" s="44"/>
      <c r="AB45" s="44"/>
      <c r="AC45" s="30"/>
    </row>
    <row r="46" spans="14:29" x14ac:dyDescent="0.25">
      <c r="N46" s="30"/>
      <c r="O46" s="30"/>
      <c r="P46" s="30"/>
      <c r="Q46" s="30"/>
      <c r="R46" s="30"/>
      <c r="S46" s="30"/>
      <c r="T46" s="30" t="s">
        <v>132</v>
      </c>
      <c r="U46" s="30"/>
      <c r="V46" s="30"/>
      <c r="W46" s="30"/>
      <c r="X46" s="44"/>
      <c r="Y46" s="44"/>
      <c r="Z46" s="62"/>
      <c r="AA46" s="44"/>
      <c r="AB46" s="44"/>
      <c r="AC46" s="30"/>
    </row>
    <row r="47" spans="14:29" x14ac:dyDescent="0.25"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44">
        <f ca="1">O45*T48*J32*E63</f>
        <v>5.4651597794373247E-7</v>
      </c>
      <c r="Y47" s="44"/>
      <c r="Z47" s="62">
        <f ca="1">(cATSih + cTPE3d + cBL)</f>
        <v>28963.624314336499</v>
      </c>
      <c r="AA47" s="44"/>
      <c r="AB47" s="66">
        <f ca="1">Z47*X47</f>
        <v>1.582908346694448E-2</v>
      </c>
      <c r="AC47" s="61"/>
    </row>
    <row r="48" spans="14:29" x14ac:dyDescent="0.25">
      <c r="N48" s="30"/>
      <c r="O48" s="30"/>
      <c r="P48" s="30"/>
      <c r="Q48" s="30"/>
      <c r="R48" s="30"/>
      <c r="S48" s="30"/>
      <c r="T48" s="30">
        <f ca="1">pDeath</f>
        <v>1.6999001832688432E-2</v>
      </c>
      <c r="U48" s="30"/>
      <c r="V48" s="30"/>
      <c r="W48" s="30"/>
      <c r="X48" s="44"/>
      <c r="Y48" s="44"/>
      <c r="Z48" s="45"/>
      <c r="AA48" s="44"/>
      <c r="AB48" s="44"/>
      <c r="AC48" s="30"/>
    </row>
    <row r="49" spans="1:29" x14ac:dyDescent="0.25">
      <c r="I49" s="30"/>
      <c r="K49" s="30"/>
      <c r="L49" s="30"/>
      <c r="M49" s="30"/>
      <c r="N49" s="30"/>
      <c r="O49" s="30"/>
      <c r="P49" s="30"/>
      <c r="Q49" s="30"/>
      <c r="R49" s="30"/>
      <c r="S49" s="30"/>
      <c r="T49" s="30" t="s">
        <v>131</v>
      </c>
      <c r="U49" s="30"/>
      <c r="V49" s="30"/>
      <c r="W49" s="30"/>
      <c r="X49" s="44"/>
      <c r="Y49" s="44"/>
      <c r="Z49" s="45"/>
      <c r="AA49" s="44"/>
      <c r="AB49" s="44"/>
      <c r="AC49" s="30"/>
    </row>
    <row r="50" spans="1:29" x14ac:dyDescent="0.25">
      <c r="I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44"/>
      <c r="Y50" s="44"/>
      <c r="Z50" s="45"/>
      <c r="AA50" s="44"/>
      <c r="AB50" s="44"/>
      <c r="AC50" s="30"/>
    </row>
    <row r="51" spans="1:29" x14ac:dyDescent="0.25">
      <c r="I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44"/>
      <c r="Y51" s="44"/>
      <c r="Z51" s="45"/>
      <c r="AA51" s="44"/>
      <c r="AB51" s="44"/>
      <c r="AC51" s="30"/>
    </row>
    <row r="52" spans="1:29" x14ac:dyDescent="0.25">
      <c r="I52" s="30"/>
      <c r="J52" s="30"/>
      <c r="K52" s="30"/>
      <c r="L52" s="30"/>
      <c r="M52" s="30"/>
      <c r="N52" s="30"/>
      <c r="O52" s="30" t="s">
        <v>194</v>
      </c>
      <c r="P52" s="30"/>
      <c r="Q52" s="30"/>
      <c r="R52" s="30"/>
      <c r="S52" s="30"/>
      <c r="T52" s="30"/>
      <c r="U52" s="30"/>
      <c r="V52" s="30"/>
      <c r="W52" s="30"/>
      <c r="X52" s="44"/>
      <c r="Y52" s="44"/>
      <c r="Z52" s="45"/>
      <c r="AA52" s="44"/>
      <c r="AB52" s="44"/>
      <c r="AC52" s="30"/>
    </row>
    <row r="53" spans="1:29" x14ac:dyDescent="0.25"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44">
        <f ca="1">O54*J32*E63</f>
        <v>3.9072765452601117E-6</v>
      </c>
      <c r="Y53" s="44"/>
      <c r="Z53" s="62">
        <f ca="1">(cATSih + cTPE3d)</f>
        <v>15454.598073609135</v>
      </c>
      <c r="AA53" s="44"/>
      <c r="AB53" s="66">
        <f ca="1">Z53*X53</f>
        <v>6.0385388569435081E-2</v>
      </c>
      <c r="AC53" s="30"/>
    </row>
    <row r="54" spans="1:29" x14ac:dyDescent="0.25">
      <c r="I54" s="30"/>
      <c r="J54" s="30"/>
      <c r="K54" s="30"/>
      <c r="L54" s="30"/>
      <c r="M54" s="30"/>
      <c r="N54" s="30"/>
      <c r="O54" s="30">
        <f ca="1">pDeathcomp</f>
        <v>1.2850142660947306E-5</v>
      </c>
      <c r="P54" s="30"/>
      <c r="Q54" s="30"/>
      <c r="R54" s="30"/>
      <c r="S54" s="30"/>
      <c r="T54" s="30"/>
      <c r="U54" s="30"/>
      <c r="V54" s="30"/>
      <c r="W54" s="30"/>
    </row>
    <row r="55" spans="1:29" x14ac:dyDescent="0.25">
      <c r="I55" s="30"/>
      <c r="K55" s="30"/>
      <c r="L55" s="48"/>
      <c r="M55" s="30"/>
      <c r="N55" s="30"/>
    </row>
    <row r="56" spans="1:29" x14ac:dyDescent="0.25"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</row>
    <row r="57" spans="1:29" x14ac:dyDescent="0.25">
      <c r="I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</row>
    <row r="58" spans="1:29" x14ac:dyDescent="0.25"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</row>
    <row r="59" spans="1:29" x14ac:dyDescent="0.25">
      <c r="I59" s="30"/>
      <c r="J59" s="30"/>
      <c r="K59" s="30"/>
      <c r="L59" s="30"/>
      <c r="M59" s="30"/>
      <c r="N59" s="30"/>
      <c r="O59" s="44"/>
      <c r="P59" s="30"/>
      <c r="Q59" s="30"/>
      <c r="R59" s="30"/>
      <c r="S59" s="30"/>
      <c r="T59" s="30"/>
      <c r="U59" s="30"/>
      <c r="V59" s="30"/>
      <c r="W59" s="30"/>
    </row>
    <row r="60" spans="1:29" x14ac:dyDescent="0.25"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</row>
    <row r="61" spans="1:29" x14ac:dyDescent="0.25">
      <c r="A61" s="30"/>
      <c r="B61" s="30"/>
      <c r="C61" s="30"/>
      <c r="D61" s="30"/>
      <c r="E61" s="48" t="s">
        <v>188</v>
      </c>
      <c r="F61" s="30"/>
      <c r="G61" s="30"/>
      <c r="H61" s="30"/>
      <c r="I61" s="30"/>
      <c r="J61" s="30"/>
      <c r="K61" s="30"/>
      <c r="L61" s="30"/>
      <c r="M61" s="30"/>
      <c r="N61" s="30"/>
      <c r="O61" s="30" t="s">
        <v>131</v>
      </c>
      <c r="P61" s="30"/>
      <c r="Q61" s="30"/>
      <c r="R61" s="30"/>
      <c r="S61" s="30"/>
      <c r="T61" s="30"/>
      <c r="U61" s="30"/>
      <c r="V61" s="30"/>
      <c r="W61" s="30"/>
    </row>
    <row r="62" spans="1:29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>
        <f ca="1">O63*J66*E63</f>
        <v>1.879052369077308E-3</v>
      </c>
      <c r="Z62">
        <f ca="1">cATSih</f>
        <v>350</v>
      </c>
      <c r="AB62" s="66">
        <f ca="1">Z62*X62</f>
        <v>0.65766832917705775</v>
      </c>
      <c r="AC62" s="61">
        <f ca="1">X62</f>
        <v>1.879052369077308E-3</v>
      </c>
    </row>
    <row r="63" spans="1:29" x14ac:dyDescent="0.25">
      <c r="A63" s="30"/>
      <c r="B63" s="30"/>
      <c r="C63" s="30"/>
      <c r="D63" s="30"/>
      <c r="E63" s="30">
        <f ca="1">prevTTP</f>
        <v>0.34164588528678302</v>
      </c>
      <c r="F63" s="30"/>
      <c r="G63" s="30"/>
      <c r="H63" s="30"/>
      <c r="I63" s="30"/>
      <c r="J63" s="30"/>
      <c r="K63" s="30"/>
      <c r="L63" s="30"/>
      <c r="M63" s="30"/>
      <c r="N63" s="30"/>
      <c r="O63" s="30">
        <f ca="1">1-O69</f>
        <v>5.0000000000000044E-2</v>
      </c>
      <c r="P63" s="30"/>
      <c r="Q63" s="30"/>
      <c r="R63" s="30"/>
      <c r="S63" s="30"/>
      <c r="T63" s="30"/>
      <c r="U63" s="30"/>
      <c r="V63" s="30"/>
      <c r="W63" s="30"/>
    </row>
    <row r="64" spans="1:29" x14ac:dyDescent="0.25">
      <c r="A64" s="30"/>
      <c r="B64" s="30"/>
      <c r="C64" s="30"/>
      <c r="D64" s="30"/>
      <c r="F64" s="30"/>
      <c r="G64" s="30"/>
      <c r="H64" s="30"/>
      <c r="I64" s="30"/>
      <c r="J64" s="48" t="s">
        <v>191</v>
      </c>
      <c r="K64" t="s">
        <v>199</v>
      </c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</row>
    <row r="65" spans="1:29" x14ac:dyDescent="0.25">
      <c r="A65" s="30"/>
      <c r="B65" s="30"/>
      <c r="C65" s="30"/>
      <c r="D65" s="30"/>
      <c r="F65" s="30"/>
      <c r="G65" s="30"/>
      <c r="H65" s="30"/>
      <c r="I65" s="30"/>
      <c r="J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</row>
    <row r="66" spans="1:29" x14ac:dyDescent="0.25">
      <c r="A66" s="30"/>
      <c r="B66" s="30"/>
      <c r="C66" s="30"/>
      <c r="D66" s="30"/>
      <c r="F66" s="30"/>
      <c r="G66" s="30"/>
      <c r="H66" s="30"/>
      <c r="I66" s="30"/>
      <c r="J66" s="30">
        <f ca="1">1-J32</f>
        <v>0.10999999999999999</v>
      </c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</row>
    <row r="67" spans="1:29" x14ac:dyDescent="0.2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 t="s">
        <v>132</v>
      </c>
      <c r="P67" s="30"/>
      <c r="Q67" s="30"/>
      <c r="R67" s="30"/>
      <c r="S67" s="30"/>
      <c r="T67" s="30"/>
      <c r="U67" s="30"/>
      <c r="V67" s="30"/>
      <c r="W67" s="30"/>
    </row>
    <row r="68" spans="1:29" x14ac:dyDescent="0.2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>
        <f ca="1">O69*J66*E63</f>
        <v>3.5701995012468818E-2</v>
      </c>
      <c r="Z68">
        <f ca="1">cATSih</f>
        <v>350</v>
      </c>
      <c r="AB68" s="66">
        <f ca="1">Z68*X68</f>
        <v>12.495698254364086</v>
      </c>
    </row>
    <row r="69" spans="1:29" x14ac:dyDescent="0.2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>
        <f ca="1">pDeathNoTPE</f>
        <v>0.95</v>
      </c>
      <c r="P69" s="30"/>
      <c r="Q69" s="30"/>
      <c r="R69" s="30"/>
      <c r="S69" s="30"/>
      <c r="T69" s="30"/>
      <c r="U69" s="30"/>
      <c r="V69" s="30"/>
      <c r="W69" s="30"/>
    </row>
    <row r="70" spans="1:29" x14ac:dyDescent="0.2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</row>
    <row r="71" spans="1:29" x14ac:dyDescent="0.2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</row>
    <row r="72" spans="1:29" x14ac:dyDescent="0.2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</row>
    <row r="73" spans="1:29" x14ac:dyDescent="0.25">
      <c r="A73" s="30"/>
      <c r="B73" s="30"/>
      <c r="C73" s="30"/>
      <c r="D73" s="30"/>
      <c r="E73" s="30"/>
      <c r="F73" s="30"/>
      <c r="G73" s="30"/>
      <c r="H73" s="30"/>
      <c r="I73" s="30"/>
      <c r="K73" s="30"/>
      <c r="L73" s="48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</row>
    <row r="74" spans="1:29" x14ac:dyDescent="0.25">
      <c r="A74" s="30"/>
      <c r="B74" s="30"/>
      <c r="C74" s="30"/>
      <c r="D74" s="30"/>
      <c r="E74" s="30"/>
      <c r="F74" s="30"/>
      <c r="G74" s="30"/>
      <c r="H74" s="30"/>
      <c r="I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</row>
    <row r="75" spans="1:29" x14ac:dyDescent="0.25">
      <c r="A75" s="30"/>
      <c r="B75" s="30"/>
      <c r="C75" s="30"/>
      <c r="D75" s="30"/>
      <c r="E75" s="30"/>
      <c r="F75" s="30"/>
      <c r="G75" s="30"/>
      <c r="H75" s="30"/>
      <c r="I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</row>
    <row r="76" spans="1:29" x14ac:dyDescent="0.2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 t="s">
        <v>131</v>
      </c>
      <c r="U76" s="30"/>
      <c r="V76" s="30"/>
      <c r="W76" s="30"/>
    </row>
    <row r="77" spans="1:29" x14ac:dyDescent="0.2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>
        <f ca="1">T78*O81*J104*E133</f>
        <v>0</v>
      </c>
      <c r="Z77" s="62">
        <f ca="1">cATSih + cTPE3d</f>
        <v>15454.598073609135</v>
      </c>
      <c r="AA77" s="44"/>
      <c r="AB77" s="66">
        <f ca="1">Z77*X77</f>
        <v>0</v>
      </c>
      <c r="AC77" s="61">
        <f ca="1">X77</f>
        <v>0</v>
      </c>
    </row>
    <row r="78" spans="1:29" x14ac:dyDescent="0.25">
      <c r="A78" s="30"/>
      <c r="B78" s="30"/>
      <c r="C78" s="30"/>
      <c r="D78" s="30"/>
      <c r="E78" s="30"/>
      <c r="F78" s="30"/>
      <c r="G78" s="30"/>
      <c r="H78" s="30"/>
      <c r="I78" s="30"/>
      <c r="N78" s="30"/>
      <c r="O78" s="30"/>
      <c r="P78" s="30"/>
      <c r="Q78" s="30"/>
      <c r="R78" s="30"/>
      <c r="S78" s="30"/>
      <c r="T78" s="30">
        <f ca="1">1-T84</f>
        <v>0.96499999999999997</v>
      </c>
      <c r="U78" s="30"/>
      <c r="V78" s="30"/>
      <c r="W78" s="30"/>
      <c r="Z78" s="47"/>
      <c r="AA78" s="46"/>
      <c r="AB78" s="46"/>
      <c r="AC78" s="30"/>
    </row>
    <row r="79" spans="1:29" x14ac:dyDescent="0.25">
      <c r="E79" s="30"/>
      <c r="F79" s="30"/>
      <c r="G79" s="30"/>
      <c r="H79" s="30"/>
      <c r="I79" s="30"/>
      <c r="N79" s="30"/>
      <c r="O79" s="44" t="s">
        <v>192</v>
      </c>
      <c r="P79" s="30"/>
      <c r="Q79" s="30"/>
      <c r="R79" s="30"/>
      <c r="S79" s="30"/>
      <c r="T79" s="30"/>
      <c r="U79" s="30"/>
      <c r="V79" s="30"/>
      <c r="W79" s="30"/>
      <c r="Z79" s="45"/>
      <c r="AA79" s="44"/>
      <c r="AB79" s="44"/>
      <c r="AC79" s="30"/>
    </row>
    <row r="80" spans="1:29" x14ac:dyDescent="0.25">
      <c r="E80" s="30"/>
      <c r="F80" s="30"/>
      <c r="G80" s="30"/>
      <c r="H80" s="30"/>
      <c r="I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Z80" s="62"/>
      <c r="AA80" s="44"/>
      <c r="AB80" s="44"/>
      <c r="AC80" s="61"/>
    </row>
    <row r="81" spans="1:29" x14ac:dyDescent="0.25">
      <c r="E81" s="30"/>
      <c r="F81" s="30"/>
      <c r="G81" s="30"/>
      <c r="H81" s="30"/>
      <c r="I81" s="30"/>
      <c r="N81" s="30"/>
      <c r="O81" s="61">
        <f ca="1">1-SUM(O90,O99,O108,O117,O126)</f>
        <v>0.99983688127154113</v>
      </c>
      <c r="P81" s="30"/>
      <c r="Q81" s="30"/>
      <c r="R81" s="30"/>
      <c r="S81" s="30"/>
      <c r="T81" s="30"/>
      <c r="U81" s="30"/>
      <c r="V81" s="30"/>
      <c r="W81" s="30"/>
      <c r="Z81" s="62"/>
      <c r="AA81" s="44"/>
      <c r="AB81" s="44"/>
      <c r="AC81" s="30"/>
    </row>
    <row r="82" spans="1:29" x14ac:dyDescent="0.25">
      <c r="E82" s="30"/>
      <c r="F82" s="30"/>
      <c r="G82" s="30"/>
      <c r="H82" s="30"/>
      <c r="I82" s="30"/>
      <c r="N82" s="30"/>
      <c r="O82" s="30"/>
      <c r="P82" s="30"/>
      <c r="Q82" s="30"/>
      <c r="R82" s="30"/>
      <c r="S82" s="30"/>
      <c r="T82" s="30" t="s">
        <v>132</v>
      </c>
      <c r="U82" s="30"/>
      <c r="V82" s="30"/>
      <c r="W82" s="30"/>
      <c r="Z82" s="62"/>
      <c r="AA82" s="44"/>
      <c r="AB82" s="44"/>
      <c r="AC82" s="30"/>
    </row>
    <row r="83" spans="1:29" x14ac:dyDescent="0.25">
      <c r="E83" s="30"/>
      <c r="F83" s="30"/>
      <c r="G83" s="30"/>
      <c r="H83" s="30"/>
      <c r="I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>
        <f ca="1">T84*O81*J104*E133</f>
        <v>0</v>
      </c>
      <c r="Z83" s="62">
        <f ca="1">cATSih + cTPE3d</f>
        <v>15454.598073609135</v>
      </c>
      <c r="AA83" s="44"/>
      <c r="AB83" s="66">
        <f ca="1">Z83*X83</f>
        <v>0</v>
      </c>
      <c r="AC83" s="61"/>
    </row>
    <row r="84" spans="1:29" x14ac:dyDescent="0.25">
      <c r="A84" s="30"/>
      <c r="B84" s="30"/>
      <c r="C84" s="30"/>
      <c r="D84" s="30"/>
      <c r="E84" s="30"/>
      <c r="F84" s="30"/>
      <c r="G84" s="30"/>
      <c r="H84" s="30"/>
      <c r="I84" s="30"/>
      <c r="N84" s="30"/>
      <c r="O84" s="30"/>
      <c r="P84" s="30"/>
      <c r="Q84" s="30"/>
      <c r="R84" s="30"/>
      <c r="S84" s="30"/>
      <c r="T84" s="30">
        <f ca="1">pDeathnoTTPafterTPE</f>
        <v>3.5000000000000003E-2</v>
      </c>
      <c r="U84" s="30"/>
      <c r="V84" s="30"/>
      <c r="W84" s="30"/>
      <c r="Z84" s="62"/>
      <c r="AA84" s="44"/>
      <c r="AB84" s="44"/>
      <c r="AC84" s="30"/>
    </row>
    <row r="85" spans="1:29" x14ac:dyDescent="0.25">
      <c r="A85" s="30"/>
      <c r="B85" s="30"/>
      <c r="C85" s="30"/>
      <c r="D85" s="30"/>
      <c r="E85" s="30"/>
      <c r="F85" s="30"/>
      <c r="G85" s="30"/>
      <c r="H85" s="30"/>
      <c r="I85" s="30"/>
      <c r="N85" s="30"/>
      <c r="O85" s="30"/>
      <c r="P85" s="30"/>
      <c r="Q85" s="30"/>
      <c r="R85" s="30"/>
      <c r="S85" s="30"/>
      <c r="T85" s="30" t="s">
        <v>131</v>
      </c>
      <c r="U85" s="30"/>
      <c r="V85" s="30"/>
      <c r="W85" s="30"/>
      <c r="Z85" s="62"/>
      <c r="AA85" s="44"/>
      <c r="AB85" s="44"/>
      <c r="AC85" s="30"/>
    </row>
    <row r="86" spans="1:29" x14ac:dyDescent="0.25">
      <c r="A86" s="30"/>
      <c r="B86" s="30"/>
      <c r="C86" s="30"/>
      <c r="D86" s="30"/>
      <c r="E86" s="30"/>
      <c r="F86" s="30"/>
      <c r="G86" s="30"/>
      <c r="H86" s="30"/>
      <c r="I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>
        <f ca="1">T87*O90*J104*E133</f>
        <v>0</v>
      </c>
      <c r="Z86" s="62">
        <f ca="1">cATSih + cTPE3d + cInf</f>
        <v>17254.967741458328</v>
      </c>
      <c r="AA86" s="44"/>
      <c r="AB86" s="66">
        <f ca="1">Z86*X86</f>
        <v>0</v>
      </c>
      <c r="AC86" s="61">
        <f ca="1">X86</f>
        <v>0</v>
      </c>
    </row>
    <row r="87" spans="1:29" x14ac:dyDescent="0.25">
      <c r="A87" s="30"/>
      <c r="B87" s="30"/>
      <c r="C87" s="30"/>
      <c r="D87" s="30"/>
      <c r="E87" s="30"/>
      <c r="F87" s="30"/>
      <c r="G87" s="30"/>
      <c r="H87" s="30"/>
      <c r="I87" s="30"/>
      <c r="N87" s="30"/>
      <c r="O87" s="30"/>
      <c r="P87" s="30"/>
      <c r="Q87" s="30"/>
      <c r="R87" s="30"/>
      <c r="S87" s="30"/>
      <c r="T87" s="30">
        <f ca="1">1-T93</f>
        <v>0.96499999999999997</v>
      </c>
      <c r="U87" s="30"/>
      <c r="V87" s="30"/>
      <c r="W87" s="30"/>
      <c r="Z87" s="62"/>
      <c r="AA87" s="44"/>
      <c r="AB87" s="44"/>
      <c r="AC87" s="30"/>
    </row>
    <row r="88" spans="1:29" x14ac:dyDescent="0.25">
      <c r="A88" s="30"/>
      <c r="B88" s="30"/>
      <c r="C88" s="30"/>
      <c r="D88" s="30"/>
      <c r="E88" s="30"/>
      <c r="F88" s="30"/>
      <c r="G88" s="30"/>
      <c r="H88" s="30"/>
      <c r="I88" s="30"/>
      <c r="N88" s="30"/>
      <c r="O88" s="48" t="s">
        <v>134</v>
      </c>
      <c r="P88" s="30"/>
      <c r="Q88" s="30"/>
      <c r="R88" s="30"/>
      <c r="S88" s="30"/>
      <c r="T88" s="30"/>
      <c r="U88" s="30"/>
      <c r="V88" s="30"/>
      <c r="W88" s="30"/>
      <c r="Z88" s="62"/>
      <c r="AA88" s="44"/>
      <c r="AB88" s="44"/>
      <c r="AC88" s="61"/>
    </row>
    <row r="89" spans="1:29" x14ac:dyDescent="0.25">
      <c r="A89" s="30"/>
      <c r="B89" s="30"/>
      <c r="C89" s="30"/>
      <c r="D89" s="30"/>
      <c r="E89" s="30"/>
      <c r="F89" s="30"/>
      <c r="G89" s="30"/>
      <c r="H89" s="30"/>
      <c r="I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Z89" s="63"/>
      <c r="AA89" s="30"/>
      <c r="AB89" s="44"/>
      <c r="AC89" s="30"/>
    </row>
    <row r="90" spans="1:29" x14ac:dyDescent="0.25">
      <c r="A90" s="30"/>
      <c r="B90" s="30"/>
      <c r="C90" s="30"/>
      <c r="D90" s="30"/>
      <c r="E90" s="30"/>
      <c r="F90" s="30"/>
      <c r="G90" s="30"/>
      <c r="H90" s="30"/>
      <c r="I90" s="30"/>
      <c r="N90" s="30"/>
      <c r="O90" s="30">
        <f ca="1">pInf</f>
        <v>3.640838697416271E-6</v>
      </c>
      <c r="P90" s="30"/>
      <c r="Q90" s="30"/>
      <c r="R90" s="30"/>
      <c r="S90" s="30"/>
      <c r="T90" s="30"/>
      <c r="U90" s="30"/>
      <c r="V90" s="30"/>
      <c r="W90" s="30"/>
      <c r="Z90" s="62"/>
      <c r="AA90" s="44"/>
      <c r="AB90" s="44"/>
      <c r="AC90" s="30"/>
    </row>
    <row r="91" spans="1:29" x14ac:dyDescent="0.25">
      <c r="A91" s="30"/>
      <c r="B91" s="30"/>
      <c r="C91" s="30"/>
      <c r="D91" s="30"/>
      <c r="E91" s="30"/>
      <c r="F91" s="30"/>
      <c r="G91" s="30"/>
      <c r="H91" s="30"/>
      <c r="I91" s="30"/>
      <c r="N91" s="30"/>
      <c r="O91" s="30"/>
      <c r="P91" s="30"/>
      <c r="Q91" s="30"/>
      <c r="R91" s="30"/>
      <c r="S91" s="30"/>
      <c r="T91" s="30" t="s">
        <v>132</v>
      </c>
      <c r="U91" s="30"/>
      <c r="V91" s="30"/>
      <c r="W91" s="30"/>
      <c r="Z91" s="62"/>
      <c r="AA91" s="44"/>
      <c r="AB91" s="44"/>
      <c r="AC91" s="30"/>
    </row>
    <row r="92" spans="1:29" x14ac:dyDescent="0.25">
      <c r="A92" s="30"/>
      <c r="B92" s="30"/>
      <c r="C92" s="30"/>
      <c r="D92" s="30"/>
      <c r="E92" s="30"/>
      <c r="F92" s="30"/>
      <c r="G92" s="30"/>
      <c r="H92" s="30"/>
      <c r="I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>
        <f ca="1">T93*O90*J104*E133</f>
        <v>0</v>
      </c>
      <c r="Z92" s="62">
        <f ca="1">cATSih + cTPE3d + cInf</f>
        <v>17254.967741458328</v>
      </c>
      <c r="AA92" s="44"/>
      <c r="AB92" s="66">
        <f ca="1">Z92*X92</f>
        <v>0</v>
      </c>
      <c r="AC92" s="61"/>
    </row>
    <row r="93" spans="1:29" x14ac:dyDescent="0.25">
      <c r="A93" s="30"/>
      <c r="B93" s="30"/>
      <c r="C93" s="30"/>
      <c r="D93" s="30"/>
      <c r="E93" s="30"/>
      <c r="F93" s="30"/>
      <c r="G93" s="30"/>
      <c r="H93" s="30"/>
      <c r="I93" s="30"/>
      <c r="N93" s="30"/>
      <c r="O93" s="30"/>
      <c r="P93" s="30"/>
      <c r="Q93" s="30"/>
      <c r="R93" s="30"/>
      <c r="S93" s="30"/>
      <c r="T93" s="30">
        <f ca="1">pDeathnoTTPafterTPE</f>
        <v>3.5000000000000003E-2</v>
      </c>
      <c r="U93" s="30"/>
      <c r="V93" s="30"/>
      <c r="W93" s="30"/>
      <c r="Z93" s="62"/>
      <c r="AA93" s="44"/>
      <c r="AB93" s="44"/>
      <c r="AC93" s="30"/>
    </row>
    <row r="94" spans="1:29" x14ac:dyDescent="0.25">
      <c r="A94" s="30"/>
      <c r="B94" s="48" t="s">
        <v>63</v>
      </c>
      <c r="C94" s="30"/>
      <c r="D94" s="30"/>
      <c r="E94" s="30"/>
      <c r="F94" s="30"/>
      <c r="G94" s="30"/>
      <c r="H94" s="30"/>
      <c r="I94" s="30"/>
      <c r="N94" s="30"/>
      <c r="O94" s="30"/>
      <c r="P94" s="30"/>
      <c r="Q94" s="30"/>
      <c r="R94" s="30"/>
      <c r="S94" s="30"/>
      <c r="T94" s="30" t="s">
        <v>131</v>
      </c>
      <c r="U94" s="30"/>
      <c r="V94" s="30"/>
      <c r="W94" s="30"/>
      <c r="Z94" s="62"/>
      <c r="AA94" s="44"/>
      <c r="AB94" s="44"/>
      <c r="AC94" s="30"/>
    </row>
    <row r="95" spans="1:29" x14ac:dyDescent="0.25">
      <c r="A95" s="30"/>
      <c r="B95" s="48"/>
      <c r="C95" s="30"/>
      <c r="D95" s="30"/>
      <c r="E95" s="30"/>
      <c r="F95" s="30"/>
      <c r="G95" s="30"/>
      <c r="H95" s="30"/>
      <c r="I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>
        <f ca="1">T96*O99*J104*E133</f>
        <v>0</v>
      </c>
      <c r="Z95" s="62">
        <f ca="1">cATSih + cTPE3d + cCATH</f>
        <v>17459.765576425747</v>
      </c>
      <c r="AA95" s="44"/>
      <c r="AB95" s="66">
        <f ca="1">Z95*X95</f>
        <v>0</v>
      </c>
      <c r="AC95" s="61">
        <f ca="1">X95</f>
        <v>0</v>
      </c>
    </row>
    <row r="96" spans="1:29" x14ac:dyDescent="0.25">
      <c r="A96" s="30"/>
      <c r="B96" s="48" t="s">
        <v>196</v>
      </c>
      <c r="C96" s="30"/>
      <c r="D96" s="30"/>
      <c r="E96" s="30"/>
      <c r="F96" s="30"/>
      <c r="G96" s="30"/>
      <c r="H96" s="30"/>
      <c r="I96" s="30"/>
      <c r="N96" s="30"/>
      <c r="O96" s="30"/>
      <c r="P96" s="30"/>
      <c r="Q96" s="30"/>
      <c r="R96" s="30"/>
      <c r="S96" s="30"/>
      <c r="T96" s="30">
        <f ca="1">1-T102</f>
        <v>0.96499999999999997</v>
      </c>
      <c r="U96" s="30"/>
      <c r="V96" s="30"/>
      <c r="W96" s="30"/>
      <c r="Z96" s="62"/>
      <c r="AA96" s="44"/>
      <c r="AB96" s="44"/>
      <c r="AC96" s="30"/>
    </row>
    <row r="97" spans="1:29" x14ac:dyDescent="0.25">
      <c r="A97" s="30"/>
      <c r="B97" s="30"/>
      <c r="C97" s="30"/>
      <c r="D97" s="30"/>
      <c r="E97" s="30"/>
      <c r="F97" s="30"/>
      <c r="G97" s="30"/>
      <c r="H97" s="30"/>
      <c r="I97" s="30"/>
      <c r="N97" s="30"/>
      <c r="O97" s="48" t="s">
        <v>183</v>
      </c>
      <c r="P97" s="30"/>
      <c r="Q97" s="30"/>
      <c r="R97" s="30"/>
      <c r="S97" s="30"/>
      <c r="T97" s="30"/>
      <c r="U97" s="30"/>
      <c r="V97" s="30"/>
      <c r="W97" s="30"/>
      <c r="Z97" s="62"/>
      <c r="AA97" s="44"/>
      <c r="AB97" s="44"/>
      <c r="AC97" s="30"/>
    </row>
    <row r="98" spans="1:29" x14ac:dyDescent="0.25">
      <c r="A98" s="30"/>
      <c r="B98" s="30"/>
      <c r="C98" s="30"/>
      <c r="D98" s="30"/>
      <c r="E98" s="30"/>
      <c r="F98" s="30"/>
      <c r="G98" s="30"/>
      <c r="H98" s="30"/>
      <c r="I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Z98" s="62"/>
      <c r="AA98" s="44"/>
      <c r="AB98" s="44"/>
      <c r="AC98" s="30"/>
    </row>
    <row r="99" spans="1:29" x14ac:dyDescent="0.25">
      <c r="A99" s="30"/>
      <c r="B99" s="30"/>
      <c r="C99" s="30"/>
      <c r="D99" s="30"/>
      <c r="E99" s="30"/>
      <c r="F99" s="30"/>
      <c r="G99" s="30"/>
      <c r="H99" s="30"/>
      <c r="I99" s="30"/>
      <c r="N99" s="30"/>
      <c r="O99" s="30">
        <f ca="1">pCATH</f>
        <v>3.1746256135112283E-5</v>
      </c>
      <c r="P99" s="30"/>
      <c r="Q99" s="30"/>
      <c r="R99" s="30"/>
      <c r="S99" s="30"/>
      <c r="T99" s="30"/>
      <c r="U99" s="30"/>
      <c r="V99" s="30"/>
      <c r="W99" s="30"/>
      <c r="Z99" s="62"/>
      <c r="AA99" s="44"/>
      <c r="AB99" s="44"/>
      <c r="AC99" s="30"/>
    </row>
    <row r="100" spans="1:29" x14ac:dyDescent="0.25">
      <c r="A100" s="30"/>
      <c r="B100" s="30"/>
      <c r="C100" s="30"/>
      <c r="D100" s="30"/>
      <c r="F100" s="30"/>
      <c r="G100" s="30"/>
      <c r="H100" s="30"/>
      <c r="I100" s="30"/>
      <c r="N100" s="30"/>
      <c r="O100" s="30"/>
      <c r="P100" s="30"/>
      <c r="Q100" s="30"/>
      <c r="R100" s="30"/>
      <c r="S100" s="30"/>
      <c r="T100" s="30" t="s">
        <v>132</v>
      </c>
      <c r="U100" s="30"/>
      <c r="V100" s="30"/>
      <c r="W100" s="30"/>
      <c r="Z100" s="62"/>
      <c r="AA100" s="44"/>
      <c r="AB100" s="44"/>
      <c r="AC100" s="30"/>
    </row>
    <row r="101" spans="1:29" x14ac:dyDescent="0.25">
      <c r="A101" s="30"/>
      <c r="B101" s="30"/>
      <c r="C101" s="30"/>
      <c r="D101" s="30"/>
      <c r="F101" s="30"/>
      <c r="G101" s="30"/>
      <c r="H101" s="30"/>
      <c r="I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>
        <f ca="1">T102*O99*J104*E133</f>
        <v>0</v>
      </c>
      <c r="Z101" s="62">
        <f ca="1">cATSih + cTPE3d + cCATH</f>
        <v>17459.765576425747</v>
      </c>
      <c r="AA101" s="44"/>
      <c r="AB101" s="66">
        <f ca="1">Z101*X101</f>
        <v>0</v>
      </c>
      <c r="AC101" s="61"/>
    </row>
    <row r="102" spans="1:29" x14ac:dyDescent="0.25">
      <c r="A102" s="30"/>
      <c r="B102" s="30"/>
      <c r="C102" s="30"/>
      <c r="D102" s="30"/>
      <c r="F102" s="30"/>
      <c r="G102" s="30"/>
      <c r="H102" s="30"/>
      <c r="I102" s="30"/>
      <c r="J102" s="48" t="s">
        <v>198</v>
      </c>
      <c r="K102" t="s">
        <v>201</v>
      </c>
      <c r="N102" s="30"/>
      <c r="O102" s="30"/>
      <c r="P102" s="30"/>
      <c r="Q102" s="30"/>
      <c r="R102" s="30"/>
      <c r="S102" s="30"/>
      <c r="T102" s="30">
        <f ca="1">pDeathnoTTPafterTPE</f>
        <v>3.5000000000000003E-2</v>
      </c>
      <c r="U102" s="30"/>
      <c r="V102" s="30"/>
      <c r="W102" s="30"/>
      <c r="Z102" s="30"/>
      <c r="AA102" s="30"/>
      <c r="AB102" s="30"/>
      <c r="AC102" s="30"/>
    </row>
    <row r="103" spans="1:29" x14ac:dyDescent="0.25">
      <c r="J103" s="30"/>
      <c r="N103" s="30"/>
      <c r="O103" s="30"/>
      <c r="P103" s="30"/>
      <c r="Q103" s="30"/>
      <c r="R103" s="30"/>
      <c r="S103" s="30"/>
      <c r="T103" s="30" t="s">
        <v>131</v>
      </c>
      <c r="U103" s="30"/>
      <c r="V103" s="30"/>
      <c r="W103" s="30"/>
      <c r="Z103" s="62"/>
      <c r="AA103" s="44"/>
      <c r="AB103" s="44"/>
      <c r="AC103" s="30"/>
    </row>
    <row r="104" spans="1:29" x14ac:dyDescent="0.25">
      <c r="J104" s="30">
        <f ca="1">1-specADAM</f>
        <v>0</v>
      </c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>
        <f ca="1">T105*O108*J104*E133</f>
        <v>0</v>
      </c>
      <c r="Z104" s="62">
        <f ca="1">(cATSih + cTPE3d + cVETH)</f>
        <v>20198.502725396851</v>
      </c>
      <c r="AA104" s="44"/>
      <c r="AB104" s="66">
        <f ca="1">Z104*X104</f>
        <v>0</v>
      </c>
      <c r="AC104" s="61">
        <f ca="1">X104</f>
        <v>0</v>
      </c>
    </row>
    <row r="105" spans="1:29" x14ac:dyDescent="0.25">
      <c r="N105" s="30"/>
      <c r="O105" s="30"/>
      <c r="P105" s="30"/>
      <c r="Q105" s="30"/>
      <c r="R105" s="30"/>
      <c r="S105" s="30"/>
      <c r="T105" s="30">
        <f ca="1">1-T111</f>
        <v>0.96499999999999997</v>
      </c>
      <c r="U105" s="30"/>
      <c r="V105" s="30"/>
      <c r="W105" s="30"/>
      <c r="Z105" s="62"/>
      <c r="AA105" s="44"/>
      <c r="AB105" s="44"/>
      <c r="AC105" s="30"/>
    </row>
    <row r="106" spans="1:29" x14ac:dyDescent="0.25">
      <c r="N106" s="30"/>
      <c r="O106" s="48" t="s">
        <v>184</v>
      </c>
      <c r="P106" s="30"/>
      <c r="Q106" s="30"/>
      <c r="R106" s="30"/>
      <c r="S106" s="30"/>
      <c r="T106" s="30"/>
      <c r="U106" s="30"/>
      <c r="V106" s="30"/>
      <c r="W106" s="30"/>
      <c r="Z106" s="62"/>
      <c r="AA106" s="44"/>
      <c r="AB106" s="44"/>
      <c r="AC106" s="30"/>
    </row>
    <row r="107" spans="1:29" x14ac:dyDescent="0.25"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Z107" s="62"/>
      <c r="AA107" s="44"/>
      <c r="AB107" s="44"/>
      <c r="AC107" s="30"/>
    </row>
    <row r="108" spans="1:29" x14ac:dyDescent="0.25">
      <c r="N108" s="30"/>
      <c r="O108" s="30">
        <f ca="1">pVETH</f>
        <v>9.1478368279274136E-6</v>
      </c>
      <c r="P108" s="30"/>
      <c r="Q108" s="30"/>
      <c r="R108" s="30"/>
      <c r="S108" s="30"/>
      <c r="T108" s="30"/>
      <c r="U108" s="30"/>
      <c r="V108" s="30"/>
      <c r="W108" s="30"/>
      <c r="Z108" s="62"/>
      <c r="AA108" s="44"/>
      <c r="AB108" s="44"/>
      <c r="AC108" s="30"/>
    </row>
    <row r="109" spans="1:29" x14ac:dyDescent="0.25">
      <c r="N109" s="30"/>
      <c r="O109" s="30"/>
      <c r="P109" s="30"/>
      <c r="Q109" s="30"/>
      <c r="R109" s="30"/>
      <c r="S109" s="30"/>
      <c r="T109" s="30" t="s">
        <v>132</v>
      </c>
      <c r="U109" s="30"/>
      <c r="V109" s="30"/>
      <c r="W109" s="30"/>
      <c r="Z109" s="62"/>
      <c r="AA109" s="44"/>
      <c r="AB109" s="44"/>
      <c r="AC109" s="30"/>
    </row>
    <row r="110" spans="1:29" x14ac:dyDescent="0.25"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>
        <f ca="1">T111*O108*J104*E133</f>
        <v>0</v>
      </c>
      <c r="Z110" s="62">
        <f ca="1">(cATSih + cTPE3d + cVETH)</f>
        <v>20198.502725396851</v>
      </c>
      <c r="AA110" s="44"/>
      <c r="AB110" s="66">
        <f ca="1">Z110*X110</f>
        <v>0</v>
      </c>
      <c r="AC110" s="61"/>
    </row>
    <row r="111" spans="1:29" x14ac:dyDescent="0.25">
      <c r="N111" s="30"/>
      <c r="O111" s="30"/>
      <c r="P111" s="30"/>
      <c r="Q111" s="30"/>
      <c r="R111" s="30"/>
      <c r="S111" s="30"/>
      <c r="T111" s="30">
        <f ca="1">pDeathnoTTPafterTPE</f>
        <v>3.5000000000000003E-2</v>
      </c>
      <c r="U111" s="30"/>
      <c r="V111" s="30"/>
      <c r="W111" s="30"/>
      <c r="Z111" s="62"/>
      <c r="AA111" s="44"/>
      <c r="AB111" s="44"/>
      <c r="AC111" s="30"/>
    </row>
    <row r="112" spans="1:29" x14ac:dyDescent="0.25">
      <c r="N112" s="30"/>
      <c r="O112" s="30"/>
      <c r="P112" s="30"/>
      <c r="Q112" s="30"/>
      <c r="R112" s="30"/>
      <c r="S112" s="30"/>
      <c r="T112" s="30" t="s">
        <v>131</v>
      </c>
      <c r="U112" s="30"/>
      <c r="V112" s="30"/>
      <c r="W112" s="30"/>
      <c r="Z112" s="62"/>
      <c r="AA112" s="44"/>
      <c r="AB112" s="44"/>
      <c r="AC112" s="30"/>
    </row>
    <row r="113" spans="14:29" x14ac:dyDescent="0.25"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>
        <f ca="1">T114*O117*J104*E133</f>
        <v>0</v>
      </c>
      <c r="Z113" s="62">
        <f ca="1">(cATSih + cTPE3d + cBL)</f>
        <v>28963.624314336499</v>
      </c>
      <c r="AA113" s="44"/>
      <c r="AB113" s="66">
        <f ca="1">Z113*X113</f>
        <v>0</v>
      </c>
      <c r="AC113" s="61">
        <f ca="1">X113</f>
        <v>0</v>
      </c>
    </row>
    <row r="114" spans="14:29" x14ac:dyDescent="0.25">
      <c r="N114" s="30"/>
      <c r="O114" s="30"/>
      <c r="P114" s="30"/>
      <c r="Q114" s="30"/>
      <c r="R114" s="30"/>
      <c r="S114" s="30"/>
      <c r="T114" s="30">
        <f ca="1">1-T120</f>
        <v>0.96499999999999997</v>
      </c>
      <c r="U114" s="30"/>
      <c r="V114" s="30"/>
      <c r="W114" s="30"/>
      <c r="Z114" s="62"/>
      <c r="AA114" s="44"/>
      <c r="AB114" s="44"/>
      <c r="AC114" s="30"/>
    </row>
    <row r="115" spans="14:29" x14ac:dyDescent="0.25">
      <c r="N115" s="30"/>
      <c r="O115" s="48" t="s">
        <v>185</v>
      </c>
      <c r="P115" s="30"/>
      <c r="Q115" s="30"/>
      <c r="R115" s="30"/>
      <c r="S115" s="30"/>
      <c r="T115" s="30"/>
      <c r="U115" s="30"/>
      <c r="V115" s="30"/>
      <c r="W115" s="30"/>
      <c r="Z115" s="62"/>
      <c r="AA115" s="44"/>
      <c r="AB115" s="44"/>
      <c r="AC115" s="30"/>
    </row>
    <row r="116" spans="14:29" x14ac:dyDescent="0.25"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Z116" s="62"/>
      <c r="AA116" s="44"/>
      <c r="AB116" s="44"/>
      <c r="AC116" s="30"/>
    </row>
    <row r="117" spans="14:29" x14ac:dyDescent="0.25">
      <c r="N117" s="30"/>
      <c r="O117" s="30">
        <f ca="1">pBL</f>
        <v>1.0573365413746316E-4</v>
      </c>
      <c r="P117" s="30"/>
      <c r="Q117" s="30"/>
      <c r="R117" s="30"/>
      <c r="S117" s="30"/>
      <c r="T117" s="30"/>
      <c r="U117" s="30"/>
      <c r="V117" s="30"/>
      <c r="W117" s="30"/>
      <c r="Z117" s="62"/>
      <c r="AA117" s="44"/>
      <c r="AB117" s="44"/>
      <c r="AC117" s="30"/>
    </row>
    <row r="118" spans="14:29" x14ac:dyDescent="0.25">
      <c r="N118" s="30"/>
      <c r="O118" s="30"/>
      <c r="P118" s="30"/>
      <c r="Q118" s="30"/>
      <c r="R118" s="30"/>
      <c r="S118" s="30"/>
      <c r="T118" s="30" t="s">
        <v>132</v>
      </c>
      <c r="U118" s="30"/>
      <c r="V118" s="30"/>
      <c r="W118" s="30"/>
      <c r="Z118" s="62"/>
      <c r="AA118" s="44"/>
      <c r="AB118" s="44"/>
      <c r="AC118" s="30"/>
    </row>
    <row r="119" spans="14:29" x14ac:dyDescent="0.25"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>
        <f ca="1">T120*O117*J104*E133</f>
        <v>0</v>
      </c>
      <c r="Z119" s="62">
        <f ca="1">(cATSih + cTPE3d + cBL)</f>
        <v>28963.624314336499</v>
      </c>
      <c r="AA119" s="44"/>
      <c r="AB119" s="66">
        <f ca="1">Z119*X119</f>
        <v>0</v>
      </c>
      <c r="AC119" s="61"/>
    </row>
    <row r="120" spans="14:29" x14ac:dyDescent="0.25">
      <c r="N120" s="30"/>
      <c r="O120" s="30"/>
      <c r="P120" s="30"/>
      <c r="Q120" s="30"/>
      <c r="R120" s="30"/>
      <c r="S120" s="30"/>
      <c r="T120" s="30">
        <f ca="1">pDeathnoTTPafterTPE</f>
        <v>3.5000000000000003E-2</v>
      </c>
      <c r="U120" s="30"/>
      <c r="V120" s="30"/>
      <c r="W120" s="30"/>
      <c r="Z120" s="45"/>
      <c r="AA120" s="44"/>
      <c r="AB120" s="44"/>
      <c r="AC120" s="30"/>
    </row>
    <row r="121" spans="14:29" x14ac:dyDescent="0.25">
      <c r="N121" s="30"/>
      <c r="O121" s="30"/>
      <c r="P121" s="30"/>
      <c r="Q121" s="30"/>
      <c r="R121" s="30"/>
      <c r="S121" s="30"/>
      <c r="T121" s="30" t="s">
        <v>131</v>
      </c>
      <c r="U121" s="30"/>
      <c r="V121" s="30"/>
      <c r="W121" s="30"/>
      <c r="Z121" s="45"/>
      <c r="AA121" s="44"/>
      <c r="AB121" s="44"/>
      <c r="AC121" s="30"/>
    </row>
    <row r="122" spans="14:29" x14ac:dyDescent="0.25"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Z122" s="45"/>
      <c r="AA122" s="44"/>
      <c r="AB122" s="44"/>
      <c r="AC122" s="30"/>
    </row>
    <row r="123" spans="14:29" x14ac:dyDescent="0.25"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Z123" s="45"/>
      <c r="AA123" s="44"/>
      <c r="AB123" s="44"/>
      <c r="AC123" s="30"/>
    </row>
    <row r="124" spans="14:29" x14ac:dyDescent="0.25">
      <c r="N124" s="30"/>
      <c r="O124" s="30" t="s">
        <v>194</v>
      </c>
      <c r="P124" s="30"/>
      <c r="Q124" s="30"/>
      <c r="R124" s="30"/>
      <c r="S124" s="30"/>
      <c r="T124" s="30"/>
      <c r="U124" s="30"/>
      <c r="V124" s="30"/>
      <c r="W124" s="30"/>
      <c r="Z124" s="45"/>
      <c r="AA124" s="44"/>
      <c r="AB124" s="44"/>
      <c r="AC124" s="30"/>
    </row>
    <row r="125" spans="14:29" x14ac:dyDescent="0.25"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>
        <f ca="1">O126*J104*E133</f>
        <v>0</v>
      </c>
      <c r="Z125" s="62">
        <f ca="1">(cATSih + cTPE3d)</f>
        <v>15454.598073609135</v>
      </c>
      <c r="AA125" s="44"/>
      <c r="AB125" s="66">
        <f ca="1">Z125*X125</f>
        <v>0</v>
      </c>
      <c r="AC125" s="30"/>
    </row>
    <row r="126" spans="14:29" x14ac:dyDescent="0.25">
      <c r="N126" s="30"/>
      <c r="O126" s="30">
        <f ca="1">pDeathcomp</f>
        <v>1.2850142660947306E-5</v>
      </c>
      <c r="P126" s="30"/>
      <c r="Q126" s="30"/>
      <c r="R126" s="30"/>
      <c r="S126" s="30"/>
      <c r="T126" s="30"/>
      <c r="U126" s="30"/>
      <c r="V126" s="30"/>
      <c r="W126" s="30"/>
    </row>
    <row r="131" spans="5:30" x14ac:dyDescent="0.25">
      <c r="E131" s="30" t="s">
        <v>189</v>
      </c>
    </row>
    <row r="132" spans="5:30" x14ac:dyDescent="0.25">
      <c r="E132" s="30"/>
      <c r="N132" s="30"/>
      <c r="O132" s="30" t="s">
        <v>131</v>
      </c>
      <c r="P132" s="30"/>
      <c r="Q132" s="30"/>
      <c r="R132" s="30"/>
    </row>
    <row r="133" spans="5:30" x14ac:dyDescent="0.25">
      <c r="E133" s="30">
        <f ca="1">1-E63</f>
        <v>0.65835411471321703</v>
      </c>
      <c r="N133" s="30"/>
      <c r="O133" s="30"/>
      <c r="P133" s="30"/>
      <c r="Q133" s="30"/>
      <c r="R133" s="30"/>
      <c r="X133">
        <f ca="1">O134*J137*E133</f>
        <v>0.61226932668329181</v>
      </c>
      <c r="Z133">
        <f ca="1">cATSih</f>
        <v>350</v>
      </c>
      <c r="AB133" s="66">
        <f ca="1">Z133*X133</f>
        <v>214.29426433915214</v>
      </c>
      <c r="AC133" s="61">
        <f ca="1">X133</f>
        <v>0.61226932668329181</v>
      </c>
    </row>
    <row r="134" spans="5:30" x14ac:dyDescent="0.25">
      <c r="N134" s="30"/>
      <c r="O134" s="30">
        <f ca="1">1-O140</f>
        <v>0.92999999999999994</v>
      </c>
      <c r="P134" s="30"/>
      <c r="Q134" s="30"/>
      <c r="R134" s="30"/>
    </row>
    <row r="135" spans="5:30" x14ac:dyDescent="0.25">
      <c r="J135" s="48" t="s">
        <v>197</v>
      </c>
      <c r="K135" t="s">
        <v>202</v>
      </c>
      <c r="N135" s="30"/>
      <c r="O135" s="30"/>
      <c r="P135" s="30"/>
      <c r="Q135" s="30"/>
      <c r="R135" s="30"/>
    </row>
    <row r="136" spans="5:30" x14ac:dyDescent="0.25">
      <c r="J136" s="30"/>
      <c r="N136" s="30"/>
      <c r="O136" s="30"/>
      <c r="P136" s="30"/>
      <c r="Q136" s="30"/>
      <c r="R136" s="30"/>
    </row>
    <row r="137" spans="5:30" x14ac:dyDescent="0.25">
      <c r="J137" s="30">
        <f ca="1">specADAM</f>
        <v>1</v>
      </c>
      <c r="N137" s="30"/>
      <c r="O137" s="30"/>
      <c r="P137" s="30"/>
      <c r="Q137" s="30"/>
      <c r="R137" s="30"/>
    </row>
    <row r="138" spans="5:30" x14ac:dyDescent="0.25">
      <c r="N138" s="30"/>
      <c r="O138" s="30" t="s">
        <v>132</v>
      </c>
      <c r="P138" s="30"/>
      <c r="Q138" s="30"/>
      <c r="R138" s="30"/>
    </row>
    <row r="139" spans="5:30" x14ac:dyDescent="0.25">
      <c r="N139" s="30"/>
      <c r="O139" s="30"/>
      <c r="P139" s="30"/>
      <c r="Q139" s="30"/>
      <c r="R139" s="30"/>
      <c r="X139">
        <f ca="1">O140*J137*E133</f>
        <v>4.6084788029925196E-2</v>
      </c>
      <c r="Z139">
        <f ca="1">cATSih</f>
        <v>350</v>
      </c>
      <c r="AB139">
        <f ca="1">Z139*X139</f>
        <v>16.12967581047382</v>
      </c>
    </row>
    <row r="140" spans="5:30" x14ac:dyDescent="0.25">
      <c r="N140" s="30"/>
      <c r="O140" s="30">
        <f ca="1">pDeathNoTTP</f>
        <v>7.0000000000000007E-2</v>
      </c>
      <c r="P140" s="30"/>
      <c r="Q140" s="30"/>
      <c r="R140" s="30"/>
      <c r="Z140" t="s">
        <v>333</v>
      </c>
      <c r="AB140" t="s">
        <v>335</v>
      </c>
      <c r="AC140" t="s">
        <v>334</v>
      </c>
      <c r="AD140" t="s">
        <v>187</v>
      </c>
    </row>
    <row r="141" spans="5:30" x14ac:dyDescent="0.25">
      <c r="X141">
        <f ca="1">SUM(X5:X139)</f>
        <v>1</v>
      </c>
      <c r="Z141" s="82">
        <f ca="1">SUM(Z5:Z139)</f>
        <v>429635.02987212461</v>
      </c>
      <c r="AB141" s="66">
        <f ca="1">SUM(AB5:AB139)</f>
        <v>4943.2460226971571</v>
      </c>
      <c r="AC141" s="83">
        <f ca="1">SUM(AC5:AC139)</f>
        <v>0.91304057736405475</v>
      </c>
      <c r="AD141" s="84">
        <f ca="1">AB141/AC141</f>
        <v>5414.0485595594146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D141"/>
  <sheetViews>
    <sheetView topLeftCell="A97" zoomScale="70" zoomScaleNormal="70" zoomScalePageLayoutView="70" workbookViewId="0">
      <selection activeCell="U74" sqref="U74"/>
    </sheetView>
  </sheetViews>
  <sheetFormatPr defaultColWidth="8.85546875" defaultRowHeight="15" x14ac:dyDescent="0.25"/>
  <cols>
    <col min="4" max="4" width="3" customWidth="1"/>
    <col min="9" max="9" width="3.28515625" customWidth="1"/>
    <col min="14" max="14" width="3" customWidth="1"/>
    <col min="15" max="15" width="20.42578125" customWidth="1"/>
    <col min="18" max="18" width="3.140625" customWidth="1"/>
    <col min="19" max="19" width="3.42578125" customWidth="1"/>
    <col min="23" max="23" width="2.85546875" customWidth="1"/>
    <col min="24" max="24" width="12.28515625" bestFit="1" customWidth="1"/>
    <col min="26" max="26" width="40.42578125" customWidth="1"/>
    <col min="28" max="28" width="16.140625" customWidth="1"/>
    <col min="29" max="29" width="18" customWidth="1"/>
    <col min="30" max="30" width="10.28515625" bestFit="1" customWidth="1"/>
  </cols>
  <sheetData>
    <row r="2" spans="14:29" x14ac:dyDescent="0.25">
      <c r="X2" s="46" t="s">
        <v>62</v>
      </c>
      <c r="Y2" s="46"/>
      <c r="Z2" s="47" t="s">
        <v>60</v>
      </c>
      <c r="AA2" s="46"/>
      <c r="AB2" s="46" t="s">
        <v>195</v>
      </c>
      <c r="AC2" s="30" t="s">
        <v>186</v>
      </c>
    </row>
    <row r="4" spans="14:29" x14ac:dyDescent="0.25">
      <c r="N4" s="30"/>
      <c r="O4" s="30"/>
      <c r="P4" s="30"/>
      <c r="Q4" s="30"/>
      <c r="R4" s="30"/>
      <c r="S4" s="30"/>
      <c r="T4" s="30" t="s">
        <v>131</v>
      </c>
      <c r="U4" s="30"/>
      <c r="V4" s="30"/>
      <c r="W4" s="30"/>
    </row>
    <row r="5" spans="14:29" x14ac:dyDescent="0.25">
      <c r="N5" s="30"/>
      <c r="O5" s="30"/>
      <c r="P5" s="30"/>
      <c r="Q5" s="30"/>
      <c r="R5" s="30"/>
      <c r="S5" s="30"/>
      <c r="T5" s="30"/>
      <c r="U5" s="30"/>
      <c r="V5" s="30"/>
      <c r="W5" s="30"/>
      <c r="X5" s="44">
        <f ca="1">O9*T6*J32*E63</f>
        <v>0.33074671277773082</v>
      </c>
      <c r="Y5" s="44"/>
      <c r="Z5" s="62">
        <f ca="1">cATSso + cTPE3d</f>
        <v>15565.598073609135</v>
      </c>
      <c r="AA5" s="44"/>
      <c r="AC5" s="61">
        <f ca="1">X5</f>
        <v>0.33074671277773082</v>
      </c>
    </row>
    <row r="6" spans="14:29" x14ac:dyDescent="0.25">
      <c r="N6" s="30"/>
      <c r="O6" s="30"/>
      <c r="P6" s="30"/>
      <c r="Q6" s="30"/>
      <c r="R6" s="30"/>
      <c r="S6" s="30"/>
      <c r="T6" s="30">
        <f ca="1">1-T12</f>
        <v>0.98300099816731157</v>
      </c>
      <c r="U6" s="30"/>
      <c r="V6" s="30"/>
      <c r="W6" s="30"/>
      <c r="X6" s="46"/>
      <c r="Y6" s="46"/>
      <c r="Z6" s="47"/>
      <c r="AA6" s="46"/>
      <c r="AB6" s="46"/>
      <c r="AC6" s="30"/>
    </row>
    <row r="7" spans="14:29" x14ac:dyDescent="0.25">
      <c r="N7" s="30"/>
      <c r="O7" s="44" t="s">
        <v>192</v>
      </c>
      <c r="P7" s="30"/>
      <c r="Q7" s="30"/>
      <c r="R7" s="30"/>
      <c r="S7" s="30"/>
      <c r="T7" s="30"/>
      <c r="U7" s="30"/>
      <c r="V7" s="30"/>
      <c r="W7" s="30"/>
      <c r="X7" s="44"/>
      <c r="Y7" s="44"/>
      <c r="Z7" s="45"/>
      <c r="AA7" s="44"/>
      <c r="AB7" s="66">
        <f ca="1">Z5*X5</f>
        <v>5148.2703952656011</v>
      </c>
      <c r="AC7" s="30"/>
    </row>
    <row r="8" spans="14:29" x14ac:dyDescent="0.25">
      <c r="N8" s="30"/>
      <c r="O8" s="30"/>
      <c r="P8" s="30"/>
      <c r="Q8" s="30"/>
      <c r="R8" s="30"/>
      <c r="S8" s="30"/>
      <c r="T8" s="30"/>
      <c r="U8" s="30"/>
      <c r="V8" s="30"/>
      <c r="W8" s="30"/>
      <c r="X8" s="44"/>
      <c r="Y8" s="44"/>
      <c r="Z8" s="62"/>
      <c r="AA8" s="44"/>
      <c r="AB8" s="44"/>
      <c r="AC8" s="61"/>
    </row>
    <row r="9" spans="14:29" x14ac:dyDescent="0.25">
      <c r="N9" s="30"/>
      <c r="O9" s="61">
        <f ca="1">1-SUM(O18,O27,O36,O45,O54)</f>
        <v>0.99983688127154113</v>
      </c>
      <c r="P9" s="30"/>
      <c r="Q9" s="30"/>
      <c r="R9" s="30"/>
      <c r="S9" s="30"/>
      <c r="T9" s="30"/>
      <c r="U9" s="30"/>
      <c r="V9" s="30"/>
      <c r="W9" s="30"/>
      <c r="X9" s="44"/>
      <c r="Y9" s="44"/>
      <c r="Z9" s="62"/>
      <c r="AA9" s="44"/>
      <c r="AB9" s="44"/>
      <c r="AC9" s="30"/>
    </row>
    <row r="10" spans="14:29" x14ac:dyDescent="0.25">
      <c r="N10" s="30"/>
      <c r="O10" s="30"/>
      <c r="P10" s="30"/>
      <c r="Q10" s="30"/>
      <c r="R10" s="30"/>
      <c r="S10" s="30"/>
      <c r="T10" s="30" t="s">
        <v>132</v>
      </c>
      <c r="U10" s="30"/>
      <c r="V10" s="30"/>
      <c r="W10" s="30"/>
      <c r="X10" s="44"/>
      <c r="Y10" s="44"/>
      <c r="Z10" s="62"/>
      <c r="AA10" s="44"/>
      <c r="AB10" s="44"/>
      <c r="AC10" s="30"/>
    </row>
    <row r="11" spans="14:29" x14ac:dyDescent="0.25"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44">
        <f ca="1">O9*T12*J32*E63</f>
        <v>5.7195913199951471E-3</v>
      </c>
      <c r="Y11" s="44"/>
      <c r="Z11" s="62">
        <f ca="1">cATSso + cTPE3d</f>
        <v>15565.598073609135</v>
      </c>
      <c r="AA11" s="44"/>
      <c r="AB11" s="66">
        <f ca="1">Z11*X11</f>
        <v>89.028859632347988</v>
      </c>
      <c r="AC11" s="61"/>
    </row>
    <row r="12" spans="14:29" x14ac:dyDescent="0.25">
      <c r="N12" s="30"/>
      <c r="O12" s="30"/>
      <c r="P12" s="30"/>
      <c r="Q12" s="30"/>
      <c r="R12" s="30"/>
      <c r="S12" s="30"/>
      <c r="T12" s="30">
        <f ca="1">pDeath</f>
        <v>1.6999001832688432E-2</v>
      </c>
      <c r="U12" s="30"/>
      <c r="V12" s="30"/>
      <c r="W12" s="30"/>
      <c r="X12" s="44"/>
      <c r="Y12" s="44"/>
      <c r="Z12" s="62"/>
      <c r="AA12" s="44"/>
      <c r="AB12" s="44"/>
      <c r="AC12" s="30"/>
    </row>
    <row r="13" spans="14:29" x14ac:dyDescent="0.25">
      <c r="N13" s="30"/>
      <c r="O13" s="30"/>
      <c r="P13" s="30"/>
      <c r="Q13" s="30"/>
      <c r="R13" s="30"/>
      <c r="S13" s="30"/>
      <c r="T13" s="30" t="s">
        <v>131</v>
      </c>
      <c r="U13" s="30"/>
      <c r="V13" s="30"/>
      <c r="W13" s="30"/>
      <c r="X13" s="44"/>
      <c r="Y13" s="44"/>
      <c r="Z13" s="62"/>
      <c r="AA13" s="44"/>
      <c r="AB13" s="44"/>
      <c r="AC13" s="30"/>
    </row>
    <row r="14" spans="14:29" x14ac:dyDescent="0.25"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44">
        <f ca="1">O18*T15*J32*E63</f>
        <v>1.204391889798017E-6</v>
      </c>
      <c r="Y14" s="44"/>
      <c r="Z14" s="62">
        <f ca="1">cATSso + cTPE3d + cInf</f>
        <v>17365.967741458328</v>
      </c>
      <c r="AA14" s="44"/>
      <c r="AB14" s="66">
        <f ca="1">Z14*X14</f>
        <v>2.0915430706306398E-2</v>
      </c>
      <c r="AC14" s="61">
        <f ca="1">X14</f>
        <v>1.204391889798017E-6</v>
      </c>
    </row>
    <row r="15" spans="14:29" x14ac:dyDescent="0.25">
      <c r="N15" s="30"/>
      <c r="O15" s="30"/>
      <c r="P15" s="30"/>
      <c r="Q15" s="30"/>
      <c r="R15" s="30"/>
      <c r="S15" s="30"/>
      <c r="T15" s="30">
        <f ca="1">1-T21</f>
        <v>0.98300099816731157</v>
      </c>
      <c r="U15" s="30"/>
      <c r="V15" s="30"/>
      <c r="W15" s="30"/>
      <c r="X15" s="44"/>
      <c r="Y15" s="44"/>
      <c r="Z15" s="62"/>
      <c r="AA15" s="44"/>
      <c r="AB15" s="44"/>
      <c r="AC15" s="30"/>
    </row>
    <row r="16" spans="14:29" x14ac:dyDescent="0.25">
      <c r="N16" s="30"/>
      <c r="O16" s="48" t="s">
        <v>134</v>
      </c>
      <c r="P16" s="30"/>
      <c r="Q16" s="30"/>
      <c r="R16" s="30"/>
      <c r="S16" s="30"/>
      <c r="T16" s="30"/>
      <c r="U16" s="30"/>
      <c r="V16" s="30"/>
      <c r="W16" s="30"/>
      <c r="X16" s="44"/>
      <c r="Y16" s="44"/>
      <c r="Z16" s="62"/>
      <c r="AA16" s="44"/>
      <c r="AB16" s="44"/>
      <c r="AC16" s="61"/>
    </row>
    <row r="17" spans="10:29" x14ac:dyDescent="0.25"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44"/>
      <c r="Y17" s="30"/>
      <c r="Z17" s="63"/>
      <c r="AA17" s="30"/>
      <c r="AB17" s="44"/>
      <c r="AC17" s="30"/>
    </row>
    <row r="18" spans="10:29" x14ac:dyDescent="0.25">
      <c r="N18" s="30"/>
      <c r="O18" s="30">
        <f ca="1">pInf</f>
        <v>3.640838697416271E-6</v>
      </c>
      <c r="P18" s="30"/>
      <c r="Q18" s="30"/>
      <c r="R18" s="30"/>
      <c r="S18" s="30"/>
      <c r="T18" s="30"/>
      <c r="U18" s="30"/>
      <c r="V18" s="30"/>
      <c r="W18" s="30"/>
      <c r="X18" s="44"/>
      <c r="Y18" s="44"/>
      <c r="Z18" s="62"/>
      <c r="AA18" s="44"/>
      <c r="AB18" s="44"/>
      <c r="AC18" s="30"/>
    </row>
    <row r="19" spans="10:29" x14ac:dyDescent="0.25">
      <c r="N19" s="30"/>
      <c r="O19" s="30"/>
      <c r="P19" s="30"/>
      <c r="Q19" s="30"/>
      <c r="R19" s="30"/>
      <c r="S19" s="30"/>
      <c r="T19" s="30" t="s">
        <v>132</v>
      </c>
      <c r="U19" s="30"/>
      <c r="V19" s="30"/>
      <c r="W19" s="30"/>
      <c r="X19" s="44"/>
      <c r="Y19" s="44"/>
      <c r="Z19" s="62"/>
      <c r="AA19" s="44"/>
      <c r="AB19" s="44"/>
      <c r="AC19" s="30"/>
    </row>
    <row r="20" spans="10:29" x14ac:dyDescent="0.25"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44">
        <f ca="1">T21*O18*J32*E63</f>
        <v>2.0827506767665452E-8</v>
      </c>
      <c r="Y20" s="44"/>
      <c r="Z20" s="62">
        <f ca="1">cATSso + cTPE3d + cInf</f>
        <v>17365.967741458328</v>
      </c>
      <c r="AA20" s="44"/>
      <c r="AB20" s="66">
        <f ca="1">Z20*X20</f>
        <v>3.6168981066228323E-4</v>
      </c>
      <c r="AC20" s="61"/>
    </row>
    <row r="21" spans="10:29" x14ac:dyDescent="0.25">
      <c r="N21" s="30"/>
      <c r="O21" s="30"/>
      <c r="P21" s="30"/>
      <c r="Q21" s="30"/>
      <c r="R21" s="30"/>
      <c r="S21" s="30"/>
      <c r="T21" s="30">
        <f ca="1">pDeath</f>
        <v>1.6999001832688432E-2</v>
      </c>
      <c r="U21" s="30"/>
      <c r="V21" s="30"/>
      <c r="W21" s="30"/>
      <c r="X21" s="44"/>
      <c r="Y21" s="44"/>
      <c r="Z21" s="62"/>
      <c r="AA21" s="44"/>
      <c r="AB21" s="44"/>
      <c r="AC21" s="30"/>
    </row>
    <row r="22" spans="10:29" x14ac:dyDescent="0.25">
      <c r="N22" s="30"/>
      <c r="O22" s="30"/>
      <c r="P22" s="30"/>
      <c r="Q22" s="30"/>
      <c r="R22" s="30"/>
      <c r="S22" s="30"/>
      <c r="T22" s="30" t="s">
        <v>131</v>
      </c>
      <c r="U22" s="30"/>
      <c r="V22" s="30"/>
      <c r="W22" s="30"/>
      <c r="X22" s="44"/>
      <c r="Y22" s="44"/>
      <c r="Z22" s="62"/>
      <c r="AA22" s="44"/>
      <c r="AB22" s="44"/>
      <c r="AC22" s="30"/>
    </row>
    <row r="23" spans="10:29" x14ac:dyDescent="0.25"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44">
        <f ca="1">O27*T24*J32*E63</f>
        <v>1.0501682880846459E-5</v>
      </c>
      <c r="Y23" s="44"/>
      <c r="Z23" s="62">
        <f ca="1">cATSso + cTPE3d + cCATH</f>
        <v>17570.765576425747</v>
      </c>
      <c r="AA23" s="44"/>
      <c r="AB23" s="66">
        <f ca="1">Z23*X23</f>
        <v>0.18452260805731655</v>
      </c>
      <c r="AC23" s="61">
        <f ca="1">X23</f>
        <v>1.0501682880846459E-5</v>
      </c>
    </row>
    <row r="24" spans="10:29" x14ac:dyDescent="0.25">
      <c r="N24" s="30"/>
      <c r="O24" s="30"/>
      <c r="P24" s="30"/>
      <c r="Q24" s="30"/>
      <c r="R24" s="30"/>
      <c r="S24" s="30"/>
      <c r="T24" s="30">
        <f ca="1">1-T30</f>
        <v>0.98300099816731157</v>
      </c>
      <c r="U24" s="30"/>
      <c r="V24" s="30"/>
      <c r="W24" s="30"/>
      <c r="X24" s="44"/>
      <c r="Y24" s="44"/>
      <c r="Z24" s="62"/>
      <c r="AA24" s="44"/>
      <c r="AB24" s="44"/>
      <c r="AC24" s="30"/>
    </row>
    <row r="25" spans="10:29" x14ac:dyDescent="0.25">
      <c r="N25" s="30"/>
      <c r="O25" s="48" t="s">
        <v>183</v>
      </c>
      <c r="P25" s="30"/>
      <c r="Q25" s="30"/>
      <c r="R25" s="30"/>
      <c r="S25" s="30"/>
      <c r="T25" s="30"/>
      <c r="U25" s="30"/>
      <c r="V25" s="30"/>
      <c r="W25" s="30"/>
      <c r="X25" s="44"/>
      <c r="Y25" s="44"/>
      <c r="Z25" s="62"/>
      <c r="AA25" s="44"/>
      <c r="AB25" s="44"/>
      <c r="AC25" s="30"/>
    </row>
    <row r="26" spans="10:29" x14ac:dyDescent="0.25"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44"/>
      <c r="Y26" s="44"/>
      <c r="Z26" s="62"/>
      <c r="AA26" s="44"/>
      <c r="AB26" s="44"/>
      <c r="AC26" s="30"/>
    </row>
    <row r="27" spans="10:29" x14ac:dyDescent="0.25">
      <c r="N27" s="30"/>
      <c r="O27" s="30">
        <f ca="1">pCATH</f>
        <v>3.1746256135112283E-5</v>
      </c>
      <c r="P27" s="30"/>
      <c r="Q27" s="30"/>
      <c r="R27" s="30"/>
      <c r="S27" s="30"/>
      <c r="T27" s="30"/>
      <c r="U27" s="30"/>
      <c r="V27" s="30"/>
      <c r="W27" s="30"/>
      <c r="X27" s="44"/>
      <c r="Y27" s="44"/>
      <c r="Z27" s="62"/>
      <c r="AA27" s="44"/>
      <c r="AB27" s="44"/>
      <c r="AC27" s="30"/>
    </row>
    <row r="28" spans="10:29" x14ac:dyDescent="0.25">
      <c r="N28" s="30"/>
      <c r="O28" s="30"/>
      <c r="P28" s="30"/>
      <c r="Q28" s="30"/>
      <c r="R28" s="30"/>
      <c r="S28" s="30"/>
      <c r="T28" s="30" t="s">
        <v>132</v>
      </c>
      <c r="U28" s="30"/>
      <c r="V28" s="30"/>
      <c r="W28" s="30"/>
      <c r="X28" s="44"/>
      <c r="Y28" s="44"/>
      <c r="Z28" s="62"/>
      <c r="AA28" s="44"/>
      <c r="AB28" s="44"/>
      <c r="AC28" s="30"/>
    </row>
    <row r="29" spans="10:29" x14ac:dyDescent="0.25"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44">
        <f ca="1">O27*T30*J32*E63</f>
        <v>1.8160523424762282E-7</v>
      </c>
      <c r="Y29" s="44"/>
      <c r="Z29" s="62">
        <f ca="1">cATSso + cTPE3d + cCATH</f>
        <v>17570.765576425747</v>
      </c>
      <c r="AA29" s="44"/>
      <c r="AB29" s="66">
        <f ca="1">Z29*X29</f>
        <v>3.1909429984168652E-3</v>
      </c>
      <c r="AC29" s="61"/>
    </row>
    <row r="30" spans="10:29" x14ac:dyDescent="0.25">
      <c r="J30" s="48" t="s">
        <v>190</v>
      </c>
      <c r="K30" t="s">
        <v>200</v>
      </c>
      <c r="N30" s="30"/>
      <c r="O30" s="30"/>
      <c r="P30" s="30"/>
      <c r="Q30" s="30"/>
      <c r="R30" s="30"/>
      <c r="S30" s="30"/>
      <c r="T30" s="30">
        <f ca="1">pDeath</f>
        <v>1.6999001832688432E-2</v>
      </c>
      <c r="U30" s="30"/>
      <c r="V30" s="30"/>
      <c r="W30" s="30"/>
      <c r="X30" s="30"/>
      <c r="Y30" s="30"/>
      <c r="Z30" s="30"/>
      <c r="AA30" s="30"/>
      <c r="AB30" s="30"/>
      <c r="AC30" s="30"/>
    </row>
    <row r="31" spans="10:29" x14ac:dyDescent="0.25">
      <c r="J31" s="30"/>
      <c r="N31" s="30"/>
      <c r="O31" s="30"/>
      <c r="P31" s="30"/>
      <c r="Q31" s="30"/>
      <c r="R31" s="30"/>
      <c r="S31" s="30"/>
      <c r="T31" s="30" t="s">
        <v>131</v>
      </c>
      <c r="U31" s="30"/>
      <c r="V31" s="30"/>
      <c r="W31" s="30"/>
      <c r="X31" s="44"/>
      <c r="Y31" s="44"/>
      <c r="Z31" s="62"/>
      <c r="AA31" s="44"/>
      <c r="AB31" s="44"/>
      <c r="AC31" s="30"/>
    </row>
    <row r="32" spans="10:29" x14ac:dyDescent="0.25">
      <c r="J32" s="30">
        <f ca="1">SensPL</f>
        <v>0.98499999999999999</v>
      </c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44">
        <f ca="1">O36*T33*J32*E63</f>
        <v>3.0261105751732547E-6</v>
      </c>
      <c r="Y32" s="44"/>
      <c r="Z32" s="62">
        <f ca="1">(cATSso + cTPE3d + cVETH)</f>
        <v>20309.502725396851</v>
      </c>
      <c r="AA32" s="44"/>
      <c r="AB32" s="66">
        <f ca="1">Z32*X32</f>
        <v>6.1458800973833452E-2</v>
      </c>
      <c r="AC32" s="61">
        <f ca="1">X32</f>
        <v>3.0261105751732547E-6</v>
      </c>
    </row>
    <row r="33" spans="14:29" x14ac:dyDescent="0.25">
      <c r="N33" s="30"/>
      <c r="O33" s="30"/>
      <c r="P33" s="30"/>
      <c r="Q33" s="30"/>
      <c r="R33" s="30"/>
      <c r="S33" s="30"/>
      <c r="T33" s="30">
        <f ca="1">1-T39</f>
        <v>0.98300099816731157</v>
      </c>
      <c r="U33" s="30"/>
      <c r="V33" s="30"/>
      <c r="W33" s="30"/>
      <c r="X33" s="44"/>
      <c r="Y33" s="44"/>
      <c r="Z33" s="62"/>
      <c r="AA33" s="44"/>
      <c r="AB33" s="44"/>
      <c r="AC33" s="30"/>
    </row>
    <row r="34" spans="14:29" x14ac:dyDescent="0.25">
      <c r="N34" s="30"/>
      <c r="O34" s="48" t="s">
        <v>184</v>
      </c>
      <c r="P34" s="30"/>
      <c r="Q34" s="30"/>
      <c r="R34" s="30"/>
      <c r="S34" s="30"/>
      <c r="T34" s="30"/>
      <c r="U34" s="30"/>
      <c r="V34" s="30"/>
      <c r="W34" s="30"/>
      <c r="X34" s="44"/>
      <c r="Y34" s="44"/>
      <c r="Z34" s="62"/>
      <c r="AA34" s="44"/>
      <c r="AB34" s="44"/>
      <c r="AC34" s="30"/>
    </row>
    <row r="35" spans="14:29" x14ac:dyDescent="0.25"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44"/>
      <c r="Y35" s="44"/>
      <c r="Z35" s="62"/>
      <c r="AA35" s="44"/>
      <c r="AB35" s="44"/>
      <c r="AC35" s="30"/>
    </row>
    <row r="36" spans="14:29" x14ac:dyDescent="0.25">
      <c r="N36" s="30"/>
      <c r="O36" s="30">
        <f ca="1">pVETH</f>
        <v>9.1478368279274136E-6</v>
      </c>
      <c r="P36" s="30"/>
      <c r="Q36" s="30"/>
      <c r="R36" s="30"/>
      <c r="S36" s="30"/>
      <c r="T36" s="30"/>
      <c r="U36" s="30"/>
      <c r="V36" s="30"/>
      <c r="W36" s="30"/>
      <c r="X36" s="44"/>
      <c r="Y36" s="44"/>
      <c r="Z36" s="62"/>
      <c r="AA36" s="44"/>
      <c r="AB36" s="44"/>
      <c r="AC36" s="30"/>
    </row>
    <row r="37" spans="14:29" x14ac:dyDescent="0.25">
      <c r="N37" s="30"/>
      <c r="O37" s="30"/>
      <c r="P37" s="30"/>
      <c r="Q37" s="30"/>
      <c r="R37" s="30"/>
      <c r="S37" s="30"/>
      <c r="T37" s="30" t="s">
        <v>132</v>
      </c>
      <c r="U37" s="30"/>
      <c r="V37" s="30"/>
      <c r="W37" s="30"/>
      <c r="X37" s="44"/>
      <c r="Y37" s="44"/>
      <c r="Z37" s="62"/>
      <c r="AA37" s="44"/>
      <c r="AB37" s="44"/>
      <c r="AC37" s="30"/>
    </row>
    <row r="38" spans="14:29" x14ac:dyDescent="0.25"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44">
        <f ca="1">O36*T39*J32*E63</f>
        <v>5.2330424189999154E-8</v>
      </c>
      <c r="Y38" s="44"/>
      <c r="Z38" s="62">
        <f ca="1">(cATSso + cTPE3d + cVETH)</f>
        <v>20309.502725396851</v>
      </c>
      <c r="AA38" s="44"/>
      <c r="AB38" s="66">
        <f ca="1">Z38*X38</f>
        <v>1.062804892707961E-3</v>
      </c>
      <c r="AC38" s="61"/>
    </row>
    <row r="39" spans="14:29" x14ac:dyDescent="0.25">
      <c r="N39" s="30"/>
      <c r="O39" s="30"/>
      <c r="P39" s="30"/>
      <c r="Q39" s="30"/>
      <c r="R39" s="30"/>
      <c r="S39" s="30"/>
      <c r="T39" s="30">
        <f ca="1">pDeath</f>
        <v>1.6999001832688432E-2</v>
      </c>
      <c r="U39" s="30"/>
      <c r="V39" s="30"/>
      <c r="W39" s="30"/>
      <c r="X39" s="44"/>
      <c r="Y39" s="44"/>
      <c r="Z39" s="62"/>
      <c r="AA39" s="44"/>
      <c r="AB39" s="44"/>
      <c r="AC39" s="30"/>
    </row>
    <row r="40" spans="14:29" x14ac:dyDescent="0.25">
      <c r="N40" s="30"/>
      <c r="O40" s="30"/>
      <c r="P40" s="30"/>
      <c r="Q40" s="30"/>
      <c r="R40" s="30"/>
      <c r="S40" s="30"/>
      <c r="T40" s="30" t="s">
        <v>131</v>
      </c>
      <c r="U40" s="30"/>
      <c r="V40" s="30"/>
      <c r="W40" s="30"/>
      <c r="X40" s="44"/>
      <c r="Y40" s="44"/>
      <c r="Z40" s="62"/>
      <c r="AA40" s="44"/>
      <c r="AB40" s="44"/>
      <c r="AC40" s="30"/>
    </row>
    <row r="41" spans="14:29" x14ac:dyDescent="0.25"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44">
        <f ca="1">O45*T42*J32*E63</f>
        <v>3.4976763901196624E-5</v>
      </c>
      <c r="Y41" s="44"/>
      <c r="Z41" s="62">
        <f ca="1">(cATSso + cTPE3d + cBL)</f>
        <v>29074.624314336499</v>
      </c>
      <c r="AA41" s="44"/>
      <c r="AB41" s="66">
        <f ca="1">Z41*X41</f>
        <v>1.0169362701585385</v>
      </c>
      <c r="AC41" s="61">
        <f ca="1">X41</f>
        <v>3.4976763901196624E-5</v>
      </c>
    </row>
    <row r="42" spans="14:29" x14ac:dyDescent="0.25">
      <c r="N42" s="30"/>
      <c r="O42" s="30"/>
      <c r="P42" s="30"/>
      <c r="Q42" s="30"/>
      <c r="R42" s="30"/>
      <c r="S42" s="30"/>
      <c r="T42" s="30">
        <f ca="1">1-T48</f>
        <v>0.98300099816731157</v>
      </c>
      <c r="U42" s="30"/>
      <c r="V42" s="30"/>
      <c r="W42" s="30"/>
      <c r="X42" s="44"/>
      <c r="Y42" s="44"/>
      <c r="Z42" s="62"/>
      <c r="AA42" s="44"/>
      <c r="AB42" s="44"/>
      <c r="AC42" s="30"/>
    </row>
    <row r="43" spans="14:29" x14ac:dyDescent="0.25">
      <c r="N43" s="30"/>
      <c r="O43" s="48" t="s">
        <v>185</v>
      </c>
      <c r="P43" s="30"/>
      <c r="Q43" s="30"/>
      <c r="R43" s="30"/>
      <c r="S43" s="30"/>
      <c r="T43" s="30"/>
      <c r="U43" s="30"/>
      <c r="V43" s="30"/>
      <c r="W43" s="30"/>
      <c r="X43" s="44"/>
      <c r="Y43" s="44"/>
      <c r="Z43" s="62"/>
      <c r="AA43" s="44"/>
      <c r="AB43" s="44"/>
      <c r="AC43" s="30"/>
    </row>
    <row r="44" spans="14:29" x14ac:dyDescent="0.25"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44"/>
      <c r="Y44" s="44"/>
      <c r="Z44" s="62"/>
      <c r="AA44" s="44"/>
      <c r="AB44" s="44"/>
      <c r="AC44" s="30"/>
    </row>
    <row r="45" spans="14:29" x14ac:dyDescent="0.25">
      <c r="N45" s="30"/>
      <c r="O45" s="30">
        <f ca="1">pBL</f>
        <v>1.0573365413746316E-4</v>
      </c>
      <c r="P45" s="30"/>
      <c r="Q45" s="30"/>
      <c r="R45" s="30"/>
      <c r="S45" s="30"/>
      <c r="T45" s="30"/>
      <c r="U45" s="30"/>
      <c r="V45" s="30"/>
      <c r="W45" s="30"/>
      <c r="X45" s="44"/>
      <c r="Y45" s="44"/>
      <c r="Z45" s="62"/>
      <c r="AA45" s="44"/>
      <c r="AB45" s="44"/>
      <c r="AC45" s="30"/>
    </row>
    <row r="46" spans="14:29" x14ac:dyDescent="0.25">
      <c r="N46" s="30"/>
      <c r="O46" s="30"/>
      <c r="P46" s="30"/>
      <c r="Q46" s="30"/>
      <c r="R46" s="30"/>
      <c r="S46" s="30"/>
      <c r="T46" s="30" t="s">
        <v>132</v>
      </c>
      <c r="U46" s="30"/>
      <c r="V46" s="30"/>
      <c r="W46" s="30"/>
      <c r="X46" s="44"/>
      <c r="Y46" s="44"/>
      <c r="Z46" s="62"/>
      <c r="AA46" s="44"/>
      <c r="AB46" s="44"/>
      <c r="AC46" s="30"/>
    </row>
    <row r="47" spans="14:29" x14ac:dyDescent="0.25"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44">
        <f ca="1">O45*T48*J32*E63</f>
        <v>6.0485195311750169E-7</v>
      </c>
      <c r="Y47" s="44"/>
      <c r="Z47" s="62">
        <f ca="1">(cATSso + cTPE3d + cBL)</f>
        <v>29074.624314336499</v>
      </c>
      <c r="AA47" s="44"/>
      <c r="AB47" s="66">
        <f ca="1">Z47*X47</f>
        <v>1.7585843302684034E-2</v>
      </c>
      <c r="AC47" s="61"/>
    </row>
    <row r="48" spans="14:29" x14ac:dyDescent="0.25">
      <c r="N48" s="30"/>
      <c r="O48" s="30"/>
      <c r="P48" s="30"/>
      <c r="Q48" s="30"/>
      <c r="R48" s="30"/>
      <c r="S48" s="30"/>
      <c r="T48" s="30">
        <f ca="1">pDeath</f>
        <v>1.6999001832688432E-2</v>
      </c>
      <c r="U48" s="30"/>
      <c r="V48" s="30"/>
      <c r="W48" s="30"/>
      <c r="X48" s="44"/>
      <c r="Y48" s="44"/>
      <c r="Z48" s="45"/>
      <c r="AA48" s="44"/>
      <c r="AB48" s="44"/>
      <c r="AC48" s="30"/>
    </row>
    <row r="49" spans="1:29" x14ac:dyDescent="0.25">
      <c r="I49" s="30"/>
      <c r="K49" s="30"/>
      <c r="L49" s="30"/>
      <c r="M49" s="30"/>
      <c r="N49" s="30"/>
      <c r="O49" s="30"/>
      <c r="P49" s="30"/>
      <c r="Q49" s="30"/>
      <c r="R49" s="30"/>
      <c r="S49" s="30"/>
      <c r="T49" s="30" t="s">
        <v>131</v>
      </c>
      <c r="U49" s="30"/>
      <c r="V49" s="30"/>
      <c r="W49" s="30"/>
      <c r="X49" s="44"/>
      <c r="Y49" s="44"/>
      <c r="Z49" s="45"/>
      <c r="AA49" s="44"/>
      <c r="AB49" s="44"/>
      <c r="AC49" s="30"/>
    </row>
    <row r="50" spans="1:29" x14ac:dyDescent="0.25">
      <c r="I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44"/>
      <c r="Y50" s="44"/>
      <c r="Z50" s="45"/>
      <c r="AA50" s="44"/>
      <c r="AB50" s="44"/>
      <c r="AC50" s="30"/>
    </row>
    <row r="51" spans="1:29" x14ac:dyDescent="0.25">
      <c r="I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44"/>
      <c r="Y51" s="44"/>
      <c r="Z51" s="45"/>
      <c r="AA51" s="44"/>
      <c r="AB51" s="44"/>
      <c r="AC51" s="30"/>
    </row>
    <row r="52" spans="1:29" x14ac:dyDescent="0.25">
      <c r="I52" s="30"/>
      <c r="J52" s="30"/>
      <c r="K52" s="30"/>
      <c r="L52" s="30"/>
      <c r="M52" s="30"/>
      <c r="N52" s="30"/>
      <c r="O52" s="30" t="s">
        <v>194</v>
      </c>
      <c r="P52" s="30"/>
      <c r="Q52" s="30"/>
      <c r="R52" s="30"/>
      <c r="S52" s="30"/>
      <c r="T52" s="30"/>
      <c r="U52" s="30"/>
      <c r="V52" s="30"/>
      <c r="W52" s="30"/>
      <c r="X52" s="44"/>
      <c r="Y52" s="44"/>
      <c r="Z52" s="45"/>
      <c r="AA52" s="44"/>
      <c r="AB52" s="44"/>
      <c r="AC52" s="30"/>
    </row>
    <row r="53" spans="1:29" x14ac:dyDescent="0.25"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44">
        <f ca="1">O54*J32*E63</f>
        <v>4.3243453899788877E-6</v>
      </c>
      <c r="Y53" s="44"/>
      <c r="Z53" s="62">
        <f ca="1">(cATSso + cTPE3d)</f>
        <v>15565.598073609135</v>
      </c>
      <c r="AA53" s="44"/>
      <c r="AB53" s="66">
        <f ca="1">Z53*X53</f>
        <v>6.7311022271875923E-2</v>
      </c>
      <c r="AC53" s="30"/>
    </row>
    <row r="54" spans="1:29" x14ac:dyDescent="0.25">
      <c r="I54" s="30"/>
      <c r="J54" s="30"/>
      <c r="K54" s="30"/>
      <c r="L54" s="30"/>
      <c r="M54" s="30"/>
      <c r="N54" s="30"/>
      <c r="O54" s="30">
        <f ca="1">pDeathcomp</f>
        <v>1.2850142660947306E-5</v>
      </c>
      <c r="P54" s="30"/>
      <c r="Q54" s="30"/>
      <c r="R54" s="30"/>
      <c r="S54" s="30"/>
      <c r="T54" s="30"/>
      <c r="U54" s="30"/>
      <c r="V54" s="30"/>
      <c r="W54" s="30"/>
    </row>
    <row r="55" spans="1:29" x14ac:dyDescent="0.25">
      <c r="I55" s="30"/>
      <c r="K55" s="30"/>
      <c r="L55" s="48"/>
      <c r="M55" s="30"/>
      <c r="N55" s="30"/>
    </row>
    <row r="56" spans="1:29" x14ac:dyDescent="0.25"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</row>
    <row r="57" spans="1:29" x14ac:dyDescent="0.25">
      <c r="I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</row>
    <row r="58" spans="1:29" x14ac:dyDescent="0.25"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</row>
    <row r="59" spans="1:29" x14ac:dyDescent="0.25">
      <c r="I59" s="30"/>
      <c r="J59" s="30"/>
      <c r="K59" s="30"/>
      <c r="L59" s="30"/>
      <c r="M59" s="30"/>
      <c r="N59" s="30"/>
      <c r="O59" s="44"/>
      <c r="P59" s="30"/>
      <c r="Q59" s="30"/>
      <c r="R59" s="30"/>
      <c r="S59" s="30"/>
      <c r="T59" s="30"/>
      <c r="U59" s="30"/>
      <c r="V59" s="30"/>
      <c r="W59" s="30"/>
    </row>
    <row r="60" spans="1:29" x14ac:dyDescent="0.25"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</row>
    <row r="61" spans="1:29" x14ac:dyDescent="0.25">
      <c r="A61" s="30"/>
      <c r="B61" s="30"/>
      <c r="C61" s="30"/>
      <c r="D61" s="30"/>
      <c r="E61" s="48" t="s">
        <v>188</v>
      </c>
      <c r="F61" s="30"/>
      <c r="G61" s="30"/>
      <c r="H61" s="30"/>
      <c r="I61" s="30"/>
      <c r="J61" s="30"/>
      <c r="K61" s="30"/>
      <c r="L61" s="30"/>
      <c r="M61" s="30"/>
      <c r="N61" s="30"/>
      <c r="O61" s="30" t="s">
        <v>131</v>
      </c>
      <c r="P61" s="30"/>
      <c r="Q61" s="30"/>
      <c r="R61" s="30"/>
      <c r="S61" s="30"/>
      <c r="T61" s="30"/>
      <c r="U61" s="30"/>
      <c r="V61" s="30"/>
      <c r="W61" s="30"/>
    </row>
    <row r="62" spans="1:29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>
        <f ca="1">O63*J66*E63</f>
        <v>2.5623441396508773E-4</v>
      </c>
      <c r="Z62" s="85">
        <f ca="1">cATSso</f>
        <v>461</v>
      </c>
      <c r="AB62" s="66">
        <f ca="1">Z62*X62</f>
        <v>0.11812406483790544</v>
      </c>
      <c r="AC62" s="61">
        <f ca="1">X62</f>
        <v>2.5623441396508773E-4</v>
      </c>
    </row>
    <row r="63" spans="1:29" x14ac:dyDescent="0.25">
      <c r="A63" s="30"/>
      <c r="B63" s="30"/>
      <c r="C63" s="30"/>
      <c r="D63" s="30"/>
      <c r="E63" s="30">
        <f ca="1">prevTTP</f>
        <v>0.34164588528678302</v>
      </c>
      <c r="F63" s="30"/>
      <c r="G63" s="30"/>
      <c r="H63" s="30"/>
      <c r="I63" s="30"/>
      <c r="J63" s="30"/>
      <c r="K63" s="30"/>
      <c r="L63" s="30"/>
      <c r="M63" s="30"/>
      <c r="N63" s="30"/>
      <c r="O63" s="30">
        <f ca="1">1-O69</f>
        <v>5.0000000000000044E-2</v>
      </c>
      <c r="P63" s="30"/>
      <c r="Q63" s="30"/>
      <c r="R63" s="30"/>
      <c r="S63" s="30"/>
      <c r="T63" s="30"/>
      <c r="U63" s="30"/>
      <c r="V63" s="30"/>
      <c r="W63" s="30"/>
      <c r="Z63" s="85"/>
    </row>
    <row r="64" spans="1:29" x14ac:dyDescent="0.25">
      <c r="A64" s="30"/>
      <c r="B64" s="30"/>
      <c r="C64" s="30"/>
      <c r="D64" s="30"/>
      <c r="F64" s="30"/>
      <c r="G64" s="30"/>
      <c r="H64" s="30"/>
      <c r="I64" s="30"/>
      <c r="J64" s="48" t="s">
        <v>191</v>
      </c>
      <c r="K64" t="s">
        <v>199</v>
      </c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Z64" s="85"/>
    </row>
    <row r="65" spans="1:29" x14ac:dyDescent="0.25">
      <c r="A65" s="30"/>
      <c r="B65" s="30"/>
      <c r="C65" s="30"/>
      <c r="D65" s="30"/>
      <c r="F65" s="30"/>
      <c r="G65" s="30"/>
      <c r="H65" s="30"/>
      <c r="I65" s="30"/>
      <c r="J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Z65" s="85"/>
    </row>
    <row r="66" spans="1:29" x14ac:dyDescent="0.25">
      <c r="A66" s="30"/>
      <c r="B66" s="30"/>
      <c r="C66" s="30"/>
      <c r="D66" s="30"/>
      <c r="F66" s="30"/>
      <c r="G66" s="30"/>
      <c r="H66" s="30"/>
      <c r="I66" s="30"/>
      <c r="J66" s="30">
        <f ca="1">1-J32</f>
        <v>1.5000000000000013E-2</v>
      </c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Z66" s="85"/>
    </row>
    <row r="67" spans="1:29" x14ac:dyDescent="0.2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 t="s">
        <v>132</v>
      </c>
      <c r="P67" s="30"/>
      <c r="Q67" s="30"/>
      <c r="R67" s="30"/>
      <c r="S67" s="30"/>
      <c r="T67" s="30"/>
      <c r="U67" s="30"/>
      <c r="V67" s="30"/>
      <c r="W67" s="30"/>
      <c r="Z67" s="85"/>
    </row>
    <row r="68" spans="1:29" x14ac:dyDescent="0.2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>
        <f ca="1">O69*J66*E63</f>
        <v>4.8684538653366626E-3</v>
      </c>
      <c r="Z68" s="85">
        <f ca="1">cATSso</f>
        <v>461</v>
      </c>
      <c r="AB68" s="66">
        <f ca="1">Z68*X68</f>
        <v>2.2443572319202016</v>
      </c>
    </row>
    <row r="69" spans="1:29" x14ac:dyDescent="0.2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>
        <f ca="1">pDeathNoTPE</f>
        <v>0.95</v>
      </c>
      <c r="P69" s="30"/>
      <c r="Q69" s="30"/>
      <c r="R69" s="30"/>
      <c r="S69" s="30"/>
      <c r="T69" s="30"/>
      <c r="U69" s="30"/>
      <c r="V69" s="30"/>
      <c r="W69" s="30"/>
    </row>
    <row r="70" spans="1:29" x14ac:dyDescent="0.2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</row>
    <row r="71" spans="1:29" x14ac:dyDescent="0.2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</row>
    <row r="72" spans="1:29" x14ac:dyDescent="0.2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</row>
    <row r="73" spans="1:29" x14ac:dyDescent="0.25">
      <c r="A73" s="30"/>
      <c r="B73" s="30"/>
      <c r="C73" s="30"/>
      <c r="D73" s="30"/>
      <c r="E73" s="30"/>
      <c r="F73" s="30"/>
      <c r="G73" s="30"/>
      <c r="H73" s="30"/>
      <c r="I73" s="30"/>
      <c r="K73" s="30"/>
      <c r="L73" s="48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</row>
    <row r="74" spans="1:29" x14ac:dyDescent="0.25">
      <c r="A74" s="30"/>
      <c r="B74" s="30"/>
      <c r="C74" s="30"/>
      <c r="D74" s="30"/>
      <c r="E74" s="30"/>
      <c r="F74" s="30"/>
      <c r="G74" s="30"/>
      <c r="H74" s="30"/>
      <c r="I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</row>
    <row r="75" spans="1:29" x14ac:dyDescent="0.25">
      <c r="A75" s="30"/>
      <c r="B75" s="30"/>
      <c r="C75" s="30"/>
      <c r="D75" s="30"/>
      <c r="E75" s="30"/>
      <c r="F75" s="30"/>
      <c r="G75" s="30"/>
      <c r="H75" s="30"/>
      <c r="I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</row>
    <row r="76" spans="1:29" x14ac:dyDescent="0.2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 t="s">
        <v>131</v>
      </c>
      <c r="U76" s="30"/>
      <c r="V76" s="30"/>
      <c r="W76" s="30"/>
    </row>
    <row r="77" spans="1:29" x14ac:dyDescent="0.2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>
        <f ca="1">T78*O81*J104*E133</f>
        <v>0.24773115488869762</v>
      </c>
      <c r="Z77" s="62">
        <f ca="1">cATSso + cTPE3d</f>
        <v>15565.598073609135</v>
      </c>
      <c r="AA77" s="44"/>
      <c r="AB77" s="66">
        <f ca="1">Z77*X77</f>
        <v>3856.0835873084779</v>
      </c>
      <c r="AC77" s="61">
        <f ca="1">X77</f>
        <v>0.24773115488869762</v>
      </c>
    </row>
    <row r="78" spans="1:29" x14ac:dyDescent="0.25">
      <c r="A78" s="30"/>
      <c r="B78" s="30"/>
      <c r="C78" s="30"/>
      <c r="D78" s="30"/>
      <c r="E78" s="30"/>
      <c r="F78" s="30"/>
      <c r="G78" s="30"/>
      <c r="H78" s="30"/>
      <c r="I78" s="30"/>
      <c r="N78" s="30"/>
      <c r="O78" s="30"/>
      <c r="P78" s="30"/>
      <c r="Q78" s="30"/>
      <c r="R78" s="30"/>
      <c r="S78" s="30"/>
      <c r="T78" s="30">
        <f ca="1">1-T84</f>
        <v>0.96499999999999997</v>
      </c>
      <c r="U78" s="30"/>
      <c r="V78" s="30"/>
      <c r="W78" s="30"/>
      <c r="Z78" s="47"/>
      <c r="AA78" s="46"/>
      <c r="AB78" s="46"/>
      <c r="AC78" s="30"/>
    </row>
    <row r="79" spans="1:29" x14ac:dyDescent="0.25">
      <c r="E79" s="30"/>
      <c r="F79" s="30"/>
      <c r="G79" s="30"/>
      <c r="H79" s="30"/>
      <c r="I79" s="30"/>
      <c r="N79" s="30"/>
      <c r="O79" s="44" t="s">
        <v>192</v>
      </c>
      <c r="P79" s="30"/>
      <c r="Q79" s="30"/>
      <c r="R79" s="30"/>
      <c r="S79" s="30"/>
      <c r="T79" s="30"/>
      <c r="U79" s="30"/>
      <c r="V79" s="30"/>
      <c r="W79" s="30"/>
      <c r="Z79" s="45"/>
      <c r="AA79" s="44"/>
      <c r="AB79" s="44"/>
      <c r="AC79" s="30"/>
    </row>
    <row r="80" spans="1:29" x14ac:dyDescent="0.25">
      <c r="E80" s="30"/>
      <c r="F80" s="30"/>
      <c r="G80" s="30"/>
      <c r="H80" s="30"/>
      <c r="I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Z80" s="62"/>
      <c r="AA80" s="44"/>
      <c r="AB80" s="44"/>
      <c r="AC80" s="61"/>
    </row>
    <row r="81" spans="1:29" x14ac:dyDescent="0.25">
      <c r="E81" s="30"/>
      <c r="F81" s="30"/>
      <c r="G81" s="30"/>
      <c r="H81" s="30"/>
      <c r="I81" s="30"/>
      <c r="N81" s="30"/>
      <c r="O81" s="61">
        <f ca="1">1-SUM(O90,O99,O108,O117,O126)</f>
        <v>0.99983688127154113</v>
      </c>
      <c r="P81" s="30"/>
      <c r="Q81" s="30"/>
      <c r="R81" s="30"/>
      <c r="S81" s="30"/>
      <c r="T81" s="30"/>
      <c r="U81" s="30"/>
      <c r="V81" s="30"/>
      <c r="W81" s="30"/>
      <c r="Z81" s="62"/>
      <c r="AA81" s="44"/>
      <c r="AB81" s="44"/>
      <c r="AC81" s="30"/>
    </row>
    <row r="82" spans="1:29" x14ac:dyDescent="0.25">
      <c r="E82" s="30"/>
      <c r="F82" s="30"/>
      <c r="G82" s="30"/>
      <c r="H82" s="30"/>
      <c r="I82" s="30"/>
      <c r="N82" s="30"/>
      <c r="O82" s="30"/>
      <c r="P82" s="30"/>
      <c r="Q82" s="30"/>
      <c r="R82" s="30"/>
      <c r="S82" s="30"/>
      <c r="T82" s="30" t="s">
        <v>132</v>
      </c>
      <c r="U82" s="30"/>
      <c r="V82" s="30"/>
      <c r="W82" s="30"/>
      <c r="Z82" s="62"/>
      <c r="AA82" s="44"/>
      <c r="AB82" s="44"/>
      <c r="AC82" s="30"/>
    </row>
    <row r="83" spans="1:29" x14ac:dyDescent="0.25">
      <c r="E83" s="30"/>
      <c r="F83" s="30"/>
      <c r="G83" s="30"/>
      <c r="H83" s="30"/>
      <c r="I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>
        <f ca="1">T84*O81*J104*E133</f>
        <v>8.9850677938905898E-3</v>
      </c>
      <c r="Z83" s="62">
        <f ca="1">cATSso + cTPE3d</f>
        <v>15565.598073609135</v>
      </c>
      <c r="AA83" s="44"/>
      <c r="AB83" s="66">
        <f ca="1">Z83*X83</f>
        <v>139.85795394383084</v>
      </c>
      <c r="AC83" s="61"/>
    </row>
    <row r="84" spans="1:29" x14ac:dyDescent="0.25">
      <c r="A84" s="30"/>
      <c r="B84" s="30"/>
      <c r="C84" s="30"/>
      <c r="D84" s="30"/>
      <c r="E84" s="30"/>
      <c r="F84" s="30"/>
      <c r="G84" s="30"/>
      <c r="H84" s="30"/>
      <c r="I84" s="30"/>
      <c r="N84" s="30"/>
      <c r="O84" s="30"/>
      <c r="P84" s="30"/>
      <c r="Q84" s="30"/>
      <c r="R84" s="30"/>
      <c r="S84" s="30"/>
      <c r="T84" s="30">
        <f ca="1">pDeathnoTTPafterTPE</f>
        <v>3.5000000000000003E-2</v>
      </c>
      <c r="U84" s="30"/>
      <c r="V84" s="30"/>
      <c r="W84" s="30"/>
      <c r="Z84" s="62"/>
      <c r="AA84" s="44"/>
      <c r="AB84" s="44"/>
      <c r="AC84" s="30"/>
    </row>
    <row r="85" spans="1:29" x14ac:dyDescent="0.25">
      <c r="A85" s="30"/>
      <c r="B85" s="30"/>
      <c r="C85" s="30"/>
      <c r="D85" s="30"/>
      <c r="E85" s="30"/>
      <c r="F85" s="30"/>
      <c r="G85" s="30"/>
      <c r="H85" s="30"/>
      <c r="I85" s="30"/>
      <c r="N85" s="30"/>
      <c r="O85" s="30"/>
      <c r="P85" s="30"/>
      <c r="Q85" s="30"/>
      <c r="R85" s="30"/>
      <c r="S85" s="30"/>
      <c r="T85" s="30" t="s">
        <v>131</v>
      </c>
      <c r="U85" s="30"/>
      <c r="V85" s="30"/>
      <c r="W85" s="30"/>
      <c r="Z85" s="62"/>
      <c r="AA85" s="44"/>
      <c r="AB85" s="44"/>
      <c r="AC85" s="30"/>
    </row>
    <row r="86" spans="1:29" x14ac:dyDescent="0.25">
      <c r="A86" s="30"/>
      <c r="B86" s="30"/>
      <c r="C86" s="30"/>
      <c r="D86" s="30"/>
      <c r="E86" s="30"/>
      <c r="F86" s="30"/>
      <c r="G86" s="30"/>
      <c r="H86" s="30"/>
      <c r="I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>
        <f ca="1">T87*O90*J104*E133</f>
        <v>9.0209632407972572E-7</v>
      </c>
      <c r="Z86" s="62">
        <f ca="1">cATSso + cTPE3d + cInf</f>
        <v>17365.967741458328</v>
      </c>
      <c r="AA86" s="44"/>
      <c r="AB86" s="66">
        <f ca="1">Z86*X86</f>
        <v>1.5665775663656654E-2</v>
      </c>
      <c r="AC86" s="61">
        <f ca="1">X86</f>
        <v>9.0209632407972572E-7</v>
      </c>
    </row>
    <row r="87" spans="1:29" x14ac:dyDescent="0.25">
      <c r="A87" s="30"/>
      <c r="B87" s="30"/>
      <c r="C87" s="30"/>
      <c r="D87" s="30"/>
      <c r="E87" s="30"/>
      <c r="F87" s="30"/>
      <c r="G87" s="30"/>
      <c r="H87" s="30"/>
      <c r="I87" s="30"/>
      <c r="N87" s="30"/>
      <c r="O87" s="30"/>
      <c r="P87" s="30"/>
      <c r="Q87" s="30"/>
      <c r="R87" s="30"/>
      <c r="S87" s="30"/>
      <c r="T87" s="30">
        <f ca="1">1-T93</f>
        <v>0.96499999999999997</v>
      </c>
      <c r="U87" s="30"/>
      <c r="V87" s="30"/>
      <c r="W87" s="30"/>
      <c r="Z87" s="62"/>
      <c r="AA87" s="44"/>
      <c r="AB87" s="44"/>
      <c r="AC87" s="30"/>
    </row>
    <row r="88" spans="1:29" x14ac:dyDescent="0.25">
      <c r="A88" s="30"/>
      <c r="B88" s="30"/>
      <c r="C88" s="30"/>
      <c r="D88" s="30"/>
      <c r="E88" s="30"/>
      <c r="F88" s="30"/>
      <c r="G88" s="30"/>
      <c r="H88" s="30"/>
      <c r="I88" s="30"/>
      <c r="N88" s="30"/>
      <c r="O88" s="48" t="s">
        <v>134</v>
      </c>
      <c r="P88" s="30"/>
      <c r="Q88" s="30"/>
      <c r="R88" s="30"/>
      <c r="S88" s="30"/>
      <c r="T88" s="30"/>
      <c r="U88" s="30"/>
      <c r="V88" s="30"/>
      <c r="W88" s="30"/>
      <c r="Z88" s="62"/>
      <c r="AA88" s="44"/>
      <c r="AB88" s="44"/>
      <c r="AC88" s="61"/>
    </row>
    <row r="89" spans="1:29" x14ac:dyDescent="0.25">
      <c r="A89" s="30"/>
      <c r="B89" s="30"/>
      <c r="C89" s="30"/>
      <c r="D89" s="30"/>
      <c r="E89" s="30"/>
      <c r="F89" s="30"/>
      <c r="G89" s="30"/>
      <c r="H89" s="30"/>
      <c r="I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Z89" s="63"/>
      <c r="AA89" s="30"/>
      <c r="AB89" s="44"/>
      <c r="AC89" s="30"/>
    </row>
    <row r="90" spans="1:29" x14ac:dyDescent="0.25">
      <c r="A90" s="30"/>
      <c r="B90" s="30"/>
      <c r="C90" s="30"/>
      <c r="D90" s="30"/>
      <c r="E90" s="30"/>
      <c r="F90" s="30"/>
      <c r="G90" s="30"/>
      <c r="H90" s="30"/>
      <c r="I90" s="30"/>
      <c r="N90" s="30"/>
      <c r="O90" s="30">
        <f ca="1">pInf</f>
        <v>3.640838697416271E-6</v>
      </c>
      <c r="P90" s="30"/>
      <c r="Q90" s="30"/>
      <c r="R90" s="30"/>
      <c r="S90" s="30"/>
      <c r="T90" s="30"/>
      <c r="U90" s="30"/>
      <c r="V90" s="30"/>
      <c r="W90" s="30"/>
      <c r="Z90" s="62"/>
      <c r="AA90" s="44"/>
      <c r="AB90" s="44"/>
      <c r="AC90" s="30"/>
    </row>
    <row r="91" spans="1:29" x14ac:dyDescent="0.25">
      <c r="A91" s="30"/>
      <c r="B91" s="30"/>
      <c r="C91" s="30"/>
      <c r="D91" s="30"/>
      <c r="E91" s="30"/>
      <c r="F91" s="30"/>
      <c r="G91" s="30"/>
      <c r="H91" s="30"/>
      <c r="I91" s="30"/>
      <c r="N91" s="30"/>
      <c r="O91" s="30"/>
      <c r="P91" s="30"/>
      <c r="Q91" s="30"/>
      <c r="R91" s="30"/>
      <c r="S91" s="30"/>
      <c r="T91" s="30" t="s">
        <v>132</v>
      </c>
      <c r="U91" s="30"/>
      <c r="V91" s="30"/>
      <c r="W91" s="30"/>
      <c r="Z91" s="62"/>
      <c r="AA91" s="44"/>
      <c r="AB91" s="44"/>
      <c r="AC91" s="30"/>
    </row>
    <row r="92" spans="1:29" x14ac:dyDescent="0.25">
      <c r="A92" s="30"/>
      <c r="B92" s="30"/>
      <c r="C92" s="30"/>
      <c r="D92" s="30"/>
      <c r="E92" s="30"/>
      <c r="F92" s="30"/>
      <c r="G92" s="30"/>
      <c r="H92" s="30"/>
      <c r="I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>
        <f ca="1">T93*O90*J104*E133</f>
        <v>3.2718519526207677E-8</v>
      </c>
      <c r="Z92" s="62">
        <f ca="1">cATSso + cTPE3d + cInf</f>
        <v>17365.967741458328</v>
      </c>
      <c r="AA92" s="44"/>
      <c r="AB92" s="66">
        <f ca="1">Z92*X92</f>
        <v>5.681887546403969E-4</v>
      </c>
      <c r="AC92" s="61"/>
    </row>
    <row r="93" spans="1:29" x14ac:dyDescent="0.25">
      <c r="A93" s="30"/>
      <c r="B93" s="30"/>
      <c r="C93" s="30"/>
      <c r="D93" s="30"/>
      <c r="E93" s="30"/>
      <c r="F93" s="30"/>
      <c r="G93" s="30"/>
      <c r="H93" s="30"/>
      <c r="I93" s="30"/>
      <c r="N93" s="30"/>
      <c r="O93" s="30"/>
      <c r="P93" s="30"/>
      <c r="Q93" s="30"/>
      <c r="R93" s="30"/>
      <c r="S93" s="30"/>
      <c r="T93" s="30">
        <f ca="1">pDeathnoTTPafterTPE</f>
        <v>3.5000000000000003E-2</v>
      </c>
      <c r="U93" s="30"/>
      <c r="V93" s="30"/>
      <c r="W93" s="30"/>
      <c r="Z93" s="62"/>
      <c r="AA93" s="44"/>
      <c r="AB93" s="44"/>
      <c r="AC93" s="30"/>
    </row>
    <row r="94" spans="1:29" x14ac:dyDescent="0.25">
      <c r="A94" s="30"/>
      <c r="B94" s="48" t="s">
        <v>337</v>
      </c>
      <c r="C94" s="30"/>
      <c r="D94" s="30"/>
      <c r="E94" s="30"/>
      <c r="F94" s="30"/>
      <c r="G94" s="30"/>
      <c r="H94" s="30"/>
      <c r="I94" s="30"/>
      <c r="N94" s="30"/>
      <c r="O94" s="30"/>
      <c r="P94" s="30"/>
      <c r="Q94" s="30"/>
      <c r="R94" s="30"/>
      <c r="S94" s="30"/>
      <c r="T94" s="30" t="s">
        <v>131</v>
      </c>
      <c r="U94" s="30"/>
      <c r="V94" s="30"/>
      <c r="W94" s="30"/>
      <c r="Z94" s="62"/>
      <c r="AA94" s="44"/>
      <c r="AB94" s="44"/>
      <c r="AC94" s="30"/>
    </row>
    <row r="95" spans="1:29" x14ac:dyDescent="0.25">
      <c r="A95" s="30"/>
      <c r="B95" s="48"/>
      <c r="C95" s="30"/>
      <c r="D95" s="30"/>
      <c r="E95" s="30"/>
      <c r="F95" s="30"/>
      <c r="G95" s="30"/>
      <c r="H95" s="30"/>
      <c r="I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>
        <f ca="1">T96*O99*J104*E133</f>
        <v>7.8658197582610217E-6</v>
      </c>
      <c r="Z95" s="62">
        <f ca="1">cATSso + cTPE3d + cCATH</f>
        <v>17570.765576425747</v>
      </c>
      <c r="AA95" s="44"/>
      <c r="AB95" s="66">
        <f ca="1">Z95*X95</f>
        <v>0.13820847503882225</v>
      </c>
      <c r="AC95" s="61">
        <f ca="1">X95</f>
        <v>7.8658197582610217E-6</v>
      </c>
    </row>
    <row r="96" spans="1:29" x14ac:dyDescent="0.25">
      <c r="A96" s="30"/>
      <c r="B96" s="48" t="s">
        <v>338</v>
      </c>
      <c r="C96" s="30"/>
      <c r="D96" s="30"/>
      <c r="E96" s="30"/>
      <c r="F96" s="30"/>
      <c r="G96" s="30"/>
      <c r="H96" s="30"/>
      <c r="I96" s="30"/>
      <c r="N96" s="30"/>
      <c r="O96" s="30"/>
      <c r="P96" s="30"/>
      <c r="Q96" s="30"/>
      <c r="R96" s="30"/>
      <c r="S96" s="30"/>
      <c r="T96" s="30">
        <f ca="1">1-T102</f>
        <v>0.96499999999999997</v>
      </c>
      <c r="U96" s="30"/>
      <c r="V96" s="30"/>
      <c r="W96" s="30"/>
      <c r="Z96" s="62"/>
      <c r="AA96" s="44"/>
      <c r="AB96" s="44"/>
      <c r="AC96" s="30"/>
    </row>
    <row r="97" spans="1:29" x14ac:dyDescent="0.25">
      <c r="A97" s="30"/>
      <c r="B97" s="30"/>
      <c r="C97" s="30"/>
      <c r="D97" s="30"/>
      <c r="E97" s="30"/>
      <c r="F97" s="30"/>
      <c r="G97" s="30"/>
      <c r="H97" s="30"/>
      <c r="I97" s="30"/>
      <c r="N97" s="30"/>
      <c r="O97" s="48" t="s">
        <v>183</v>
      </c>
      <c r="P97" s="30"/>
      <c r="Q97" s="30"/>
      <c r="R97" s="30"/>
      <c r="S97" s="30"/>
      <c r="T97" s="30"/>
      <c r="U97" s="30"/>
      <c r="V97" s="30"/>
      <c r="W97" s="30"/>
      <c r="Z97" s="62"/>
      <c r="AA97" s="44"/>
      <c r="AB97" s="44"/>
      <c r="AC97" s="30"/>
    </row>
    <row r="98" spans="1:29" x14ac:dyDescent="0.25">
      <c r="A98" s="30"/>
      <c r="B98" s="30"/>
      <c r="C98" s="30"/>
      <c r="D98" s="30"/>
      <c r="E98" s="30"/>
      <c r="F98" s="30"/>
      <c r="G98" s="30"/>
      <c r="H98" s="30"/>
      <c r="I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Z98" s="62"/>
      <c r="AA98" s="44"/>
      <c r="AB98" s="44"/>
      <c r="AC98" s="30"/>
    </row>
    <row r="99" spans="1:29" x14ac:dyDescent="0.25">
      <c r="A99" s="30"/>
      <c r="B99" s="30"/>
      <c r="C99" s="30"/>
      <c r="D99" s="30"/>
      <c r="E99" s="30"/>
      <c r="F99" s="30"/>
      <c r="G99" s="30"/>
      <c r="H99" s="30"/>
      <c r="I99" s="30"/>
      <c r="N99" s="30"/>
      <c r="O99" s="30">
        <f ca="1">pCATH</f>
        <v>3.1746256135112283E-5</v>
      </c>
      <c r="P99" s="30"/>
      <c r="Q99" s="30"/>
      <c r="R99" s="30"/>
      <c r="S99" s="30"/>
      <c r="T99" s="30"/>
      <c r="U99" s="30"/>
      <c r="V99" s="30"/>
      <c r="W99" s="30"/>
      <c r="Z99" s="62"/>
      <c r="AA99" s="44"/>
      <c r="AB99" s="44"/>
      <c r="AC99" s="30"/>
    </row>
    <row r="100" spans="1:29" x14ac:dyDescent="0.25">
      <c r="A100" s="30"/>
      <c r="B100" s="30"/>
      <c r="C100" s="30"/>
      <c r="D100" s="30"/>
      <c r="F100" s="30"/>
      <c r="G100" s="30"/>
      <c r="H100" s="30"/>
      <c r="I100" s="30"/>
      <c r="N100" s="30"/>
      <c r="O100" s="30"/>
      <c r="P100" s="30"/>
      <c r="Q100" s="30"/>
      <c r="R100" s="30"/>
      <c r="S100" s="30"/>
      <c r="T100" s="30" t="s">
        <v>132</v>
      </c>
      <c r="U100" s="30"/>
      <c r="V100" s="30"/>
      <c r="W100" s="30"/>
      <c r="Z100" s="62"/>
      <c r="AA100" s="44"/>
      <c r="AB100" s="44"/>
      <c r="AC100" s="30"/>
    </row>
    <row r="101" spans="1:29" x14ac:dyDescent="0.25">
      <c r="A101" s="30"/>
      <c r="B101" s="30"/>
      <c r="C101" s="30"/>
      <c r="D101" s="30"/>
      <c r="F101" s="30"/>
      <c r="G101" s="30"/>
      <c r="H101" s="30"/>
      <c r="I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>
        <f ca="1">T102*O99*J104*E133</f>
        <v>2.8528879952242061E-7</v>
      </c>
      <c r="Z101" s="62">
        <f ca="1">cATSso + cTPE3d + cCATH</f>
        <v>17570.765576425747</v>
      </c>
      <c r="AA101" s="44"/>
      <c r="AB101" s="66">
        <f ca="1">Z101*X101</f>
        <v>5.0127426179883746E-3</v>
      </c>
      <c r="AC101" s="61"/>
    </row>
    <row r="102" spans="1:29" x14ac:dyDescent="0.25">
      <c r="A102" s="30"/>
      <c r="B102" s="30"/>
      <c r="C102" s="30"/>
      <c r="D102" s="30"/>
      <c r="F102" s="30"/>
      <c r="G102" s="30"/>
      <c r="H102" s="30"/>
      <c r="I102" s="30"/>
      <c r="J102" s="48" t="s">
        <v>198</v>
      </c>
      <c r="K102" t="s">
        <v>201</v>
      </c>
      <c r="N102" s="30"/>
      <c r="O102" s="30"/>
      <c r="P102" s="30"/>
      <c r="Q102" s="30"/>
      <c r="R102" s="30"/>
      <c r="S102" s="30"/>
      <c r="T102" s="30">
        <f ca="1">pDeathnoTTPafterTPE</f>
        <v>3.5000000000000003E-2</v>
      </c>
      <c r="U102" s="30"/>
      <c r="V102" s="30"/>
      <c r="W102" s="30"/>
      <c r="Z102" s="30"/>
      <c r="AA102" s="30"/>
      <c r="AB102" s="30"/>
      <c r="AC102" s="30"/>
    </row>
    <row r="103" spans="1:29" x14ac:dyDescent="0.25">
      <c r="J103" s="30"/>
      <c r="N103" s="30"/>
      <c r="O103" s="30"/>
      <c r="P103" s="30"/>
      <c r="Q103" s="30"/>
      <c r="R103" s="30"/>
      <c r="S103" s="30"/>
      <c r="T103" s="30" t="s">
        <v>131</v>
      </c>
      <c r="U103" s="30"/>
      <c r="V103" s="30"/>
      <c r="W103" s="30"/>
      <c r="Z103" s="62"/>
      <c r="AA103" s="44"/>
      <c r="AB103" s="44"/>
      <c r="AC103" s="30"/>
    </row>
    <row r="104" spans="1:29" x14ac:dyDescent="0.25">
      <c r="J104" s="30">
        <f ca="1">1-specPL</f>
        <v>0.39</v>
      </c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>
        <f ca="1">T105*O108*J104*E133</f>
        <v>2.2665739027687963E-6</v>
      </c>
      <c r="Z104" s="62">
        <f ca="1">(cATSso + cTPE3d + cVETH)</f>
        <v>20309.502725396851</v>
      </c>
      <c r="AA104" s="44"/>
      <c r="AB104" s="66">
        <f ca="1">Z104*X104</f>
        <v>4.6032988855596244E-2</v>
      </c>
      <c r="AC104" s="61">
        <f ca="1">X104</f>
        <v>2.2665739027687963E-6</v>
      </c>
    </row>
    <row r="105" spans="1:29" x14ac:dyDescent="0.25">
      <c r="N105" s="30"/>
      <c r="O105" s="30"/>
      <c r="P105" s="30"/>
      <c r="Q105" s="30"/>
      <c r="R105" s="30"/>
      <c r="S105" s="30"/>
      <c r="T105" s="30">
        <f ca="1">1-T111</f>
        <v>0.96499999999999997</v>
      </c>
      <c r="U105" s="30"/>
      <c r="V105" s="30"/>
      <c r="W105" s="30"/>
      <c r="Z105" s="62"/>
      <c r="AA105" s="44"/>
      <c r="AB105" s="44"/>
      <c r="AC105" s="30"/>
    </row>
    <row r="106" spans="1:29" x14ac:dyDescent="0.25">
      <c r="N106" s="30"/>
      <c r="O106" s="48" t="s">
        <v>184</v>
      </c>
      <c r="P106" s="30"/>
      <c r="Q106" s="30"/>
      <c r="R106" s="30"/>
      <c r="S106" s="30"/>
      <c r="T106" s="30"/>
      <c r="U106" s="30"/>
      <c r="V106" s="30"/>
      <c r="W106" s="30"/>
      <c r="Z106" s="62"/>
      <c r="AA106" s="44"/>
      <c r="AB106" s="44"/>
      <c r="AC106" s="30"/>
    </row>
    <row r="107" spans="1:29" x14ac:dyDescent="0.25"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Z107" s="62"/>
      <c r="AA107" s="44"/>
      <c r="AB107" s="44"/>
      <c r="AC107" s="30"/>
    </row>
    <row r="108" spans="1:29" x14ac:dyDescent="0.25">
      <c r="N108" s="30"/>
      <c r="O108" s="30">
        <f ca="1">pVETH</f>
        <v>9.1478368279274136E-6</v>
      </c>
      <c r="P108" s="30"/>
      <c r="Q108" s="30"/>
      <c r="R108" s="30"/>
      <c r="S108" s="30"/>
      <c r="T108" s="30"/>
      <c r="U108" s="30"/>
      <c r="V108" s="30"/>
      <c r="W108" s="30"/>
      <c r="Z108" s="62"/>
      <c r="AA108" s="44"/>
      <c r="AB108" s="44"/>
      <c r="AC108" s="30"/>
    </row>
    <row r="109" spans="1:29" x14ac:dyDescent="0.25">
      <c r="N109" s="30"/>
      <c r="O109" s="30"/>
      <c r="P109" s="30"/>
      <c r="Q109" s="30"/>
      <c r="R109" s="30"/>
      <c r="S109" s="30"/>
      <c r="T109" s="30" t="s">
        <v>132</v>
      </c>
      <c r="U109" s="30"/>
      <c r="V109" s="30"/>
      <c r="W109" s="30"/>
      <c r="Z109" s="62"/>
      <c r="AA109" s="44"/>
      <c r="AB109" s="44"/>
      <c r="AC109" s="30"/>
    </row>
    <row r="110" spans="1:29" x14ac:dyDescent="0.25"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>
        <f ca="1">T111*O108*J104*E133</f>
        <v>8.2207343623738733E-8</v>
      </c>
      <c r="Z110" s="62">
        <f ca="1">(cATSso + cTPE3d + cVETH)</f>
        <v>20309.502725396851</v>
      </c>
      <c r="AA110" s="44"/>
      <c r="AB110" s="66">
        <f ca="1">Z110*X110</f>
        <v>1.6695902693739573E-3</v>
      </c>
      <c r="AC110" s="61"/>
    </row>
    <row r="111" spans="1:29" x14ac:dyDescent="0.25">
      <c r="N111" s="30"/>
      <c r="O111" s="30"/>
      <c r="P111" s="30"/>
      <c r="Q111" s="30"/>
      <c r="R111" s="30"/>
      <c r="S111" s="30"/>
      <c r="T111" s="30">
        <f ca="1">pDeathnoTTPafterTPE</f>
        <v>3.5000000000000003E-2</v>
      </c>
      <c r="U111" s="30"/>
      <c r="V111" s="30"/>
      <c r="W111" s="30"/>
      <c r="Z111" s="62"/>
      <c r="AA111" s="44"/>
      <c r="AB111" s="44"/>
      <c r="AC111" s="30"/>
    </row>
    <row r="112" spans="1:29" x14ac:dyDescent="0.25">
      <c r="N112" s="30"/>
      <c r="O112" s="30"/>
      <c r="P112" s="30"/>
      <c r="Q112" s="30"/>
      <c r="R112" s="30"/>
      <c r="S112" s="30"/>
      <c r="T112" s="30" t="s">
        <v>131</v>
      </c>
      <c r="U112" s="30"/>
      <c r="V112" s="30"/>
      <c r="W112" s="30"/>
      <c r="Z112" s="62"/>
      <c r="AA112" s="44"/>
      <c r="AB112" s="44"/>
      <c r="AC112" s="30"/>
    </row>
    <row r="113" spans="14:29" x14ac:dyDescent="0.25"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>
        <f ca="1">T114*O117*J104*E133</f>
        <v>2.6197793600856471E-5</v>
      </c>
      <c r="Z113" s="62">
        <f ca="1">(cATSso + cTPE3d + cBL)</f>
        <v>29074.624314336499</v>
      </c>
      <c r="AA113" s="44"/>
      <c r="AB113" s="66">
        <f ca="1">Z113*X113</f>
        <v>0.76169100680943069</v>
      </c>
      <c r="AC113" s="61">
        <f ca="1">X113</f>
        <v>2.6197793600856471E-5</v>
      </c>
    </row>
    <row r="114" spans="14:29" x14ac:dyDescent="0.25">
      <c r="N114" s="30"/>
      <c r="O114" s="30"/>
      <c r="P114" s="30"/>
      <c r="Q114" s="30"/>
      <c r="R114" s="30"/>
      <c r="S114" s="30"/>
      <c r="T114" s="30">
        <f ca="1">1-T120</f>
        <v>0.96499999999999997</v>
      </c>
      <c r="U114" s="30"/>
      <c r="V114" s="30"/>
      <c r="W114" s="30"/>
      <c r="Z114" s="62"/>
      <c r="AA114" s="44"/>
      <c r="AB114" s="44"/>
      <c r="AC114" s="30"/>
    </row>
    <row r="115" spans="14:29" x14ac:dyDescent="0.25">
      <c r="N115" s="30"/>
      <c r="O115" s="48" t="s">
        <v>185</v>
      </c>
      <c r="P115" s="30"/>
      <c r="Q115" s="30"/>
      <c r="R115" s="30"/>
      <c r="S115" s="30"/>
      <c r="T115" s="30"/>
      <c r="U115" s="30"/>
      <c r="V115" s="30"/>
      <c r="W115" s="30"/>
      <c r="Z115" s="62"/>
      <c r="AA115" s="44"/>
      <c r="AB115" s="44"/>
      <c r="AC115" s="30"/>
    </row>
    <row r="116" spans="14:29" x14ac:dyDescent="0.25"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Z116" s="62"/>
      <c r="AA116" s="44"/>
      <c r="AB116" s="44"/>
      <c r="AC116" s="30"/>
    </row>
    <row r="117" spans="14:29" x14ac:dyDescent="0.25">
      <c r="N117" s="30"/>
      <c r="O117" s="30">
        <f ca="1">pBL</f>
        <v>1.0573365413746316E-4</v>
      </c>
      <c r="P117" s="30"/>
      <c r="Q117" s="30"/>
      <c r="R117" s="30"/>
      <c r="S117" s="30"/>
      <c r="T117" s="30"/>
      <c r="U117" s="30"/>
      <c r="V117" s="30"/>
      <c r="W117" s="30"/>
      <c r="Z117" s="62"/>
      <c r="AA117" s="44"/>
      <c r="AB117" s="44"/>
      <c r="AC117" s="30"/>
    </row>
    <row r="118" spans="14:29" x14ac:dyDescent="0.25">
      <c r="N118" s="30"/>
      <c r="O118" s="30"/>
      <c r="P118" s="30"/>
      <c r="Q118" s="30"/>
      <c r="R118" s="30"/>
      <c r="S118" s="30"/>
      <c r="T118" s="30" t="s">
        <v>132</v>
      </c>
      <c r="U118" s="30"/>
      <c r="V118" s="30"/>
      <c r="W118" s="30"/>
      <c r="Z118" s="62"/>
      <c r="AA118" s="44"/>
      <c r="AB118" s="44"/>
      <c r="AC118" s="30"/>
    </row>
    <row r="119" spans="14:29" x14ac:dyDescent="0.25"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>
        <f ca="1">T120*O117*J104*E133</f>
        <v>9.5017904251811059E-7</v>
      </c>
      <c r="Z119" s="62">
        <f ca="1">(cATSso + cTPE3d + cBL)</f>
        <v>29074.624314336499</v>
      </c>
      <c r="AA119" s="44"/>
      <c r="AB119" s="66">
        <f ca="1">Z119*X119</f>
        <v>2.7626098692570031E-2</v>
      </c>
      <c r="AC119" s="61"/>
    </row>
    <row r="120" spans="14:29" x14ac:dyDescent="0.25">
      <c r="N120" s="30"/>
      <c r="O120" s="30"/>
      <c r="P120" s="30"/>
      <c r="Q120" s="30"/>
      <c r="R120" s="30"/>
      <c r="S120" s="30"/>
      <c r="T120" s="30">
        <f ca="1">pDeathnoTTPafterTPE</f>
        <v>3.5000000000000003E-2</v>
      </c>
      <c r="U120" s="30"/>
      <c r="V120" s="30"/>
      <c r="W120" s="30"/>
      <c r="Z120" s="45"/>
      <c r="AA120" s="44"/>
      <c r="AB120" s="44"/>
      <c r="AC120" s="30"/>
    </row>
    <row r="121" spans="14:29" x14ac:dyDescent="0.25">
      <c r="N121" s="30"/>
      <c r="O121" s="30"/>
      <c r="P121" s="30"/>
      <c r="Q121" s="30"/>
      <c r="R121" s="30"/>
      <c r="S121" s="30"/>
      <c r="T121" s="30" t="s">
        <v>131</v>
      </c>
      <c r="U121" s="30"/>
      <c r="V121" s="30"/>
      <c r="W121" s="30"/>
      <c r="Z121" s="45"/>
      <c r="AA121" s="44"/>
      <c r="AB121" s="44"/>
      <c r="AC121" s="30"/>
    </row>
    <row r="122" spans="14:29" x14ac:dyDescent="0.25"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Z122" s="45"/>
      <c r="AA122" s="44"/>
      <c r="AB122" s="44"/>
      <c r="AC122" s="30"/>
    </row>
    <row r="123" spans="14:29" x14ac:dyDescent="0.25"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Z123" s="45"/>
      <c r="AA123" s="44"/>
      <c r="AB123" s="44"/>
      <c r="AC123" s="30"/>
    </row>
    <row r="124" spans="14:29" x14ac:dyDescent="0.25">
      <c r="N124" s="30"/>
      <c r="O124" s="30" t="s">
        <v>194</v>
      </c>
      <c r="P124" s="30"/>
      <c r="Q124" s="30"/>
      <c r="R124" s="30"/>
      <c r="S124" s="30"/>
      <c r="T124" s="30"/>
      <c r="U124" s="30"/>
      <c r="V124" s="30"/>
      <c r="W124" s="30"/>
      <c r="Z124" s="45"/>
      <c r="AA124" s="44"/>
      <c r="AB124" s="44"/>
      <c r="AC124" s="30"/>
    </row>
    <row r="125" spans="14:29" x14ac:dyDescent="0.25"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>
        <f ca="1">O126*J104*E133</f>
        <v>3.2993782752397376E-6</v>
      </c>
      <c r="Z125" s="62">
        <f ca="1">(cATSso + cTPE3d)</f>
        <v>15565.598073609135</v>
      </c>
      <c r="AA125" s="44"/>
      <c r="AB125" s="66">
        <f ca="1">Z125*X125</f>
        <v>5.1356796125179488E-2</v>
      </c>
      <c r="AC125" s="30"/>
    </row>
    <row r="126" spans="14:29" x14ac:dyDescent="0.25">
      <c r="N126" s="30"/>
      <c r="O126" s="30">
        <f ca="1">pDeathcomp</f>
        <v>1.2850142660947306E-5</v>
      </c>
      <c r="P126" s="30"/>
      <c r="Q126" s="30"/>
      <c r="R126" s="30"/>
      <c r="S126" s="30"/>
      <c r="T126" s="30"/>
      <c r="U126" s="30"/>
      <c r="V126" s="30"/>
      <c r="W126" s="30"/>
    </row>
    <row r="131" spans="5:30" x14ac:dyDescent="0.25">
      <c r="E131" s="30" t="s">
        <v>189</v>
      </c>
    </row>
    <row r="132" spans="5:30" x14ac:dyDescent="0.25">
      <c r="E132" s="30"/>
      <c r="N132" s="30"/>
      <c r="O132" s="30" t="s">
        <v>131</v>
      </c>
      <c r="P132" s="30"/>
      <c r="Q132" s="30"/>
      <c r="R132" s="30"/>
    </row>
    <row r="133" spans="5:30" x14ac:dyDescent="0.25">
      <c r="E133" s="30">
        <f ca="1">1-E63</f>
        <v>0.65835411471321703</v>
      </c>
      <c r="N133" s="30"/>
      <c r="O133" s="30"/>
      <c r="P133" s="30"/>
      <c r="Q133" s="30"/>
      <c r="R133" s="30"/>
      <c r="X133">
        <f ca="1">O134*J137*E133</f>
        <v>0.37348428927680799</v>
      </c>
      <c r="Z133">
        <f ca="1">cATSso</f>
        <v>461</v>
      </c>
      <c r="AB133" s="66">
        <f ca="1">Z133*X133</f>
        <v>172.17625735660849</v>
      </c>
      <c r="AC133" s="61">
        <f ca="1">X133</f>
        <v>0.37348428927680799</v>
      </c>
    </row>
    <row r="134" spans="5:30" x14ac:dyDescent="0.25">
      <c r="N134" s="30"/>
      <c r="O134" s="30">
        <f ca="1">1-O140</f>
        <v>0.92999999999999994</v>
      </c>
      <c r="P134" s="30"/>
      <c r="Q134" s="30"/>
      <c r="R134" s="30"/>
    </row>
    <row r="135" spans="5:30" x14ac:dyDescent="0.25">
      <c r="J135" s="48" t="s">
        <v>197</v>
      </c>
      <c r="K135" t="s">
        <v>202</v>
      </c>
      <c r="N135" s="30"/>
      <c r="O135" s="30"/>
      <c r="P135" s="30"/>
      <c r="Q135" s="30"/>
      <c r="R135" s="30"/>
    </row>
    <row r="136" spans="5:30" x14ac:dyDescent="0.25">
      <c r="J136" s="30"/>
      <c r="N136" s="30"/>
      <c r="O136" s="30"/>
      <c r="P136" s="30"/>
      <c r="Q136" s="30"/>
      <c r="R136" s="30"/>
    </row>
    <row r="137" spans="5:30" x14ac:dyDescent="0.25">
      <c r="J137" s="30">
        <f ca="1">specPL</f>
        <v>0.61</v>
      </c>
      <c r="N137" s="30"/>
      <c r="O137" s="30"/>
      <c r="P137" s="30"/>
      <c r="Q137" s="30"/>
      <c r="R137" s="30"/>
    </row>
    <row r="138" spans="5:30" x14ac:dyDescent="0.25">
      <c r="N138" s="30"/>
      <c r="O138" s="30" t="s">
        <v>132</v>
      </c>
      <c r="P138" s="30"/>
      <c r="Q138" s="30"/>
      <c r="R138" s="30"/>
    </row>
    <row r="139" spans="5:30" x14ac:dyDescent="0.25">
      <c r="N139" s="30"/>
      <c r="O139" s="30"/>
      <c r="P139" s="30"/>
      <c r="Q139" s="30"/>
      <c r="R139" s="30"/>
      <c r="X139">
        <f ca="1">O140*J137*E133</f>
        <v>2.8111720698254367E-2</v>
      </c>
      <c r="Z139">
        <f ca="1">cATSso</f>
        <v>461</v>
      </c>
      <c r="AB139">
        <f ca="1">Z139*X139</f>
        <v>12.959503241895263</v>
      </c>
    </row>
    <row r="140" spans="5:30" x14ac:dyDescent="0.25">
      <c r="N140" s="30"/>
      <c r="O140" s="30">
        <f ca="1">pDeathNoTTP</f>
        <v>7.0000000000000007E-2</v>
      </c>
      <c r="P140" s="30"/>
      <c r="Q140" s="30"/>
      <c r="R140" s="30"/>
      <c r="Z140" t="s">
        <v>333</v>
      </c>
      <c r="AB140" t="s">
        <v>335</v>
      </c>
      <c r="AC140" t="s">
        <v>334</v>
      </c>
      <c r="AD140" t="s">
        <v>187</v>
      </c>
    </row>
    <row r="141" spans="5:30" x14ac:dyDescent="0.25">
      <c r="X141">
        <f ca="1">SUM(X5:X139)</f>
        <v>1.0000000000000002</v>
      </c>
      <c r="Z141" s="82">
        <f ca="1">SUM(Z5:Z139)</f>
        <v>432521.02987212461</v>
      </c>
      <c r="AB141" s="66">
        <f ca="1">SUM(AB6:AB139)</f>
        <v>9423.1602151215156</v>
      </c>
      <c r="AC141" s="83">
        <f ca="1">SUM(AC5:AC139)</f>
        <v>0.95230533259003458</v>
      </c>
      <c r="AD141" s="84">
        <f ca="1">AB141/AC141</f>
        <v>9895.1039048504063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184"/>
  <sheetViews>
    <sheetView topLeftCell="A97" zoomScale="70" zoomScaleNormal="70" zoomScalePageLayoutView="70" workbookViewId="0">
      <selection activeCell="Y147" sqref="Y147"/>
    </sheetView>
  </sheetViews>
  <sheetFormatPr defaultColWidth="8.85546875" defaultRowHeight="15" x14ac:dyDescent="0.25"/>
  <cols>
    <col min="4" max="4" width="3" customWidth="1"/>
    <col min="9" max="9" width="3" customWidth="1"/>
    <col min="14" max="14" width="3.140625" customWidth="1"/>
    <col min="18" max="19" width="3.140625" customWidth="1"/>
    <col min="20" max="20" width="23" bestFit="1" customWidth="1"/>
    <col min="23" max="24" width="3.140625" customWidth="1"/>
    <col min="27" max="27" width="9.140625" customWidth="1"/>
    <col min="28" max="28" width="2.42578125" customWidth="1"/>
    <col min="29" max="29" width="12" bestFit="1" customWidth="1"/>
    <col min="31" max="31" width="12.42578125" bestFit="1" customWidth="1"/>
    <col min="33" max="33" width="16.7109375" customWidth="1"/>
  </cols>
  <sheetData>
    <row r="1" spans="14:34" x14ac:dyDescent="0.25">
      <c r="N1" s="30"/>
      <c r="AC1" s="46" t="s">
        <v>62</v>
      </c>
      <c r="AD1" s="46"/>
      <c r="AE1" s="47" t="s">
        <v>60</v>
      </c>
      <c r="AF1" s="46"/>
      <c r="AG1" s="46" t="s">
        <v>195</v>
      </c>
      <c r="AH1" s="30" t="s">
        <v>186</v>
      </c>
    </row>
    <row r="2" spans="14:34" x14ac:dyDescent="0.25">
      <c r="N2" s="30"/>
    </row>
    <row r="3" spans="14:34" x14ac:dyDescent="0.25">
      <c r="S3" s="30"/>
      <c r="T3" s="30"/>
      <c r="U3" s="30"/>
      <c r="V3" s="30"/>
      <c r="W3" s="30"/>
      <c r="X3" s="30"/>
      <c r="Y3" s="30" t="s">
        <v>131</v>
      </c>
      <c r="Z3" s="30"/>
      <c r="AA3" s="30"/>
      <c r="AB3" s="30"/>
    </row>
    <row r="4" spans="14:34" x14ac:dyDescent="0.25">
      <c r="S4" s="30"/>
      <c r="T4" s="30"/>
      <c r="U4" s="30"/>
      <c r="V4" s="30"/>
      <c r="W4" s="30"/>
      <c r="X4" s="30"/>
      <c r="Y4" s="30"/>
      <c r="Z4" s="30"/>
      <c r="AA4" s="30"/>
      <c r="AB4" s="30"/>
      <c r="AC4">
        <f ca="1">Y5*T8*O31*J62*E93</f>
        <v>0.29436457437218044</v>
      </c>
      <c r="AE4">
        <f ca="1">cPS + cATSih + cTPE3d</f>
        <v>15454.598073609135</v>
      </c>
      <c r="AG4">
        <f ca="1">AE4*AC4</f>
        <v>4549.2861840310725</v>
      </c>
      <c r="AH4">
        <f ca="1">AC4</f>
        <v>0.29436457437218044</v>
      </c>
    </row>
    <row r="5" spans="14:34" x14ac:dyDescent="0.25">
      <c r="S5" s="30"/>
      <c r="T5" s="30"/>
      <c r="U5" s="30"/>
      <c r="V5" s="30"/>
      <c r="W5" s="30"/>
      <c r="X5" s="30"/>
      <c r="Y5" s="30">
        <f ca="1">1-Y11</f>
        <v>0.98300099816731157</v>
      </c>
      <c r="Z5" s="30"/>
      <c r="AA5" s="30"/>
      <c r="AB5" s="30"/>
    </row>
    <row r="6" spans="14:34" x14ac:dyDescent="0.25">
      <c r="S6" s="30"/>
      <c r="T6" s="44" t="s">
        <v>192</v>
      </c>
      <c r="U6" s="30"/>
      <c r="V6" s="30"/>
      <c r="W6" s="30"/>
      <c r="X6" s="30"/>
      <c r="Y6" s="30"/>
      <c r="Z6" s="30"/>
      <c r="AA6" s="30"/>
      <c r="AB6" s="30"/>
    </row>
    <row r="7" spans="14:34" x14ac:dyDescent="0.25">
      <c r="S7" s="30"/>
      <c r="T7" s="30"/>
      <c r="U7" s="30"/>
      <c r="V7" s="30"/>
      <c r="W7" s="30"/>
      <c r="X7" s="30"/>
      <c r="Y7" s="30"/>
      <c r="Z7" s="30"/>
      <c r="AA7" s="30"/>
      <c r="AB7" s="30"/>
    </row>
    <row r="8" spans="14:34" x14ac:dyDescent="0.25">
      <c r="S8" s="30"/>
      <c r="T8" s="61">
        <f ca="1">1-SUM(T17,T26,T35,T44,T53)</f>
        <v>0.99983688127154113</v>
      </c>
      <c r="U8" s="30"/>
      <c r="V8" s="30"/>
      <c r="W8" s="30"/>
      <c r="X8" s="30"/>
      <c r="Y8" s="30"/>
      <c r="Z8" s="30"/>
      <c r="AA8" s="30"/>
      <c r="AB8" s="30"/>
    </row>
    <row r="9" spans="14:34" x14ac:dyDescent="0.25">
      <c r="S9" s="30"/>
      <c r="T9" s="30"/>
      <c r="U9" s="30"/>
      <c r="V9" s="30"/>
      <c r="W9" s="30"/>
      <c r="X9" s="30"/>
      <c r="Y9" s="30" t="s">
        <v>132</v>
      </c>
      <c r="Z9" s="30"/>
      <c r="AA9" s="30"/>
      <c r="AB9" s="30"/>
    </row>
    <row r="10" spans="14:34" x14ac:dyDescent="0.25"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>
        <f ca="1">Y11*T8*O31*J62*E93</f>
        <v>5.0904362747956813E-3</v>
      </c>
      <c r="AE10">
        <f ca="1">cPS + cATSih + cTPE3d</f>
        <v>15454.598073609135</v>
      </c>
      <c r="AG10">
        <f ca="1">AE10*AC10</f>
        <v>78.670646646287395</v>
      </c>
    </row>
    <row r="11" spans="14:34" x14ac:dyDescent="0.25">
      <c r="S11" s="30"/>
      <c r="T11" s="30"/>
      <c r="U11" s="30"/>
      <c r="V11" s="30"/>
      <c r="W11" s="30"/>
      <c r="X11" s="30"/>
      <c r="Y11" s="30">
        <f ca="1">pDeath</f>
        <v>1.6999001832688432E-2</v>
      </c>
      <c r="Z11" s="30"/>
      <c r="AA11" s="30"/>
      <c r="AB11" s="30"/>
    </row>
    <row r="12" spans="14:34" x14ac:dyDescent="0.25">
      <c r="S12" s="30"/>
      <c r="T12" s="30"/>
      <c r="U12" s="30"/>
      <c r="V12" s="30"/>
      <c r="W12" s="30"/>
      <c r="X12" s="30"/>
      <c r="Y12" s="30" t="s">
        <v>131</v>
      </c>
      <c r="Z12" s="30"/>
      <c r="AA12" s="30"/>
      <c r="AB12" s="30"/>
    </row>
    <row r="13" spans="14:34" x14ac:dyDescent="0.25"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>
        <f ca="1">Y14*T17*O31*J62*E93</f>
        <v>1.0719087819202351E-6</v>
      </c>
      <c r="AE13">
        <f ca="1">cPS + cATSih + cTPE3d + cInf</f>
        <v>17254.967741458328</v>
      </c>
      <c r="AG13">
        <f ca="1">AE13*AC13</f>
        <v>1.8495751453819546E-2</v>
      </c>
      <c r="AH13">
        <f ca="1">AC13</f>
        <v>1.0719087819202351E-6</v>
      </c>
    </row>
    <row r="14" spans="14:34" x14ac:dyDescent="0.25">
      <c r="S14" s="30"/>
      <c r="T14" s="30"/>
      <c r="U14" s="30"/>
      <c r="V14" s="30"/>
      <c r="W14" s="30"/>
      <c r="X14" s="30"/>
      <c r="Y14" s="30">
        <f ca="1">1-Y20</f>
        <v>0.98300099816731157</v>
      </c>
      <c r="Z14" s="30"/>
      <c r="AA14" s="30"/>
      <c r="AB14" s="30"/>
    </row>
    <row r="15" spans="14:34" x14ac:dyDescent="0.25">
      <c r="S15" s="30"/>
      <c r="T15" s="48" t="s">
        <v>134</v>
      </c>
      <c r="U15" s="30"/>
      <c r="V15" s="30"/>
      <c r="W15" s="30"/>
      <c r="X15" s="30"/>
      <c r="Y15" s="30"/>
      <c r="Z15" s="30"/>
      <c r="AA15" s="30"/>
      <c r="AB15" s="30"/>
    </row>
    <row r="16" spans="14:34" x14ac:dyDescent="0.25">
      <c r="S16" s="30"/>
      <c r="T16" s="30"/>
      <c r="U16" s="30"/>
      <c r="V16" s="30"/>
      <c r="W16" s="30"/>
      <c r="X16" s="30"/>
      <c r="Y16" s="30"/>
      <c r="Z16" s="30"/>
      <c r="AA16" s="30"/>
      <c r="AB16" s="30"/>
    </row>
    <row r="17" spans="15:34" x14ac:dyDescent="0.25">
      <c r="S17" s="30"/>
      <c r="T17" s="30">
        <f ca="1">pInf</f>
        <v>3.640838697416271E-6</v>
      </c>
      <c r="U17" s="30"/>
      <c r="V17" s="30"/>
      <c r="W17" s="30"/>
      <c r="X17" s="30"/>
      <c r="Y17" s="30"/>
      <c r="Z17" s="30"/>
      <c r="AA17" s="30"/>
      <c r="AB17" s="30"/>
    </row>
    <row r="18" spans="15:34" x14ac:dyDescent="0.25">
      <c r="S18" s="30"/>
      <c r="T18" s="30"/>
      <c r="U18" s="30"/>
      <c r="V18" s="30"/>
      <c r="W18" s="30"/>
      <c r="X18" s="30"/>
      <c r="Y18" s="30" t="s">
        <v>132</v>
      </c>
      <c r="Z18" s="30"/>
      <c r="AA18" s="30"/>
      <c r="AB18" s="30"/>
    </row>
    <row r="19" spans="15:34" x14ac:dyDescent="0.25"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>
        <f ca="1">Y20*T17*O31*J62*E93</f>
        <v>1.8536481023222251E-8</v>
      </c>
      <c r="AE19">
        <f ca="1">cPS + cATSih + cTPE3d + cInf</f>
        <v>17254.967741458328</v>
      </c>
      <c r="AG19">
        <f ca="1">AE19*AC19</f>
        <v>3.198463820958544E-4</v>
      </c>
    </row>
    <row r="20" spans="15:34" x14ac:dyDescent="0.25">
      <c r="S20" s="30"/>
      <c r="T20" s="30"/>
      <c r="U20" s="30"/>
      <c r="V20" s="30"/>
      <c r="W20" s="30"/>
      <c r="X20" s="30"/>
      <c r="Y20" s="30">
        <f ca="1">pDeath</f>
        <v>1.6999001832688432E-2</v>
      </c>
      <c r="Z20" s="30"/>
      <c r="AA20" s="30"/>
      <c r="AB20" s="30"/>
    </row>
    <row r="21" spans="15:34" x14ac:dyDescent="0.25">
      <c r="S21" s="30"/>
      <c r="T21" s="30"/>
      <c r="U21" s="30"/>
      <c r="V21" s="30"/>
      <c r="W21" s="30"/>
      <c r="X21" s="30"/>
      <c r="Y21" s="30" t="s">
        <v>131</v>
      </c>
      <c r="Z21" s="30"/>
      <c r="AA21" s="30"/>
      <c r="AB21" s="30"/>
    </row>
    <row r="22" spans="15:34" x14ac:dyDescent="0.25"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>
        <f ca="1">Y23*T26*O31*J62*E93</f>
        <v>9.3464977639533498E-6</v>
      </c>
      <c r="AE22">
        <f ca="1">cPS + cATSih + cTPE3d + cCATH</f>
        <v>17459.765576425747</v>
      </c>
      <c r="AG22">
        <f ca="1">AE22*AC22</f>
        <v>0.16318765991921291</v>
      </c>
      <c r="AH22">
        <f ca="1">AC22</f>
        <v>9.3464977639533498E-6</v>
      </c>
    </row>
    <row r="23" spans="15:34" x14ac:dyDescent="0.25">
      <c r="S23" s="30"/>
      <c r="T23" s="30"/>
      <c r="U23" s="30"/>
      <c r="V23" s="30"/>
      <c r="W23" s="30"/>
      <c r="X23" s="30"/>
      <c r="Y23" s="30">
        <f ca="1">1-Y29</f>
        <v>0.98300099816731157</v>
      </c>
      <c r="Z23" s="30"/>
      <c r="AA23" s="30"/>
      <c r="AB23" s="30"/>
    </row>
    <row r="24" spans="15:34" x14ac:dyDescent="0.25">
      <c r="S24" s="30"/>
      <c r="T24" s="48" t="s">
        <v>183</v>
      </c>
      <c r="U24" s="30"/>
      <c r="V24" s="30"/>
      <c r="W24" s="30"/>
      <c r="X24" s="30"/>
      <c r="Y24" s="30"/>
      <c r="Z24" s="30"/>
      <c r="AA24" s="30"/>
      <c r="AB24" s="30"/>
    </row>
    <row r="25" spans="15:34" x14ac:dyDescent="0.25">
      <c r="S25" s="30"/>
      <c r="T25" s="30"/>
      <c r="U25" s="30"/>
      <c r="V25" s="30"/>
      <c r="W25" s="30"/>
      <c r="X25" s="30"/>
      <c r="Y25" s="30"/>
      <c r="Z25" s="30"/>
      <c r="AA25" s="30"/>
      <c r="AB25" s="30"/>
    </row>
    <row r="26" spans="15:34" x14ac:dyDescent="0.25">
      <c r="S26" s="30"/>
      <c r="T26" s="30">
        <f ca="1">pCATH</f>
        <v>3.1746256135112283E-5</v>
      </c>
      <c r="U26" s="30"/>
      <c r="V26" s="30"/>
      <c r="W26" s="30"/>
      <c r="X26" s="30"/>
      <c r="Y26" s="30"/>
      <c r="Z26" s="30"/>
      <c r="AA26" s="30"/>
      <c r="AB26" s="30"/>
    </row>
    <row r="27" spans="15:34" x14ac:dyDescent="0.25">
      <c r="S27" s="30"/>
      <c r="T27" s="30"/>
      <c r="U27" s="30"/>
      <c r="V27" s="30"/>
      <c r="W27" s="30"/>
      <c r="X27" s="30"/>
      <c r="Y27" s="30" t="s">
        <v>132</v>
      </c>
      <c r="Z27" s="30"/>
      <c r="AA27" s="30"/>
      <c r="AB27" s="30"/>
    </row>
    <row r="28" spans="15:34" x14ac:dyDescent="0.25">
      <c r="O28" t="s">
        <v>342</v>
      </c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>
        <f ca="1">Y29*T26*O31*J62*E93</f>
        <v>1.6162865848038433E-7</v>
      </c>
      <c r="AE28">
        <f ca="1">cPS + cATSih + cTPE3d + cCATH</f>
        <v>17459.765576425747</v>
      </c>
      <c r="AG28">
        <f ca="1">AE28*AC28</f>
        <v>2.8219984874996878E-3</v>
      </c>
    </row>
    <row r="29" spans="15:34" x14ac:dyDescent="0.25">
      <c r="O29" s="48" t="s">
        <v>190</v>
      </c>
      <c r="P29" t="s">
        <v>200</v>
      </c>
      <c r="S29" s="30"/>
      <c r="T29" s="30"/>
      <c r="U29" s="30"/>
      <c r="V29" s="30"/>
      <c r="W29" s="30"/>
      <c r="X29" s="30"/>
      <c r="Y29" s="30">
        <f ca="1">pDeath</f>
        <v>1.6999001832688432E-2</v>
      </c>
      <c r="Z29" s="30"/>
      <c r="AA29" s="30"/>
      <c r="AB29" s="30"/>
    </row>
    <row r="30" spans="15:34" x14ac:dyDescent="0.25">
      <c r="O30" s="30"/>
      <c r="S30" s="30"/>
      <c r="T30" s="30"/>
      <c r="U30" s="30"/>
      <c r="V30" s="30"/>
      <c r="W30" s="30"/>
      <c r="X30" s="30"/>
      <c r="Y30" s="30" t="s">
        <v>131</v>
      </c>
      <c r="Z30" s="30"/>
      <c r="AA30" s="30"/>
      <c r="AB30" s="30"/>
    </row>
    <row r="31" spans="15:34" x14ac:dyDescent="0.25">
      <c r="O31" s="30">
        <f ca="1">SensADAM</f>
        <v>0.89</v>
      </c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>
        <f ca="1">Y32*T35*O31*J62*E93</f>
        <v>2.6932384119041962E-6</v>
      </c>
      <c r="AE31">
        <f ca="1">cPS + cATSih + cTPE3d + cVETH</f>
        <v>20198.502725396851</v>
      </c>
      <c r="AG31">
        <f ca="1">AE31*AC31</f>
        <v>5.4399383402990394E-2</v>
      </c>
      <c r="AH31">
        <f ca="1">AC31</f>
        <v>2.6932384119041962E-6</v>
      </c>
    </row>
    <row r="32" spans="15:34" x14ac:dyDescent="0.25">
      <c r="S32" s="30"/>
      <c r="T32" s="30"/>
      <c r="U32" s="30"/>
      <c r="V32" s="30"/>
      <c r="W32" s="30"/>
      <c r="X32" s="30"/>
      <c r="Y32" s="30">
        <f ca="1">1-Y38</f>
        <v>0.98300099816731157</v>
      </c>
      <c r="Z32" s="30"/>
      <c r="AA32" s="30"/>
      <c r="AB32" s="30"/>
    </row>
    <row r="33" spans="14:34" x14ac:dyDescent="0.25">
      <c r="S33" s="30"/>
      <c r="T33" s="48" t="s">
        <v>184</v>
      </c>
      <c r="U33" s="30"/>
      <c r="V33" s="30"/>
      <c r="W33" s="30"/>
      <c r="X33" s="30"/>
      <c r="Y33" s="30"/>
      <c r="Z33" s="30"/>
      <c r="AA33" s="30"/>
      <c r="AB33" s="30"/>
    </row>
    <row r="34" spans="14:34" x14ac:dyDescent="0.25">
      <c r="S34" s="30"/>
      <c r="T34" s="30"/>
      <c r="U34" s="30"/>
      <c r="V34" s="30"/>
      <c r="W34" s="30"/>
      <c r="X34" s="30"/>
      <c r="Y34" s="30"/>
      <c r="Z34" s="30"/>
      <c r="AA34" s="30"/>
      <c r="AB34" s="30"/>
    </row>
    <row r="35" spans="14:34" x14ac:dyDescent="0.25">
      <c r="S35" s="30"/>
      <c r="T35" s="30">
        <f ca="1">pVETH</f>
        <v>9.1478368279274136E-6</v>
      </c>
      <c r="U35" s="30"/>
      <c r="V35" s="30"/>
      <c r="W35" s="30"/>
      <c r="X35" s="30"/>
      <c r="Y35" s="30"/>
      <c r="Z35" s="30"/>
      <c r="AA35" s="30"/>
      <c r="AB35" s="30"/>
    </row>
    <row r="36" spans="14:34" x14ac:dyDescent="0.25">
      <c r="S36" s="30"/>
      <c r="T36" s="30"/>
      <c r="U36" s="30"/>
      <c r="V36" s="30"/>
      <c r="W36" s="30"/>
      <c r="X36" s="30"/>
      <c r="Y36" s="30" t="s">
        <v>132</v>
      </c>
      <c r="Z36" s="30"/>
      <c r="AA36" s="30"/>
      <c r="AB36" s="30"/>
    </row>
    <row r="37" spans="14:34" x14ac:dyDescent="0.25"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>
        <f ca="1">Y38*T35*O31*J62*E93</f>
        <v>4.6574077529099248E-8</v>
      </c>
      <c r="AE37">
        <f ca="1">cPS + cATSih + cTPE3d + cVETH</f>
        <v>20198.502725396851</v>
      </c>
      <c r="AG37">
        <f ca="1">AE37*AC37</f>
        <v>9.4072663190435536E-4</v>
      </c>
    </row>
    <row r="38" spans="14:34" x14ac:dyDescent="0.25">
      <c r="S38" s="30"/>
      <c r="T38" s="30"/>
      <c r="U38" s="30"/>
      <c r="V38" s="30"/>
      <c r="W38" s="30"/>
      <c r="X38" s="30"/>
      <c r="Y38" s="30">
        <f ca="1">pDeath</f>
        <v>1.6999001832688432E-2</v>
      </c>
      <c r="Z38" s="30"/>
      <c r="AA38" s="30"/>
      <c r="AB38" s="30"/>
    </row>
    <row r="39" spans="14:34" x14ac:dyDescent="0.25">
      <c r="S39" s="30"/>
      <c r="T39" s="30"/>
      <c r="U39" s="30"/>
      <c r="V39" s="30"/>
      <c r="W39" s="30"/>
      <c r="X39" s="30"/>
      <c r="Y39" s="30" t="s">
        <v>131</v>
      </c>
      <c r="Z39" s="30"/>
      <c r="AA39" s="30"/>
      <c r="AB39" s="30"/>
    </row>
    <row r="40" spans="14:34" x14ac:dyDescent="0.25"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>
        <f ca="1">Y41*T44*O31*J62*E93</f>
        <v>3.1129319872064999E-5</v>
      </c>
      <c r="AE40">
        <f ca="1">cPS + cATSih + cTPE3d + cBL</f>
        <v>28963.624314336499</v>
      </c>
      <c r="AG40">
        <f ca="1">AE40*AC40</f>
        <v>0.90161792593530021</v>
      </c>
      <c r="AH40">
        <f ca="1">AC40</f>
        <v>3.1129319872064999E-5</v>
      </c>
    </row>
    <row r="41" spans="14:34" x14ac:dyDescent="0.25">
      <c r="S41" s="30"/>
      <c r="T41" s="30"/>
      <c r="U41" s="30"/>
      <c r="V41" s="30"/>
      <c r="W41" s="30"/>
      <c r="X41" s="30"/>
      <c r="Y41" s="30">
        <f ca="1">1-Y47</f>
        <v>0.98300099816731157</v>
      </c>
      <c r="Z41" s="30"/>
      <c r="AA41" s="30"/>
      <c r="AB41" s="30"/>
    </row>
    <row r="42" spans="14:34" x14ac:dyDescent="0.25">
      <c r="S42" s="30"/>
      <c r="T42" s="48" t="s">
        <v>185</v>
      </c>
      <c r="U42" s="30"/>
      <c r="V42" s="30"/>
      <c r="W42" s="30"/>
      <c r="X42" s="30"/>
      <c r="Y42" s="30"/>
      <c r="Z42" s="30"/>
      <c r="AA42" s="30"/>
      <c r="AB42" s="30"/>
    </row>
    <row r="43" spans="14:34" x14ac:dyDescent="0.25">
      <c r="S43" s="30"/>
      <c r="T43" s="30"/>
      <c r="U43" s="30"/>
      <c r="V43" s="30"/>
      <c r="W43" s="30"/>
      <c r="X43" s="30"/>
      <c r="Y43" s="30"/>
      <c r="Z43" s="30"/>
      <c r="AA43" s="30"/>
      <c r="AB43" s="30"/>
    </row>
    <row r="44" spans="14:34" x14ac:dyDescent="0.25">
      <c r="S44" s="30"/>
      <c r="T44" s="30">
        <f ca="1">pBL</f>
        <v>1.0573365413746316E-4</v>
      </c>
      <c r="U44" s="30"/>
      <c r="V44" s="30"/>
      <c r="W44" s="30"/>
      <c r="X44" s="30"/>
      <c r="Y44" s="30"/>
      <c r="Z44" s="30"/>
      <c r="AA44" s="30"/>
      <c r="AB44" s="30"/>
    </row>
    <row r="45" spans="14:34" x14ac:dyDescent="0.25">
      <c r="S45" s="30"/>
      <c r="T45" s="30"/>
      <c r="U45" s="30"/>
      <c r="V45" s="30"/>
      <c r="W45" s="30"/>
      <c r="X45" s="30"/>
      <c r="Y45" s="30" t="s">
        <v>132</v>
      </c>
      <c r="Z45" s="30"/>
      <c r="AA45" s="30"/>
      <c r="AB45" s="30"/>
    </row>
    <row r="46" spans="14:34" x14ac:dyDescent="0.25"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>
        <f ca="1">Y47*T44*O31*J62*E93</f>
        <v>5.383182382745764E-7</v>
      </c>
      <c r="AE46">
        <f ca="1">cPS + cATSih + cTPE3d + cBL</f>
        <v>28963.624314336499</v>
      </c>
      <c r="AG46">
        <f ca="1">AE46*AC46</f>
        <v>1.559164721494031E-2</v>
      </c>
    </row>
    <row r="47" spans="14:34" x14ac:dyDescent="0.25">
      <c r="S47" s="30"/>
      <c r="T47" s="30"/>
      <c r="U47" s="30"/>
      <c r="V47" s="30"/>
      <c r="W47" s="30"/>
      <c r="X47" s="30"/>
      <c r="Y47" s="30">
        <f ca="1">pDeath</f>
        <v>1.6999001832688432E-2</v>
      </c>
      <c r="Z47" s="30"/>
      <c r="AA47" s="30"/>
      <c r="AB47" s="30"/>
    </row>
    <row r="48" spans="14:34" x14ac:dyDescent="0.25">
      <c r="N48" s="30"/>
      <c r="P48" s="30"/>
      <c r="Q48" s="30"/>
      <c r="R48" s="30"/>
      <c r="S48" s="30"/>
      <c r="T48" s="30"/>
      <c r="U48" s="30"/>
      <c r="V48" s="30"/>
      <c r="W48" s="30"/>
      <c r="X48" s="30"/>
      <c r="Y48" s="30" t="s">
        <v>131</v>
      </c>
      <c r="Z48" s="30"/>
      <c r="AA48" s="30"/>
      <c r="AB48" s="30"/>
    </row>
    <row r="49" spans="10:34" x14ac:dyDescent="0.25">
      <c r="N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</row>
    <row r="50" spans="10:34" x14ac:dyDescent="0.25">
      <c r="N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</row>
    <row r="51" spans="10:34" x14ac:dyDescent="0.25">
      <c r="N51" s="30"/>
      <c r="O51" s="30"/>
      <c r="P51" s="30"/>
      <c r="Q51" s="30"/>
      <c r="R51" s="30"/>
      <c r="S51" s="30"/>
      <c r="T51" s="30" t="s">
        <v>194</v>
      </c>
      <c r="U51" s="30"/>
      <c r="V51" s="30"/>
      <c r="W51" s="30"/>
      <c r="X51" s="30"/>
      <c r="Y51" s="30"/>
      <c r="Z51" s="30"/>
      <c r="AA51" s="30"/>
      <c r="AB51" s="30"/>
    </row>
    <row r="52" spans="10:34" x14ac:dyDescent="0.25"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>
        <f ca="1">T53*O31*J62*E93</f>
        <v>3.8486673970812104E-6</v>
      </c>
      <c r="AE52">
        <f ca="1">cPS + cATSih + cTPE3d</f>
        <v>15454.598073609135</v>
      </c>
      <c r="AG52">
        <f ca="1">AE52*AC52</f>
        <v>5.9479607740893559E-2</v>
      </c>
    </row>
    <row r="53" spans="10:34" x14ac:dyDescent="0.25">
      <c r="N53" s="30"/>
      <c r="O53" s="30"/>
      <c r="P53" s="30"/>
      <c r="Q53" s="30"/>
      <c r="R53" s="30"/>
      <c r="S53" s="30"/>
      <c r="T53" s="30">
        <f ca="1">pDeathcomp</f>
        <v>1.2850142660947306E-5</v>
      </c>
      <c r="U53" s="30"/>
      <c r="V53" s="30"/>
      <c r="W53" s="30"/>
      <c r="X53" s="30"/>
      <c r="Y53" s="30"/>
      <c r="Z53" s="30"/>
      <c r="AA53" s="30"/>
      <c r="AB53" s="30"/>
    </row>
    <row r="54" spans="10:34" x14ac:dyDescent="0.25">
      <c r="N54" s="30"/>
      <c r="P54" s="30"/>
      <c r="Q54" s="48"/>
      <c r="R54" s="30"/>
      <c r="S54" s="30"/>
    </row>
    <row r="55" spans="10:34" x14ac:dyDescent="0.25"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</row>
    <row r="56" spans="10:34" x14ac:dyDescent="0.25">
      <c r="N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</row>
    <row r="57" spans="10:34" x14ac:dyDescent="0.25"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</row>
    <row r="58" spans="10:34" x14ac:dyDescent="0.25">
      <c r="N58" s="30"/>
      <c r="O58" s="30"/>
      <c r="P58" s="30"/>
      <c r="Q58" s="30"/>
      <c r="R58" s="30"/>
      <c r="S58" s="30"/>
      <c r="T58" s="44"/>
      <c r="U58" s="30"/>
      <c r="V58" s="30"/>
      <c r="W58" s="30"/>
      <c r="X58" s="30"/>
      <c r="Y58" s="30"/>
      <c r="Z58" s="30"/>
      <c r="AA58" s="30"/>
      <c r="AB58" s="30"/>
    </row>
    <row r="59" spans="10:34" x14ac:dyDescent="0.25">
      <c r="J59" t="s">
        <v>341</v>
      </c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</row>
    <row r="60" spans="10:34" x14ac:dyDescent="0.25">
      <c r="J60" s="48" t="s">
        <v>190</v>
      </c>
      <c r="K60" t="s">
        <v>200</v>
      </c>
      <c r="N60" s="30"/>
      <c r="O60" s="30"/>
      <c r="P60" s="30"/>
      <c r="Q60" s="30"/>
      <c r="R60" s="30"/>
      <c r="S60" s="30"/>
      <c r="T60" s="30" t="s">
        <v>131</v>
      </c>
      <c r="U60" s="30"/>
      <c r="V60" s="30"/>
      <c r="W60" s="30"/>
      <c r="X60" s="30"/>
      <c r="Y60" s="30"/>
      <c r="Z60" s="30"/>
      <c r="AA60" s="30"/>
      <c r="AB60" s="30"/>
    </row>
    <row r="61" spans="10:34" x14ac:dyDescent="0.25">
      <c r="J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>
        <f ca="1">T62*O65*J62*E93</f>
        <v>1.8508665835411484E-3</v>
      </c>
      <c r="AE61">
        <f ca="1">cPS + cATSih</f>
        <v>350</v>
      </c>
      <c r="AG61">
        <f ca="1">AE61*AC61</f>
        <v>0.64780330423940191</v>
      </c>
      <c r="AH61">
        <f ca="1">AC61</f>
        <v>1.8508665835411484E-3</v>
      </c>
    </row>
    <row r="62" spans="10:34" x14ac:dyDescent="0.25">
      <c r="J62" s="30">
        <f ca="1">SensPL</f>
        <v>0.98499999999999999</v>
      </c>
      <c r="N62" s="30"/>
      <c r="O62" t="s">
        <v>342</v>
      </c>
      <c r="P62" s="30"/>
      <c r="Q62" s="30"/>
      <c r="R62" s="30"/>
      <c r="S62" s="30"/>
      <c r="T62" s="30">
        <f ca="1">1-T68</f>
        <v>5.0000000000000044E-2</v>
      </c>
      <c r="U62" s="30"/>
      <c r="V62" s="30"/>
      <c r="W62" s="30"/>
      <c r="X62" s="30"/>
      <c r="Y62" s="30"/>
      <c r="Z62" s="30"/>
      <c r="AA62" s="30"/>
      <c r="AB62" s="30"/>
    </row>
    <row r="63" spans="10:34" x14ac:dyDescent="0.25">
      <c r="N63" s="30"/>
      <c r="O63" s="48" t="s">
        <v>191</v>
      </c>
      <c r="P63" t="s">
        <v>199</v>
      </c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</row>
    <row r="64" spans="10:34" x14ac:dyDescent="0.25">
      <c r="N64" s="30"/>
      <c r="O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</row>
    <row r="65" spans="9:33" x14ac:dyDescent="0.25">
      <c r="N65" s="30"/>
      <c r="O65" s="30">
        <f ca="1">1-O31</f>
        <v>0.10999999999999999</v>
      </c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</row>
    <row r="66" spans="9:33" x14ac:dyDescent="0.25">
      <c r="N66" s="30"/>
      <c r="O66" s="30"/>
      <c r="P66" s="30"/>
      <c r="Q66" s="30"/>
      <c r="R66" s="30"/>
      <c r="S66" s="30"/>
      <c r="T66" s="30" t="s">
        <v>132</v>
      </c>
      <c r="U66" s="30"/>
      <c r="V66" s="30"/>
      <c r="W66" s="30"/>
      <c r="X66" s="30"/>
      <c r="Y66" s="30"/>
      <c r="Z66" s="30"/>
      <c r="AA66" s="30"/>
      <c r="AB66" s="30"/>
    </row>
    <row r="67" spans="9:33" x14ac:dyDescent="0.25"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>
        <f ca="1">T68*O65*J62*E93</f>
        <v>3.5166465087281787E-2</v>
      </c>
      <c r="AE67">
        <f ca="1">cPS + cATSih</f>
        <v>350</v>
      </c>
      <c r="AG67">
        <f ca="1">AE67*AC67</f>
        <v>12.308262780548626</v>
      </c>
    </row>
    <row r="68" spans="9:33" x14ac:dyDescent="0.25">
      <c r="N68" s="30"/>
      <c r="O68" s="30"/>
      <c r="P68" s="30"/>
      <c r="Q68" s="30"/>
      <c r="R68" s="30"/>
      <c r="S68" s="30"/>
      <c r="T68" s="30">
        <f ca="1">pDeathNoTPE</f>
        <v>0.95</v>
      </c>
      <c r="U68" s="30"/>
      <c r="V68" s="30"/>
      <c r="W68" s="30"/>
      <c r="X68" s="30"/>
      <c r="Y68" s="30"/>
      <c r="Z68" s="30"/>
      <c r="AA68" s="30"/>
      <c r="AB68" s="30"/>
    </row>
    <row r="69" spans="9:33" x14ac:dyDescent="0.25">
      <c r="N69" s="30"/>
    </row>
    <row r="70" spans="9:33" x14ac:dyDescent="0.25">
      <c r="N70" s="30"/>
    </row>
    <row r="71" spans="9:33" x14ac:dyDescent="0.25">
      <c r="N71" s="30"/>
    </row>
    <row r="72" spans="9:33" x14ac:dyDescent="0.25">
      <c r="N72" s="30"/>
    </row>
    <row r="73" spans="9:33" x14ac:dyDescent="0.25">
      <c r="N73" s="30"/>
    </row>
    <row r="74" spans="9:33" x14ac:dyDescent="0.25">
      <c r="N74" s="30"/>
    </row>
    <row r="75" spans="9:33" x14ac:dyDescent="0.25">
      <c r="N75" s="30"/>
    </row>
    <row r="76" spans="9:33" x14ac:dyDescent="0.25">
      <c r="N76" s="30"/>
    </row>
    <row r="77" spans="9:33" x14ac:dyDescent="0.25">
      <c r="N77" s="30"/>
    </row>
    <row r="78" spans="9:33" x14ac:dyDescent="0.25">
      <c r="N78" s="30"/>
    </row>
    <row r="79" spans="9:33" x14ac:dyDescent="0.25">
      <c r="I79" s="30"/>
      <c r="K79" s="30"/>
      <c r="L79" s="30"/>
      <c r="M79" s="30"/>
      <c r="N79" s="30"/>
    </row>
    <row r="80" spans="9:33" x14ac:dyDescent="0.25">
      <c r="I80" s="30"/>
      <c r="K80" s="30"/>
      <c r="L80" s="30"/>
      <c r="M80" s="30"/>
      <c r="N80" s="30"/>
    </row>
    <row r="81" spans="1:34" x14ac:dyDescent="0.25">
      <c r="I81" s="30"/>
      <c r="K81" s="30"/>
      <c r="L81" s="30"/>
      <c r="M81" s="30"/>
      <c r="N81" s="30"/>
    </row>
    <row r="82" spans="1:34" x14ac:dyDescent="0.25">
      <c r="I82" s="30"/>
      <c r="J82" s="30"/>
      <c r="K82" s="30"/>
      <c r="L82" s="30"/>
      <c r="M82" s="30"/>
      <c r="N82" s="30"/>
    </row>
    <row r="83" spans="1:34" x14ac:dyDescent="0.25">
      <c r="I83" s="30"/>
      <c r="J83" s="30"/>
      <c r="K83" s="30"/>
      <c r="L83" s="30"/>
      <c r="M83" s="30"/>
      <c r="N83" s="30"/>
    </row>
    <row r="84" spans="1:34" x14ac:dyDescent="0.25">
      <c r="I84" s="30"/>
      <c r="J84" s="30"/>
      <c r="K84" s="30"/>
      <c r="L84" s="30"/>
      <c r="M84" s="30"/>
      <c r="N84" s="30"/>
    </row>
    <row r="85" spans="1:34" x14ac:dyDescent="0.25">
      <c r="I85" s="30"/>
      <c r="K85" s="30"/>
      <c r="L85" s="48"/>
      <c r="M85" s="30"/>
      <c r="N85" s="30"/>
    </row>
    <row r="86" spans="1:34" x14ac:dyDescent="0.25">
      <c r="I86" s="30"/>
      <c r="J86" s="30"/>
      <c r="K86" s="30"/>
      <c r="L86" s="30"/>
      <c r="M86" s="30"/>
      <c r="N86" s="30"/>
    </row>
    <row r="87" spans="1:34" x14ac:dyDescent="0.25">
      <c r="I87" s="30"/>
      <c r="K87" s="30"/>
      <c r="L87" s="30"/>
      <c r="M87" s="30"/>
      <c r="N87" s="30"/>
    </row>
    <row r="88" spans="1:34" x14ac:dyDescent="0.25">
      <c r="I88" s="30"/>
      <c r="J88" s="30"/>
      <c r="K88" s="30"/>
      <c r="L88" s="30"/>
      <c r="M88" s="30"/>
      <c r="N88" s="30"/>
    </row>
    <row r="89" spans="1:34" x14ac:dyDescent="0.25">
      <c r="I89" s="30"/>
      <c r="J89" s="30"/>
      <c r="K89" s="30"/>
      <c r="L89" s="30"/>
      <c r="M89" s="30"/>
      <c r="N89" s="30"/>
    </row>
    <row r="90" spans="1:34" x14ac:dyDescent="0.25">
      <c r="I90" s="30"/>
      <c r="J90" s="30"/>
      <c r="K90" s="30"/>
      <c r="L90" s="30"/>
      <c r="M90" s="30"/>
      <c r="N90" s="30"/>
    </row>
    <row r="91" spans="1:34" x14ac:dyDescent="0.25">
      <c r="A91" s="30"/>
      <c r="B91" s="30"/>
      <c r="C91" s="30"/>
      <c r="D91" s="30"/>
      <c r="E91" s="48" t="s">
        <v>188</v>
      </c>
      <c r="F91" s="30"/>
      <c r="G91" s="30"/>
      <c r="H91" s="30"/>
      <c r="I91" s="30"/>
      <c r="J91" s="30"/>
      <c r="K91" s="30"/>
      <c r="L91" s="30"/>
      <c r="M91" s="30"/>
      <c r="N91" s="30"/>
      <c r="O91" s="30" t="s">
        <v>131</v>
      </c>
      <c r="P91" s="30"/>
      <c r="Q91" s="30"/>
      <c r="R91" s="30"/>
    </row>
    <row r="92" spans="1:34" x14ac:dyDescent="0.2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AC92">
        <f ca="1">O93*J96*E93</f>
        <v>2.5623441396508773E-4</v>
      </c>
      <c r="AE92">
        <f xml:space="preserve"> cPS</f>
        <v>0</v>
      </c>
      <c r="AG92">
        <f ca="1">AE92*AC92</f>
        <v>0</v>
      </c>
      <c r="AH92">
        <f ca="1">AC92</f>
        <v>2.5623441396508773E-4</v>
      </c>
    </row>
    <row r="93" spans="1:34" x14ac:dyDescent="0.25">
      <c r="A93" s="30"/>
      <c r="B93" s="30"/>
      <c r="C93" s="30"/>
      <c r="D93" s="30"/>
      <c r="E93" s="30">
        <f ca="1">prevTTP</f>
        <v>0.34164588528678302</v>
      </c>
      <c r="F93" s="30"/>
      <c r="G93" s="30"/>
      <c r="H93" s="30"/>
      <c r="I93" s="30"/>
      <c r="J93" s="30" t="s">
        <v>341</v>
      </c>
      <c r="K93" s="30"/>
      <c r="L93" s="30"/>
      <c r="M93" s="30"/>
      <c r="N93" s="30"/>
      <c r="O93" s="30">
        <f ca="1">1-O99</f>
        <v>5.0000000000000044E-2</v>
      </c>
      <c r="P93" s="30"/>
      <c r="Q93" s="30"/>
      <c r="R93" s="30"/>
    </row>
    <row r="94" spans="1:34" x14ac:dyDescent="0.25">
      <c r="A94" s="30"/>
      <c r="B94" s="30"/>
      <c r="C94" s="30"/>
      <c r="D94" s="30"/>
      <c r="F94" s="30"/>
      <c r="G94" s="30"/>
      <c r="H94" s="30"/>
      <c r="I94" s="30"/>
      <c r="J94" s="48" t="s">
        <v>191</v>
      </c>
      <c r="K94" t="s">
        <v>199</v>
      </c>
      <c r="L94" s="30"/>
      <c r="M94" s="30"/>
      <c r="N94" s="30"/>
      <c r="O94" s="30"/>
      <c r="P94" s="30"/>
      <c r="Q94" s="30"/>
      <c r="R94" s="30"/>
    </row>
    <row r="95" spans="1:34" x14ac:dyDescent="0.25">
      <c r="A95" s="30"/>
      <c r="B95" s="30"/>
      <c r="C95" s="30"/>
      <c r="D95" s="30"/>
      <c r="F95" s="30"/>
      <c r="G95" s="30"/>
      <c r="H95" s="30"/>
      <c r="I95" s="30"/>
      <c r="J95" s="30"/>
      <c r="L95" s="30"/>
      <c r="M95" s="30"/>
      <c r="N95" s="30"/>
      <c r="O95" s="30"/>
      <c r="P95" s="30"/>
      <c r="Q95" s="30"/>
      <c r="R95" s="30"/>
    </row>
    <row r="96" spans="1:34" x14ac:dyDescent="0.25">
      <c r="A96" s="30"/>
      <c r="B96" s="30"/>
      <c r="C96" s="30"/>
      <c r="D96" s="30"/>
      <c r="F96" s="30"/>
      <c r="G96" s="30"/>
      <c r="H96" s="30"/>
      <c r="I96" s="30"/>
      <c r="J96" s="30">
        <f ca="1">1-J62</f>
        <v>1.5000000000000013E-2</v>
      </c>
      <c r="L96" s="30"/>
      <c r="M96" s="30"/>
      <c r="N96" s="30"/>
      <c r="O96" s="30"/>
      <c r="P96" s="30"/>
      <c r="Q96" s="30"/>
      <c r="R96" s="30"/>
    </row>
    <row r="97" spans="1:34" x14ac:dyDescent="0.2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 t="s">
        <v>132</v>
      </c>
      <c r="P97" s="30"/>
      <c r="Q97" s="30"/>
      <c r="R97" s="30"/>
    </row>
    <row r="98" spans="1:34" x14ac:dyDescent="0.2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AC98">
        <f ca="1">O99*J96*E93</f>
        <v>4.8684538653366626E-3</v>
      </c>
      <c r="AE98">
        <f xml:space="preserve"> cPS</f>
        <v>0</v>
      </c>
      <c r="AG98">
        <f ca="1">AE98*AC98</f>
        <v>0</v>
      </c>
    </row>
    <row r="99" spans="1:34" x14ac:dyDescent="0.2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>
        <f ca="1">pDeathNoTPE</f>
        <v>0.95</v>
      </c>
      <c r="P99" s="30"/>
      <c r="Q99" s="30"/>
      <c r="R99" s="30"/>
    </row>
    <row r="100" spans="1:34" x14ac:dyDescent="0.2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</row>
    <row r="101" spans="1:34" x14ac:dyDescent="0.2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</row>
    <row r="102" spans="1:34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</row>
    <row r="103" spans="1:34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K103" s="30"/>
      <c r="L103" s="48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 t="s">
        <v>131</v>
      </c>
      <c r="Z103" s="30"/>
      <c r="AA103" s="30"/>
      <c r="AB103" s="30"/>
    </row>
    <row r="104" spans="1:34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>
        <f ca="1">Y105*T108*O131*J147*E163</f>
        <v>0</v>
      </c>
      <c r="AE104">
        <f ca="1">cPS + cATSih + cTPE3d</f>
        <v>15454.598073609135</v>
      </c>
      <c r="AG104">
        <f ca="1">AE104*AC104</f>
        <v>0</v>
      </c>
      <c r="AH104">
        <f ca="1">AC104</f>
        <v>0</v>
      </c>
    </row>
    <row r="105" spans="1:34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K105" s="30"/>
      <c r="L105" s="30"/>
      <c r="M105" s="30"/>
      <c r="N105" s="30"/>
      <c r="S105" s="30"/>
      <c r="T105" s="30"/>
      <c r="U105" s="30"/>
      <c r="V105" s="30"/>
      <c r="W105" s="30"/>
      <c r="X105" s="30"/>
      <c r="Y105" s="30">
        <f ca="1">1-Y111</f>
        <v>0.96499999999999997</v>
      </c>
      <c r="Z105" s="30"/>
      <c r="AA105" s="30"/>
      <c r="AB105" s="30"/>
    </row>
    <row r="106" spans="1:34" x14ac:dyDescent="0.2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S106" s="30"/>
      <c r="T106" s="44" t="s">
        <v>192</v>
      </c>
      <c r="U106" s="30"/>
      <c r="V106" s="30"/>
      <c r="W106" s="30"/>
      <c r="X106" s="30"/>
      <c r="Y106" s="30"/>
      <c r="Z106" s="30"/>
      <c r="AA106" s="30"/>
      <c r="AB106" s="30"/>
    </row>
    <row r="107" spans="1:34" x14ac:dyDescent="0.2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</row>
    <row r="108" spans="1:34" x14ac:dyDescent="0.25">
      <c r="A108" s="30"/>
      <c r="B108" s="30"/>
      <c r="C108" s="30"/>
      <c r="D108" s="30"/>
      <c r="E108" s="30"/>
      <c r="F108" s="30"/>
      <c r="G108" s="30"/>
      <c r="H108" s="30"/>
      <c r="I108" s="30"/>
      <c r="N108" s="30"/>
      <c r="S108" s="30"/>
      <c r="T108" s="61">
        <f ca="1">1-SUM(T117,T126,T135,T144,T153)</f>
        <v>0.99983688127154113</v>
      </c>
      <c r="U108" s="30"/>
      <c r="V108" s="30"/>
      <c r="W108" s="30"/>
      <c r="X108" s="30"/>
      <c r="Y108" s="30"/>
      <c r="Z108" s="30"/>
      <c r="AA108" s="30"/>
      <c r="AB108" s="30"/>
    </row>
    <row r="109" spans="1:34" x14ac:dyDescent="0.25">
      <c r="E109" s="30"/>
      <c r="F109" s="30"/>
      <c r="G109" s="30"/>
      <c r="H109" s="30"/>
      <c r="I109" s="30"/>
      <c r="N109" s="30"/>
      <c r="S109" s="30"/>
      <c r="T109" s="30"/>
      <c r="U109" s="30"/>
      <c r="V109" s="30"/>
      <c r="W109" s="30"/>
      <c r="X109" s="30"/>
      <c r="Y109" s="30" t="s">
        <v>132</v>
      </c>
      <c r="Z109" s="30"/>
      <c r="AA109" s="30"/>
      <c r="AB109" s="30"/>
    </row>
    <row r="110" spans="1:34" x14ac:dyDescent="0.25">
      <c r="E110" s="30"/>
      <c r="F110" s="30"/>
      <c r="G110" s="30"/>
      <c r="H110" s="30"/>
      <c r="I110" s="30"/>
      <c r="N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>
        <f ca="1">Y111*T108*O131*J147*E163</f>
        <v>0</v>
      </c>
      <c r="AE110">
        <f ca="1">cPS + cATSih + cTPE3d</f>
        <v>15454.598073609135</v>
      </c>
      <c r="AG110">
        <f ca="1">AE110*AC110</f>
        <v>0</v>
      </c>
    </row>
    <row r="111" spans="1:34" x14ac:dyDescent="0.25">
      <c r="E111" s="30"/>
      <c r="F111" s="30"/>
      <c r="G111" s="30"/>
      <c r="H111" s="30"/>
      <c r="I111" s="30"/>
      <c r="N111" s="30"/>
      <c r="S111" s="30"/>
      <c r="T111" s="30"/>
      <c r="U111" s="30"/>
      <c r="V111" s="30"/>
      <c r="W111" s="30"/>
      <c r="X111" s="30"/>
      <c r="Y111" s="30">
        <f ca="1">pDeathnoTTPafterTPE</f>
        <v>3.5000000000000003E-2</v>
      </c>
      <c r="Z111" s="30"/>
      <c r="AA111" s="30"/>
      <c r="AB111" s="30"/>
    </row>
    <row r="112" spans="1:34" x14ac:dyDescent="0.25">
      <c r="E112" s="30"/>
      <c r="F112" s="30"/>
      <c r="G112" s="30"/>
      <c r="H112" s="30"/>
      <c r="I112" s="30"/>
      <c r="N112" s="30"/>
      <c r="S112" s="30"/>
      <c r="T112" s="30"/>
      <c r="U112" s="30"/>
      <c r="V112" s="30"/>
      <c r="W112" s="30"/>
      <c r="X112" s="30"/>
      <c r="Y112" s="30" t="s">
        <v>131</v>
      </c>
      <c r="Z112" s="30"/>
      <c r="AA112" s="30"/>
      <c r="AB112" s="30"/>
    </row>
    <row r="113" spans="1:34" x14ac:dyDescent="0.25">
      <c r="E113" s="30"/>
      <c r="F113" s="30"/>
      <c r="G113" s="30"/>
      <c r="H113" s="30"/>
      <c r="I113" s="30"/>
      <c r="N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>
        <f ca="1">Y114*T117*O131*J147*E163</f>
        <v>0</v>
      </c>
      <c r="AE113">
        <f ca="1">cPS + cATSih + cTPE3d + cInf</f>
        <v>17254.967741458328</v>
      </c>
      <c r="AG113">
        <f ca="1">AE113*AC113</f>
        <v>0</v>
      </c>
      <c r="AH113">
        <f ca="1">AC113</f>
        <v>0</v>
      </c>
    </row>
    <row r="114" spans="1:34" x14ac:dyDescent="0.25">
      <c r="A114" s="30"/>
      <c r="B114" s="30"/>
      <c r="C114" s="30"/>
      <c r="D114" s="30"/>
      <c r="E114" s="30"/>
      <c r="F114" s="30"/>
      <c r="G114" s="30"/>
      <c r="H114" s="30"/>
      <c r="I114" s="30"/>
      <c r="N114" s="30"/>
      <c r="S114" s="30"/>
      <c r="T114" s="30"/>
      <c r="U114" s="30"/>
      <c r="V114" s="30"/>
      <c r="W114" s="30"/>
      <c r="X114" s="30"/>
      <c r="Y114" s="30">
        <f ca="1">1-Y120</f>
        <v>0.96499999999999997</v>
      </c>
      <c r="Z114" s="30"/>
      <c r="AA114" s="30"/>
      <c r="AB114" s="30"/>
    </row>
    <row r="115" spans="1:34" x14ac:dyDescent="0.25">
      <c r="A115" s="30"/>
      <c r="B115" s="30"/>
      <c r="C115" s="30"/>
      <c r="D115" s="30"/>
      <c r="E115" s="30"/>
      <c r="F115" s="30"/>
      <c r="G115" s="30"/>
      <c r="H115" s="30"/>
      <c r="I115" s="30"/>
      <c r="N115" s="30"/>
      <c r="S115" s="30"/>
      <c r="T115" s="48" t="s">
        <v>134</v>
      </c>
      <c r="U115" s="30"/>
      <c r="V115" s="30"/>
      <c r="W115" s="30"/>
      <c r="X115" s="30"/>
      <c r="Y115" s="30"/>
      <c r="Z115" s="30"/>
      <c r="AA115" s="30"/>
      <c r="AB115" s="30"/>
    </row>
    <row r="116" spans="1:34" x14ac:dyDescent="0.25">
      <c r="A116" s="30"/>
      <c r="B116" s="30"/>
      <c r="C116" s="30"/>
      <c r="D116" s="30"/>
      <c r="E116" s="30"/>
      <c r="F116" s="30"/>
      <c r="G116" s="30"/>
      <c r="H116" s="30"/>
      <c r="I116" s="30"/>
      <c r="N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</row>
    <row r="117" spans="1:34" x14ac:dyDescent="0.25">
      <c r="A117" s="30"/>
      <c r="B117" s="30"/>
      <c r="C117" s="30"/>
      <c r="D117" s="30"/>
      <c r="E117" s="30"/>
      <c r="F117" s="30"/>
      <c r="G117" s="30"/>
      <c r="H117" s="30"/>
      <c r="I117" s="30"/>
      <c r="N117" s="30"/>
      <c r="S117" s="30"/>
      <c r="T117" s="30">
        <f ca="1">pInf</f>
        <v>3.640838697416271E-6</v>
      </c>
      <c r="U117" s="30"/>
      <c r="V117" s="30"/>
      <c r="W117" s="30"/>
      <c r="X117" s="30"/>
      <c r="Y117" s="30"/>
      <c r="Z117" s="30"/>
      <c r="AA117" s="30"/>
      <c r="AB117" s="30"/>
    </row>
    <row r="118" spans="1:34" x14ac:dyDescent="0.25">
      <c r="A118" s="30"/>
      <c r="B118" s="30"/>
      <c r="C118" s="30"/>
      <c r="D118" s="30"/>
      <c r="E118" s="30"/>
      <c r="F118" s="30"/>
      <c r="G118" s="30"/>
      <c r="H118" s="30"/>
      <c r="I118" s="30"/>
      <c r="N118" s="30"/>
      <c r="S118" s="30"/>
      <c r="T118" s="30"/>
      <c r="U118" s="30"/>
      <c r="V118" s="30"/>
      <c r="W118" s="30"/>
      <c r="X118" s="30"/>
      <c r="Y118" s="30" t="s">
        <v>132</v>
      </c>
      <c r="Z118" s="30"/>
      <c r="AA118" s="30"/>
      <c r="AB118" s="30"/>
    </row>
    <row r="119" spans="1:34" x14ac:dyDescent="0.25">
      <c r="A119" s="30"/>
      <c r="B119" s="30"/>
      <c r="C119" s="30"/>
      <c r="D119" s="30"/>
      <c r="E119" s="30"/>
      <c r="F119" s="30"/>
      <c r="G119" s="30"/>
      <c r="H119" s="30"/>
      <c r="I119" s="30"/>
      <c r="N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>
        <f ca="1">Y120*T117*O131*J147*E163</f>
        <v>0</v>
      </c>
      <c r="AE119">
        <f ca="1">cPS + cATSih + cTPE3d + cInf</f>
        <v>17254.967741458328</v>
      </c>
      <c r="AG119">
        <f ca="1">AE119*AC119</f>
        <v>0</v>
      </c>
    </row>
    <row r="120" spans="1:34" x14ac:dyDescent="0.25">
      <c r="A120" s="30"/>
      <c r="B120" s="30"/>
      <c r="C120" s="30"/>
      <c r="D120" s="30"/>
      <c r="E120" s="30"/>
      <c r="F120" s="30"/>
      <c r="G120" s="30"/>
      <c r="H120" s="30"/>
      <c r="I120" s="30"/>
      <c r="N120" s="30"/>
      <c r="S120" s="30"/>
      <c r="T120" s="30"/>
      <c r="U120" s="30"/>
      <c r="V120" s="30"/>
      <c r="W120" s="30"/>
      <c r="X120" s="30"/>
      <c r="Y120" s="30">
        <f ca="1">pDeathnoTTPafterTPE</f>
        <v>3.5000000000000003E-2</v>
      </c>
      <c r="Z120" s="30"/>
      <c r="AA120" s="30"/>
      <c r="AB120" s="30"/>
    </row>
    <row r="121" spans="1:34" x14ac:dyDescent="0.25">
      <c r="A121" s="30"/>
      <c r="B121" s="30"/>
      <c r="C121" s="30"/>
      <c r="D121" s="30"/>
      <c r="E121" s="30"/>
      <c r="F121" s="30"/>
      <c r="G121" s="30"/>
      <c r="H121" s="30"/>
      <c r="I121" s="30"/>
      <c r="N121" s="30"/>
      <c r="S121" s="30"/>
      <c r="T121" s="30"/>
      <c r="U121" s="30"/>
      <c r="V121" s="30"/>
      <c r="W121" s="30"/>
      <c r="X121" s="30"/>
      <c r="Y121" s="30" t="s">
        <v>131</v>
      </c>
      <c r="Z121" s="30"/>
      <c r="AA121" s="30"/>
      <c r="AB121" s="30"/>
    </row>
    <row r="122" spans="1:34" x14ac:dyDescent="0.25">
      <c r="A122" s="30"/>
      <c r="B122" s="30"/>
      <c r="C122" s="30"/>
      <c r="D122" s="30"/>
      <c r="E122" s="30"/>
      <c r="F122" s="30"/>
      <c r="G122" s="30"/>
      <c r="H122" s="30"/>
      <c r="I122" s="30"/>
      <c r="N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>
        <f ca="1">Y123*T126*O131*J147*E163</f>
        <v>0</v>
      </c>
      <c r="AE122">
        <f ca="1">cPS + cATSih + cTPE3d + cCATH</f>
        <v>17459.765576425747</v>
      </c>
      <c r="AG122">
        <f ca="1">AE122*AC122</f>
        <v>0</v>
      </c>
      <c r="AH122">
        <f ca="1">AC122</f>
        <v>0</v>
      </c>
    </row>
    <row r="123" spans="1:34" x14ac:dyDescent="0.25">
      <c r="A123" s="30"/>
      <c r="B123" s="30"/>
      <c r="C123" s="30"/>
      <c r="D123" s="30"/>
      <c r="E123" s="30"/>
      <c r="F123" s="30"/>
      <c r="G123" s="30"/>
      <c r="H123" s="30"/>
      <c r="I123" s="30"/>
      <c r="N123" s="30"/>
      <c r="S123" s="30"/>
      <c r="T123" s="30"/>
      <c r="U123" s="30"/>
      <c r="V123" s="30"/>
      <c r="W123" s="30"/>
      <c r="X123" s="30"/>
      <c r="Y123" s="30">
        <f ca="1">1-Y129</f>
        <v>0.96499999999999997</v>
      </c>
      <c r="Z123" s="30"/>
      <c r="AA123" s="30"/>
      <c r="AB123" s="30"/>
    </row>
    <row r="124" spans="1:34" x14ac:dyDescent="0.25">
      <c r="A124" s="30"/>
      <c r="B124" s="48" t="s">
        <v>337</v>
      </c>
      <c r="C124" s="30"/>
      <c r="D124" s="30"/>
      <c r="E124" s="30"/>
      <c r="F124" s="30"/>
      <c r="G124" s="30"/>
      <c r="H124" s="30"/>
      <c r="I124" s="30"/>
      <c r="N124" s="30"/>
      <c r="S124" s="30"/>
      <c r="T124" s="48" t="s">
        <v>183</v>
      </c>
      <c r="U124" s="30"/>
      <c r="V124" s="30"/>
      <c r="W124" s="30"/>
      <c r="X124" s="30"/>
      <c r="Y124" s="30"/>
      <c r="Z124" s="30"/>
      <c r="AA124" s="30"/>
      <c r="AB124" s="30"/>
    </row>
    <row r="125" spans="1:34" x14ac:dyDescent="0.25">
      <c r="A125" s="30"/>
      <c r="B125" s="48"/>
      <c r="C125" s="30"/>
      <c r="D125" s="30"/>
      <c r="E125" s="30"/>
      <c r="F125" s="30"/>
      <c r="G125" s="30"/>
      <c r="H125" s="30"/>
      <c r="I125" s="30"/>
      <c r="N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</row>
    <row r="126" spans="1:34" x14ac:dyDescent="0.25">
      <c r="A126" s="30"/>
      <c r="B126" s="48" t="s">
        <v>338</v>
      </c>
      <c r="C126" s="30"/>
      <c r="D126" s="30"/>
      <c r="E126" s="30"/>
      <c r="F126" s="30"/>
      <c r="G126" s="30"/>
      <c r="H126" s="30"/>
      <c r="I126" s="30"/>
      <c r="N126" s="30"/>
      <c r="S126" s="30"/>
      <c r="T126" s="30">
        <f ca="1">pCATH</f>
        <v>3.1746256135112283E-5</v>
      </c>
      <c r="U126" s="30"/>
      <c r="V126" s="30"/>
      <c r="W126" s="30"/>
      <c r="X126" s="30"/>
      <c r="Y126" s="30"/>
      <c r="Z126" s="30"/>
      <c r="AA126" s="30"/>
      <c r="AB126" s="30"/>
    </row>
    <row r="127" spans="1:34" x14ac:dyDescent="0.25">
      <c r="A127" s="30"/>
      <c r="B127" s="30"/>
      <c r="C127" s="30"/>
      <c r="D127" s="30"/>
      <c r="E127" s="30"/>
      <c r="F127" s="30"/>
      <c r="G127" s="30"/>
      <c r="H127" s="30"/>
      <c r="I127" s="30"/>
      <c r="N127" s="30"/>
      <c r="S127" s="30"/>
      <c r="T127" s="30"/>
      <c r="U127" s="30"/>
      <c r="V127" s="30"/>
      <c r="W127" s="30"/>
      <c r="X127" s="30"/>
      <c r="Y127" s="30" t="s">
        <v>132</v>
      </c>
      <c r="Z127" s="30"/>
      <c r="AA127" s="30"/>
      <c r="AB127" s="30"/>
    </row>
    <row r="128" spans="1:34" x14ac:dyDescent="0.25">
      <c r="A128" s="30"/>
      <c r="B128" s="30"/>
      <c r="C128" s="30"/>
      <c r="D128" s="30"/>
      <c r="E128" s="30"/>
      <c r="F128" s="30"/>
      <c r="G128" s="30"/>
      <c r="H128" s="30"/>
      <c r="I128" s="30"/>
      <c r="N128" s="30"/>
      <c r="O128" t="s">
        <v>343</v>
      </c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>
        <f ca="1">Y129*T126*O131*J147*E163</f>
        <v>0</v>
      </c>
      <c r="AE128">
        <f ca="1">cPS + cATSih + cTPE3d + cCATH</f>
        <v>17459.765576425747</v>
      </c>
      <c r="AG128">
        <f ca="1">AE128*AC128</f>
        <v>0</v>
      </c>
    </row>
    <row r="129" spans="1:34" x14ac:dyDescent="0.25">
      <c r="A129" s="30"/>
      <c r="B129" s="30"/>
      <c r="C129" s="30"/>
      <c r="D129" s="30"/>
      <c r="E129" s="30"/>
      <c r="F129" s="30"/>
      <c r="G129" s="30"/>
      <c r="H129" s="30"/>
      <c r="I129" s="30"/>
      <c r="N129" s="30"/>
      <c r="O129" s="48" t="s">
        <v>198</v>
      </c>
      <c r="P129" t="s">
        <v>201</v>
      </c>
      <c r="S129" s="30"/>
      <c r="T129" s="30"/>
      <c r="U129" s="30"/>
      <c r="V129" s="30"/>
      <c r="W129" s="30"/>
      <c r="X129" s="30"/>
      <c r="Y129" s="30">
        <f ca="1">pDeathnoTTPafterTPE</f>
        <v>3.5000000000000003E-2</v>
      </c>
      <c r="Z129" s="30"/>
      <c r="AA129" s="30"/>
      <c r="AB129" s="30"/>
    </row>
    <row r="130" spans="1:34" x14ac:dyDescent="0.25">
      <c r="A130" s="30"/>
      <c r="B130" s="30"/>
      <c r="C130" s="30"/>
      <c r="D130" s="30"/>
      <c r="F130" s="30"/>
      <c r="G130" s="30"/>
      <c r="H130" s="30"/>
      <c r="I130" s="30"/>
      <c r="O130" s="30"/>
      <c r="S130" s="30"/>
      <c r="T130" s="30"/>
      <c r="U130" s="30"/>
      <c r="V130" s="30"/>
      <c r="W130" s="30"/>
      <c r="X130" s="30"/>
      <c r="Y130" s="30" t="s">
        <v>131</v>
      </c>
      <c r="Z130" s="30"/>
      <c r="AA130" s="30"/>
      <c r="AB130" s="30"/>
    </row>
    <row r="131" spans="1:34" x14ac:dyDescent="0.25">
      <c r="A131" s="30"/>
      <c r="B131" s="30"/>
      <c r="C131" s="30"/>
      <c r="D131" s="30"/>
      <c r="F131" s="30"/>
      <c r="G131" s="30"/>
      <c r="H131" s="30"/>
      <c r="I131" s="30"/>
      <c r="O131" s="30">
        <f ca="1">1-specADAM</f>
        <v>0</v>
      </c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>
        <f ca="1">Y132*T135*O131*J147*E163</f>
        <v>0</v>
      </c>
      <c r="AE131">
        <f ca="1">cPS + cATSih + cTPE3d + cVETH</f>
        <v>20198.502725396851</v>
      </c>
      <c r="AG131">
        <f ca="1">AE131*AC131</f>
        <v>0</v>
      </c>
      <c r="AH131">
        <f ca="1">AC131</f>
        <v>0</v>
      </c>
    </row>
    <row r="132" spans="1:34" x14ac:dyDescent="0.25">
      <c r="A132" s="30"/>
      <c r="B132" s="30"/>
      <c r="C132" s="30"/>
      <c r="D132" s="30"/>
      <c r="F132" s="30"/>
      <c r="G132" s="30"/>
      <c r="H132" s="30"/>
      <c r="I132" s="30"/>
      <c r="S132" s="30"/>
      <c r="T132" s="30"/>
      <c r="U132" s="30"/>
      <c r="V132" s="30"/>
      <c r="W132" s="30"/>
      <c r="X132" s="30"/>
      <c r="Y132" s="30">
        <f ca="1">1-Y138</f>
        <v>0.96499999999999997</v>
      </c>
      <c r="Z132" s="30"/>
      <c r="AA132" s="30"/>
      <c r="AB132" s="30"/>
    </row>
    <row r="133" spans="1:34" x14ac:dyDescent="0.25">
      <c r="S133" s="30"/>
      <c r="T133" s="48" t="s">
        <v>184</v>
      </c>
      <c r="U133" s="30"/>
      <c r="V133" s="30"/>
      <c r="W133" s="30"/>
      <c r="X133" s="30"/>
      <c r="Y133" s="30"/>
      <c r="Z133" s="30"/>
      <c r="AA133" s="30"/>
      <c r="AB133" s="30"/>
    </row>
    <row r="134" spans="1:34" x14ac:dyDescent="0.25">
      <c r="S134" s="30"/>
      <c r="T134" s="30"/>
      <c r="U134" s="30"/>
      <c r="V134" s="30"/>
      <c r="W134" s="30"/>
      <c r="X134" s="30"/>
      <c r="Y134" s="30"/>
      <c r="Z134" s="30"/>
      <c r="AA134" s="30"/>
      <c r="AB134" s="30"/>
    </row>
    <row r="135" spans="1:34" x14ac:dyDescent="0.25">
      <c r="S135" s="30"/>
      <c r="T135" s="30">
        <f ca="1">pVETH</f>
        <v>9.1478368279274136E-6</v>
      </c>
      <c r="U135" s="30"/>
      <c r="V135" s="30"/>
      <c r="W135" s="30"/>
      <c r="X135" s="30"/>
      <c r="Y135" s="30"/>
      <c r="Z135" s="30"/>
      <c r="AA135" s="30"/>
      <c r="AB135" s="30"/>
    </row>
    <row r="136" spans="1:34" x14ac:dyDescent="0.25">
      <c r="S136" s="30"/>
      <c r="T136" s="30"/>
      <c r="U136" s="30"/>
      <c r="V136" s="30"/>
      <c r="W136" s="30"/>
      <c r="X136" s="30"/>
      <c r="Y136" s="30" t="s">
        <v>132</v>
      </c>
      <c r="Z136" s="30"/>
      <c r="AA136" s="30"/>
      <c r="AB136" s="30"/>
    </row>
    <row r="137" spans="1:34" x14ac:dyDescent="0.25"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>
        <f ca="1">Y138*T135*O131*J147*E163</f>
        <v>0</v>
      </c>
      <c r="AE137">
        <f ca="1">cPS + cATSih + cTPE3d + cVETH</f>
        <v>20198.502725396851</v>
      </c>
      <c r="AG137">
        <f ca="1">AE137*AC137</f>
        <v>0</v>
      </c>
    </row>
    <row r="138" spans="1:34" x14ac:dyDescent="0.25">
      <c r="S138" s="30"/>
      <c r="T138" s="30"/>
      <c r="U138" s="30"/>
      <c r="V138" s="30"/>
      <c r="W138" s="30"/>
      <c r="X138" s="30"/>
      <c r="Y138" s="30">
        <f ca="1">pDeathnoTTPafterTPE</f>
        <v>3.5000000000000003E-2</v>
      </c>
      <c r="Z138" s="30"/>
      <c r="AA138" s="30"/>
      <c r="AB138" s="30"/>
    </row>
    <row r="139" spans="1:34" x14ac:dyDescent="0.25">
      <c r="S139" s="30"/>
      <c r="T139" s="30"/>
      <c r="U139" s="30"/>
      <c r="V139" s="30"/>
      <c r="W139" s="30"/>
      <c r="X139" s="30"/>
      <c r="Y139" s="30" t="s">
        <v>131</v>
      </c>
      <c r="Z139" s="30"/>
      <c r="AA139" s="30"/>
      <c r="AB139" s="30"/>
    </row>
    <row r="140" spans="1:34" x14ac:dyDescent="0.25"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>
        <f ca="1">Y141*T144*O131*J147*E163</f>
        <v>0</v>
      </c>
      <c r="AE140">
        <f ca="1">cPS + cATSih + cTPE3d + cBL</f>
        <v>28963.624314336499</v>
      </c>
      <c r="AG140">
        <f ca="1">AE140*AC140</f>
        <v>0</v>
      </c>
      <c r="AH140">
        <f ca="1">AC140</f>
        <v>0</v>
      </c>
    </row>
    <row r="141" spans="1:34" x14ac:dyDescent="0.25">
      <c r="S141" s="30"/>
      <c r="T141" s="30"/>
      <c r="U141" s="30"/>
      <c r="V141" s="30"/>
      <c r="W141" s="30"/>
      <c r="X141" s="30"/>
      <c r="Y141" s="30">
        <f ca="1">1-Y147</f>
        <v>0.96499999999999997</v>
      </c>
      <c r="Z141" s="30"/>
      <c r="AA141" s="30"/>
      <c r="AB141" s="30"/>
    </row>
    <row r="142" spans="1:34" x14ac:dyDescent="0.25">
      <c r="S142" s="30"/>
      <c r="T142" s="48" t="s">
        <v>185</v>
      </c>
      <c r="U142" s="30"/>
      <c r="V142" s="30"/>
      <c r="W142" s="30"/>
      <c r="X142" s="30"/>
      <c r="Y142" s="30"/>
      <c r="Z142" s="30"/>
      <c r="AA142" s="30"/>
      <c r="AB142" s="30"/>
    </row>
    <row r="143" spans="1:34" x14ac:dyDescent="0.25">
      <c r="S143" s="30"/>
      <c r="T143" s="30"/>
      <c r="U143" s="30"/>
      <c r="V143" s="30"/>
      <c r="W143" s="30"/>
      <c r="X143" s="30"/>
      <c r="Y143" s="30"/>
      <c r="Z143" s="30"/>
      <c r="AA143" s="30"/>
      <c r="AB143" s="30"/>
    </row>
    <row r="144" spans="1:34" x14ac:dyDescent="0.25">
      <c r="J144" t="s">
        <v>341</v>
      </c>
      <c r="S144" s="30"/>
      <c r="T144" s="30">
        <f ca="1">pBL</f>
        <v>1.0573365413746316E-4</v>
      </c>
      <c r="U144" s="30"/>
      <c r="V144" s="30"/>
      <c r="W144" s="30"/>
      <c r="X144" s="30"/>
      <c r="Y144" s="30"/>
      <c r="Z144" s="30"/>
      <c r="AA144" s="30"/>
      <c r="AB144" s="30"/>
    </row>
    <row r="145" spans="10:34" x14ac:dyDescent="0.25">
      <c r="J145" s="48" t="s">
        <v>198</v>
      </c>
      <c r="K145" t="s">
        <v>201</v>
      </c>
      <c r="S145" s="30"/>
      <c r="T145" s="30"/>
      <c r="U145" s="30"/>
      <c r="V145" s="30"/>
      <c r="W145" s="30"/>
      <c r="X145" s="30"/>
      <c r="Y145" s="30" t="s">
        <v>132</v>
      </c>
      <c r="Z145" s="30"/>
      <c r="AA145" s="30"/>
      <c r="AB145" s="30"/>
    </row>
    <row r="146" spans="10:34" x14ac:dyDescent="0.25">
      <c r="J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>
        <f ca="1">Y147*T144*O131*J147*E163</f>
        <v>0</v>
      </c>
      <c r="AE146">
        <f ca="1">cPS + cATSih + cTPE3d + cBL</f>
        <v>28963.624314336499</v>
      </c>
      <c r="AG146">
        <f ca="1">AE146*AC146</f>
        <v>0</v>
      </c>
    </row>
    <row r="147" spans="10:34" x14ac:dyDescent="0.25">
      <c r="J147" s="30">
        <f ca="1">1-specPL</f>
        <v>0.39</v>
      </c>
      <c r="S147" s="30"/>
      <c r="T147" s="30"/>
      <c r="U147" s="30"/>
      <c r="V147" s="30"/>
      <c r="W147" s="30"/>
      <c r="X147" s="30"/>
      <c r="Y147" s="30">
        <f ca="1">pDeathnoTTPafterTPE</f>
        <v>3.5000000000000003E-2</v>
      </c>
      <c r="Z147" s="30"/>
      <c r="AA147" s="30"/>
      <c r="AB147" s="30"/>
    </row>
    <row r="148" spans="10:34" x14ac:dyDescent="0.25">
      <c r="S148" s="30"/>
      <c r="T148" s="30"/>
      <c r="U148" s="30"/>
      <c r="V148" s="30"/>
      <c r="W148" s="30"/>
      <c r="X148" s="30"/>
      <c r="Y148" s="30"/>
      <c r="Z148" s="30"/>
      <c r="AA148" s="30"/>
      <c r="AB148" s="30"/>
    </row>
    <row r="149" spans="10:34" x14ac:dyDescent="0.25">
      <c r="S149" s="30"/>
      <c r="T149" s="30"/>
      <c r="U149" s="30"/>
      <c r="V149" s="30"/>
      <c r="W149" s="30"/>
      <c r="X149" s="30"/>
      <c r="Y149" s="30"/>
      <c r="Z149" s="30"/>
      <c r="AA149" s="30"/>
      <c r="AB149" s="30"/>
    </row>
    <row r="150" spans="10:34" x14ac:dyDescent="0.25">
      <c r="S150" s="30"/>
      <c r="T150" s="30"/>
      <c r="U150" s="30"/>
      <c r="V150" s="30"/>
      <c r="W150" s="30"/>
      <c r="X150" s="30"/>
      <c r="Y150" s="30"/>
      <c r="Z150" s="30"/>
      <c r="AA150" s="30"/>
      <c r="AB150" s="30"/>
    </row>
    <row r="151" spans="10:34" x14ac:dyDescent="0.25">
      <c r="S151" s="30"/>
      <c r="T151" s="30" t="s">
        <v>194</v>
      </c>
      <c r="U151" s="30"/>
      <c r="V151" s="30"/>
      <c r="W151" s="30"/>
      <c r="X151" s="30"/>
      <c r="Y151" s="30"/>
      <c r="Z151" s="30"/>
      <c r="AA151" s="30"/>
      <c r="AB151" s="30"/>
    </row>
    <row r="152" spans="10:34" x14ac:dyDescent="0.25"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>
        <f ca="1">T153*O131*J147*E163</f>
        <v>0</v>
      </c>
      <c r="AE152">
        <f ca="1">cPS + cATSih + cTPE3d</f>
        <v>15454.598073609135</v>
      </c>
      <c r="AG152">
        <f ca="1">AE152*AC152</f>
        <v>0</v>
      </c>
    </row>
    <row r="153" spans="10:34" x14ac:dyDescent="0.25">
      <c r="S153" s="30"/>
      <c r="T153" s="30">
        <f ca="1">pDeathcomp</f>
        <v>1.2850142660947306E-5</v>
      </c>
      <c r="U153" s="30"/>
      <c r="V153" s="30"/>
      <c r="W153" s="30"/>
      <c r="X153" s="30"/>
      <c r="Y153" s="30"/>
      <c r="Z153" s="30"/>
      <c r="AA153" s="30"/>
      <c r="AB153" s="30"/>
    </row>
    <row r="159" spans="10:34" x14ac:dyDescent="0.25">
      <c r="S159" s="30"/>
      <c r="T159" s="30" t="s">
        <v>131</v>
      </c>
      <c r="U159" s="30"/>
      <c r="V159" s="30"/>
      <c r="W159" s="30"/>
    </row>
    <row r="160" spans="10:34" x14ac:dyDescent="0.25">
      <c r="S160" s="30"/>
      <c r="T160" s="30"/>
      <c r="U160" s="30"/>
      <c r="V160" s="30"/>
      <c r="W160" s="30"/>
      <c r="AC160">
        <f ca="1">T161*O164*J147*E163</f>
        <v>0.2387850374064838</v>
      </c>
      <c r="AE160">
        <f ca="1">cPS + cATSih</f>
        <v>350</v>
      </c>
      <c r="AG160">
        <f ca="1">AE160*AC160</f>
        <v>83.574763092269322</v>
      </c>
      <c r="AH160">
        <f ca="1">AC160</f>
        <v>0.2387850374064838</v>
      </c>
    </row>
    <row r="161" spans="5:34" x14ac:dyDescent="0.25">
      <c r="E161" s="30" t="s">
        <v>189</v>
      </c>
      <c r="O161" t="s">
        <v>343</v>
      </c>
      <c r="S161" s="30"/>
      <c r="T161" s="30">
        <f ca="1">1-T167</f>
        <v>0.92999999999999994</v>
      </c>
      <c r="U161" s="30"/>
      <c r="V161" s="30"/>
      <c r="W161" s="30"/>
    </row>
    <row r="162" spans="5:34" ht="10.5" customHeight="1" x14ac:dyDescent="0.25">
      <c r="E162" s="30"/>
      <c r="O162" s="48" t="s">
        <v>197</v>
      </c>
      <c r="P162" t="s">
        <v>202</v>
      </c>
      <c r="S162" s="30"/>
      <c r="T162" s="30"/>
      <c r="U162" s="30"/>
      <c r="V162" s="30"/>
      <c r="W162" s="30"/>
    </row>
    <row r="163" spans="5:34" x14ac:dyDescent="0.25">
      <c r="E163" s="30">
        <f ca="1">1-E93</f>
        <v>0.65835411471321703</v>
      </c>
      <c r="O163" s="30"/>
      <c r="S163" s="30"/>
      <c r="T163" s="30"/>
      <c r="U163" s="30"/>
      <c r="V163" s="30"/>
      <c r="W163" s="30"/>
    </row>
    <row r="164" spans="5:34" x14ac:dyDescent="0.25">
      <c r="O164" s="30">
        <f ca="1">specADAM</f>
        <v>1</v>
      </c>
      <c r="S164" s="30"/>
      <c r="T164" s="30"/>
      <c r="U164" s="30"/>
      <c r="V164" s="30"/>
      <c r="W164" s="30"/>
    </row>
    <row r="165" spans="5:34" x14ac:dyDescent="0.25">
      <c r="S165" s="30"/>
      <c r="T165" s="30" t="s">
        <v>132</v>
      </c>
      <c r="U165" s="30"/>
      <c r="V165" s="30"/>
      <c r="W165" s="30"/>
    </row>
    <row r="166" spans="5:34" x14ac:dyDescent="0.25">
      <c r="S166" s="30"/>
      <c r="T166" s="30"/>
      <c r="U166" s="30"/>
      <c r="V166" s="30"/>
      <c r="W166" s="30"/>
      <c r="AC166">
        <f ca="1">T167*O164*J147*E163</f>
        <v>1.7973067331670829E-2</v>
      </c>
      <c r="AE166">
        <f ca="1">cPS + cATSih</f>
        <v>350</v>
      </c>
      <c r="AG166">
        <f ca="1">AE166*AC166</f>
        <v>6.2905735660847899</v>
      </c>
    </row>
    <row r="167" spans="5:34" x14ac:dyDescent="0.25">
      <c r="S167" s="30"/>
      <c r="T167" s="30">
        <f ca="1">pDeathNoTTP</f>
        <v>7.0000000000000007E-2</v>
      </c>
      <c r="U167" s="30"/>
      <c r="V167" s="30"/>
      <c r="W167" s="30"/>
    </row>
    <row r="168" spans="5:34" x14ac:dyDescent="0.25">
      <c r="N168" s="30"/>
    </row>
    <row r="169" spans="5:34" x14ac:dyDescent="0.25">
      <c r="N169" s="30"/>
    </row>
    <row r="170" spans="5:34" x14ac:dyDescent="0.25">
      <c r="N170" s="30"/>
    </row>
    <row r="173" spans="5:34" x14ac:dyDescent="0.25">
      <c r="N173" s="30"/>
      <c r="O173" s="30" t="s">
        <v>131</v>
      </c>
      <c r="P173" s="30"/>
      <c r="Q173" s="30"/>
      <c r="R173" s="30"/>
    </row>
    <row r="174" spans="5:34" x14ac:dyDescent="0.25">
      <c r="N174" s="30"/>
      <c r="O174" s="30"/>
      <c r="P174" s="30"/>
      <c r="Q174" s="30"/>
      <c r="R174" s="30"/>
      <c r="AC174">
        <f ca="1">O175*J178*E163</f>
        <v>0.37348428927680799</v>
      </c>
      <c r="AE174">
        <f xml:space="preserve"> cPS</f>
        <v>0</v>
      </c>
      <c r="AG174">
        <f ca="1">AE174*AC174</f>
        <v>0</v>
      </c>
      <c r="AH174">
        <f ca="1">AC174</f>
        <v>0.37348428927680799</v>
      </c>
    </row>
    <row r="175" spans="5:34" x14ac:dyDescent="0.25">
      <c r="J175" t="s">
        <v>341</v>
      </c>
      <c r="N175" s="30"/>
      <c r="O175" s="30">
        <f ca="1">1-O181</f>
        <v>0.92999999999999994</v>
      </c>
      <c r="P175" s="30"/>
      <c r="Q175" s="30"/>
      <c r="R175" s="30"/>
    </row>
    <row r="176" spans="5:34" x14ac:dyDescent="0.25">
      <c r="J176" s="48" t="s">
        <v>197</v>
      </c>
      <c r="K176" t="s">
        <v>202</v>
      </c>
      <c r="N176" s="30"/>
      <c r="O176" s="30"/>
      <c r="P176" s="30"/>
      <c r="Q176" s="30"/>
      <c r="R176" s="30"/>
    </row>
    <row r="177" spans="10:35" x14ac:dyDescent="0.25">
      <c r="J177" s="30"/>
      <c r="N177" s="30"/>
      <c r="O177" s="30"/>
      <c r="P177" s="30"/>
      <c r="Q177" s="30"/>
      <c r="R177" s="30"/>
    </row>
    <row r="178" spans="10:35" x14ac:dyDescent="0.25">
      <c r="J178" s="30">
        <f ca="1">specPL</f>
        <v>0.61</v>
      </c>
      <c r="N178" s="30"/>
      <c r="O178" s="30"/>
      <c r="P178" s="30"/>
      <c r="Q178" s="30"/>
      <c r="R178" s="30"/>
    </row>
    <row r="179" spans="10:35" x14ac:dyDescent="0.25">
      <c r="N179" s="30"/>
      <c r="O179" s="30" t="s">
        <v>132</v>
      </c>
      <c r="P179" s="30"/>
      <c r="Q179" s="30"/>
      <c r="R179" s="30"/>
    </row>
    <row r="180" spans="10:35" x14ac:dyDescent="0.25">
      <c r="N180" s="30"/>
      <c r="O180" s="30"/>
      <c r="P180" s="30"/>
      <c r="Q180" s="30"/>
      <c r="R180" s="30"/>
      <c r="AC180">
        <f ca="1">O181*J178*E163</f>
        <v>2.8111720698254367E-2</v>
      </c>
      <c r="AE180">
        <f xml:space="preserve"> cPS</f>
        <v>0</v>
      </c>
      <c r="AG180">
        <f ca="1">AE180*AC180</f>
        <v>0</v>
      </c>
    </row>
    <row r="181" spans="10:35" x14ac:dyDescent="0.25">
      <c r="N181" s="30"/>
      <c r="O181" s="30">
        <f ca="1">pDeathNoTTP</f>
        <v>7.0000000000000007E-2</v>
      </c>
      <c r="P181" s="30"/>
      <c r="Q181" s="30"/>
      <c r="R181" s="30"/>
    </row>
    <row r="183" spans="10:35" x14ac:dyDescent="0.25">
      <c r="AC183" t="s">
        <v>344</v>
      </c>
      <c r="AE183" t="s">
        <v>333</v>
      </c>
      <c r="AG183" t="s">
        <v>335</v>
      </c>
      <c r="AH183" t="s">
        <v>334</v>
      </c>
      <c r="AI183" t="s">
        <v>187</v>
      </c>
    </row>
    <row r="184" spans="10:35" x14ac:dyDescent="0.25">
      <c r="AC184">
        <f ca="1">SUM(AC4:AC180)</f>
        <v>1</v>
      </c>
      <c r="AE184" s="85">
        <f ca="1">SUM(AE4:AE180)</f>
        <v>429635.02987212461</v>
      </c>
      <c r="AG184">
        <f ca="1">SUM(AG4:AG180)</f>
        <v>4731.9950879676717</v>
      </c>
      <c r="AH184">
        <f ca="1">SUM(AH4:AH180)</f>
        <v>0.90878524301780839</v>
      </c>
      <c r="AI184">
        <f ca="1">AG184/AH184</f>
        <v>5206.9453419535166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12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46</vt:i4>
      </vt:variant>
    </vt:vector>
  </HeadingPairs>
  <TitlesOfParts>
    <vt:vector size="60" baseType="lpstr">
      <vt:lpstr>Title</vt:lpstr>
      <vt:lpstr>Results</vt:lpstr>
      <vt:lpstr>Parameters</vt:lpstr>
      <vt:lpstr>Costs</vt:lpstr>
      <vt:lpstr>CPI</vt:lpstr>
      <vt:lpstr>LifeT</vt:lpstr>
      <vt:lpstr>1way</vt:lpstr>
      <vt:lpstr>MC Results</vt:lpstr>
      <vt:lpstr>A - ADAMTS13so</vt:lpstr>
      <vt:lpstr>B-ADAMTS13ih</vt:lpstr>
      <vt:lpstr>C - PSSO</vt:lpstr>
      <vt:lpstr>D - PSIH</vt:lpstr>
      <vt:lpstr>CE plane</vt:lpstr>
      <vt:lpstr>CEA curves</vt:lpstr>
      <vt:lpstr>_pH2</vt:lpstr>
      <vt:lpstr>age</vt:lpstr>
      <vt:lpstr>cATSih</vt:lpstr>
      <vt:lpstr>cATSso</vt:lpstr>
      <vt:lpstr>cBL</vt:lpstr>
      <vt:lpstr>cCATH</vt:lpstr>
      <vt:lpstr>cInf</vt:lpstr>
      <vt:lpstr>cPS</vt:lpstr>
      <vt:lpstr>cTPE3d</vt:lpstr>
      <vt:lpstr>cVETH</vt:lpstr>
      <vt:lpstr>Fee</vt:lpstr>
      <vt:lpstr>GERA</vt:lpstr>
      <vt:lpstr>GPMA</vt:lpstr>
      <vt:lpstr>GPRA</vt:lpstr>
      <vt:lpstr>H2RA</vt:lpstr>
      <vt:lpstr>H2RADD</vt:lpstr>
      <vt:lpstr>hDDH2</vt:lpstr>
      <vt:lpstr>hDDPPI</vt:lpstr>
      <vt:lpstr>hH2_</vt:lpstr>
      <vt:lpstr>hPA</vt:lpstr>
      <vt:lpstr>hPPI</vt:lpstr>
      <vt:lpstr>lifetable</vt:lpstr>
      <vt:lpstr>nECGR1</vt:lpstr>
      <vt:lpstr>nUGIER1</vt:lpstr>
      <vt:lpstr>pBL</vt:lpstr>
      <vt:lpstr>pCATH</vt:lpstr>
      <vt:lpstr>pDDH2</vt:lpstr>
      <vt:lpstr>pDDPPI</vt:lpstr>
      <vt:lpstr>pDeath</vt:lpstr>
      <vt:lpstr>pDeathcomp</vt:lpstr>
      <vt:lpstr>pDeathGP</vt:lpstr>
      <vt:lpstr>pDeathNoTPE</vt:lpstr>
      <vt:lpstr>pDeathNoTTP</vt:lpstr>
      <vt:lpstr>pDeathnoTTPafterTPE</vt:lpstr>
      <vt:lpstr>pInf</vt:lpstr>
      <vt:lpstr>pPA</vt:lpstr>
      <vt:lpstr>pPPI</vt:lpstr>
      <vt:lpstr>prevTTP</vt:lpstr>
      <vt:lpstr>'A - ADAMTS13so'!Print_Area</vt:lpstr>
      <vt:lpstr>prob</vt:lpstr>
      <vt:lpstr>pSurv</vt:lpstr>
      <vt:lpstr>pVETH</vt:lpstr>
      <vt:lpstr>SensADAM</vt:lpstr>
      <vt:lpstr>SensPL</vt:lpstr>
      <vt:lpstr>specADAM</vt:lpstr>
      <vt:lpstr>specPL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</dc:creator>
  <cp:lastModifiedBy>ck</cp:lastModifiedBy>
  <dcterms:created xsi:type="dcterms:W3CDTF">2016-12-13T17:07:16Z</dcterms:created>
  <dcterms:modified xsi:type="dcterms:W3CDTF">2017-11-25T00:26:27Z</dcterms:modified>
</cp:coreProperties>
</file>